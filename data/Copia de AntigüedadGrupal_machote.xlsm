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grupal\archivos\301025\"/>
    </mc:Choice>
  </mc:AlternateContent>
  <xr:revisionPtr revIDLastSave="0" documentId="13_ncr:1_{947A94BC-F495-425B-B324-D13C3D9580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guimiento por promotor" sheetId="12" r:id="rId1"/>
    <sheet name="CARTERA" sheetId="2" r:id="rId2"/>
    <sheet name="Agenda" sheetId="15" r:id="rId3"/>
    <sheet name="promotores td" sheetId="13" r:id="rId4"/>
    <sheet name="Gerentes td" sheetId="14" r:id="rId5"/>
    <sheet name="Parche Promotores" sheetId="16" r:id="rId6"/>
    <sheet name="CONFORMACIÓN DE GRUPO" sheetId="6" r:id="rId7"/>
    <sheet name="SITUACIÓN DE CARTERA" sheetId="4" r:id="rId8"/>
    <sheet name="ANTIGÜEDAD" sheetId="5" r:id="rId9"/>
    <sheet name="Reporte de cobranza" sheetId="7" r:id="rId10"/>
    <sheet name="AHOROS" sheetId="8" r:id="rId11"/>
    <sheet name="Ahorros_concentrado" sheetId="9" r:id="rId12"/>
  </sheets>
  <definedNames>
    <definedName name="_xlnm._FilterDatabase" localSheetId="10" hidden="1">AHOROS!$A$1:$I$2717</definedName>
    <definedName name="_xlnm._FilterDatabase" localSheetId="11" hidden="1">Ahorros_concentrado!$A$1:$D$202</definedName>
    <definedName name="_xlnm._FilterDatabase" localSheetId="8" hidden="1">ANTIGÜEDAD!$A$5:$BE$165</definedName>
    <definedName name="_xlnm._FilterDatabase" localSheetId="1" hidden="1">CARTERA!$A$6:$AK$200</definedName>
    <definedName name="_xlnm._FilterDatabase" localSheetId="6" hidden="1">'CONFORMACIÓN DE GRUPO'!$A$5:$H$5</definedName>
    <definedName name="_xlnm._FilterDatabase" localSheetId="9" hidden="1">'Reporte de cobranza'!$A$8:$BP$91</definedName>
    <definedName name="_xlnm._FilterDatabase" localSheetId="0" hidden="1">'Seguimiento por promotor'!$D$9:$S$28</definedName>
    <definedName name="_xlnm._FilterDatabase" localSheetId="7" hidden="1">'SITUACIÓN DE CARTERA'!$A$8:$AS$166</definedName>
    <definedName name="_xleta.AND" hidden="1" xlm="1">#NAME?</definedName>
    <definedName name="_xlnm.Print_Titles" localSheetId="2">Agenda!$1:$10</definedName>
  </definedNames>
  <calcPr calcId="191029"/>
  <pivotCaches>
    <pivotCache cacheId="16" r:id="rId13"/>
    <pivotCache cacheId="21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" i="5" l="1"/>
  <c r="C200" i="2"/>
  <c r="C199" i="2"/>
  <c r="C198" i="2"/>
  <c r="K198" i="2" s="1"/>
  <c r="C197" i="2"/>
  <c r="C196" i="2"/>
  <c r="E196" i="2" s="1"/>
  <c r="C195" i="2"/>
  <c r="AF195" i="2" s="1"/>
  <c r="C194" i="2"/>
  <c r="C193" i="2"/>
  <c r="A193" i="2" s="1"/>
  <c r="C192" i="2"/>
  <c r="J192" i="2" s="1"/>
  <c r="C191" i="2"/>
  <c r="AI191" i="2" s="1"/>
  <c r="AA191" i="2" s="1"/>
  <c r="C190" i="2"/>
  <c r="A190" i="2" s="1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A26" i="12"/>
  <c r="A27" i="12" s="1"/>
  <c r="AF200" i="2"/>
  <c r="M200" i="2"/>
  <c r="P200" i="2" s="1"/>
  <c r="L200" i="2"/>
  <c r="K200" i="2"/>
  <c r="J200" i="2"/>
  <c r="I200" i="2"/>
  <c r="H200" i="2"/>
  <c r="G200" i="2"/>
  <c r="F200" i="2"/>
  <c r="D200" i="2"/>
  <c r="N200" i="2"/>
  <c r="B200" i="2"/>
  <c r="A200" i="2"/>
  <c r="N199" i="2"/>
  <c r="M199" i="2"/>
  <c r="P199" i="2" s="1"/>
  <c r="L199" i="2"/>
  <c r="D199" i="2"/>
  <c r="K199" i="2"/>
  <c r="B199" i="2"/>
  <c r="A199" i="2"/>
  <c r="AI198" i="2"/>
  <c r="AE198" i="2" s="1"/>
  <c r="I198" i="2"/>
  <c r="H198" i="2"/>
  <c r="G198" i="2"/>
  <c r="F198" i="2"/>
  <c r="D198" i="2"/>
  <c r="N198" i="2"/>
  <c r="B198" i="2"/>
  <c r="D197" i="2"/>
  <c r="B197" i="2"/>
  <c r="D196" i="2"/>
  <c r="B196" i="2"/>
  <c r="D195" i="2"/>
  <c r="E195" i="2"/>
  <c r="B195" i="2"/>
  <c r="D194" i="2"/>
  <c r="B194" i="2"/>
  <c r="D193" i="2"/>
  <c r="E193" i="2"/>
  <c r="B193" i="2"/>
  <c r="D192" i="2"/>
  <c r="B192" i="2"/>
  <c r="D191" i="2"/>
  <c r="A191" i="2"/>
  <c r="B191" i="2"/>
  <c r="D190" i="2"/>
  <c r="B190" i="2"/>
  <c r="A191" i="5"/>
  <c r="A192" i="5"/>
  <c r="A193" i="5"/>
  <c r="A194" i="5"/>
  <c r="A195" i="5"/>
  <c r="A196" i="5"/>
  <c r="A197" i="5"/>
  <c r="A198" i="5"/>
  <c r="A199" i="5"/>
  <c r="AS193" i="4"/>
  <c r="AS194" i="4"/>
  <c r="AS195" i="4"/>
  <c r="AS196" i="4"/>
  <c r="AS197" i="4"/>
  <c r="AS198" i="4"/>
  <c r="AS199" i="4"/>
  <c r="AS200" i="4"/>
  <c r="AS201" i="4"/>
  <c r="A193" i="4"/>
  <c r="A194" i="4"/>
  <c r="A195" i="4"/>
  <c r="A196" i="4"/>
  <c r="A197" i="4"/>
  <c r="A198" i="4"/>
  <c r="A199" i="4"/>
  <c r="A200" i="4"/>
  <c r="A201" i="4"/>
  <c r="N190" i="2" l="1"/>
  <c r="L191" i="2"/>
  <c r="M191" i="2"/>
  <c r="P191" i="2" s="1"/>
  <c r="N191" i="2"/>
  <c r="AF190" i="2"/>
  <c r="N195" i="2"/>
  <c r="J198" i="2"/>
  <c r="A28" i="12"/>
  <c r="AG190" i="2"/>
  <c r="AI190" i="2"/>
  <c r="AD190" i="2" s="1"/>
  <c r="H190" i="2"/>
  <c r="I190" i="2"/>
  <c r="V198" i="2"/>
  <c r="T198" i="2" s="1"/>
  <c r="K190" i="2"/>
  <c r="I191" i="2"/>
  <c r="M192" i="2"/>
  <c r="P192" i="2" s="1"/>
  <c r="AG200" i="2"/>
  <c r="E199" i="2"/>
  <c r="AJ199" i="2" s="1"/>
  <c r="AG199" i="2"/>
  <c r="F199" i="2"/>
  <c r="AI199" i="2"/>
  <c r="R199" i="2" s="1"/>
  <c r="G199" i="2"/>
  <c r="J190" i="2"/>
  <c r="L192" i="2"/>
  <c r="AD198" i="2"/>
  <c r="AB198" i="2" s="1"/>
  <c r="H199" i="2"/>
  <c r="I199" i="2"/>
  <c r="L190" i="2"/>
  <c r="J191" i="2"/>
  <c r="N192" i="2"/>
  <c r="G195" i="2"/>
  <c r="AF198" i="2"/>
  <c r="J199" i="2"/>
  <c r="AI200" i="2"/>
  <c r="AD200" i="2" s="1"/>
  <c r="AF199" i="2"/>
  <c r="M190" i="2"/>
  <c r="P190" i="2" s="1"/>
  <c r="K191" i="2"/>
  <c r="AI192" i="2"/>
  <c r="AE192" i="2" s="1"/>
  <c r="M195" i="2"/>
  <c r="P195" i="2" s="1"/>
  <c r="E198" i="2"/>
  <c r="AJ198" i="2" s="1"/>
  <c r="AG198" i="2"/>
  <c r="E200" i="2"/>
  <c r="AJ200" i="2" s="1"/>
  <c r="K194" i="2"/>
  <c r="AI194" i="2"/>
  <c r="J194" i="2"/>
  <c r="AG194" i="2"/>
  <c r="H194" i="2"/>
  <c r="I194" i="2"/>
  <c r="AF194" i="2"/>
  <c r="G194" i="2"/>
  <c r="N197" i="2"/>
  <c r="M197" i="2"/>
  <c r="P197" i="2" s="1"/>
  <c r="A197" i="2"/>
  <c r="K197" i="2"/>
  <c r="L197" i="2"/>
  <c r="AI197" i="2"/>
  <c r="J197" i="2"/>
  <c r="M194" i="2"/>
  <c r="P194" i="2" s="1"/>
  <c r="G197" i="2"/>
  <c r="E194" i="2"/>
  <c r="AJ194" i="2" s="1"/>
  <c r="A192" i="2"/>
  <c r="N194" i="2"/>
  <c r="A195" i="2"/>
  <c r="H197" i="2"/>
  <c r="AD191" i="2"/>
  <c r="AE191" i="2"/>
  <c r="R191" i="2"/>
  <c r="AI193" i="2"/>
  <c r="J193" i="2"/>
  <c r="I193" i="2"/>
  <c r="AF193" i="2"/>
  <c r="G193" i="2"/>
  <c r="AG193" i="2"/>
  <c r="H193" i="2"/>
  <c r="F193" i="2"/>
  <c r="L194" i="2"/>
  <c r="M196" i="2"/>
  <c r="P196" i="2" s="1"/>
  <c r="A196" i="2"/>
  <c r="L196" i="2"/>
  <c r="AI196" i="2"/>
  <c r="J196" i="2"/>
  <c r="AJ196" i="2"/>
  <c r="K196" i="2"/>
  <c r="I196" i="2"/>
  <c r="F197" i="2"/>
  <c r="O191" i="2"/>
  <c r="V191" i="2"/>
  <c r="T191" i="2" s="1"/>
  <c r="M193" i="2"/>
  <c r="P193" i="2" s="1"/>
  <c r="AJ193" i="2"/>
  <c r="H196" i="2"/>
  <c r="O198" i="2"/>
  <c r="AA198" i="2"/>
  <c r="Z198" i="2" s="1"/>
  <c r="W198" i="2"/>
  <c r="W191" i="2"/>
  <c r="N193" i="2"/>
  <c r="A194" i="2"/>
  <c r="N196" i="2"/>
  <c r="AF196" i="2"/>
  <c r="R198" i="2"/>
  <c r="F194" i="2"/>
  <c r="E197" i="2"/>
  <c r="AJ197" i="2" s="1"/>
  <c r="K193" i="2"/>
  <c r="F196" i="2"/>
  <c r="I197" i="2"/>
  <c r="AF197" i="2"/>
  <c r="I192" i="2"/>
  <c r="AG192" i="2"/>
  <c r="H192" i="2"/>
  <c r="F192" i="2"/>
  <c r="AF192" i="2"/>
  <c r="G192" i="2"/>
  <c r="E192" i="2"/>
  <c r="AJ192" i="2" s="1"/>
  <c r="L193" i="2"/>
  <c r="L195" i="2"/>
  <c r="AJ195" i="2"/>
  <c r="K195" i="2"/>
  <c r="AI195" i="2"/>
  <c r="J195" i="2"/>
  <c r="AG195" i="2"/>
  <c r="H195" i="2"/>
  <c r="I195" i="2"/>
  <c r="G196" i="2"/>
  <c r="AG197" i="2"/>
  <c r="AG191" i="2"/>
  <c r="H191" i="2"/>
  <c r="AF191" i="2"/>
  <c r="G191" i="2"/>
  <c r="E191" i="2"/>
  <c r="AJ191" i="2" s="1"/>
  <c r="F191" i="2"/>
  <c r="Z191" i="2" s="1"/>
  <c r="K192" i="2"/>
  <c r="F195" i="2"/>
  <c r="AG196" i="2"/>
  <c r="L198" i="2"/>
  <c r="E190" i="2"/>
  <c r="AJ190" i="2" s="1"/>
  <c r="A198" i="2"/>
  <c r="M198" i="2"/>
  <c r="F190" i="2"/>
  <c r="G190" i="2"/>
  <c r="AA199" i="2" l="1"/>
  <c r="O199" i="2"/>
  <c r="AC199" i="2"/>
  <c r="AC191" i="2"/>
  <c r="O190" i="2"/>
  <c r="AD199" i="2"/>
  <c r="V200" i="2"/>
  <c r="T200" i="2" s="1"/>
  <c r="W199" i="2"/>
  <c r="AE199" i="2"/>
  <c r="AB199" i="2" s="1"/>
  <c r="AH199" i="2" s="1"/>
  <c r="AE190" i="2"/>
  <c r="AB190" i="2" s="1"/>
  <c r="AH190" i="2" s="1"/>
  <c r="V199" i="2"/>
  <c r="T199" i="2" s="1"/>
  <c r="R200" i="2"/>
  <c r="R190" i="2"/>
  <c r="O200" i="2"/>
  <c r="V192" i="2"/>
  <c r="T192" i="2" s="1"/>
  <c r="AA192" i="2"/>
  <c r="Z192" i="2" s="1"/>
  <c r="W200" i="2"/>
  <c r="AC190" i="2"/>
  <c r="AA200" i="2"/>
  <c r="Z200" i="2" s="1"/>
  <c r="W192" i="2"/>
  <c r="AE200" i="2"/>
  <c r="AB200" i="2" s="1"/>
  <c r="AH200" i="2" s="1"/>
  <c r="AC200" i="2"/>
  <c r="R192" i="2"/>
  <c r="Z199" i="2"/>
  <c r="O192" i="2"/>
  <c r="AB191" i="2"/>
  <c r="Q191" i="2" s="1"/>
  <c r="S191" i="2" s="1"/>
  <c r="AD192" i="2"/>
  <c r="AB192" i="2" s="1"/>
  <c r="AA190" i="2"/>
  <c r="Z190" i="2" s="1"/>
  <c r="V190" i="2"/>
  <c r="T190" i="2" s="1"/>
  <c r="W190" i="2"/>
  <c r="X198" i="2"/>
  <c r="U198" i="2"/>
  <c r="AC192" i="2"/>
  <c r="P198" i="2"/>
  <c r="Q198" i="2" s="1"/>
  <c r="S198" i="2" s="1"/>
  <c r="AC198" i="2"/>
  <c r="W196" i="2"/>
  <c r="V196" i="2"/>
  <c r="T196" i="2" s="1"/>
  <c r="O196" i="2"/>
  <c r="AD196" i="2"/>
  <c r="AC196" i="2"/>
  <c r="AE196" i="2"/>
  <c r="R196" i="2"/>
  <c r="AA196" i="2"/>
  <c r="Z196" i="2" s="1"/>
  <c r="V193" i="2"/>
  <c r="T193" i="2" s="1"/>
  <c r="AE193" i="2"/>
  <c r="R193" i="2"/>
  <c r="O193" i="2"/>
  <c r="AD193" i="2"/>
  <c r="AC193" i="2"/>
  <c r="W193" i="2"/>
  <c r="AA193" i="2"/>
  <c r="Z193" i="2" s="1"/>
  <c r="W195" i="2"/>
  <c r="V195" i="2"/>
  <c r="T195" i="2" s="1"/>
  <c r="AC195" i="2"/>
  <c r="AA195" i="2"/>
  <c r="Z195" i="2" s="1"/>
  <c r="O195" i="2"/>
  <c r="R195" i="2"/>
  <c r="AE195" i="2"/>
  <c r="AD195" i="2"/>
  <c r="U191" i="2"/>
  <c r="X191" i="2"/>
  <c r="AA197" i="2"/>
  <c r="Z197" i="2" s="1"/>
  <c r="W197" i="2"/>
  <c r="V197" i="2"/>
  <c r="T197" i="2" s="1"/>
  <c r="R197" i="2"/>
  <c r="O197" i="2"/>
  <c r="AC197" i="2"/>
  <c r="AE197" i="2"/>
  <c r="AD197" i="2"/>
  <c r="W194" i="2"/>
  <c r="V194" i="2"/>
  <c r="T194" i="2" s="1"/>
  <c r="O194" i="2"/>
  <c r="R194" i="2"/>
  <c r="AD194" i="2"/>
  <c r="AC194" i="2"/>
  <c r="AA194" i="2"/>
  <c r="Z194" i="2" s="1"/>
  <c r="AE194" i="2"/>
  <c r="AH198" i="2"/>
  <c r="U192" i="2" l="1"/>
  <c r="X199" i="2"/>
  <c r="U199" i="2"/>
  <c r="X200" i="2"/>
  <c r="U200" i="2"/>
  <c r="Q192" i="2"/>
  <c r="S192" i="2" s="1"/>
  <c r="AB194" i="2"/>
  <c r="AH194" i="2" s="1"/>
  <c r="X192" i="2"/>
  <c r="AB193" i="2"/>
  <c r="Q193" i="2" s="1"/>
  <c r="S193" i="2" s="1"/>
  <c r="Q190" i="2"/>
  <c r="S190" i="2" s="1"/>
  <c r="Q200" i="2"/>
  <c r="S200" i="2" s="1"/>
  <c r="Q199" i="2"/>
  <c r="S199" i="2" s="1"/>
  <c r="AH191" i="2"/>
  <c r="AB197" i="2"/>
  <c r="AH197" i="2" s="1"/>
  <c r="U190" i="2"/>
  <c r="X190" i="2"/>
  <c r="AB196" i="2"/>
  <c r="AH196" i="2" s="1"/>
  <c r="AH192" i="2"/>
  <c r="AB195" i="2"/>
  <c r="Q195" i="2" s="1"/>
  <c r="S195" i="2" s="1"/>
  <c r="X197" i="2"/>
  <c r="U197" i="2"/>
  <c r="U194" i="2"/>
  <c r="X194" i="2"/>
  <c r="X196" i="2"/>
  <c r="U196" i="2"/>
  <c r="U193" i="2"/>
  <c r="X193" i="2"/>
  <c r="X195" i="2"/>
  <c r="U195" i="2"/>
  <c r="Q194" i="2" l="1"/>
  <c r="S194" i="2" s="1"/>
  <c r="AH193" i="2"/>
  <c r="Q196" i="2"/>
  <c r="S196" i="2" s="1"/>
  <c r="Q197" i="2"/>
  <c r="S197" i="2" s="1"/>
  <c r="AH195" i="2"/>
  <c r="D189" i="2" l="1"/>
  <c r="B189" i="2"/>
  <c r="D188" i="2"/>
  <c r="B188" i="2"/>
  <c r="D187" i="2"/>
  <c r="AG187" i="2"/>
  <c r="B187" i="2"/>
  <c r="D186" i="2"/>
  <c r="B186" i="2"/>
  <c r="D185" i="2"/>
  <c r="B185" i="2"/>
  <c r="D184" i="2"/>
  <c r="B184" i="2"/>
  <c r="D183" i="2"/>
  <c r="AG183" i="2"/>
  <c r="B183" i="2"/>
  <c r="AS186" i="4"/>
  <c r="AS187" i="4"/>
  <c r="AS188" i="4"/>
  <c r="AS189" i="4"/>
  <c r="AS190" i="4"/>
  <c r="AS191" i="4"/>
  <c r="AS192" i="4"/>
  <c r="A184" i="5"/>
  <c r="A185" i="5"/>
  <c r="A186" i="5"/>
  <c r="A187" i="5"/>
  <c r="A188" i="5"/>
  <c r="A189" i="5"/>
  <c r="A190" i="5"/>
  <c r="A186" i="4"/>
  <c r="A187" i="4"/>
  <c r="A188" i="4"/>
  <c r="A189" i="4"/>
  <c r="A190" i="4"/>
  <c r="A191" i="4"/>
  <c r="A192" i="4"/>
  <c r="A17" i="14"/>
  <c r="A16" i="14"/>
  <c r="A15" i="14"/>
  <c r="A14" i="14"/>
  <c r="A13" i="14"/>
  <c r="A12" i="14"/>
  <c r="A11" i="14"/>
  <c r="A10" i="14"/>
  <c r="A8" i="14"/>
  <c r="A9" i="14" s="1"/>
  <c r="A4" i="14"/>
  <c r="A5" i="14" s="1"/>
  <c r="A6" i="14" s="1"/>
  <c r="A7" i="14" s="1"/>
  <c r="D182" i="2"/>
  <c r="N182" i="2"/>
  <c r="B182" i="2"/>
  <c r="D181" i="2"/>
  <c r="N181" i="2"/>
  <c r="B181" i="2"/>
  <c r="D180" i="2"/>
  <c r="N180" i="2"/>
  <c r="B180" i="2"/>
  <c r="D179" i="2"/>
  <c r="B179" i="2"/>
  <c r="D178" i="2"/>
  <c r="B178" i="2"/>
  <c r="A179" i="5"/>
  <c r="A180" i="5"/>
  <c r="A181" i="5"/>
  <c r="A182" i="5"/>
  <c r="A183" i="5"/>
  <c r="AS181" i="4"/>
  <c r="AS182" i="4"/>
  <c r="AS183" i="4"/>
  <c r="AS184" i="4"/>
  <c r="AS185" i="4"/>
  <c r="A181" i="4"/>
  <c r="A182" i="4"/>
  <c r="A183" i="4"/>
  <c r="A184" i="4"/>
  <c r="A185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S62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S79" i="4"/>
  <c r="AS80" i="4"/>
  <c r="AS81" i="4"/>
  <c r="AS82" i="4"/>
  <c r="AS83" i="4"/>
  <c r="AS84" i="4"/>
  <c r="AS85" i="4"/>
  <c r="AS86" i="4"/>
  <c r="AS87" i="4"/>
  <c r="AS88" i="4"/>
  <c r="AS89" i="4"/>
  <c r="AS90" i="4"/>
  <c r="AS91" i="4"/>
  <c r="AS92" i="4"/>
  <c r="AS93" i="4"/>
  <c r="AS94" i="4"/>
  <c r="AS95" i="4"/>
  <c r="AS96" i="4"/>
  <c r="AS97" i="4"/>
  <c r="AS98" i="4"/>
  <c r="AS99" i="4"/>
  <c r="AS100" i="4"/>
  <c r="AS101" i="4"/>
  <c r="AS102" i="4"/>
  <c r="AS103" i="4"/>
  <c r="AS104" i="4"/>
  <c r="AS105" i="4"/>
  <c r="AS106" i="4"/>
  <c r="AS107" i="4"/>
  <c r="AS108" i="4"/>
  <c r="AS109" i="4"/>
  <c r="AS110" i="4"/>
  <c r="AS111" i="4"/>
  <c r="AS112" i="4"/>
  <c r="AS113" i="4"/>
  <c r="AS114" i="4"/>
  <c r="AS115" i="4"/>
  <c r="AS116" i="4"/>
  <c r="AS117" i="4"/>
  <c r="AS118" i="4"/>
  <c r="AS119" i="4"/>
  <c r="AS120" i="4"/>
  <c r="AS121" i="4"/>
  <c r="AS122" i="4"/>
  <c r="AS123" i="4"/>
  <c r="AS124" i="4"/>
  <c r="AS125" i="4"/>
  <c r="AS126" i="4"/>
  <c r="AS127" i="4"/>
  <c r="AS128" i="4"/>
  <c r="AS129" i="4"/>
  <c r="AS130" i="4"/>
  <c r="AS131" i="4"/>
  <c r="AS132" i="4"/>
  <c r="AS133" i="4"/>
  <c r="AS134" i="4"/>
  <c r="AS135" i="4"/>
  <c r="AS136" i="4"/>
  <c r="AS137" i="4"/>
  <c r="AS138" i="4"/>
  <c r="AS139" i="4"/>
  <c r="AS140" i="4"/>
  <c r="AS141" i="4"/>
  <c r="AS142" i="4"/>
  <c r="AS143" i="4"/>
  <c r="AS144" i="4"/>
  <c r="AS145" i="4"/>
  <c r="AS146" i="4"/>
  <c r="AS147" i="4"/>
  <c r="AS148" i="4"/>
  <c r="AS149" i="4"/>
  <c r="AS150" i="4"/>
  <c r="AS151" i="4"/>
  <c r="AS152" i="4"/>
  <c r="AS153" i="4"/>
  <c r="AS154" i="4"/>
  <c r="AS155" i="4"/>
  <c r="AS156" i="4"/>
  <c r="AS157" i="4"/>
  <c r="AS158" i="4"/>
  <c r="AS159" i="4"/>
  <c r="AS160" i="4"/>
  <c r="AS161" i="4"/>
  <c r="AS162" i="4"/>
  <c r="AS163" i="4"/>
  <c r="AS164" i="4"/>
  <c r="AS165" i="4"/>
  <c r="AS166" i="4"/>
  <c r="AS167" i="4"/>
  <c r="AS168" i="4"/>
  <c r="AS169" i="4"/>
  <c r="AS170" i="4"/>
  <c r="AS171" i="4"/>
  <c r="AS172" i="4"/>
  <c r="AS173" i="4"/>
  <c r="AS174" i="4"/>
  <c r="AS175" i="4"/>
  <c r="AS176" i="4"/>
  <c r="AS177" i="4"/>
  <c r="AS178" i="4"/>
  <c r="AS179" i="4"/>
  <c r="AS180" i="4"/>
  <c r="D177" i="2"/>
  <c r="B177" i="2"/>
  <c r="D176" i="2"/>
  <c r="B176" i="2"/>
  <c r="D175" i="2"/>
  <c r="B175" i="2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76" i="5"/>
  <c r="A177" i="5"/>
  <c r="A178" i="5"/>
  <c r="A178" i="4"/>
  <c r="A179" i="4"/>
  <c r="A180" i="4"/>
  <c r="A177" i="4"/>
  <c r="D174" i="2"/>
  <c r="N174" i="2"/>
  <c r="B174" i="2"/>
  <c r="D173" i="2"/>
  <c r="B173" i="2"/>
  <c r="D172" i="2"/>
  <c r="B172" i="2"/>
  <c r="D171" i="2"/>
  <c r="B171" i="2"/>
  <c r="N184" i="2" l="1"/>
  <c r="N189" i="2"/>
  <c r="AG184" i="2"/>
  <c r="AG185" i="2"/>
  <c r="N186" i="2"/>
  <c r="N188" i="2"/>
  <c r="N183" i="2"/>
  <c r="AG186" i="2"/>
  <c r="N187" i="2"/>
  <c r="N185" i="2"/>
  <c r="AG189" i="2"/>
  <c r="AG188" i="2"/>
  <c r="N178" i="2"/>
  <c r="AG182" i="2"/>
  <c r="N179" i="2"/>
  <c r="AG181" i="2"/>
  <c r="AG178" i="2"/>
  <c r="AG179" i="2"/>
  <c r="AG180" i="2"/>
  <c r="N175" i="2"/>
  <c r="AG175" i="2"/>
  <c r="N177" i="2"/>
  <c r="AG177" i="2"/>
  <c r="N176" i="2"/>
  <c r="AG176" i="2"/>
  <c r="N173" i="2"/>
  <c r="N172" i="2"/>
  <c r="AG173" i="2"/>
  <c r="N171" i="2"/>
  <c r="AG171" i="2"/>
  <c r="AG174" i="2"/>
  <c r="AG172" i="2"/>
  <c r="A174" i="4" l="1"/>
  <c r="A175" i="4"/>
  <c r="A176" i="4"/>
  <c r="A172" i="5"/>
  <c r="A173" i="5"/>
  <c r="A174" i="5"/>
  <c r="A175" i="5"/>
  <c r="A173" i="4"/>
  <c r="D170" i="2"/>
  <c r="B170" i="2"/>
  <c r="D169" i="2"/>
  <c r="N169" i="2"/>
  <c r="B169" i="2"/>
  <c r="D168" i="2"/>
  <c r="B168" i="2"/>
  <c r="D167" i="2"/>
  <c r="B167" i="2"/>
  <c r="D166" i="2"/>
  <c r="B166" i="2"/>
  <c r="D165" i="2"/>
  <c r="AG165" i="2"/>
  <c r="B165" i="2"/>
  <c r="A166" i="5"/>
  <c r="A167" i="5"/>
  <c r="A168" i="5"/>
  <c r="A169" i="5"/>
  <c r="A170" i="5"/>
  <c r="A171" i="5"/>
  <c r="A168" i="4"/>
  <c r="A169" i="4"/>
  <c r="A170" i="4"/>
  <c r="A171" i="4"/>
  <c r="A172" i="4"/>
  <c r="N167" i="2" l="1"/>
  <c r="N170" i="2"/>
  <c r="N168" i="2"/>
  <c r="AG169" i="2"/>
  <c r="AG167" i="2"/>
  <c r="AG168" i="2"/>
  <c r="AG170" i="2"/>
  <c r="N166" i="2"/>
  <c r="N165" i="2"/>
  <c r="AG166" i="2"/>
  <c r="D164" i="2"/>
  <c r="B164" i="2"/>
  <c r="A165" i="5"/>
  <c r="X7" i="4"/>
  <c r="Z7" i="4"/>
  <c r="Z4" i="5"/>
  <c r="A164" i="5"/>
  <c r="N164" i="2" l="1"/>
  <c r="AG164" i="2"/>
  <c r="D163" i="2"/>
  <c r="N163" i="2"/>
  <c r="B163" i="2"/>
  <c r="D162" i="2"/>
  <c r="B162" i="2"/>
  <c r="D161" i="2"/>
  <c r="N161" i="2"/>
  <c r="B161" i="2"/>
  <c r="D160" i="2"/>
  <c r="B160" i="2"/>
  <c r="D159" i="2"/>
  <c r="AG159" i="2"/>
  <c r="B159" i="2"/>
  <c r="A163" i="5"/>
  <c r="A159" i="5"/>
  <c r="A160" i="5"/>
  <c r="A161" i="5"/>
  <c r="A162" i="5"/>
  <c r="D158" i="2"/>
  <c r="B158" i="2"/>
  <c r="D157" i="2"/>
  <c r="N157" i="2"/>
  <c r="B157" i="2"/>
  <c r="D156" i="2"/>
  <c r="B156" i="2"/>
  <c r="D155" i="2"/>
  <c r="B155" i="2"/>
  <c r="AF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56" i="5"/>
  <c r="A157" i="5"/>
  <c r="A158" i="5"/>
  <c r="E184" i="2" l="1"/>
  <c r="AJ184" i="2" s="1"/>
  <c r="E183" i="2"/>
  <c r="AJ183" i="2" s="1"/>
  <c r="E186" i="2"/>
  <c r="AJ186" i="2" s="1"/>
  <c r="E187" i="2"/>
  <c r="AJ187" i="2" s="1"/>
  <c r="E189" i="2"/>
  <c r="AJ189" i="2" s="1"/>
  <c r="E188" i="2"/>
  <c r="AJ188" i="2" s="1"/>
  <c r="E185" i="2"/>
  <c r="AJ185" i="2" s="1"/>
  <c r="E179" i="2"/>
  <c r="AJ179" i="2" s="1"/>
  <c r="E178" i="2"/>
  <c r="AJ178" i="2" s="1"/>
  <c r="E181" i="2"/>
  <c r="AJ181" i="2" s="1"/>
  <c r="E182" i="2"/>
  <c r="AJ182" i="2" s="1"/>
  <c r="E180" i="2"/>
  <c r="AJ180" i="2" s="1"/>
  <c r="E177" i="2"/>
  <c r="AJ177" i="2" s="1"/>
  <c r="E175" i="2"/>
  <c r="AJ175" i="2" s="1"/>
  <c r="E176" i="2"/>
  <c r="AJ176" i="2" s="1"/>
  <c r="E171" i="2"/>
  <c r="AJ171" i="2" s="1"/>
  <c r="E174" i="2"/>
  <c r="AJ174" i="2" s="1"/>
  <c r="E173" i="2"/>
  <c r="AJ173" i="2" s="1"/>
  <c r="E169" i="2"/>
  <c r="AJ169" i="2" s="1"/>
  <c r="E168" i="2"/>
  <c r="AJ168" i="2" s="1"/>
  <c r="E170" i="2"/>
  <c r="AJ170" i="2" s="1"/>
  <c r="E166" i="2"/>
  <c r="AJ166" i="2" s="1"/>
  <c r="E167" i="2"/>
  <c r="AJ167" i="2" s="1"/>
  <c r="E164" i="2"/>
  <c r="AJ164" i="2" s="1"/>
  <c r="N160" i="2"/>
  <c r="N162" i="2"/>
  <c r="N159" i="2"/>
  <c r="AG161" i="2"/>
  <c r="E161" i="2"/>
  <c r="AJ161" i="2" s="1"/>
  <c r="E160" i="2"/>
  <c r="AJ160" i="2" s="1"/>
  <c r="AG160" i="2"/>
  <c r="AG162" i="2"/>
  <c r="E163" i="2"/>
  <c r="AJ163" i="2" s="1"/>
  <c r="AG163" i="2"/>
  <c r="E157" i="2"/>
  <c r="AJ157" i="2" s="1"/>
  <c r="N156" i="2"/>
  <c r="N158" i="2"/>
  <c r="AG157" i="2"/>
  <c r="N155" i="2"/>
  <c r="E156" i="2"/>
  <c r="AJ156" i="2" s="1"/>
  <c r="AG156" i="2"/>
  <c r="E155" i="2"/>
  <c r="AJ155" i="2" s="1"/>
  <c r="AG155" i="2"/>
  <c r="AG158" i="2"/>
  <c r="D154" i="2" l="1"/>
  <c r="AG154" i="2"/>
  <c r="B154" i="2"/>
  <c r="D153" i="2"/>
  <c r="B153" i="2"/>
  <c r="D152" i="2"/>
  <c r="B152" i="2"/>
  <c r="D151" i="2"/>
  <c r="B151" i="2"/>
  <c r="D150" i="2"/>
  <c r="AG150" i="2"/>
  <c r="B150" i="2"/>
  <c r="D149" i="2"/>
  <c r="B149" i="2"/>
  <c r="A153" i="5"/>
  <c r="A154" i="5"/>
  <c r="A155" i="5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N152" i="2" l="1"/>
  <c r="N150" i="2"/>
  <c r="E152" i="2"/>
  <c r="AJ152" i="2" s="1"/>
  <c r="AG152" i="2"/>
  <c r="N151" i="2"/>
  <c r="N153" i="2"/>
  <c r="AG149" i="2"/>
  <c r="N149" i="2"/>
  <c r="N154" i="2"/>
  <c r="E153" i="2"/>
  <c r="AJ153" i="2" s="1"/>
  <c r="AG153" i="2"/>
  <c r="E150" i="2"/>
  <c r="AJ150" i="2" s="1"/>
  <c r="AG151" i="2"/>
  <c r="AG148" i="2"/>
  <c r="D148" i="2"/>
  <c r="A149" i="5"/>
  <c r="A150" i="5"/>
  <c r="A151" i="5"/>
  <c r="A152" i="5"/>
  <c r="D147" i="2"/>
  <c r="D146" i="2"/>
  <c r="D145" i="2"/>
  <c r="N148" i="2" l="1"/>
  <c r="N147" i="2"/>
  <c r="AG147" i="2"/>
  <c r="N145" i="2"/>
  <c r="AG145" i="2"/>
  <c r="N146" i="2"/>
  <c r="AG146" i="2"/>
  <c r="A4" i="13" l="1"/>
  <c r="A10" i="12"/>
  <c r="D144" i="2"/>
  <c r="D143" i="2"/>
  <c r="D142" i="2"/>
  <c r="D141" i="2"/>
  <c r="D140" i="2"/>
  <c r="D139" i="2"/>
  <c r="N139" i="2"/>
  <c r="D138" i="2"/>
  <c r="D137" i="2"/>
  <c r="D136" i="2"/>
  <c r="N136" i="2"/>
  <c r="D135" i="2"/>
  <c r="D134" i="2"/>
  <c r="D133" i="2"/>
  <c r="D132" i="2"/>
  <c r="N132" i="2"/>
  <c r="D131" i="2"/>
  <c r="D130" i="2"/>
  <c r="D129" i="2"/>
  <c r="D128" i="2"/>
  <c r="D127" i="2"/>
  <c r="N127" i="2"/>
  <c r="D126" i="2"/>
  <c r="AG126" i="2"/>
  <c r="D125" i="2"/>
  <c r="D124" i="2"/>
  <c r="D123" i="2"/>
  <c r="D122" i="2"/>
  <c r="AG122" i="2"/>
  <c r="D121" i="2"/>
  <c r="D120" i="2"/>
  <c r="D119" i="2"/>
  <c r="D118" i="2"/>
  <c r="D117" i="2"/>
  <c r="D116" i="2"/>
  <c r="D115" i="2"/>
  <c r="D114" i="2"/>
  <c r="N114" i="2"/>
  <c r="D113" i="2"/>
  <c r="N113" i="2"/>
  <c r="D112" i="2"/>
  <c r="D111" i="2"/>
  <c r="AG111" i="2"/>
  <c r="D110" i="2"/>
  <c r="D109" i="2"/>
  <c r="D108" i="2"/>
  <c r="D107" i="2"/>
  <c r="D106" i="2"/>
  <c r="D105" i="2"/>
  <c r="AG105" i="2"/>
  <c r="D104" i="2"/>
  <c r="D103" i="2"/>
  <c r="D102" i="2"/>
  <c r="D101" i="2"/>
  <c r="D100" i="2"/>
  <c r="D99" i="2"/>
  <c r="AG99" i="2"/>
  <c r="D98" i="2"/>
  <c r="D97" i="2"/>
  <c r="D96" i="2"/>
  <c r="D95" i="2"/>
  <c r="N95" i="2"/>
  <c r="D94" i="2"/>
  <c r="D93" i="2"/>
  <c r="AG93" i="2"/>
  <c r="D92" i="2"/>
  <c r="D91" i="2"/>
  <c r="D90" i="2"/>
  <c r="D89" i="2"/>
  <c r="D88" i="2"/>
  <c r="D87" i="2"/>
  <c r="AG87" i="2"/>
  <c r="D86" i="2"/>
  <c r="D85" i="2"/>
  <c r="D84" i="2"/>
  <c r="D83" i="2"/>
  <c r="AG83" i="2"/>
  <c r="D82" i="2"/>
  <c r="D81" i="2"/>
  <c r="D80" i="2"/>
  <c r="D79" i="2"/>
  <c r="D78" i="2"/>
  <c r="N78" i="2"/>
  <c r="D77" i="2"/>
  <c r="AG77" i="2"/>
  <c r="D76" i="2"/>
  <c r="N76" i="2"/>
  <c r="D75" i="2"/>
  <c r="D74" i="2"/>
  <c r="D73" i="2"/>
  <c r="D72" i="2"/>
  <c r="D71" i="2"/>
  <c r="AG71" i="2"/>
  <c r="D70" i="2"/>
  <c r="D69" i="2"/>
  <c r="N69" i="2"/>
  <c r="D68" i="2"/>
  <c r="D67" i="2"/>
  <c r="D66" i="2"/>
  <c r="D65" i="2"/>
  <c r="AG65" i="2"/>
  <c r="D64" i="2"/>
  <c r="N64" i="2"/>
  <c r="D63" i="2"/>
  <c r="AG63" i="2"/>
  <c r="D62" i="2"/>
  <c r="D61" i="2"/>
  <c r="D60" i="2"/>
  <c r="D59" i="2"/>
  <c r="D58" i="2"/>
  <c r="D57" i="2"/>
  <c r="D56" i="2"/>
  <c r="D55" i="2"/>
  <c r="N55" i="2"/>
  <c r="D54" i="2"/>
  <c r="N54" i="2"/>
  <c r="D53" i="2"/>
  <c r="D52" i="2"/>
  <c r="D51" i="2"/>
  <c r="N51" i="2"/>
  <c r="D50" i="2"/>
  <c r="D49" i="2"/>
  <c r="D48" i="2"/>
  <c r="N48" i="2"/>
  <c r="D47" i="2"/>
  <c r="D46" i="2"/>
  <c r="D45" i="2"/>
  <c r="D44" i="2"/>
  <c r="D43" i="2"/>
  <c r="D42" i="2"/>
  <c r="D41" i="2"/>
  <c r="N41" i="2"/>
  <c r="D40" i="2"/>
  <c r="N40" i="2"/>
  <c r="D39" i="2"/>
  <c r="D38" i="2"/>
  <c r="D37" i="2"/>
  <c r="N37" i="2"/>
  <c r="D36" i="2"/>
  <c r="D35" i="2"/>
  <c r="D34" i="2"/>
  <c r="D33" i="2"/>
  <c r="D32" i="2"/>
  <c r="D31" i="2"/>
  <c r="D30" i="2"/>
  <c r="D29" i="2"/>
  <c r="D28" i="2"/>
  <c r="AG28" i="2"/>
  <c r="D27" i="2"/>
  <c r="D26" i="2"/>
  <c r="D25" i="2"/>
  <c r="N25" i="2"/>
  <c r="D24" i="2"/>
  <c r="D23" i="2"/>
  <c r="AG23" i="2"/>
  <c r="D22" i="2"/>
  <c r="D21" i="2"/>
  <c r="D20" i="2"/>
  <c r="D19" i="2"/>
  <c r="AG19" i="2"/>
  <c r="D18" i="2"/>
  <c r="D17" i="2"/>
  <c r="AG17" i="2"/>
  <c r="D16" i="2"/>
  <c r="N16" i="2"/>
  <c r="D15" i="2"/>
  <c r="D14" i="2"/>
  <c r="N14" i="2"/>
  <c r="D13" i="2"/>
  <c r="D12" i="2"/>
  <c r="D11" i="2"/>
  <c r="D10" i="2"/>
  <c r="D9" i="2"/>
  <c r="D8" i="2"/>
  <c r="A142" i="5"/>
  <c r="A143" i="5"/>
  <c r="A144" i="5"/>
  <c r="A145" i="5"/>
  <c r="A146" i="5"/>
  <c r="A147" i="5"/>
  <c r="A148" i="5"/>
  <c r="D7" i="2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A141" i="5"/>
  <c r="A140" i="5"/>
  <c r="A139" i="5"/>
  <c r="A138" i="5"/>
  <c r="C27" i="12" l="1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C26" i="12" s="1"/>
  <c r="C202" i="2"/>
  <c r="AG90" i="2"/>
  <c r="N50" i="2"/>
  <c r="AG124" i="2"/>
  <c r="N66" i="2"/>
  <c r="N53" i="2"/>
  <c r="AG73" i="2"/>
  <c r="N90" i="2"/>
  <c r="N101" i="2"/>
  <c r="AG144" i="2"/>
  <c r="AG53" i="2"/>
  <c r="N73" i="2"/>
  <c r="N105" i="2"/>
  <c r="N126" i="2"/>
  <c r="AG136" i="2"/>
  <c r="A11" i="12"/>
  <c r="N77" i="2"/>
  <c r="N43" i="2"/>
  <c r="N67" i="2"/>
  <c r="AG104" i="2"/>
  <c r="AG24" i="2"/>
  <c r="AG33" i="2"/>
  <c r="AG62" i="2"/>
  <c r="N23" i="2"/>
  <c r="AG81" i="2"/>
  <c r="N75" i="2"/>
  <c r="N36" i="2"/>
  <c r="AG40" i="2"/>
  <c r="AG51" i="2"/>
  <c r="AG54" i="2"/>
  <c r="N62" i="2"/>
  <c r="N59" i="2"/>
  <c r="AG59" i="2"/>
  <c r="N97" i="2"/>
  <c r="N119" i="2"/>
  <c r="N38" i="2"/>
  <c r="N63" i="2"/>
  <c r="N111" i="2"/>
  <c r="AG36" i="2"/>
  <c r="AG43" i="2"/>
  <c r="N65" i="2"/>
  <c r="N46" i="2"/>
  <c r="N56" i="2"/>
  <c r="N39" i="2"/>
  <c r="AG39" i="2"/>
  <c r="N44" i="2"/>
  <c r="AG44" i="2"/>
  <c r="N137" i="2"/>
  <c r="N80" i="2"/>
  <c r="AG80" i="2"/>
  <c r="N24" i="2"/>
  <c r="AG32" i="2"/>
  <c r="N32" i="2"/>
  <c r="N11" i="2"/>
  <c r="AG45" i="2"/>
  <c r="N57" i="2"/>
  <c r="AG57" i="2"/>
  <c r="N27" i="2"/>
  <c r="AG42" i="2"/>
  <c r="AG15" i="2"/>
  <c r="AG61" i="2"/>
  <c r="AG70" i="2"/>
  <c r="N70" i="2"/>
  <c r="N82" i="2"/>
  <c r="AG82" i="2"/>
  <c r="N108" i="2"/>
  <c r="AG108" i="2"/>
  <c r="N20" i="2"/>
  <c r="N28" i="2"/>
  <c r="N12" i="2"/>
  <c r="AG47" i="2"/>
  <c r="N47" i="2"/>
  <c r="N117" i="2"/>
  <c r="AG20" i="2"/>
  <c r="N45" i="2"/>
  <c r="N58" i="2"/>
  <c r="N128" i="2"/>
  <c r="AG128" i="2"/>
  <c r="N134" i="2"/>
  <c r="N88" i="2"/>
  <c r="N106" i="2"/>
  <c r="AG106" i="2"/>
  <c r="AG140" i="2"/>
  <c r="N60" i="2"/>
  <c r="N33" i="2"/>
  <c r="AG49" i="2"/>
  <c r="AG100" i="2"/>
  <c r="AG16" i="2"/>
  <c r="N19" i="2"/>
  <c r="AG37" i="2"/>
  <c r="AG55" i="2"/>
  <c r="N10" i="2"/>
  <c r="AG69" i="2"/>
  <c r="N89" i="2"/>
  <c r="N131" i="2"/>
  <c r="AG41" i="2"/>
  <c r="AG76" i="2"/>
  <c r="AG78" i="2"/>
  <c r="N81" i="2"/>
  <c r="N138" i="2"/>
  <c r="AG138" i="2"/>
  <c r="N18" i="2"/>
  <c r="AG64" i="2"/>
  <c r="AG68" i="2"/>
  <c r="AG91" i="2"/>
  <c r="AG48" i="2"/>
  <c r="N71" i="2"/>
  <c r="AG79" i="2"/>
  <c r="N79" i="2"/>
  <c r="N83" i="2"/>
  <c r="AG86" i="2"/>
  <c r="N115" i="2"/>
  <c r="AG116" i="2"/>
  <c r="N130" i="2"/>
  <c r="AG75" i="2"/>
  <c r="AG139" i="2"/>
  <c r="AG50" i="2"/>
  <c r="AG66" i="2"/>
  <c r="AG67" i="2"/>
  <c r="N133" i="2"/>
  <c r="AG132" i="2"/>
  <c r="N52" i="2"/>
  <c r="AG52" i="2"/>
  <c r="AG22" i="2"/>
  <c r="N22" i="2"/>
  <c r="AG8" i="2"/>
  <c r="AG26" i="2"/>
  <c r="N26" i="2"/>
  <c r="N31" i="2"/>
  <c r="AG31" i="2"/>
  <c r="AG30" i="2"/>
  <c r="N30" i="2"/>
  <c r="AG35" i="2"/>
  <c r="N35" i="2"/>
  <c r="N8" i="2"/>
  <c r="N29" i="2"/>
  <c r="AG29" i="2"/>
  <c r="N74" i="2"/>
  <c r="AG74" i="2"/>
  <c r="N15" i="2"/>
  <c r="AG21" i="2"/>
  <c r="N21" i="2"/>
  <c r="AG18" i="2"/>
  <c r="AG10" i="2"/>
  <c r="AG12" i="2"/>
  <c r="N86" i="2"/>
  <c r="AG14" i="2"/>
  <c r="AG107" i="2"/>
  <c r="N107" i="2"/>
  <c r="N42" i="2"/>
  <c r="N34" i="2"/>
  <c r="AG34" i="2"/>
  <c r="N49" i="2"/>
  <c r="N9" i="2"/>
  <c r="AG9" i="2"/>
  <c r="AG72" i="2"/>
  <c r="N72" i="2"/>
  <c r="N17" i="2"/>
  <c r="AG11" i="2"/>
  <c r="N13" i="2"/>
  <c r="AG13" i="2"/>
  <c r="AG46" i="2"/>
  <c r="AG60" i="2"/>
  <c r="N61" i="2"/>
  <c r="N85" i="2"/>
  <c r="AG85" i="2"/>
  <c r="N109" i="2"/>
  <c r="AG109" i="2"/>
  <c r="N68" i="2"/>
  <c r="N87" i="2"/>
  <c r="N99" i="2"/>
  <c r="N96" i="2"/>
  <c r="AG96" i="2"/>
  <c r="AG103" i="2"/>
  <c r="N103" i="2"/>
  <c r="N110" i="2"/>
  <c r="AG110" i="2"/>
  <c r="N93" i="2"/>
  <c r="AG25" i="2"/>
  <c r="AG27" i="2"/>
  <c r="AG38" i="2"/>
  <c r="N84" i="2"/>
  <c r="AG84" i="2"/>
  <c r="AG88" i="2"/>
  <c r="N92" i="2"/>
  <c r="AG92" i="2"/>
  <c r="AG112" i="2"/>
  <c r="N112" i="2"/>
  <c r="AG102" i="2"/>
  <c r="N102" i="2"/>
  <c r="AG98" i="2"/>
  <c r="AG56" i="2"/>
  <c r="AG58" i="2"/>
  <c r="AG95" i="2"/>
  <c r="AG97" i="2"/>
  <c r="AG94" i="2"/>
  <c r="N94" i="2"/>
  <c r="N98" i="2"/>
  <c r="AG142" i="2"/>
  <c r="N142" i="2"/>
  <c r="N91" i="2"/>
  <c r="N100" i="2"/>
  <c r="AG114" i="2"/>
  <c r="AG113" i="2"/>
  <c r="AG129" i="2"/>
  <c r="N129" i="2"/>
  <c r="AG118" i="2"/>
  <c r="N118" i="2"/>
  <c r="AG127" i="2"/>
  <c r="N120" i="2"/>
  <c r="AG120" i="2"/>
  <c r="AG89" i="2"/>
  <c r="AG101" i="2"/>
  <c r="N104" i="2"/>
  <c r="AG121" i="2"/>
  <c r="N121" i="2"/>
  <c r="N122" i="2"/>
  <c r="N123" i="2"/>
  <c r="AG123" i="2"/>
  <c r="N124" i="2"/>
  <c r="AG130" i="2"/>
  <c r="AG141" i="2"/>
  <c r="N141" i="2"/>
  <c r="AG125" i="2"/>
  <c r="N125" i="2"/>
  <c r="AG133" i="2"/>
  <c r="AG135" i="2"/>
  <c r="N135" i="2"/>
  <c r="N116" i="2"/>
  <c r="AG143" i="2"/>
  <c r="N143" i="2"/>
  <c r="AG131" i="2"/>
  <c r="AG134" i="2"/>
  <c r="AG115" i="2"/>
  <c r="AG117" i="2"/>
  <c r="AG119" i="2"/>
  <c r="AG137" i="2"/>
  <c r="N140" i="2"/>
  <c r="N144" i="2"/>
  <c r="N7" i="2"/>
  <c r="AG7" i="2"/>
  <c r="D26" i="12" l="1"/>
  <c r="F26" i="12"/>
  <c r="F27" i="12"/>
  <c r="D27" i="12"/>
  <c r="C28" i="12"/>
  <c r="C10" i="12"/>
  <c r="C205" i="2"/>
  <c r="AG202" i="2"/>
  <c r="A12" i="12"/>
  <c r="C11" i="12"/>
  <c r="A136" i="5"/>
  <c r="A137" i="5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F28" i="12" l="1"/>
  <c r="D28" i="12"/>
  <c r="D10" i="12"/>
  <c r="D11" i="12"/>
  <c r="C12" i="12"/>
  <c r="A13" i="12"/>
  <c r="A133" i="5"/>
  <c r="A134" i="5"/>
  <c r="A135" i="5"/>
  <c r="A14" i="12" l="1"/>
  <c r="C13" i="12"/>
  <c r="D12" i="12"/>
  <c r="A131" i="5"/>
  <c r="A132" i="5"/>
  <c r="D13" i="12" l="1"/>
  <c r="A15" i="12"/>
  <c r="C14" i="12"/>
  <c r="A127" i="5"/>
  <c r="A128" i="5"/>
  <c r="A129" i="5"/>
  <c r="A130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86" i="2" l="1"/>
  <c r="A184" i="2"/>
  <c r="AI183" i="2"/>
  <c r="K184" i="2"/>
  <c r="G185" i="2"/>
  <c r="AI186" i="2"/>
  <c r="L188" i="2"/>
  <c r="F184" i="2"/>
  <c r="AF188" i="2"/>
  <c r="K186" i="2"/>
  <c r="L187" i="2"/>
  <c r="J187" i="2"/>
  <c r="F189" i="2"/>
  <c r="M188" i="2"/>
  <c r="F188" i="2"/>
  <c r="A183" i="2"/>
  <c r="A188" i="2"/>
  <c r="AF187" i="2"/>
  <c r="I184" i="2"/>
  <c r="J185" i="2"/>
  <c r="F183" i="2"/>
  <c r="J186" i="2"/>
  <c r="L189" i="2"/>
  <c r="J188" i="2"/>
  <c r="H189" i="2"/>
  <c r="I189" i="2"/>
  <c r="AF186" i="2"/>
  <c r="AF183" i="2"/>
  <c r="K188" i="2"/>
  <c r="AI188" i="2"/>
  <c r="G186" i="2"/>
  <c r="AI187" i="2"/>
  <c r="A185" i="2"/>
  <c r="H187" i="2"/>
  <c r="H183" i="2"/>
  <c r="I186" i="2"/>
  <c r="K189" i="2"/>
  <c r="K185" i="2"/>
  <c r="AF185" i="2"/>
  <c r="A187" i="2"/>
  <c r="M184" i="2"/>
  <c r="H185" i="2"/>
  <c r="M189" i="2"/>
  <c r="P189" i="2" s="1"/>
  <c r="M186" i="2"/>
  <c r="J183" i="2"/>
  <c r="I188" i="2"/>
  <c r="L185" i="2"/>
  <c r="G184" i="2"/>
  <c r="J184" i="2"/>
  <c r="G187" i="2"/>
  <c r="K187" i="2"/>
  <c r="M183" i="2"/>
  <c r="AI185" i="2"/>
  <c r="G188" i="2"/>
  <c r="H188" i="2"/>
  <c r="G183" i="2"/>
  <c r="L184" i="2"/>
  <c r="A189" i="2"/>
  <c r="L186" i="2"/>
  <c r="AF184" i="2"/>
  <c r="M187" i="2"/>
  <c r="M185" i="2"/>
  <c r="G189" i="2"/>
  <c r="J189" i="2"/>
  <c r="I183" i="2"/>
  <c r="K183" i="2"/>
  <c r="F185" i="2"/>
  <c r="I185" i="2"/>
  <c r="L183" i="2"/>
  <c r="AF189" i="2"/>
  <c r="I187" i="2"/>
  <c r="F186" i="2"/>
  <c r="AI189" i="2"/>
  <c r="H186" i="2"/>
  <c r="H184" i="2"/>
  <c r="AI184" i="2"/>
  <c r="F187" i="2"/>
  <c r="E172" i="2"/>
  <c r="AJ172" i="2" s="1"/>
  <c r="A178" i="2"/>
  <c r="L179" i="2"/>
  <c r="M179" i="2"/>
  <c r="L182" i="2"/>
  <c r="AF178" i="2"/>
  <c r="AF180" i="2"/>
  <c r="I178" i="2"/>
  <c r="K182" i="2"/>
  <c r="L181" i="2"/>
  <c r="AF182" i="2"/>
  <c r="AF181" i="2"/>
  <c r="M182" i="2"/>
  <c r="AI182" i="2"/>
  <c r="F179" i="2"/>
  <c r="AI179" i="2"/>
  <c r="H178" i="2"/>
  <c r="AF179" i="2"/>
  <c r="J179" i="2"/>
  <c r="J178" i="2"/>
  <c r="F182" i="2"/>
  <c r="H180" i="2"/>
  <c r="A181" i="2"/>
  <c r="L180" i="2"/>
  <c r="H181" i="2"/>
  <c r="K178" i="2"/>
  <c r="M181" i="2"/>
  <c r="F178" i="2"/>
  <c r="I181" i="2"/>
  <c r="H179" i="2"/>
  <c r="G180" i="2"/>
  <c r="AI178" i="2"/>
  <c r="A179" i="2"/>
  <c r="I182" i="2"/>
  <c r="A182" i="2"/>
  <c r="G178" i="2"/>
  <c r="I180" i="2"/>
  <c r="M180" i="2"/>
  <c r="AI181" i="2"/>
  <c r="L178" i="2"/>
  <c r="H182" i="2"/>
  <c r="G181" i="2"/>
  <c r="J180" i="2"/>
  <c r="G179" i="2"/>
  <c r="K179" i="2"/>
  <c r="A180" i="2"/>
  <c r="J181" i="2"/>
  <c r="G182" i="2"/>
  <c r="F180" i="2"/>
  <c r="AI180" i="2"/>
  <c r="M178" i="2"/>
  <c r="J182" i="2"/>
  <c r="I179" i="2"/>
  <c r="K181" i="2"/>
  <c r="F181" i="2"/>
  <c r="K180" i="2"/>
  <c r="E165" i="2"/>
  <c r="AJ165" i="2" s="1"/>
  <c r="M175" i="2"/>
  <c r="P175" i="2" s="1"/>
  <c r="I176" i="2"/>
  <c r="AF176" i="2"/>
  <c r="F175" i="2"/>
  <c r="AF177" i="2"/>
  <c r="H177" i="2"/>
  <c r="G177" i="2"/>
  <c r="L176" i="2"/>
  <c r="AI177" i="2"/>
  <c r="R177" i="2" s="1"/>
  <c r="G176" i="2"/>
  <c r="AI176" i="2"/>
  <c r="R176" i="2" s="1"/>
  <c r="AI175" i="2"/>
  <c r="R175" i="2" s="1"/>
  <c r="L177" i="2"/>
  <c r="A175" i="2"/>
  <c r="M177" i="2"/>
  <c r="F176" i="2"/>
  <c r="AF175" i="2"/>
  <c r="J177" i="2"/>
  <c r="M176" i="2"/>
  <c r="I175" i="2"/>
  <c r="F177" i="2"/>
  <c r="A176" i="2"/>
  <c r="K176" i="2"/>
  <c r="J175" i="2"/>
  <c r="I177" i="2"/>
  <c r="H175" i="2"/>
  <c r="K177" i="2"/>
  <c r="J176" i="2"/>
  <c r="G175" i="2"/>
  <c r="H176" i="2"/>
  <c r="K175" i="2"/>
  <c r="A177" i="2"/>
  <c r="L175" i="2"/>
  <c r="E158" i="2"/>
  <c r="AJ158" i="2" s="1"/>
  <c r="E159" i="2"/>
  <c r="AJ159" i="2" s="1"/>
  <c r="E154" i="2"/>
  <c r="AJ154" i="2" s="1"/>
  <c r="A174" i="2"/>
  <c r="L171" i="2"/>
  <c r="K171" i="2"/>
  <c r="AI173" i="2"/>
  <c r="R173" i="2" s="1"/>
  <c r="A173" i="2"/>
  <c r="G174" i="2"/>
  <c r="J174" i="2"/>
  <c r="AI174" i="2"/>
  <c r="R174" i="2" s="1"/>
  <c r="L172" i="2"/>
  <c r="K174" i="2"/>
  <c r="M171" i="2"/>
  <c r="F172" i="2"/>
  <c r="J173" i="2"/>
  <c r="A172" i="2"/>
  <c r="G172" i="2"/>
  <c r="M173" i="2"/>
  <c r="L174" i="2"/>
  <c r="H173" i="2"/>
  <c r="AI172" i="2"/>
  <c r="R172" i="2" s="1"/>
  <c r="AF171" i="2"/>
  <c r="F171" i="2"/>
  <c r="H172" i="2"/>
  <c r="F173" i="2"/>
  <c r="K173" i="2"/>
  <c r="M172" i="2"/>
  <c r="AF172" i="2"/>
  <c r="K172" i="2"/>
  <c r="A171" i="2"/>
  <c r="J172" i="2"/>
  <c r="F174" i="2"/>
  <c r="I174" i="2"/>
  <c r="M174" i="2"/>
  <c r="AF174" i="2"/>
  <c r="H174" i="2"/>
  <c r="I172" i="2"/>
  <c r="G173" i="2"/>
  <c r="I171" i="2"/>
  <c r="AI171" i="2"/>
  <c r="R171" i="2" s="1"/>
  <c r="L173" i="2"/>
  <c r="I173" i="2"/>
  <c r="G171" i="2"/>
  <c r="H171" i="2"/>
  <c r="AF173" i="2"/>
  <c r="J171" i="2"/>
  <c r="E162" i="2"/>
  <c r="AJ162" i="2" s="1"/>
  <c r="E151" i="2"/>
  <c r="AJ151" i="2" s="1"/>
  <c r="A167" i="2"/>
  <c r="L169" i="2"/>
  <c r="A170" i="2"/>
  <c r="AI169" i="2"/>
  <c r="R169" i="2" s="1"/>
  <c r="M169" i="2"/>
  <c r="A169" i="2"/>
  <c r="A168" i="2"/>
  <c r="H169" i="2"/>
  <c r="K170" i="2"/>
  <c r="J167" i="2"/>
  <c r="AF167" i="2"/>
  <c r="H170" i="2"/>
  <c r="J165" i="2"/>
  <c r="AF165" i="2"/>
  <c r="K166" i="2"/>
  <c r="I167" i="2"/>
  <c r="H168" i="2"/>
  <c r="M168" i="2"/>
  <c r="M170" i="2"/>
  <c r="A166" i="2"/>
  <c r="A165" i="2"/>
  <c r="F166" i="2"/>
  <c r="F167" i="2"/>
  <c r="I170" i="2"/>
  <c r="K167" i="2"/>
  <c r="AI170" i="2"/>
  <c r="R170" i="2" s="1"/>
  <c r="AI168" i="2"/>
  <c r="R168" i="2" s="1"/>
  <c r="J169" i="2"/>
  <c r="J166" i="2"/>
  <c r="F169" i="2"/>
  <c r="L167" i="2"/>
  <c r="M166" i="2"/>
  <c r="K168" i="2"/>
  <c r="AF169" i="2"/>
  <c r="F165" i="2"/>
  <c r="G165" i="2"/>
  <c r="G169" i="2"/>
  <c r="H167" i="2"/>
  <c r="J168" i="2"/>
  <c r="K165" i="2"/>
  <c r="L168" i="2"/>
  <c r="G168" i="2"/>
  <c r="L165" i="2"/>
  <c r="G166" i="2"/>
  <c r="AI167" i="2"/>
  <c r="R167" i="2" s="1"/>
  <c r="G167" i="2"/>
  <c r="L170" i="2"/>
  <c r="I168" i="2"/>
  <c r="I166" i="2"/>
  <c r="I169" i="2"/>
  <c r="AF170" i="2"/>
  <c r="AI165" i="2"/>
  <c r="R165" i="2" s="1"/>
  <c r="M167" i="2"/>
  <c r="G170" i="2"/>
  <c r="H165" i="2"/>
  <c r="H166" i="2"/>
  <c r="L166" i="2"/>
  <c r="AF166" i="2"/>
  <c r="I165" i="2"/>
  <c r="K169" i="2"/>
  <c r="J170" i="2"/>
  <c r="F168" i="2"/>
  <c r="AI166" i="2"/>
  <c r="R166" i="2" s="1"/>
  <c r="F170" i="2"/>
  <c r="M165" i="2"/>
  <c r="AF168" i="2"/>
  <c r="E149" i="2"/>
  <c r="AJ149" i="2" s="1"/>
  <c r="A164" i="2"/>
  <c r="F164" i="2"/>
  <c r="AF164" i="2"/>
  <c r="I164" i="2"/>
  <c r="K164" i="2"/>
  <c r="J164" i="2"/>
  <c r="L164" i="2"/>
  <c r="G164" i="2"/>
  <c r="AI164" i="2"/>
  <c r="R164" i="2" s="1"/>
  <c r="M164" i="2"/>
  <c r="H164" i="2"/>
  <c r="H7" i="2"/>
  <c r="A159" i="2"/>
  <c r="A163" i="2"/>
  <c r="A161" i="2"/>
  <c r="L162" i="2"/>
  <c r="M162" i="2"/>
  <c r="P162" i="2" s="1"/>
  <c r="F159" i="2"/>
  <c r="I161" i="2"/>
  <c r="AF160" i="2"/>
  <c r="L163" i="2"/>
  <c r="G163" i="2"/>
  <c r="M163" i="2"/>
  <c r="AI163" i="2"/>
  <c r="R163" i="2" s="1"/>
  <c r="K162" i="2"/>
  <c r="J161" i="2"/>
  <c r="I162" i="2"/>
  <c r="J163" i="2"/>
  <c r="G159" i="2"/>
  <c r="K163" i="2"/>
  <c r="AF159" i="2"/>
  <c r="F161" i="2"/>
  <c r="J159" i="2"/>
  <c r="AF163" i="2"/>
  <c r="K159" i="2"/>
  <c r="G161" i="2"/>
  <c r="M160" i="2"/>
  <c r="H163" i="2"/>
  <c r="AI159" i="2"/>
  <c r="R159" i="2" s="1"/>
  <c r="G160" i="2"/>
  <c r="I163" i="2"/>
  <c r="A162" i="2"/>
  <c r="AF161" i="2"/>
  <c r="F162" i="2"/>
  <c r="AI160" i="2"/>
  <c r="R160" i="2" s="1"/>
  <c r="A160" i="2"/>
  <c r="L159" i="2"/>
  <c r="H162" i="2"/>
  <c r="M159" i="2"/>
  <c r="K160" i="2"/>
  <c r="K161" i="2"/>
  <c r="L161" i="2"/>
  <c r="I159" i="2"/>
  <c r="J162" i="2"/>
  <c r="L160" i="2"/>
  <c r="J160" i="2"/>
  <c r="M161" i="2"/>
  <c r="F160" i="2"/>
  <c r="AF162" i="2"/>
  <c r="H160" i="2"/>
  <c r="H161" i="2"/>
  <c r="G162" i="2"/>
  <c r="I160" i="2"/>
  <c r="AI161" i="2"/>
  <c r="R161" i="2" s="1"/>
  <c r="H159" i="2"/>
  <c r="F163" i="2"/>
  <c r="AI162" i="2"/>
  <c r="R162" i="2" s="1"/>
  <c r="M157" i="2"/>
  <c r="A157" i="2"/>
  <c r="L157" i="2"/>
  <c r="K157" i="2"/>
  <c r="J157" i="2"/>
  <c r="A156" i="2"/>
  <c r="H157" i="2"/>
  <c r="G157" i="2"/>
  <c r="F157" i="2"/>
  <c r="I157" i="2"/>
  <c r="K156" i="2"/>
  <c r="AI157" i="2"/>
  <c r="R157" i="2" s="1"/>
  <c r="AI156" i="2"/>
  <c r="R156" i="2" s="1"/>
  <c r="F158" i="2"/>
  <c r="I158" i="2"/>
  <c r="G155" i="2"/>
  <c r="G158" i="2"/>
  <c r="A155" i="2"/>
  <c r="K155" i="2"/>
  <c r="F156" i="2"/>
  <c r="K158" i="2"/>
  <c r="I155" i="2"/>
  <c r="AF158" i="2"/>
  <c r="M156" i="2"/>
  <c r="M155" i="2"/>
  <c r="J155" i="2"/>
  <c r="G156" i="2"/>
  <c r="H156" i="2"/>
  <c r="F155" i="2"/>
  <c r="J158" i="2"/>
  <c r="AI158" i="2"/>
  <c r="R158" i="2" s="1"/>
  <c r="AF155" i="2"/>
  <c r="AI155" i="2"/>
  <c r="R155" i="2" s="1"/>
  <c r="H155" i="2"/>
  <c r="AF156" i="2"/>
  <c r="I156" i="2"/>
  <c r="AF157" i="2"/>
  <c r="L156" i="2"/>
  <c r="A158" i="2"/>
  <c r="M158" i="2"/>
  <c r="L158" i="2"/>
  <c r="H158" i="2"/>
  <c r="J156" i="2"/>
  <c r="L155" i="2"/>
  <c r="K151" i="2"/>
  <c r="I152" i="2"/>
  <c r="I150" i="2"/>
  <c r="A149" i="2"/>
  <c r="H154" i="2"/>
  <c r="AI151" i="2"/>
  <c r="R151" i="2" s="1"/>
  <c r="K150" i="2"/>
  <c r="J150" i="2"/>
  <c r="I149" i="2"/>
  <c r="AI154" i="2"/>
  <c r="R154" i="2" s="1"/>
  <c r="J152" i="2"/>
  <c r="K153" i="2"/>
  <c r="K149" i="2"/>
  <c r="K152" i="2"/>
  <c r="J149" i="2"/>
  <c r="AF150" i="2"/>
  <c r="F152" i="2"/>
  <c r="F150" i="2"/>
  <c r="L151" i="2"/>
  <c r="AI149" i="2"/>
  <c r="R149" i="2" s="1"/>
  <c r="I151" i="2"/>
  <c r="M150" i="2"/>
  <c r="G150" i="2"/>
  <c r="M151" i="2"/>
  <c r="G149" i="2"/>
  <c r="M154" i="2"/>
  <c r="P154" i="2" s="1"/>
  <c r="G153" i="2"/>
  <c r="G152" i="2"/>
  <c r="L152" i="2"/>
  <c r="J153" i="2"/>
  <c r="A154" i="2"/>
  <c r="AF151" i="2"/>
  <c r="AI153" i="2"/>
  <c r="R153" i="2" s="1"/>
  <c r="L154" i="2"/>
  <c r="F151" i="2"/>
  <c r="K154" i="2"/>
  <c r="AF153" i="2"/>
  <c r="J151" i="2"/>
  <c r="AI152" i="2"/>
  <c r="R152" i="2" s="1"/>
  <c r="AI150" i="2"/>
  <c r="R150" i="2" s="1"/>
  <c r="M152" i="2"/>
  <c r="J154" i="2"/>
  <c r="G151" i="2"/>
  <c r="H153" i="2"/>
  <c r="AF152" i="2"/>
  <c r="A153" i="2"/>
  <c r="H149" i="2"/>
  <c r="AF154" i="2"/>
  <c r="G154" i="2"/>
  <c r="F153" i="2"/>
  <c r="I153" i="2"/>
  <c r="L150" i="2"/>
  <c r="I154" i="2"/>
  <c r="H150" i="2"/>
  <c r="M153" i="2"/>
  <c r="H152" i="2"/>
  <c r="A152" i="2"/>
  <c r="A150" i="2"/>
  <c r="A151" i="2"/>
  <c r="L149" i="2"/>
  <c r="AF149" i="2"/>
  <c r="H151" i="2"/>
  <c r="L153" i="2"/>
  <c r="F154" i="2"/>
  <c r="F149" i="2"/>
  <c r="M149" i="2"/>
  <c r="E148" i="2"/>
  <c r="AJ148" i="2" s="1"/>
  <c r="AI148" i="2"/>
  <c r="R148" i="2" s="1"/>
  <c r="F148" i="2"/>
  <c r="G148" i="2"/>
  <c r="H148" i="2"/>
  <c r="I148" i="2"/>
  <c r="J148" i="2"/>
  <c r="K148" i="2"/>
  <c r="L148" i="2"/>
  <c r="AF148" i="2"/>
  <c r="M148" i="2"/>
  <c r="A148" i="2"/>
  <c r="A147" i="2"/>
  <c r="A145" i="2"/>
  <c r="K146" i="2"/>
  <c r="H146" i="2"/>
  <c r="K147" i="2"/>
  <c r="G146" i="2"/>
  <c r="A146" i="2"/>
  <c r="L147" i="2"/>
  <c r="G147" i="2"/>
  <c r="M147" i="2"/>
  <c r="K145" i="2"/>
  <c r="G145" i="2"/>
  <c r="J145" i="2"/>
  <c r="L145" i="2"/>
  <c r="M145" i="2"/>
  <c r="P145" i="2" s="1"/>
  <c r="AI147" i="2"/>
  <c r="R147" i="2" s="1"/>
  <c r="I146" i="2"/>
  <c r="M146" i="2"/>
  <c r="I145" i="2"/>
  <c r="AF145" i="2"/>
  <c r="AF146" i="2"/>
  <c r="L146" i="2"/>
  <c r="H145" i="2"/>
  <c r="F146" i="2"/>
  <c r="AF147" i="2"/>
  <c r="H147" i="2"/>
  <c r="AI146" i="2"/>
  <c r="R146" i="2" s="1"/>
  <c r="F147" i="2"/>
  <c r="J146" i="2"/>
  <c r="AI145" i="2"/>
  <c r="R145" i="2" s="1"/>
  <c r="J147" i="2"/>
  <c r="I147" i="2"/>
  <c r="F145" i="2"/>
  <c r="E146" i="2"/>
  <c r="AJ146" i="2" s="1"/>
  <c r="E147" i="2"/>
  <c r="AJ147" i="2" s="1"/>
  <c r="E145" i="2"/>
  <c r="AJ145" i="2" s="1"/>
  <c r="E53" i="2"/>
  <c r="AJ53" i="2" s="1"/>
  <c r="E67" i="2"/>
  <c r="AJ67" i="2" s="1"/>
  <c r="E59" i="2"/>
  <c r="AJ59" i="2" s="1"/>
  <c r="E136" i="2"/>
  <c r="AJ136" i="2" s="1"/>
  <c r="E24" i="2"/>
  <c r="AJ24" i="2" s="1"/>
  <c r="E27" i="2"/>
  <c r="AJ27" i="2" s="1"/>
  <c r="E26" i="2"/>
  <c r="AJ26" i="2" s="1"/>
  <c r="E45" i="2"/>
  <c r="AJ45" i="2" s="1"/>
  <c r="E37" i="2"/>
  <c r="AJ37" i="2" s="1"/>
  <c r="E110" i="2"/>
  <c r="AJ110" i="2" s="1"/>
  <c r="E96" i="2"/>
  <c r="AJ96" i="2" s="1"/>
  <c r="E114" i="2"/>
  <c r="AJ114" i="2" s="1"/>
  <c r="E118" i="2"/>
  <c r="AJ118" i="2" s="1"/>
  <c r="E130" i="2"/>
  <c r="AJ130" i="2" s="1"/>
  <c r="E133" i="2"/>
  <c r="AJ133" i="2" s="1"/>
  <c r="E20" i="2"/>
  <c r="AJ20" i="2" s="1"/>
  <c r="E28" i="2"/>
  <c r="AJ28" i="2" s="1"/>
  <c r="E42" i="2"/>
  <c r="AJ42" i="2" s="1"/>
  <c r="E34" i="2"/>
  <c r="AJ34" i="2" s="1"/>
  <c r="E68" i="2"/>
  <c r="AJ68" i="2" s="1"/>
  <c r="E82" i="2"/>
  <c r="AJ82" i="2" s="1"/>
  <c r="E127" i="2"/>
  <c r="AJ127" i="2" s="1"/>
  <c r="E38" i="2"/>
  <c r="AJ38" i="2" s="1"/>
  <c r="E32" i="2"/>
  <c r="AJ32" i="2" s="1"/>
  <c r="E111" i="2"/>
  <c r="AJ111" i="2" s="1"/>
  <c r="E29" i="2"/>
  <c r="AJ29" i="2" s="1"/>
  <c r="E57" i="2"/>
  <c r="AJ57" i="2" s="1"/>
  <c r="E124" i="2"/>
  <c r="AJ124" i="2" s="1"/>
  <c r="E50" i="2"/>
  <c r="AJ50" i="2" s="1"/>
  <c r="E122" i="2"/>
  <c r="AJ122" i="2" s="1"/>
  <c r="E48" i="2"/>
  <c r="AJ48" i="2" s="1"/>
  <c r="E23" i="2"/>
  <c r="AJ23" i="2" s="1"/>
  <c r="E109" i="2"/>
  <c r="AJ109" i="2" s="1"/>
  <c r="E100" i="2"/>
  <c r="AJ100" i="2" s="1"/>
  <c r="E62" i="2"/>
  <c r="AJ62" i="2" s="1"/>
  <c r="E56" i="2"/>
  <c r="AJ56" i="2" s="1"/>
  <c r="E22" i="2"/>
  <c r="AJ22" i="2" s="1"/>
  <c r="E104" i="2"/>
  <c r="AJ104" i="2" s="1"/>
  <c r="E43" i="2"/>
  <c r="AJ43" i="2" s="1"/>
  <c r="E30" i="2"/>
  <c r="AJ30" i="2" s="1"/>
  <c r="E72" i="2"/>
  <c r="AJ72" i="2" s="1"/>
  <c r="E93" i="2"/>
  <c r="AJ93" i="2" s="1"/>
  <c r="E142" i="2"/>
  <c r="AJ142" i="2" s="1"/>
  <c r="E143" i="2"/>
  <c r="AJ143" i="2" s="1"/>
  <c r="E63" i="2"/>
  <c r="AJ63" i="2" s="1"/>
  <c r="E85" i="2"/>
  <c r="AJ85" i="2" s="1"/>
  <c r="E106" i="2"/>
  <c r="AJ106" i="2" s="1"/>
  <c r="E11" i="2"/>
  <c r="AJ11" i="2" s="1"/>
  <c r="E132" i="2"/>
  <c r="AJ132" i="2" s="1"/>
  <c r="E55" i="2"/>
  <c r="AJ55" i="2" s="1"/>
  <c r="E81" i="2"/>
  <c r="AJ81" i="2" s="1"/>
  <c r="E92" i="2"/>
  <c r="AJ92" i="2" s="1"/>
  <c r="E126" i="2"/>
  <c r="AJ126" i="2" s="1"/>
  <c r="E36" i="2"/>
  <c r="AJ36" i="2" s="1"/>
  <c r="E91" i="2"/>
  <c r="AJ91" i="2" s="1"/>
  <c r="E40" i="2"/>
  <c r="AJ40" i="2" s="1"/>
  <c r="E14" i="2"/>
  <c r="AJ14" i="2" s="1"/>
  <c r="E41" i="2"/>
  <c r="AJ41" i="2" s="1"/>
  <c r="E69" i="2"/>
  <c r="AJ69" i="2" s="1"/>
  <c r="E103" i="2"/>
  <c r="AJ103" i="2" s="1"/>
  <c r="E117" i="2"/>
  <c r="AJ117" i="2" s="1"/>
  <c r="E66" i="2"/>
  <c r="AJ66" i="2" s="1"/>
  <c r="E135" i="2"/>
  <c r="AJ135" i="2" s="1"/>
  <c r="E39" i="2"/>
  <c r="AJ39" i="2" s="1"/>
  <c r="E84" i="2"/>
  <c r="AJ84" i="2" s="1"/>
  <c r="E18" i="2"/>
  <c r="AJ18" i="2" s="1"/>
  <c r="E17" i="2"/>
  <c r="AJ17" i="2" s="1"/>
  <c r="E77" i="2"/>
  <c r="AJ77" i="2" s="1"/>
  <c r="E70" i="2"/>
  <c r="AJ70" i="2" s="1"/>
  <c r="E90" i="2"/>
  <c r="AJ90" i="2" s="1"/>
  <c r="E75" i="2"/>
  <c r="AJ75" i="2" s="1"/>
  <c r="E51" i="2"/>
  <c r="AJ51" i="2" s="1"/>
  <c r="E108" i="2"/>
  <c r="AJ108" i="2" s="1"/>
  <c r="E60" i="2"/>
  <c r="AJ60" i="2" s="1"/>
  <c r="E31" i="2"/>
  <c r="AJ31" i="2" s="1"/>
  <c r="E16" i="2"/>
  <c r="AJ16" i="2" s="1"/>
  <c r="E121" i="2"/>
  <c r="AJ121" i="2" s="1"/>
  <c r="E102" i="2"/>
  <c r="AJ102" i="2" s="1"/>
  <c r="E71" i="2"/>
  <c r="AJ71" i="2" s="1"/>
  <c r="E64" i="2"/>
  <c r="AJ64" i="2" s="1"/>
  <c r="E74" i="2"/>
  <c r="AJ74" i="2" s="1"/>
  <c r="E19" i="2"/>
  <c r="AJ19" i="2" s="1"/>
  <c r="E49" i="2"/>
  <c r="AJ49" i="2" s="1"/>
  <c r="E80" i="2"/>
  <c r="AJ80" i="2" s="1"/>
  <c r="E46" i="2"/>
  <c r="AJ46" i="2" s="1"/>
  <c r="E15" i="2"/>
  <c r="AJ15" i="2" s="1"/>
  <c r="E144" i="2"/>
  <c r="AJ144" i="2" s="1"/>
  <c r="E89" i="2"/>
  <c r="AJ89" i="2" s="1"/>
  <c r="E83" i="2"/>
  <c r="AJ83" i="2" s="1"/>
  <c r="E119" i="2"/>
  <c r="AJ119" i="2" s="1"/>
  <c r="E10" i="2"/>
  <c r="AJ10" i="2" s="1"/>
  <c r="E54" i="2"/>
  <c r="AJ54" i="2" s="1"/>
  <c r="E112" i="2"/>
  <c r="AJ112" i="2" s="1"/>
  <c r="E120" i="2"/>
  <c r="AJ120" i="2" s="1"/>
  <c r="E141" i="2"/>
  <c r="AJ141" i="2" s="1"/>
  <c r="E65" i="2"/>
  <c r="AJ65" i="2" s="1"/>
  <c r="E52" i="2"/>
  <c r="AJ52" i="2" s="1"/>
  <c r="E98" i="2"/>
  <c r="AJ98" i="2" s="1"/>
  <c r="E105" i="2"/>
  <c r="AJ105" i="2" s="1"/>
  <c r="E79" i="2"/>
  <c r="AJ79" i="2" s="1"/>
  <c r="E47" i="2"/>
  <c r="AJ47" i="2" s="1"/>
  <c r="E134" i="2"/>
  <c r="AJ134" i="2" s="1"/>
  <c r="E99" i="2"/>
  <c r="AJ99" i="2" s="1"/>
  <c r="E13" i="2"/>
  <c r="AJ13" i="2" s="1"/>
  <c r="E116" i="2"/>
  <c r="AJ116" i="2" s="1"/>
  <c r="E44" i="2"/>
  <c r="AJ44" i="2" s="1"/>
  <c r="E140" i="2"/>
  <c r="AJ140" i="2" s="1"/>
  <c r="E95" i="2"/>
  <c r="AJ95" i="2" s="1"/>
  <c r="E8" i="2"/>
  <c r="AJ8" i="2" s="1"/>
  <c r="E35" i="2"/>
  <c r="AJ35" i="2" s="1"/>
  <c r="E86" i="2"/>
  <c r="AJ86" i="2" s="1"/>
  <c r="E12" i="2"/>
  <c r="AJ12" i="2" s="1"/>
  <c r="E88" i="2"/>
  <c r="AJ88" i="2" s="1"/>
  <c r="E137" i="2"/>
  <c r="AJ137" i="2" s="1"/>
  <c r="E73" i="2"/>
  <c r="AJ73" i="2" s="1"/>
  <c r="E9" i="2"/>
  <c r="AJ9" i="2" s="1"/>
  <c r="E113" i="2"/>
  <c r="AJ113" i="2" s="1"/>
  <c r="E94" i="2"/>
  <c r="AJ94" i="2" s="1"/>
  <c r="E123" i="2"/>
  <c r="AJ123" i="2" s="1"/>
  <c r="E78" i="2"/>
  <c r="AJ78" i="2" s="1"/>
  <c r="E138" i="2"/>
  <c r="AJ138" i="2" s="1"/>
  <c r="E107" i="2"/>
  <c r="AJ107" i="2" s="1"/>
  <c r="E76" i="2"/>
  <c r="AJ76" i="2" s="1"/>
  <c r="E115" i="2"/>
  <c r="AJ115" i="2" s="1"/>
  <c r="E58" i="2"/>
  <c r="AJ58" i="2" s="1"/>
  <c r="E25" i="2"/>
  <c r="AJ25" i="2" s="1"/>
  <c r="E128" i="2"/>
  <c r="AJ128" i="2" s="1"/>
  <c r="E21" i="2"/>
  <c r="AJ21" i="2" s="1"/>
  <c r="E61" i="2"/>
  <c r="AJ61" i="2" s="1"/>
  <c r="E87" i="2"/>
  <c r="AJ87" i="2" s="1"/>
  <c r="E97" i="2"/>
  <c r="AJ97" i="2" s="1"/>
  <c r="E101" i="2"/>
  <c r="AJ101" i="2" s="1"/>
  <c r="E125" i="2"/>
  <c r="AJ125" i="2" s="1"/>
  <c r="E33" i="2"/>
  <c r="AJ33" i="2" s="1"/>
  <c r="E129" i="2"/>
  <c r="AJ129" i="2" s="1"/>
  <c r="E139" i="2"/>
  <c r="AJ139" i="2" s="1"/>
  <c r="D14" i="12"/>
  <c r="C15" i="12"/>
  <c r="A16" i="12"/>
  <c r="M136" i="2"/>
  <c r="F132" i="2"/>
  <c r="L122" i="2"/>
  <c r="L105" i="2"/>
  <c r="G101" i="2"/>
  <c r="K65" i="2"/>
  <c r="H136" i="2"/>
  <c r="M133" i="2"/>
  <c r="K132" i="2"/>
  <c r="I105" i="2"/>
  <c r="K90" i="2"/>
  <c r="M43" i="2"/>
  <c r="G136" i="2"/>
  <c r="L133" i="2"/>
  <c r="J132" i="2"/>
  <c r="A119" i="2"/>
  <c r="H105" i="2"/>
  <c r="M104" i="2"/>
  <c r="H90" i="2"/>
  <c r="K43" i="2"/>
  <c r="I136" i="2"/>
  <c r="L132" i="2"/>
  <c r="J122" i="2"/>
  <c r="A104" i="2"/>
  <c r="AF101" i="2"/>
  <c r="L90" i="2"/>
  <c r="K136" i="2"/>
  <c r="J133" i="2"/>
  <c r="M120" i="2"/>
  <c r="G119" i="2"/>
  <c r="J97" i="2"/>
  <c r="H75" i="2"/>
  <c r="G73" i="2"/>
  <c r="J67" i="2"/>
  <c r="K66" i="2"/>
  <c r="J65" i="2"/>
  <c r="H63" i="2"/>
  <c r="H62" i="2"/>
  <c r="J51" i="2"/>
  <c r="J50" i="2"/>
  <c r="G66" i="2"/>
  <c r="AI63" i="2"/>
  <c r="R63" i="2" s="1"/>
  <c r="AF56" i="2"/>
  <c r="H50" i="2"/>
  <c r="A46" i="2"/>
  <c r="A18" i="2"/>
  <c r="AI144" i="2"/>
  <c r="R144" i="2" s="1"/>
  <c r="H139" i="2"/>
  <c r="L101" i="2"/>
  <c r="A95" i="2"/>
  <c r="F50" i="2"/>
  <c r="AF43" i="2"/>
  <c r="A144" i="2"/>
  <c r="J139" i="2"/>
  <c r="J136" i="2"/>
  <c r="L124" i="2"/>
  <c r="AF122" i="2"/>
  <c r="J120" i="2"/>
  <c r="F119" i="2"/>
  <c r="AF104" i="2"/>
  <c r="F97" i="2"/>
  <c r="G75" i="2"/>
  <c r="F73" i="2"/>
  <c r="I67" i="2"/>
  <c r="H66" i="2"/>
  <c r="H65" i="2"/>
  <c r="F63" i="2"/>
  <c r="G62" i="2"/>
  <c r="I51" i="2"/>
  <c r="I50" i="2"/>
  <c r="A43" i="2"/>
  <c r="AI143" i="2"/>
  <c r="R143" i="2" s="1"/>
  <c r="I139" i="2"/>
  <c r="F136" i="2"/>
  <c r="K124" i="2"/>
  <c r="AF115" i="2"/>
  <c r="A115" i="2"/>
  <c r="M101" i="2"/>
  <c r="A91" i="2"/>
  <c r="AF79" i="2"/>
  <c r="G67" i="2"/>
  <c r="G65" i="2"/>
  <c r="L59" i="2"/>
  <c r="G51" i="2"/>
  <c r="A126" i="2"/>
  <c r="J124" i="2"/>
  <c r="M122" i="2"/>
  <c r="AI114" i="2"/>
  <c r="R114" i="2" s="1"/>
  <c r="L104" i="2"/>
  <c r="AF78" i="2"/>
  <c r="M71" i="2"/>
  <c r="A68" i="2"/>
  <c r="F67" i="2"/>
  <c r="F66" i="2"/>
  <c r="K59" i="2"/>
  <c r="AI51" i="2"/>
  <c r="R51" i="2" s="1"/>
  <c r="F51" i="2"/>
  <c r="AF71" i="2"/>
  <c r="A13" i="2"/>
  <c r="F65" i="2"/>
  <c r="G138" i="2"/>
  <c r="I132" i="2"/>
  <c r="M116" i="2"/>
  <c r="A105" i="2"/>
  <c r="I101" i="2"/>
  <c r="M97" i="2"/>
  <c r="AI91" i="2"/>
  <c r="R91" i="2" s="1"/>
  <c r="I79" i="2"/>
  <c r="M78" i="2"/>
  <c r="P78" i="2" s="1"/>
  <c r="L63" i="2"/>
  <c r="K62" i="2"/>
  <c r="G59" i="2"/>
  <c r="J56" i="2"/>
  <c r="AF50" i="2"/>
  <c r="J43" i="2"/>
  <c r="H13" i="2"/>
  <c r="I9" i="2"/>
  <c r="AF48" i="2"/>
  <c r="F46" i="2"/>
  <c r="H43" i="2"/>
  <c r="K38" i="2"/>
  <c r="AI33" i="2"/>
  <c r="R33" i="2" s="1"/>
  <c r="A23" i="2"/>
  <c r="AF17" i="2"/>
  <c r="F13" i="2"/>
  <c r="G9" i="2"/>
  <c r="M67" i="2"/>
  <c r="I63" i="2"/>
  <c r="AI59" i="2"/>
  <c r="R59" i="2" s="1"/>
  <c r="G56" i="2"/>
  <c r="A40" i="2"/>
  <c r="H38" i="2"/>
  <c r="F9" i="2"/>
  <c r="M144" i="2"/>
  <c r="P144" i="2" s="1"/>
  <c r="A140" i="2"/>
  <c r="I135" i="2"/>
  <c r="I104" i="2"/>
  <c r="AI96" i="2"/>
  <c r="R96" i="2" s="1"/>
  <c r="F91" i="2"/>
  <c r="A90" i="2"/>
  <c r="M87" i="2"/>
  <c r="AI83" i="2"/>
  <c r="R83" i="2" s="1"/>
  <c r="A72" i="2"/>
  <c r="K68" i="2"/>
  <c r="L67" i="2"/>
  <c r="A66" i="2"/>
  <c r="M53" i="2"/>
  <c r="AI40" i="2"/>
  <c r="R40" i="2" s="1"/>
  <c r="G38" i="2"/>
  <c r="K17" i="2"/>
  <c r="L144" i="2"/>
  <c r="G135" i="2"/>
  <c r="K133" i="2"/>
  <c r="H104" i="2"/>
  <c r="A101" i="2"/>
  <c r="AF96" i="2"/>
  <c r="K89" i="2"/>
  <c r="L87" i="2"/>
  <c r="L73" i="2"/>
  <c r="AI71" i="2"/>
  <c r="R71" i="2" s="1"/>
  <c r="J68" i="2"/>
  <c r="AF65" i="2"/>
  <c r="A55" i="2"/>
  <c r="K53" i="2"/>
  <c r="K48" i="2"/>
  <c r="G143" i="2"/>
  <c r="F138" i="2"/>
  <c r="H132" i="2"/>
  <c r="L116" i="2"/>
  <c r="A111" i="2"/>
  <c r="AI104" i="2"/>
  <c r="R104" i="2" s="1"/>
  <c r="H101" i="2"/>
  <c r="A81" i="2"/>
  <c r="H79" i="2"/>
  <c r="H78" i="2"/>
  <c r="AI68" i="2"/>
  <c r="R68" i="2" s="1"/>
  <c r="A65" i="2"/>
  <c r="K63" i="2"/>
  <c r="I62" i="2"/>
  <c r="F59" i="2"/>
  <c r="I56" i="2"/>
  <c r="I43" i="2"/>
  <c r="M41" i="2"/>
  <c r="G13" i="2"/>
  <c r="H9" i="2"/>
  <c r="AI64" i="2"/>
  <c r="R64" i="2" s="1"/>
  <c r="J63" i="2"/>
  <c r="AI135" i="2"/>
  <c r="R135" i="2" s="1"/>
  <c r="AI133" i="2"/>
  <c r="R133" i="2" s="1"/>
  <c r="AF127" i="2"/>
  <c r="A118" i="2"/>
  <c r="J104" i="2"/>
  <c r="A97" i="2"/>
  <c r="L91" i="2"/>
  <c r="AI75" i="2"/>
  <c r="R75" i="2" s="1"/>
  <c r="K50" i="2"/>
  <c r="L17" i="2"/>
  <c r="G132" i="2"/>
  <c r="K116" i="2"/>
  <c r="F101" i="2"/>
  <c r="A100" i="2"/>
  <c r="M91" i="2"/>
  <c r="F79" i="2"/>
  <c r="A76" i="2"/>
  <c r="H56" i="2"/>
  <c r="AF53" i="2"/>
  <c r="A36" i="2"/>
  <c r="AF33" i="2"/>
  <c r="J17" i="2"/>
  <c r="K144" i="2"/>
  <c r="G139" i="2"/>
  <c r="F135" i="2"/>
  <c r="M119" i="2"/>
  <c r="G104" i="2"/>
  <c r="AI100" i="2"/>
  <c r="R100" i="2" s="1"/>
  <c r="J93" i="2"/>
  <c r="J89" i="2"/>
  <c r="L77" i="2"/>
  <c r="M75" i="2"/>
  <c r="J73" i="2"/>
  <c r="L71" i="2"/>
  <c r="H68" i="2"/>
  <c r="AF59" i="2"/>
  <c r="J53" i="2"/>
  <c r="L51" i="2"/>
  <c r="J48" i="2"/>
  <c r="AI35" i="2"/>
  <c r="R35" i="2" s="1"/>
  <c r="M33" i="2"/>
  <c r="P33" i="2" s="1"/>
  <c r="A25" i="2"/>
  <c r="A19" i="2"/>
  <c r="I17" i="2"/>
  <c r="A10" i="2"/>
  <c r="L138" i="2"/>
  <c r="AI132" i="2"/>
  <c r="R132" i="2" s="1"/>
  <c r="J115" i="2"/>
  <c r="F113" i="2"/>
  <c r="AI97" i="2"/>
  <c r="R97" i="2" s="1"/>
  <c r="K83" i="2"/>
  <c r="J81" i="2"/>
  <c r="J71" i="2"/>
  <c r="AF36" i="2"/>
  <c r="K13" i="2"/>
  <c r="AF54" i="2"/>
  <c r="J13" i="2"/>
  <c r="L40" i="2"/>
  <c r="A38" i="2"/>
  <c r="J144" i="2"/>
  <c r="K140" i="2"/>
  <c r="J134" i="2"/>
  <c r="AI37" i="2"/>
  <c r="R37" i="2" s="1"/>
  <c r="J33" i="2"/>
  <c r="AF62" i="2"/>
  <c r="K51" i="2"/>
  <c r="AI9" i="2"/>
  <c r="R9" i="2" s="1"/>
  <c r="AI136" i="2"/>
  <c r="R136" i="2" s="1"/>
  <c r="M131" i="2"/>
  <c r="A129" i="2"/>
  <c r="AF116" i="2"/>
  <c r="L75" i="2"/>
  <c r="AF67" i="2"/>
  <c r="H33" i="2"/>
  <c r="M25" i="2"/>
  <c r="H17" i="2"/>
  <c r="J131" i="2"/>
  <c r="L119" i="2"/>
  <c r="K79" i="2"/>
  <c r="J75" i="2"/>
  <c r="J58" i="2"/>
  <c r="AI46" i="2"/>
  <c r="R46" i="2" s="1"/>
  <c r="M9" i="2"/>
  <c r="H131" i="2"/>
  <c r="J119" i="2"/>
  <c r="M111" i="2"/>
  <c r="P111" i="2" s="1"/>
  <c r="A108" i="2"/>
  <c r="F104" i="2"/>
  <c r="AI95" i="2"/>
  <c r="R95" i="2" s="1"/>
  <c r="G89" i="2"/>
  <c r="J79" i="2"/>
  <c r="I75" i="2"/>
  <c r="J101" i="2"/>
  <c r="F89" i="2"/>
  <c r="H77" i="2"/>
  <c r="M65" i="2"/>
  <c r="J59" i="2"/>
  <c r="M55" i="2"/>
  <c r="A51" i="2"/>
  <c r="L65" i="2"/>
  <c r="M13" i="2"/>
  <c r="G11" i="2"/>
  <c r="A133" i="2"/>
  <c r="H113" i="2"/>
  <c r="L32" i="2"/>
  <c r="K138" i="2"/>
  <c r="I115" i="2"/>
  <c r="AF90" i="2"/>
  <c r="I83" i="2"/>
  <c r="L76" i="2"/>
  <c r="I71" i="2"/>
  <c r="A67" i="2"/>
  <c r="F93" i="2"/>
  <c r="J54" i="2"/>
  <c r="AF49" i="2"/>
  <c r="M36" i="2"/>
  <c r="AF14" i="2"/>
  <c r="G144" i="2"/>
  <c r="F134" i="2"/>
  <c r="M49" i="2"/>
  <c r="AF41" i="2"/>
  <c r="AI128" i="2"/>
  <c r="R128" i="2" s="1"/>
  <c r="H89" i="2"/>
  <c r="G33" i="2"/>
  <c r="G17" i="2"/>
  <c r="A20" i="2"/>
  <c r="K9" i="2"/>
  <c r="F139" i="2"/>
  <c r="L136" i="2"/>
  <c r="E131" i="2"/>
  <c r="AJ131" i="2" s="1"/>
  <c r="AI24" i="2"/>
  <c r="R24" i="2" s="1"/>
  <c r="AF13" i="2"/>
  <c r="J9" i="2"/>
  <c r="F121" i="2"/>
  <c r="K113" i="2"/>
  <c r="K111" i="2"/>
  <c r="AF61" i="2"/>
  <c r="I59" i="2"/>
  <c r="I48" i="2"/>
  <c r="A39" i="2"/>
  <c r="G34" i="2"/>
  <c r="I124" i="2"/>
  <c r="A98" i="2"/>
  <c r="H61" i="2"/>
  <c r="H59" i="2"/>
  <c r="G48" i="2"/>
  <c r="F34" i="2"/>
  <c r="M132" i="2"/>
  <c r="H123" i="2"/>
  <c r="G115" i="2"/>
  <c r="M100" i="2"/>
  <c r="AF97" i="2"/>
  <c r="H83" i="2"/>
  <c r="H71" i="2"/>
  <c r="K56" i="2"/>
  <c r="A50" i="2"/>
  <c r="M40" i="2"/>
  <c r="G123" i="2"/>
  <c r="F105" i="2"/>
  <c r="G100" i="2"/>
  <c r="M90" i="2"/>
  <c r="G83" i="2"/>
  <c r="G71" i="2"/>
  <c r="AF66" i="2"/>
  <c r="A63" i="2"/>
  <c r="AI7" i="2"/>
  <c r="R7" i="2" s="1"/>
  <c r="F100" i="2"/>
  <c r="F83" i="2"/>
  <c r="H73" i="2"/>
  <c r="F71" i="2"/>
  <c r="J140" i="2"/>
  <c r="A117" i="2"/>
  <c r="AI101" i="2"/>
  <c r="R101" i="2" s="1"/>
  <c r="A80" i="2"/>
  <c r="I33" i="2"/>
  <c r="L49" i="2"/>
  <c r="A47" i="2"/>
  <c r="I119" i="2"/>
  <c r="L111" i="2"/>
  <c r="A27" i="2"/>
  <c r="AI18" i="2"/>
  <c r="R18" i="2" s="1"/>
  <c r="L13" i="2"/>
  <c r="F11" i="2"/>
  <c r="AF47" i="2"/>
  <c r="J137" i="2"/>
  <c r="L108" i="2"/>
  <c r="K44" i="2"/>
  <c r="I137" i="2"/>
  <c r="AI80" i="2"/>
  <c r="R80" i="2" s="1"/>
  <c r="K11" i="2"/>
  <c r="AI27" i="2"/>
  <c r="R27" i="2" s="1"/>
  <c r="L85" i="2"/>
  <c r="J20" i="2"/>
  <c r="L28" i="2"/>
  <c r="F47" i="2"/>
  <c r="G117" i="2"/>
  <c r="L16" i="2"/>
  <c r="G25" i="2"/>
  <c r="J125" i="2"/>
  <c r="H88" i="2"/>
  <c r="A33" i="2"/>
  <c r="I106" i="2"/>
  <c r="A94" i="2"/>
  <c r="G28" i="2"/>
  <c r="AF39" i="2"/>
  <c r="I44" i="2"/>
  <c r="K137" i="2"/>
  <c r="J24" i="2"/>
  <c r="J32" i="2"/>
  <c r="M32" i="2"/>
  <c r="P32" i="2" s="1"/>
  <c r="I11" i="2"/>
  <c r="J85" i="2"/>
  <c r="AF108" i="2"/>
  <c r="K28" i="2"/>
  <c r="F117" i="2"/>
  <c r="H25" i="2"/>
  <c r="G58" i="2"/>
  <c r="AF128" i="2"/>
  <c r="AI25" i="2"/>
  <c r="R25" i="2" s="1"/>
  <c r="K125" i="2"/>
  <c r="AF19" i="2"/>
  <c r="H94" i="2"/>
  <c r="G55" i="2"/>
  <c r="J25" i="2"/>
  <c r="I89" i="2"/>
  <c r="F131" i="2"/>
  <c r="I76" i="2"/>
  <c r="K130" i="2"/>
  <c r="K78" i="2"/>
  <c r="M138" i="2"/>
  <c r="L68" i="2"/>
  <c r="J38" i="2"/>
  <c r="L41" i="2"/>
  <c r="L56" i="2"/>
  <c r="L79" i="2"/>
  <c r="J62" i="2"/>
  <c r="H67" i="2"/>
  <c r="AF51" i="2"/>
  <c r="G52" i="2"/>
  <c r="AI22" i="2"/>
  <c r="R22" i="2" s="1"/>
  <c r="A31" i="2"/>
  <c r="AI30" i="2"/>
  <c r="R30" i="2" s="1"/>
  <c r="H30" i="2"/>
  <c r="A29" i="2"/>
  <c r="G29" i="2"/>
  <c r="I74" i="2"/>
  <c r="H21" i="2"/>
  <c r="J18" i="2"/>
  <c r="K61" i="2"/>
  <c r="J86" i="2"/>
  <c r="A107" i="2"/>
  <c r="F45" i="2"/>
  <c r="A42" i="2"/>
  <c r="G49" i="2"/>
  <c r="H14" i="2"/>
  <c r="F48" i="2"/>
  <c r="M61" i="2"/>
  <c r="K72" i="2"/>
  <c r="AI10" i="2"/>
  <c r="R10" i="2" s="1"/>
  <c r="G37" i="2"/>
  <c r="I85" i="2"/>
  <c r="AF23" i="2"/>
  <c r="M64" i="2"/>
  <c r="AI109" i="2"/>
  <c r="R109" i="2" s="1"/>
  <c r="L109" i="2"/>
  <c r="M82" i="2"/>
  <c r="P82" i="2" s="1"/>
  <c r="A61" i="2"/>
  <c r="K39" i="2"/>
  <c r="F44" i="2"/>
  <c r="AF137" i="2"/>
  <c r="H32" i="2"/>
  <c r="H11" i="2"/>
  <c r="H28" i="2"/>
  <c r="M57" i="2"/>
  <c r="L42" i="2"/>
  <c r="AI82" i="2"/>
  <c r="R82" i="2" s="1"/>
  <c r="K108" i="2"/>
  <c r="M20" i="2"/>
  <c r="J28" i="2"/>
  <c r="M47" i="2"/>
  <c r="AI117" i="2"/>
  <c r="R117" i="2" s="1"/>
  <c r="AF24" i="2"/>
  <c r="AF25" i="2"/>
  <c r="AF58" i="2"/>
  <c r="A128" i="2"/>
  <c r="M134" i="2"/>
  <c r="A84" i="2"/>
  <c r="AF106" i="2"/>
  <c r="K49" i="2"/>
  <c r="H140" i="2"/>
  <c r="L19" i="2"/>
  <c r="AF55" i="2"/>
  <c r="M37" i="2"/>
  <c r="A69" i="2"/>
  <c r="M89" i="2"/>
  <c r="I131" i="2"/>
  <c r="AF76" i="2"/>
  <c r="G54" i="2"/>
  <c r="I13" i="2"/>
  <c r="J76" i="2"/>
  <c r="M38" i="2"/>
  <c r="AI56" i="2"/>
  <c r="R56" i="2" s="1"/>
  <c r="F86" i="2"/>
  <c r="F75" i="2"/>
  <c r="K73" i="2"/>
  <c r="H51" i="2"/>
  <c r="M59" i="2"/>
  <c r="AF136" i="2"/>
  <c r="I22" i="2"/>
  <c r="AI26" i="2"/>
  <c r="R26" i="2" s="1"/>
  <c r="L26" i="2"/>
  <c r="M31" i="2"/>
  <c r="I30" i="2"/>
  <c r="A35" i="2"/>
  <c r="M29" i="2"/>
  <c r="L74" i="2"/>
  <c r="AF74" i="2"/>
  <c r="A15" i="2"/>
  <c r="J21" i="2"/>
  <c r="G18" i="2"/>
  <c r="J61" i="2"/>
  <c r="K34" i="2"/>
  <c r="G107" i="2"/>
  <c r="F37" i="2"/>
  <c r="M42" i="2"/>
  <c r="P42" i="2" s="1"/>
  <c r="G16" i="2"/>
  <c r="H48" i="2"/>
  <c r="J72" i="2"/>
  <c r="F12" i="2"/>
  <c r="F19" i="2"/>
  <c r="I14" i="2"/>
  <c r="L117" i="2"/>
  <c r="AI44" i="2"/>
  <c r="R44" i="2" s="1"/>
  <c r="M24" i="2"/>
  <c r="AI32" i="2"/>
  <c r="R32" i="2" s="1"/>
  <c r="A11" i="2"/>
  <c r="F27" i="2"/>
  <c r="A70" i="2"/>
  <c r="K82" i="2"/>
  <c r="L14" i="2"/>
  <c r="K20" i="2"/>
  <c r="A28" i="2"/>
  <c r="H129" i="2"/>
  <c r="F25" i="2"/>
  <c r="J128" i="2"/>
  <c r="K134" i="2"/>
  <c r="AI88" i="2"/>
  <c r="R88" i="2" s="1"/>
  <c r="AI140" i="2"/>
  <c r="R140" i="2" s="1"/>
  <c r="F49" i="2"/>
  <c r="J14" i="2"/>
  <c r="L37" i="2"/>
  <c r="L55" i="2"/>
  <c r="I78" i="2"/>
  <c r="AI13" i="2"/>
  <c r="R13" i="2" s="1"/>
  <c r="G91" i="2"/>
  <c r="F54" i="2"/>
  <c r="A83" i="2"/>
  <c r="L115" i="2"/>
  <c r="F144" i="2"/>
  <c r="A73" i="2"/>
  <c r="L52" i="2"/>
  <c r="I26" i="2"/>
  <c r="G26" i="2"/>
  <c r="J31" i="2"/>
  <c r="M30" i="2"/>
  <c r="P30" i="2" s="1"/>
  <c r="J35" i="2"/>
  <c r="AI74" i="2"/>
  <c r="R74" i="2" s="1"/>
  <c r="L15" i="2"/>
  <c r="K46" i="2"/>
  <c r="A86" i="2"/>
  <c r="G19" i="2"/>
  <c r="I45" i="2"/>
  <c r="K33" i="2"/>
  <c r="H46" i="2"/>
  <c r="A64" i="2"/>
  <c r="AI14" i="2"/>
  <c r="R14" i="2" s="1"/>
  <c r="J10" i="2"/>
  <c r="J46" i="2"/>
  <c r="F60" i="2"/>
  <c r="F85" i="2"/>
  <c r="H109" i="2"/>
  <c r="M77" i="2"/>
  <c r="G96" i="2"/>
  <c r="M103" i="2"/>
  <c r="G110" i="2"/>
  <c r="AI62" i="2"/>
  <c r="R62" i="2" s="1"/>
  <c r="G87" i="2"/>
  <c r="I93" i="2"/>
  <c r="F77" i="2"/>
  <c r="H84" i="2"/>
  <c r="H92" i="2"/>
  <c r="M112" i="2"/>
  <c r="P112" i="2" s="1"/>
  <c r="L94" i="2"/>
  <c r="A102" i="2"/>
  <c r="AI65" i="2"/>
  <c r="R65" i="2" s="1"/>
  <c r="G95" i="2"/>
  <c r="A106" i="2"/>
  <c r="K114" i="2"/>
  <c r="AF142" i="2"/>
  <c r="I90" i="2"/>
  <c r="J108" i="2"/>
  <c r="AF91" i="2"/>
  <c r="A113" i="2"/>
  <c r="K129" i="2"/>
  <c r="J127" i="2"/>
  <c r="K120" i="2"/>
  <c r="AI121" i="2"/>
  <c r="R121" i="2" s="1"/>
  <c r="K123" i="2"/>
  <c r="AI126" i="2"/>
  <c r="R126" i="2" s="1"/>
  <c r="H130" i="2"/>
  <c r="AF124" i="2"/>
  <c r="K141" i="2"/>
  <c r="A125" i="2"/>
  <c r="K135" i="2"/>
  <c r="AI116" i="2"/>
  <c r="R116" i="2" s="1"/>
  <c r="AI134" i="2"/>
  <c r="R134" i="2" s="1"/>
  <c r="H138" i="2"/>
  <c r="H93" i="2"/>
  <c r="I87" i="2"/>
  <c r="L92" i="2"/>
  <c r="A112" i="2"/>
  <c r="L112" i="2"/>
  <c r="H76" i="2"/>
  <c r="K95" i="2"/>
  <c r="I65" i="2"/>
  <c r="K106" i="2"/>
  <c r="I114" i="2"/>
  <c r="M142" i="2"/>
  <c r="P142" i="2" s="1"/>
  <c r="I108" i="2"/>
  <c r="AF113" i="2"/>
  <c r="J129" i="2"/>
  <c r="AF118" i="2"/>
  <c r="G127" i="2"/>
  <c r="AF121" i="2"/>
  <c r="G121" i="2"/>
  <c r="AF123" i="2"/>
  <c r="I126" i="2"/>
  <c r="F130" i="2"/>
  <c r="L126" i="2"/>
  <c r="I141" i="2"/>
  <c r="M125" i="2"/>
  <c r="I134" i="2"/>
  <c r="M139" i="2"/>
  <c r="F106" i="2"/>
  <c r="L142" i="2"/>
  <c r="H100" i="2"/>
  <c r="I129" i="2"/>
  <c r="A127" i="2"/>
  <c r="H122" i="2"/>
  <c r="H126" i="2"/>
  <c r="A135" i="2"/>
  <c r="L137" i="2"/>
  <c r="L24" i="2"/>
  <c r="I125" i="2"/>
  <c r="J60" i="2"/>
  <c r="K69" i="2"/>
  <c r="M76" i="2"/>
  <c r="AI54" i="2"/>
  <c r="R54" i="2" s="1"/>
  <c r="M81" i="2"/>
  <c r="K41" i="2"/>
  <c r="K91" i="2"/>
  <c r="AF9" i="2"/>
  <c r="I95" i="2"/>
  <c r="AF75" i="2"/>
  <c r="G63" i="2"/>
  <c r="I144" i="2"/>
  <c r="L22" i="2"/>
  <c r="G22" i="2"/>
  <c r="J8" i="2"/>
  <c r="I37" i="2"/>
  <c r="I107" i="2"/>
  <c r="L48" i="2"/>
  <c r="G72" i="2"/>
  <c r="G42" i="2"/>
  <c r="G44" i="2"/>
  <c r="M137" i="2"/>
  <c r="G32" i="2"/>
  <c r="AF57" i="2"/>
  <c r="K42" i="2"/>
  <c r="J82" i="2"/>
  <c r="G27" i="2"/>
  <c r="AI20" i="2"/>
  <c r="R20" i="2" s="1"/>
  <c r="I28" i="2"/>
  <c r="K47" i="2"/>
  <c r="F58" i="2"/>
  <c r="L128" i="2"/>
  <c r="AI125" i="2"/>
  <c r="R125" i="2" s="1"/>
  <c r="L88" i="2"/>
  <c r="H34" i="2"/>
  <c r="G88" i="2"/>
  <c r="A14" i="2"/>
  <c r="K37" i="2"/>
  <c r="M14" i="2"/>
  <c r="M69" i="2"/>
  <c r="A130" i="2"/>
  <c r="I91" i="2"/>
  <c r="F56" i="2"/>
  <c r="G79" i="2"/>
  <c r="AF83" i="2"/>
  <c r="A62" i="2"/>
  <c r="A75" i="2"/>
  <c r="K119" i="2"/>
  <c r="A96" i="2"/>
  <c r="K52" i="2"/>
  <c r="I52" i="2"/>
  <c r="J26" i="2"/>
  <c r="H31" i="2"/>
  <c r="K30" i="2"/>
  <c r="AF29" i="2"/>
  <c r="J74" i="2"/>
  <c r="I15" i="2"/>
  <c r="AI21" i="2"/>
  <c r="R21" i="2" s="1"/>
  <c r="AI61" i="2"/>
  <c r="R61" i="2" s="1"/>
  <c r="AI86" i="2"/>
  <c r="R86" i="2" s="1"/>
  <c r="J45" i="2"/>
  <c r="AF46" i="2"/>
  <c r="F72" i="2"/>
  <c r="F16" i="2"/>
  <c r="M60" i="2"/>
  <c r="F109" i="2"/>
  <c r="AF87" i="2"/>
  <c r="A99" i="2"/>
  <c r="K77" i="2"/>
  <c r="L103" i="2"/>
  <c r="G39" i="2"/>
  <c r="AF44" i="2"/>
  <c r="AI137" i="2"/>
  <c r="R137" i="2" s="1"/>
  <c r="A24" i="2"/>
  <c r="AI11" i="2"/>
  <c r="R11" i="2" s="1"/>
  <c r="I82" i="2"/>
  <c r="AI108" i="2"/>
  <c r="R108" i="2" s="1"/>
  <c r="H20" i="2"/>
  <c r="AF117" i="2"/>
  <c r="AF20" i="2"/>
  <c r="I25" i="2"/>
  <c r="K128" i="2"/>
  <c r="I88" i="2"/>
  <c r="AF40" i="2"/>
  <c r="L100" i="2"/>
  <c r="A16" i="2"/>
  <c r="H37" i="2"/>
  <c r="F55" i="2"/>
  <c r="M16" i="2"/>
  <c r="L69" i="2"/>
  <c r="L118" i="2"/>
  <c r="J41" i="2"/>
  <c r="J130" i="2"/>
  <c r="AF81" i="2"/>
  <c r="H91" i="2"/>
  <c r="L9" i="2"/>
  <c r="M79" i="2"/>
  <c r="K75" i="2"/>
  <c r="AF63" i="2"/>
  <c r="AF144" i="2"/>
  <c r="AI119" i="2"/>
  <c r="R119" i="2" s="1"/>
  <c r="F52" i="2"/>
  <c r="J52" i="2"/>
  <c r="K8" i="2"/>
  <c r="H26" i="2"/>
  <c r="I31" i="2"/>
  <c r="L30" i="2"/>
  <c r="K29" i="2"/>
  <c r="K15" i="2"/>
  <c r="A21" i="2"/>
  <c r="AF18" i="2"/>
  <c r="I61" i="2"/>
  <c r="J37" i="2"/>
  <c r="G46" i="2"/>
  <c r="A34" i="2"/>
  <c r="M48" i="2"/>
  <c r="AI72" i="2"/>
  <c r="R72" i="2" s="1"/>
  <c r="F10" i="2"/>
  <c r="I12" i="2"/>
  <c r="M45" i="2"/>
  <c r="I103" i="2"/>
  <c r="L50" i="2"/>
  <c r="AF93" i="2"/>
  <c r="F99" i="2"/>
  <c r="L66" i="2"/>
  <c r="F84" i="2"/>
  <c r="M88" i="2"/>
  <c r="J92" i="2"/>
  <c r="F69" i="2"/>
  <c r="K87" i="2"/>
  <c r="AI112" i="2"/>
  <c r="R112" i="2" s="1"/>
  <c r="J98" i="2"/>
  <c r="M95" i="2"/>
  <c r="F81" i="2"/>
  <c r="M113" i="2"/>
  <c r="M118" i="2"/>
  <c r="G130" i="2"/>
  <c r="H141" i="2"/>
  <c r="L125" i="2"/>
  <c r="AF143" i="2"/>
  <c r="H134" i="2"/>
  <c r="A139" i="2"/>
  <c r="M11" i="2"/>
  <c r="AF27" i="2"/>
  <c r="AF42" i="2"/>
  <c r="AF70" i="2"/>
  <c r="H82" i="2"/>
  <c r="J47" i="2"/>
  <c r="M117" i="2"/>
  <c r="I32" i="2"/>
  <c r="J100" i="2"/>
  <c r="AF16" i="2"/>
  <c r="I55" i="2"/>
  <c r="A132" i="2"/>
  <c r="AF35" i="2"/>
  <c r="L29" i="2"/>
  <c r="G74" i="2"/>
  <c r="G15" i="2"/>
  <c r="AF21" i="2"/>
  <c r="M18" i="2"/>
  <c r="F61" i="2"/>
  <c r="I86" i="2"/>
  <c r="A41" i="2"/>
  <c r="AF107" i="2"/>
  <c r="AI57" i="2"/>
  <c r="R57" i="2" s="1"/>
  <c r="M39" i="2"/>
  <c r="A44" i="2"/>
  <c r="H137" i="2"/>
  <c r="I24" i="2"/>
  <c r="L11" i="2"/>
  <c r="L57" i="2"/>
  <c r="J42" i="2"/>
  <c r="M70" i="2"/>
  <c r="G82" i="2"/>
  <c r="M108" i="2"/>
  <c r="L20" i="2"/>
  <c r="AI47" i="2"/>
  <c r="R47" i="2" s="1"/>
  <c r="I117" i="2"/>
  <c r="H42" i="2"/>
  <c r="A30" i="2"/>
  <c r="I94" i="2"/>
  <c r="I128" i="2"/>
  <c r="H125" i="2"/>
  <c r="L106" i="2"/>
  <c r="J40" i="2"/>
  <c r="I100" i="2"/>
  <c r="H55" i="2"/>
  <c r="F23" i="2"/>
  <c r="G69" i="2"/>
  <c r="A54" i="2"/>
  <c r="L81" i="2"/>
  <c r="AF99" i="2"/>
  <c r="F17" i="2"/>
  <c r="M56" i="2"/>
  <c r="A79" i="2"/>
  <c r="AI99" i="2"/>
  <c r="R99" i="2" s="1"/>
  <c r="G116" i="2"/>
  <c r="F120" i="2"/>
  <c r="M63" i="2"/>
  <c r="H144" i="2"/>
  <c r="H119" i="2"/>
  <c r="AF132" i="2"/>
  <c r="H52" i="2"/>
  <c r="K22" i="2"/>
  <c r="I8" i="2"/>
  <c r="A26" i="2"/>
  <c r="G31" i="2"/>
  <c r="J30" i="2"/>
  <c r="F15" i="2"/>
  <c r="I35" i="2"/>
  <c r="H29" i="2"/>
  <c r="J15" i="2"/>
  <c r="M21" i="2"/>
  <c r="F18" i="2"/>
  <c r="J34" i="2"/>
  <c r="H86" i="2"/>
  <c r="M107" i="2"/>
  <c r="P107" i="2" s="1"/>
  <c r="I57" i="2"/>
  <c r="AI49" i="2"/>
  <c r="R49" i="2" s="1"/>
  <c r="H12" i="2"/>
  <c r="H72" i="2"/>
  <c r="M17" i="2"/>
  <c r="L39" i="2"/>
  <c r="K60" i="2"/>
  <c r="G57" i="2"/>
  <c r="J99" i="2"/>
  <c r="A77" i="2"/>
  <c r="F96" i="2"/>
  <c r="A103" i="2"/>
  <c r="H24" i="2"/>
  <c r="J11" i="2"/>
  <c r="L58" i="2"/>
  <c r="F123" i="2"/>
  <c r="G125" i="2"/>
  <c r="G140" i="2"/>
  <c r="AF100" i="2"/>
  <c r="AF37" i="2"/>
  <c r="I58" i="2"/>
  <c r="AI111" i="2"/>
  <c r="R111" i="2" s="1"/>
  <c r="L64" i="2"/>
  <c r="L83" i="2"/>
  <c r="F116" i="2"/>
  <c r="M50" i="2"/>
  <c r="K104" i="2"/>
  <c r="F22" i="2"/>
  <c r="G30" i="2"/>
  <c r="AI19" i="2"/>
  <c r="R19" i="2" s="1"/>
  <c r="H41" i="2"/>
  <c r="G12" i="2"/>
  <c r="G23" i="2"/>
  <c r="I10" i="2"/>
  <c r="M23" i="2"/>
  <c r="G64" i="2"/>
  <c r="J109" i="2"/>
  <c r="I68" i="2"/>
  <c r="AF69" i="2"/>
  <c r="L110" i="2"/>
  <c r="AI110" i="2"/>
  <c r="R110" i="2" s="1"/>
  <c r="G93" i="2"/>
  <c r="AI70" i="2"/>
  <c r="R70" i="2" s="1"/>
  <c r="J88" i="2"/>
  <c r="G77" i="2"/>
  <c r="H112" i="2"/>
  <c r="K81" i="2"/>
  <c r="F102" i="2"/>
  <c r="L78" i="2"/>
  <c r="G102" i="2"/>
  <c r="I142" i="2"/>
  <c r="G90" i="2"/>
  <c r="F114" i="2"/>
  <c r="F108" i="2"/>
  <c r="K127" i="2"/>
  <c r="I122" i="2"/>
  <c r="AI123" i="2"/>
  <c r="R123" i="2" s="1"/>
  <c r="K126" i="2"/>
  <c r="F133" i="2"/>
  <c r="H135" i="2"/>
  <c r="A131" i="2"/>
  <c r="J102" i="2"/>
  <c r="H111" i="2"/>
  <c r="F38" i="2"/>
  <c r="H116" i="2"/>
  <c r="AF133" i="2"/>
  <c r="AI52" i="2"/>
  <c r="R52" i="2" s="1"/>
  <c r="K26" i="2"/>
  <c r="F30" i="2"/>
  <c r="H35" i="2"/>
  <c r="F29" i="2"/>
  <c r="L86" i="2"/>
  <c r="H19" i="2"/>
  <c r="AI41" i="2"/>
  <c r="R41" i="2" s="1"/>
  <c r="I49" i="2"/>
  <c r="AI12" i="2"/>
  <c r="R12" i="2" s="1"/>
  <c r="J39" i="2"/>
  <c r="AI105" i="2"/>
  <c r="R105" i="2" s="1"/>
  <c r="G24" i="2"/>
  <c r="M27" i="2"/>
  <c r="AI15" i="2"/>
  <c r="R15" i="2" s="1"/>
  <c r="M12" i="2"/>
  <c r="H47" i="2"/>
  <c r="K24" i="2"/>
  <c r="J27" i="2"/>
  <c r="G61" i="2"/>
  <c r="F70" i="2"/>
  <c r="A58" i="2"/>
  <c r="I84" i="2"/>
  <c r="F140" i="2"/>
  <c r="A116" i="2"/>
  <c r="K10" i="2"/>
  <c r="F111" i="2"/>
  <c r="M68" i="2"/>
  <c r="K76" i="2"/>
  <c r="J111" i="2"/>
  <c r="M126" i="2"/>
  <c r="H8" i="2"/>
  <c r="G35" i="2"/>
  <c r="H74" i="2"/>
  <c r="AF86" i="2"/>
  <c r="G41" i="2"/>
  <c r="G10" i="2"/>
  <c r="H39" i="2"/>
  <c r="K54" i="2"/>
  <c r="AI85" i="2"/>
  <c r="R85" i="2" s="1"/>
  <c r="I34" i="2"/>
  <c r="J69" i="2"/>
  <c r="J103" i="2"/>
  <c r="F110" i="2"/>
  <c r="AI50" i="2"/>
  <c r="R50" i="2" s="1"/>
  <c r="I53" i="2"/>
  <c r="AF84" i="2"/>
  <c r="H69" i="2"/>
  <c r="K94" i="2"/>
  <c r="AF102" i="2"/>
  <c r="G81" i="2"/>
  <c r="J106" i="2"/>
  <c r="AF94" i="2"/>
  <c r="F39" i="2"/>
  <c r="F24" i="2"/>
  <c r="AF11" i="2"/>
  <c r="K12" i="2"/>
  <c r="I27" i="2"/>
  <c r="G85" i="2"/>
  <c r="I20" i="2"/>
  <c r="G47" i="2"/>
  <c r="AF129" i="2"/>
  <c r="M58" i="2"/>
  <c r="M128" i="2"/>
  <c r="G84" i="2"/>
  <c r="I40" i="2"/>
  <c r="L10" i="2"/>
  <c r="I36" i="2"/>
  <c r="K14" i="2"/>
  <c r="G131" i="2"/>
  <c r="K115" i="2"/>
  <c r="M51" i="2"/>
  <c r="A136" i="2"/>
  <c r="AI8" i="2"/>
  <c r="R8" i="2" s="1"/>
  <c r="AI29" i="2"/>
  <c r="R29" i="2" s="1"/>
  <c r="F74" i="2"/>
  <c r="G45" i="2"/>
  <c r="L23" i="2"/>
  <c r="AI42" i="2"/>
  <c r="R42" i="2" s="1"/>
  <c r="A49" i="2"/>
  <c r="L43" i="2"/>
  <c r="H23" i="2"/>
  <c r="AI39" i="2"/>
  <c r="R39" i="2" s="1"/>
  <c r="H85" i="2"/>
  <c r="G109" i="2"/>
  <c r="K99" i="2"/>
  <c r="AI77" i="2"/>
  <c r="R77" i="2" s="1"/>
  <c r="G103" i="2"/>
  <c r="G50" i="2"/>
  <c r="AF80" i="2"/>
  <c r="L53" i="2"/>
  <c r="F88" i="2"/>
  <c r="L96" i="2"/>
  <c r="F76" i="2"/>
  <c r="H98" i="2"/>
  <c r="M102" i="2"/>
  <c r="H106" i="2"/>
  <c r="M94" i="2"/>
  <c r="I113" i="2"/>
  <c r="L129" i="2"/>
  <c r="F122" i="2"/>
  <c r="I123" i="2"/>
  <c r="AF126" i="2"/>
  <c r="L141" i="2"/>
  <c r="I133" i="2"/>
  <c r="J116" i="2"/>
  <c r="H143" i="2"/>
  <c r="I138" i="2"/>
  <c r="G106" i="2"/>
  <c r="K142" i="2"/>
  <c r="K105" i="2"/>
  <c r="AI90" i="2"/>
  <c r="R90" i="2" s="1"/>
  <c r="G114" i="2"/>
  <c r="F126" i="2"/>
  <c r="A141" i="2"/>
  <c r="H133" i="2"/>
  <c r="F143" i="2"/>
  <c r="L131" i="2"/>
  <c r="J12" i="2"/>
  <c r="H27" i="2"/>
  <c r="AF85" i="2"/>
  <c r="I47" i="2"/>
  <c r="K58" i="2"/>
  <c r="K88" i="2"/>
  <c r="K40" i="2"/>
  <c r="AF10" i="2"/>
  <c r="AI36" i="2"/>
  <c r="R36" i="2" s="1"/>
  <c r="I16" i="2"/>
  <c r="AI84" i="2"/>
  <c r="R84" i="2" s="1"/>
  <c r="H95" i="2"/>
  <c r="H53" i="2"/>
  <c r="AI115" i="2"/>
  <c r="R115" i="2" s="1"/>
  <c r="M52" i="2"/>
  <c r="P52" i="2" s="1"/>
  <c r="G8" i="2"/>
  <c r="L31" i="2"/>
  <c r="AF30" i="2"/>
  <c r="L8" i="2"/>
  <c r="F21" i="2"/>
  <c r="L18" i="2"/>
  <c r="M86" i="2"/>
  <c r="H107" i="2"/>
  <c r="I42" i="2"/>
  <c r="H49" i="2"/>
  <c r="AI43" i="2"/>
  <c r="R43" i="2" s="1"/>
  <c r="M34" i="2"/>
  <c r="AF109" i="2"/>
  <c r="J87" i="2"/>
  <c r="L99" i="2"/>
  <c r="I77" i="2"/>
  <c r="K96" i="2"/>
  <c r="M84" i="2"/>
  <c r="H99" i="2"/>
  <c r="I99" i="2"/>
  <c r="G112" i="2"/>
  <c r="AI76" i="2"/>
  <c r="R76" i="2" s="1"/>
  <c r="K102" i="2"/>
  <c r="H118" i="2"/>
  <c r="M127" i="2"/>
  <c r="A121" i="2"/>
  <c r="I116" i="2"/>
  <c r="A137" i="2"/>
  <c r="L139" i="2"/>
  <c r="K80" i="2"/>
  <c r="G80" i="2"/>
  <c r="AF32" i="2"/>
  <c r="J94" i="2"/>
  <c r="K27" i="2"/>
  <c r="I70" i="2"/>
  <c r="M28" i="2"/>
  <c r="H117" i="2"/>
  <c r="A9" i="2"/>
  <c r="I102" i="2"/>
  <c r="G134" i="2"/>
  <c r="AF140" i="2"/>
  <c r="AF60" i="2"/>
  <c r="J49" i="2"/>
  <c r="A37" i="2"/>
  <c r="G36" i="2"/>
  <c r="L25" i="2"/>
  <c r="AI89" i="2"/>
  <c r="R89" i="2" s="1"/>
  <c r="A78" i="2"/>
  <c r="K71" i="2"/>
  <c r="J83" i="2"/>
  <c r="M22" i="2"/>
  <c r="P22" i="2" s="1"/>
  <c r="AF26" i="2"/>
  <c r="F35" i="2"/>
  <c r="I21" i="2"/>
  <c r="M46" i="2"/>
  <c r="K107" i="2"/>
  <c r="J23" i="2"/>
  <c r="J19" i="2"/>
  <c r="H60" i="2"/>
  <c r="K85" i="2"/>
  <c r="AF64" i="2"/>
  <c r="H103" i="2"/>
  <c r="I110" i="2"/>
  <c r="M62" i="2"/>
  <c r="F82" i="2"/>
  <c r="K112" i="2"/>
  <c r="J77" i="2"/>
  <c r="H102" i="2"/>
  <c r="F95" i="2"/>
  <c r="I73" i="2"/>
  <c r="I97" i="2"/>
  <c r="G94" i="2"/>
  <c r="AF114" i="2"/>
  <c r="G108" i="2"/>
  <c r="G118" i="2"/>
  <c r="H120" i="2"/>
  <c r="H121" i="2"/>
  <c r="I127" i="2"/>
  <c r="F124" i="2"/>
  <c r="F141" i="2"/>
  <c r="L143" i="2"/>
  <c r="G137" i="2"/>
  <c r="M44" i="2"/>
  <c r="A32" i="2"/>
  <c r="J55" i="2"/>
  <c r="G70" i="2"/>
  <c r="H108" i="2"/>
  <c r="AI28" i="2"/>
  <c r="R28" i="2" s="1"/>
  <c r="J117" i="2"/>
  <c r="H80" i="2"/>
  <c r="L27" i="2"/>
  <c r="F125" i="2"/>
  <c r="K32" i="2"/>
  <c r="K19" i="2"/>
  <c r="L89" i="2"/>
  <c r="AF111" i="2"/>
  <c r="AF38" i="2"/>
  <c r="A71" i="2"/>
  <c r="H22" i="2"/>
  <c r="F31" i="2"/>
  <c r="K35" i="2"/>
  <c r="A8" i="2"/>
  <c r="L21" i="2"/>
  <c r="L107" i="2"/>
  <c r="A17" i="2"/>
  <c r="K23" i="2"/>
  <c r="F57" i="2"/>
  <c r="A85" i="2"/>
  <c r="G99" i="2"/>
  <c r="AF110" i="2"/>
  <c r="L93" i="2"/>
  <c r="AI66" i="2"/>
  <c r="R66" i="2" s="1"/>
  <c r="A88" i="2"/>
  <c r="G92" i="2"/>
  <c r="AF82" i="2"/>
  <c r="L98" i="2"/>
  <c r="AI94" i="2"/>
  <c r="R94" i="2" s="1"/>
  <c r="H114" i="2"/>
  <c r="AI129" i="2"/>
  <c r="R129" i="2" s="1"/>
  <c r="A123" i="2"/>
  <c r="AI130" i="2"/>
  <c r="R130" i="2" s="1"/>
  <c r="AF34" i="2"/>
  <c r="A82" i="2"/>
  <c r="L123" i="2"/>
  <c r="M135" i="2"/>
  <c r="AI138" i="2"/>
  <c r="R138" i="2" s="1"/>
  <c r="F128" i="2"/>
  <c r="H36" i="2"/>
  <c r="I54" i="2"/>
  <c r="AI48" i="2"/>
  <c r="R48" i="2" s="1"/>
  <c r="F43" i="2"/>
  <c r="L45" i="2"/>
  <c r="AI69" i="2"/>
  <c r="R69" i="2" s="1"/>
  <c r="M110" i="2"/>
  <c r="AF88" i="2"/>
  <c r="G97" i="2"/>
  <c r="J118" i="2"/>
  <c r="M141" i="2"/>
  <c r="P141" i="2" s="1"/>
  <c r="K139" i="2"/>
  <c r="AI120" i="2"/>
  <c r="R120" i="2" s="1"/>
  <c r="AI122" i="2"/>
  <c r="R122" i="2" s="1"/>
  <c r="H127" i="2"/>
  <c r="G124" i="2"/>
  <c r="AI141" i="2"/>
  <c r="R141" i="2" s="1"/>
  <c r="AI139" i="2"/>
  <c r="R139" i="2" s="1"/>
  <c r="G120" i="2"/>
  <c r="A124" i="2"/>
  <c r="AF130" i="2"/>
  <c r="A143" i="2"/>
  <c r="AI53" i="2"/>
  <c r="R53" i="2" s="1"/>
  <c r="AI73" i="2"/>
  <c r="R73" i="2" s="1"/>
  <c r="M106" i="2"/>
  <c r="P106" i="2" s="1"/>
  <c r="AF105" i="2"/>
  <c r="K122" i="2"/>
  <c r="J126" i="2"/>
  <c r="A22" i="2"/>
  <c r="K31" i="2"/>
  <c r="G21" i="2"/>
  <c r="A138" i="2"/>
  <c r="A12" i="2"/>
  <c r="I60" i="2"/>
  <c r="J66" i="2"/>
  <c r="G98" i="2"/>
  <c r="M73" i="2"/>
  <c r="P73" i="2" s="1"/>
  <c r="F142" i="2"/>
  <c r="F127" i="2"/>
  <c r="M121" i="2"/>
  <c r="AF12" i="2"/>
  <c r="F80" i="2"/>
  <c r="J84" i="2"/>
  <c r="L80" i="2"/>
  <c r="H45" i="2"/>
  <c r="M140" i="2"/>
  <c r="P140" i="2" s="1"/>
  <c r="A89" i="2"/>
  <c r="L38" i="2"/>
  <c r="F115" i="2"/>
  <c r="AF139" i="2"/>
  <c r="M8" i="2"/>
  <c r="AF8" i="2"/>
  <c r="K21" i="2"/>
  <c r="G86" i="2"/>
  <c r="J107" i="2"/>
  <c r="F41" i="2"/>
  <c r="AF72" i="2"/>
  <c r="I39" i="2"/>
  <c r="AI34" i="2"/>
  <c r="R34" i="2" s="1"/>
  <c r="F68" i="2"/>
  <c r="AF103" i="2"/>
  <c r="J80" i="2"/>
  <c r="K93" i="2"/>
  <c r="G68" i="2"/>
  <c r="G76" i="2"/>
  <c r="AI81" i="2"/>
  <c r="R81" i="2" s="1"/>
  <c r="AI98" i="2"/>
  <c r="R98" i="2" s="1"/>
  <c r="F94" i="2"/>
  <c r="A142" i="2"/>
  <c r="F90" i="2"/>
  <c r="K121" i="2"/>
  <c r="M123" i="2"/>
  <c r="I130" i="2"/>
  <c r="AF135" i="2"/>
  <c r="M72" i="2"/>
  <c r="I23" i="2"/>
  <c r="I41" i="2"/>
  <c r="A60" i="2"/>
  <c r="AF68" i="2"/>
  <c r="H110" i="2"/>
  <c r="I80" i="2"/>
  <c r="I81" i="2"/>
  <c r="AI102" i="2"/>
  <c r="R102" i="2" s="1"/>
  <c r="J91" i="2"/>
  <c r="M129" i="2"/>
  <c r="K101" i="2"/>
  <c r="J121" i="2"/>
  <c r="J123" i="2"/>
  <c r="AF119" i="2"/>
  <c r="J138" i="2"/>
  <c r="AI45" i="2"/>
  <c r="R45" i="2" s="1"/>
  <c r="AF98" i="2"/>
  <c r="F40" i="2"/>
  <c r="G111" i="2"/>
  <c r="I29" i="2"/>
  <c r="J57" i="2"/>
  <c r="G43" i="2"/>
  <c r="L72" i="2"/>
  <c r="F42" i="2"/>
  <c r="G60" i="2"/>
  <c r="AI103" i="2"/>
  <c r="R103" i="2" s="1"/>
  <c r="H81" i="2"/>
  <c r="G142" i="2"/>
  <c r="K57" i="2"/>
  <c r="AF45" i="2"/>
  <c r="H87" i="2"/>
  <c r="M96" i="2"/>
  <c r="H70" i="2"/>
  <c r="I120" i="2"/>
  <c r="G122" i="2"/>
  <c r="AI124" i="2"/>
  <c r="R124" i="2" s="1"/>
  <c r="L130" i="2"/>
  <c r="AF125" i="2"/>
  <c r="J135" i="2"/>
  <c r="G105" i="2"/>
  <c r="I118" i="2"/>
  <c r="M143" i="2"/>
  <c r="AI118" i="2"/>
  <c r="R118" i="2" s="1"/>
  <c r="K143" i="2"/>
  <c r="K131" i="2"/>
  <c r="J44" i="2"/>
  <c r="M83" i="2"/>
  <c r="H16" i="2"/>
  <c r="AI55" i="2"/>
  <c r="R55" i="2" s="1"/>
  <c r="I140" i="2"/>
  <c r="F107" i="2"/>
  <c r="I64" i="2"/>
  <c r="F62" i="2"/>
  <c r="K84" i="2"/>
  <c r="L127" i="2"/>
  <c r="M74" i="2"/>
  <c r="G14" i="2"/>
  <c r="M85" i="2"/>
  <c r="M109" i="2"/>
  <c r="K103" i="2"/>
  <c r="K92" i="2"/>
  <c r="J112" i="2"/>
  <c r="L113" i="2"/>
  <c r="A122" i="2"/>
  <c r="H115" i="2"/>
  <c r="J22" i="2"/>
  <c r="K86" i="2"/>
  <c r="AI107" i="2"/>
  <c r="R107" i="2" s="1"/>
  <c r="M66" i="2"/>
  <c r="P66" i="2" s="1"/>
  <c r="I112" i="2"/>
  <c r="AI127" i="2"/>
  <c r="R127" i="2" s="1"/>
  <c r="L121" i="2"/>
  <c r="L135" i="2"/>
  <c r="I143" i="2"/>
  <c r="F137" i="2"/>
  <c r="M80" i="2"/>
  <c r="A45" i="2"/>
  <c r="I98" i="2"/>
  <c r="H128" i="2"/>
  <c r="L140" i="2"/>
  <c r="G40" i="2"/>
  <c r="AF138" i="2"/>
  <c r="M115" i="2"/>
  <c r="M35" i="2"/>
  <c r="J29" i="2"/>
  <c r="L47" i="2"/>
  <c r="G128" i="2"/>
  <c r="AI23" i="2"/>
  <c r="R23" i="2" s="1"/>
  <c r="A48" i="2"/>
  <c r="A120" i="2"/>
  <c r="A52" i="2"/>
  <c r="L70" i="2"/>
  <c r="L97" i="2"/>
  <c r="G129" i="2"/>
  <c r="I121" i="2"/>
  <c r="H124" i="2"/>
  <c r="AF141" i="2"/>
  <c r="L44" i="2"/>
  <c r="L12" i="2"/>
  <c r="K70" i="2"/>
  <c r="H40" i="2"/>
  <c r="F36" i="2"/>
  <c r="M26" i="2"/>
  <c r="K16" i="2"/>
  <c r="I72" i="2"/>
  <c r="K118" i="2"/>
  <c r="M124" i="2"/>
  <c r="A134" i="2"/>
  <c r="F28" i="2"/>
  <c r="AI60" i="2"/>
  <c r="R60" i="2" s="1"/>
  <c r="J78" i="2"/>
  <c r="G53" i="2"/>
  <c r="K74" i="2"/>
  <c r="H18" i="2"/>
  <c r="F14" i="2"/>
  <c r="L34" i="2"/>
  <c r="J64" i="2"/>
  <c r="A87" i="2"/>
  <c r="H96" i="2"/>
  <c r="AI93" i="2"/>
  <c r="R93" i="2" s="1"/>
  <c r="AI113" i="2"/>
  <c r="R113" i="2" s="1"/>
  <c r="F118" i="2"/>
  <c r="AF89" i="2"/>
  <c r="F53" i="2"/>
  <c r="F8" i="2"/>
  <c r="AF120" i="2"/>
  <c r="AI106" i="2"/>
  <c r="R106" i="2" s="1"/>
  <c r="G133" i="2"/>
  <c r="J143" i="2"/>
  <c r="AF92" i="2"/>
  <c r="AF28" i="2"/>
  <c r="K25" i="2"/>
  <c r="M130" i="2"/>
  <c r="L35" i="2"/>
  <c r="M99" i="2"/>
  <c r="J110" i="2"/>
  <c r="L82" i="2"/>
  <c r="H44" i="2"/>
  <c r="J70" i="2"/>
  <c r="K117" i="2"/>
  <c r="AI58" i="2"/>
  <c r="R58" i="2" s="1"/>
  <c r="L36" i="2"/>
  <c r="K55" i="2"/>
  <c r="H54" i="2"/>
  <c r="AI79" i="2"/>
  <c r="R79" i="2" s="1"/>
  <c r="F26" i="2"/>
  <c r="J16" i="2"/>
  <c r="H57" i="2"/>
  <c r="K45" i="2"/>
  <c r="F64" i="2"/>
  <c r="I109" i="2"/>
  <c r="F87" i="2"/>
  <c r="I69" i="2"/>
  <c r="J96" i="2"/>
  <c r="A110" i="2"/>
  <c r="AI38" i="2"/>
  <c r="R38" i="2" s="1"/>
  <c r="M92" i="2"/>
  <c r="AF95" i="2"/>
  <c r="K97" i="2"/>
  <c r="J142" i="2"/>
  <c r="J105" i="2"/>
  <c r="L114" i="2"/>
  <c r="L120" i="2"/>
  <c r="J141" i="2"/>
  <c r="H10" i="2"/>
  <c r="K110" i="2"/>
  <c r="AF77" i="2"/>
  <c r="AF112" i="2"/>
  <c r="L102" i="2"/>
  <c r="K98" i="2"/>
  <c r="AF73" i="2"/>
  <c r="J114" i="2"/>
  <c r="M105" i="2"/>
  <c r="F129" i="2"/>
  <c r="G126" i="2"/>
  <c r="AI31" i="2"/>
  <c r="R31" i="2" s="1"/>
  <c r="L61" i="2"/>
  <c r="AI17" i="2"/>
  <c r="R17" i="2" s="1"/>
  <c r="F103" i="2"/>
  <c r="L33" i="2"/>
  <c r="F98" i="2"/>
  <c r="G113" i="2"/>
  <c r="G141" i="2"/>
  <c r="M10" i="2"/>
  <c r="G20" i="2"/>
  <c r="H58" i="2"/>
  <c r="AF134" i="2"/>
  <c r="K100" i="2"/>
  <c r="J36" i="2"/>
  <c r="AI131" i="2"/>
  <c r="R131" i="2" s="1"/>
  <c r="G78" i="2"/>
  <c r="A56" i="2"/>
  <c r="I66" i="2"/>
  <c r="A59" i="2"/>
  <c r="H15" i="2"/>
  <c r="K18" i="2"/>
  <c r="L46" i="2"/>
  <c r="I19" i="2"/>
  <c r="K64" i="2"/>
  <c r="AI87" i="2"/>
  <c r="R87" i="2" s="1"/>
  <c r="I96" i="2"/>
  <c r="M93" i="2"/>
  <c r="I38" i="2"/>
  <c r="L84" i="2"/>
  <c r="A92" i="2"/>
  <c r="F112" i="2"/>
  <c r="L95" i="2"/>
  <c r="H97" i="2"/>
  <c r="M114" i="2"/>
  <c r="AI142" i="2"/>
  <c r="R142" i="2" s="1"/>
  <c r="AI92" i="2"/>
  <c r="R92" i="2" s="1"/>
  <c r="I111" i="2"/>
  <c r="AF22" i="2"/>
  <c r="AF31" i="2"/>
  <c r="AI16" i="2"/>
  <c r="R16" i="2" s="1"/>
  <c r="F33" i="2"/>
  <c r="M54" i="2"/>
  <c r="F78" i="2"/>
  <c r="F32" i="2"/>
  <c r="F20" i="2"/>
  <c r="L134" i="2"/>
  <c r="L60" i="2"/>
  <c r="K36" i="2"/>
  <c r="AF131" i="2"/>
  <c r="AI78" i="2"/>
  <c r="R78" i="2" s="1"/>
  <c r="A53" i="2"/>
  <c r="AI67" i="2"/>
  <c r="R67" i="2" s="1"/>
  <c r="J90" i="2"/>
  <c r="AF52" i="2"/>
  <c r="A74" i="2"/>
  <c r="AF15" i="2"/>
  <c r="I18" i="2"/>
  <c r="I46" i="2"/>
  <c r="A57" i="2"/>
  <c r="L54" i="2"/>
  <c r="H64" i="2"/>
  <c r="K109" i="2"/>
  <c r="A93" i="2"/>
  <c r="I92" i="2"/>
  <c r="J95" i="2"/>
  <c r="M98" i="2"/>
  <c r="A114" i="2"/>
  <c r="H142" i="2"/>
  <c r="J113" i="2"/>
  <c r="K67" i="2"/>
  <c r="M15" i="2"/>
  <c r="A109" i="2"/>
  <c r="L62" i="2"/>
  <c r="F92" i="2"/>
  <c r="M19" i="2"/>
  <c r="J7" i="2"/>
  <c r="G7" i="2"/>
  <c r="K7" i="2"/>
  <c r="AF7" i="2"/>
  <c r="M7" i="2"/>
  <c r="L7" i="2"/>
  <c r="F7" i="2"/>
  <c r="I7" i="2"/>
  <c r="A7" i="2"/>
  <c r="E7" i="2"/>
  <c r="AJ7" i="2" s="1"/>
  <c r="Y202" i="2"/>
  <c r="E2" i="12"/>
  <c r="AE189" i="2" l="1"/>
  <c r="R189" i="2"/>
  <c r="AD189" i="2"/>
  <c r="O189" i="2"/>
  <c r="AA189" i="2"/>
  <c r="Z189" i="2" s="1"/>
  <c r="W189" i="2"/>
  <c r="AC189" i="2"/>
  <c r="V189" i="2"/>
  <c r="T189" i="2" s="1"/>
  <c r="P188" i="2"/>
  <c r="P184" i="2"/>
  <c r="O188" i="2"/>
  <c r="AE188" i="2"/>
  <c r="R188" i="2"/>
  <c r="AD188" i="2"/>
  <c r="V188" i="2"/>
  <c r="T188" i="2" s="1"/>
  <c r="AC188" i="2"/>
  <c r="AA188" i="2"/>
  <c r="Z188" i="2" s="1"/>
  <c r="W188" i="2"/>
  <c r="P183" i="2"/>
  <c r="R183" i="2"/>
  <c r="AE183" i="2"/>
  <c r="O183" i="2"/>
  <c r="AD183" i="2"/>
  <c r="W183" i="2"/>
  <c r="V183" i="2"/>
  <c r="T183" i="2" s="1"/>
  <c r="AA183" i="2"/>
  <c r="Z183" i="2" s="1"/>
  <c r="AC183" i="2"/>
  <c r="AE185" i="2"/>
  <c r="O185" i="2"/>
  <c r="AD185" i="2"/>
  <c r="R185" i="2"/>
  <c r="V185" i="2"/>
  <c r="T185" i="2" s="1"/>
  <c r="W185" i="2"/>
  <c r="AA185" i="2"/>
  <c r="Z185" i="2" s="1"/>
  <c r="AC185" i="2"/>
  <c r="AE186" i="2"/>
  <c r="R186" i="2"/>
  <c r="O186" i="2"/>
  <c r="AD186" i="2"/>
  <c r="AC186" i="2"/>
  <c r="AA186" i="2"/>
  <c r="Z186" i="2" s="1"/>
  <c r="V186" i="2"/>
  <c r="T186" i="2" s="1"/>
  <c r="W186" i="2"/>
  <c r="P187" i="2"/>
  <c r="P186" i="2"/>
  <c r="P185" i="2"/>
  <c r="O187" i="2"/>
  <c r="AE187" i="2"/>
  <c r="R187" i="2"/>
  <c r="AD187" i="2"/>
  <c r="W187" i="2"/>
  <c r="AC187" i="2"/>
  <c r="V187" i="2"/>
  <c r="T187" i="2" s="1"/>
  <c r="AA187" i="2"/>
  <c r="Z187" i="2" s="1"/>
  <c r="O184" i="2"/>
  <c r="AD184" i="2"/>
  <c r="R184" i="2"/>
  <c r="AE184" i="2"/>
  <c r="AC184" i="2"/>
  <c r="W184" i="2"/>
  <c r="V184" i="2"/>
  <c r="T184" i="2" s="1"/>
  <c r="AA184" i="2"/>
  <c r="Z184" i="2" s="1"/>
  <c r="P178" i="2"/>
  <c r="R178" i="2"/>
  <c r="AE178" i="2"/>
  <c r="O178" i="2"/>
  <c r="AD178" i="2"/>
  <c r="AA178" i="2"/>
  <c r="Z178" i="2" s="1"/>
  <c r="AC178" i="2"/>
  <c r="V178" i="2"/>
  <c r="T178" i="2" s="1"/>
  <c r="W178" i="2"/>
  <c r="R182" i="2"/>
  <c r="O182" i="2"/>
  <c r="AE182" i="2"/>
  <c r="AD182" i="2"/>
  <c r="AA182" i="2"/>
  <c r="Z182" i="2" s="1"/>
  <c r="W182" i="2"/>
  <c r="AC182" i="2"/>
  <c r="V182" i="2"/>
  <c r="T182" i="2" s="1"/>
  <c r="R180" i="2"/>
  <c r="AE180" i="2"/>
  <c r="O180" i="2"/>
  <c r="AD180" i="2"/>
  <c r="AC180" i="2"/>
  <c r="W180" i="2"/>
  <c r="V180" i="2"/>
  <c r="T180" i="2" s="1"/>
  <c r="AA180" i="2"/>
  <c r="Z180" i="2" s="1"/>
  <c r="P179" i="2"/>
  <c r="P182" i="2"/>
  <c r="R181" i="2"/>
  <c r="AE181" i="2"/>
  <c r="O181" i="2"/>
  <c r="AD181" i="2"/>
  <c r="V181" i="2"/>
  <c r="T181" i="2" s="1"/>
  <c r="W181" i="2"/>
  <c r="AC181" i="2"/>
  <c r="AA181" i="2"/>
  <c r="Z181" i="2" s="1"/>
  <c r="P180" i="2"/>
  <c r="P181" i="2"/>
  <c r="R179" i="2"/>
  <c r="AE179" i="2"/>
  <c r="AD179" i="2"/>
  <c r="O179" i="2"/>
  <c r="AA179" i="2"/>
  <c r="Z179" i="2" s="1"/>
  <c r="W179" i="2"/>
  <c r="AC179" i="2"/>
  <c r="V179" i="2"/>
  <c r="T179" i="2" s="1"/>
  <c r="V15" i="2"/>
  <c r="T15" i="2" s="1"/>
  <c r="V104" i="2"/>
  <c r="T104" i="2" s="1"/>
  <c r="V150" i="2"/>
  <c r="T150" i="2" s="1"/>
  <c r="V162" i="2"/>
  <c r="T162" i="2" s="1"/>
  <c r="V72" i="2"/>
  <c r="T72" i="2" s="1"/>
  <c r="V74" i="2"/>
  <c r="T74" i="2" s="1"/>
  <c r="V89" i="2"/>
  <c r="T89" i="2" s="1"/>
  <c r="V39" i="2"/>
  <c r="T39" i="2" s="1"/>
  <c r="V110" i="2"/>
  <c r="T110" i="2" s="1"/>
  <c r="V21" i="2"/>
  <c r="T21" i="2" s="1"/>
  <c r="V139" i="2"/>
  <c r="T139" i="2" s="1"/>
  <c r="V116" i="2"/>
  <c r="T116" i="2" s="1"/>
  <c r="V10" i="2"/>
  <c r="T10" i="2" s="1"/>
  <c r="V141" i="2"/>
  <c r="T141" i="2" s="1"/>
  <c r="V13" i="2"/>
  <c r="T13" i="2" s="1"/>
  <c r="V79" i="2"/>
  <c r="T79" i="2" s="1"/>
  <c r="V129" i="2"/>
  <c r="T129" i="2" s="1"/>
  <c r="V115" i="2"/>
  <c r="T115" i="2" s="1"/>
  <c r="V51" i="2"/>
  <c r="T51" i="2" s="1"/>
  <c r="V161" i="2"/>
  <c r="T161" i="2" s="1"/>
  <c r="V14" i="2"/>
  <c r="T14" i="2" s="1"/>
  <c r="V144" i="2"/>
  <c r="T144" i="2" s="1"/>
  <c r="V98" i="2"/>
  <c r="T98" i="2" s="1"/>
  <c r="V77" i="2"/>
  <c r="T77" i="2" s="1"/>
  <c r="V123" i="2"/>
  <c r="T123" i="2" s="1"/>
  <c r="V136" i="2"/>
  <c r="T136" i="2" s="1"/>
  <c r="V75" i="2"/>
  <c r="T75" i="2" s="1"/>
  <c r="V157" i="2"/>
  <c r="T157" i="2" s="1"/>
  <c r="V130" i="2"/>
  <c r="T130" i="2" s="1"/>
  <c r="V47" i="2"/>
  <c r="T47" i="2" s="1"/>
  <c r="V57" i="2"/>
  <c r="T57" i="2" s="1"/>
  <c r="V9" i="2"/>
  <c r="T9" i="2" s="1"/>
  <c r="V52" i="2"/>
  <c r="T52" i="2" s="1"/>
  <c r="V43" i="2"/>
  <c r="T43" i="2" s="1"/>
  <c r="V117" i="2"/>
  <c r="T117" i="2" s="1"/>
  <c r="V38" i="2"/>
  <c r="T38" i="2" s="1"/>
  <c r="V93" i="2"/>
  <c r="T93" i="2" s="1"/>
  <c r="V124" i="2"/>
  <c r="T124" i="2" s="1"/>
  <c r="V48" i="2"/>
  <c r="T48" i="2" s="1"/>
  <c r="V35" i="2"/>
  <c r="T35" i="2" s="1"/>
  <c r="V174" i="2"/>
  <c r="T174" i="2" s="1"/>
  <c r="V67" i="2"/>
  <c r="T67" i="2" s="1"/>
  <c r="V16" i="2"/>
  <c r="T16" i="2" s="1"/>
  <c r="V127" i="2"/>
  <c r="T127" i="2" s="1"/>
  <c r="V122" i="2"/>
  <c r="T122" i="2" s="1"/>
  <c r="V12" i="2"/>
  <c r="T12" i="2" s="1"/>
  <c r="V119" i="2"/>
  <c r="T119" i="2" s="1"/>
  <c r="V25" i="2"/>
  <c r="T25" i="2" s="1"/>
  <c r="V37" i="2"/>
  <c r="T37" i="2" s="1"/>
  <c r="V83" i="2"/>
  <c r="T83" i="2" s="1"/>
  <c r="V158" i="2"/>
  <c r="T158" i="2" s="1"/>
  <c r="V167" i="2"/>
  <c r="T167" i="2" s="1"/>
  <c r="V50" i="2"/>
  <c r="T50" i="2" s="1"/>
  <c r="V78" i="2"/>
  <c r="T78" i="2" s="1"/>
  <c r="V41" i="2"/>
  <c r="T41" i="2" s="1"/>
  <c r="V49" i="2"/>
  <c r="T49" i="2" s="1"/>
  <c r="V11" i="2"/>
  <c r="T11" i="2" s="1"/>
  <c r="V18" i="2"/>
  <c r="T18" i="2" s="1"/>
  <c r="V107" i="2"/>
  <c r="T107" i="2" s="1"/>
  <c r="V53" i="2"/>
  <c r="T53" i="2" s="1"/>
  <c r="V42" i="2"/>
  <c r="T42" i="2" s="1"/>
  <c r="V82" i="2"/>
  <c r="T82" i="2" s="1"/>
  <c r="V22" i="2"/>
  <c r="T22" i="2" s="1"/>
  <c r="V148" i="2"/>
  <c r="T148" i="2" s="1"/>
  <c r="V149" i="2"/>
  <c r="T149" i="2" s="1"/>
  <c r="V173" i="2"/>
  <c r="T173" i="2" s="1"/>
  <c r="V92" i="2"/>
  <c r="T92" i="2" s="1"/>
  <c r="V106" i="2"/>
  <c r="T106" i="2" s="1"/>
  <c r="V118" i="2"/>
  <c r="T118" i="2" s="1"/>
  <c r="V137" i="2"/>
  <c r="T137" i="2" s="1"/>
  <c r="V121" i="2"/>
  <c r="T121" i="2" s="1"/>
  <c r="V65" i="2"/>
  <c r="T65" i="2" s="1"/>
  <c r="V88" i="2"/>
  <c r="T88" i="2" s="1"/>
  <c r="V32" i="2"/>
  <c r="T32" i="2" s="1"/>
  <c r="V27" i="2"/>
  <c r="T27" i="2" s="1"/>
  <c r="V24" i="2"/>
  <c r="T24" i="2" s="1"/>
  <c r="V132" i="2"/>
  <c r="T132" i="2" s="1"/>
  <c r="V64" i="2"/>
  <c r="T64" i="2" s="1"/>
  <c r="V96" i="2"/>
  <c r="T96" i="2" s="1"/>
  <c r="V63" i="2"/>
  <c r="T63" i="2" s="1"/>
  <c r="V23" i="2"/>
  <c r="T23" i="2" s="1"/>
  <c r="V45" i="2"/>
  <c r="T45" i="2" s="1"/>
  <c r="V170" i="2"/>
  <c r="T170" i="2" s="1"/>
  <c r="V81" i="2"/>
  <c r="T81" i="2" s="1"/>
  <c r="V69" i="2"/>
  <c r="T69" i="2" s="1"/>
  <c r="V8" i="2"/>
  <c r="T8" i="2" s="1"/>
  <c r="V33" i="2"/>
  <c r="T33" i="2" s="1"/>
  <c r="V60" i="2"/>
  <c r="T60" i="2" s="1"/>
  <c r="V103" i="2"/>
  <c r="T103" i="2" s="1"/>
  <c r="V70" i="2"/>
  <c r="T70" i="2" s="1"/>
  <c r="V113" i="2"/>
  <c r="T113" i="2" s="1"/>
  <c r="V101" i="2"/>
  <c r="T101" i="2" s="1"/>
  <c r="V100" i="2"/>
  <c r="T100" i="2" s="1"/>
  <c r="V159" i="2"/>
  <c r="T159" i="2" s="1"/>
  <c r="V94" i="2"/>
  <c r="T94" i="2" s="1"/>
  <c r="V84" i="2"/>
  <c r="T84" i="2" s="1"/>
  <c r="V99" i="2"/>
  <c r="T99" i="2" s="1"/>
  <c r="V20" i="2"/>
  <c r="T20" i="2" s="1"/>
  <c r="V54" i="2"/>
  <c r="T54" i="2" s="1"/>
  <c r="V62" i="2"/>
  <c r="T62" i="2" s="1"/>
  <c r="V56" i="2"/>
  <c r="T56" i="2" s="1"/>
  <c r="V128" i="2"/>
  <c r="T128" i="2" s="1"/>
  <c r="V154" i="2"/>
  <c r="T154" i="2" s="1"/>
  <c r="V58" i="2"/>
  <c r="T58" i="2" s="1"/>
  <c r="V126" i="2"/>
  <c r="T126" i="2" s="1"/>
  <c r="V68" i="2"/>
  <c r="T68" i="2" s="1"/>
  <c r="V102" i="2"/>
  <c r="T102" i="2" s="1"/>
  <c r="V34" i="2"/>
  <c r="T34" i="2" s="1"/>
  <c r="V140" i="2"/>
  <c r="T140" i="2" s="1"/>
  <c r="V66" i="2"/>
  <c r="T66" i="2" s="1"/>
  <c r="V28" i="2"/>
  <c r="T28" i="2" s="1"/>
  <c r="V86" i="2"/>
  <c r="T86" i="2" s="1"/>
  <c r="V26" i="2"/>
  <c r="T26" i="2" s="1"/>
  <c r="V46" i="2"/>
  <c r="T46" i="2" s="1"/>
  <c r="V151" i="2"/>
  <c r="T151" i="2" s="1"/>
  <c r="V160" i="2"/>
  <c r="T160" i="2" s="1"/>
  <c r="V164" i="2"/>
  <c r="T164" i="2" s="1"/>
  <c r="V165" i="2"/>
  <c r="T165" i="2" s="1"/>
  <c r="V169" i="2"/>
  <c r="T169" i="2" s="1"/>
  <c r="V171" i="2"/>
  <c r="T171" i="2" s="1"/>
  <c r="V29" i="2"/>
  <c r="T29" i="2" s="1"/>
  <c r="V134" i="2"/>
  <c r="T134" i="2" s="1"/>
  <c r="V125" i="2"/>
  <c r="T125" i="2" s="1"/>
  <c r="V152" i="2"/>
  <c r="T152" i="2" s="1"/>
  <c r="V55" i="2"/>
  <c r="T55" i="2" s="1"/>
  <c r="V105" i="2"/>
  <c r="T105" i="2" s="1"/>
  <c r="V19" i="2"/>
  <c r="T19" i="2" s="1"/>
  <c r="V95" i="2"/>
  <c r="T95" i="2" s="1"/>
  <c r="V143" i="2"/>
  <c r="T143" i="2" s="1"/>
  <c r="V155" i="2"/>
  <c r="T155" i="2" s="1"/>
  <c r="V76" i="2"/>
  <c r="T76" i="2" s="1"/>
  <c r="V91" i="2"/>
  <c r="T91" i="2" s="1"/>
  <c r="V145" i="2"/>
  <c r="T145" i="2" s="1"/>
  <c r="V108" i="2"/>
  <c r="T108" i="2" s="1"/>
  <c r="V172" i="2"/>
  <c r="T172" i="2" s="1"/>
  <c r="V131" i="2"/>
  <c r="T131" i="2" s="1"/>
  <c r="V17" i="2"/>
  <c r="T17" i="2" s="1"/>
  <c r="V120" i="2"/>
  <c r="T120" i="2" s="1"/>
  <c r="V30" i="2"/>
  <c r="T30" i="2" s="1"/>
  <c r="V97" i="2"/>
  <c r="T97" i="2" s="1"/>
  <c r="V133" i="2"/>
  <c r="T133" i="2" s="1"/>
  <c r="V59" i="2"/>
  <c r="T59" i="2" s="1"/>
  <c r="V73" i="2"/>
  <c r="T73" i="2" s="1"/>
  <c r="V135" i="2"/>
  <c r="T135" i="2" s="1"/>
  <c r="V153" i="2"/>
  <c r="T153" i="2" s="1"/>
  <c r="V163" i="2"/>
  <c r="T163" i="2" s="1"/>
  <c r="V87" i="2"/>
  <c r="T87" i="2" s="1"/>
  <c r="V31" i="2"/>
  <c r="T31" i="2" s="1"/>
  <c r="V138" i="2"/>
  <c r="T138" i="2" s="1"/>
  <c r="V36" i="2"/>
  <c r="T36" i="2" s="1"/>
  <c r="V109" i="2"/>
  <c r="T109" i="2" s="1"/>
  <c r="V142" i="2"/>
  <c r="T142" i="2" s="1"/>
  <c r="V90" i="2"/>
  <c r="T90" i="2" s="1"/>
  <c r="V85" i="2"/>
  <c r="T85" i="2" s="1"/>
  <c r="V111" i="2"/>
  <c r="T111" i="2" s="1"/>
  <c r="V112" i="2"/>
  <c r="T112" i="2" s="1"/>
  <c r="V61" i="2"/>
  <c r="T61" i="2" s="1"/>
  <c r="V44" i="2"/>
  <c r="T44" i="2" s="1"/>
  <c r="V80" i="2"/>
  <c r="T80" i="2" s="1"/>
  <c r="V71" i="2"/>
  <c r="T71" i="2" s="1"/>
  <c r="V40" i="2"/>
  <c r="T40" i="2" s="1"/>
  <c r="V114" i="2"/>
  <c r="T114" i="2" s="1"/>
  <c r="V156" i="2"/>
  <c r="T156" i="2" s="1"/>
  <c r="V166" i="2"/>
  <c r="T166" i="2" s="1"/>
  <c r="V168" i="2"/>
  <c r="T168" i="2" s="1"/>
  <c r="AD175" i="2"/>
  <c r="AE175" i="2"/>
  <c r="O175" i="2"/>
  <c r="AC175" i="2"/>
  <c r="V175" i="2"/>
  <c r="T175" i="2" s="1"/>
  <c r="AA175" i="2"/>
  <c r="Z175" i="2" s="1"/>
  <c r="W175" i="2"/>
  <c r="P176" i="2"/>
  <c r="AE176" i="2"/>
  <c r="O176" i="2"/>
  <c r="AD176" i="2"/>
  <c r="V176" i="2"/>
  <c r="T176" i="2" s="1"/>
  <c r="AA176" i="2"/>
  <c r="Z176" i="2" s="1"/>
  <c r="W176" i="2"/>
  <c r="AC176" i="2"/>
  <c r="AE177" i="2"/>
  <c r="AD177" i="2"/>
  <c r="O177" i="2"/>
  <c r="W177" i="2"/>
  <c r="AA177" i="2"/>
  <c r="Z177" i="2" s="1"/>
  <c r="V177" i="2"/>
  <c r="T177" i="2" s="1"/>
  <c r="AC177" i="2"/>
  <c r="P177" i="2"/>
  <c r="W147" i="2"/>
  <c r="V147" i="2"/>
  <c r="T147" i="2" s="1"/>
  <c r="W146" i="2"/>
  <c r="V146" i="2"/>
  <c r="T146" i="2" s="1"/>
  <c r="P173" i="2"/>
  <c r="AA171" i="2"/>
  <c r="Z171" i="2" s="1"/>
  <c r="W171" i="2"/>
  <c r="AE171" i="2"/>
  <c r="O171" i="2"/>
  <c r="AC171" i="2"/>
  <c r="AD171" i="2"/>
  <c r="P172" i="2"/>
  <c r="AA172" i="2"/>
  <c r="Z172" i="2" s="1"/>
  <c r="W172" i="2"/>
  <c r="AE172" i="2"/>
  <c r="O172" i="2"/>
  <c r="AD172" i="2"/>
  <c r="AC172" i="2"/>
  <c r="P171" i="2"/>
  <c r="AD173" i="2"/>
  <c r="AA173" i="2"/>
  <c r="Z173" i="2" s="1"/>
  <c r="O173" i="2"/>
  <c r="W173" i="2"/>
  <c r="AE173" i="2"/>
  <c r="AC173" i="2"/>
  <c r="P174" i="2"/>
  <c r="W174" i="2"/>
  <c r="AA174" i="2"/>
  <c r="Z174" i="2" s="1"/>
  <c r="AD174" i="2"/>
  <c r="AE174" i="2"/>
  <c r="O174" i="2"/>
  <c r="AC174" i="2"/>
  <c r="AE167" i="2"/>
  <c r="O167" i="2"/>
  <c r="AD167" i="2"/>
  <c r="AA167" i="2"/>
  <c r="Z167" i="2" s="1"/>
  <c r="W167" i="2"/>
  <c r="AC167" i="2"/>
  <c r="O166" i="2"/>
  <c r="AC166" i="2"/>
  <c r="AA166" i="2"/>
  <c r="Z166" i="2" s="1"/>
  <c r="AD166" i="2"/>
  <c r="W166" i="2"/>
  <c r="AE166" i="2"/>
  <c r="P167" i="2"/>
  <c r="AE165" i="2"/>
  <c r="W165" i="2"/>
  <c r="AD165" i="2"/>
  <c r="AA165" i="2"/>
  <c r="Z165" i="2" s="1"/>
  <c r="AC165" i="2"/>
  <c r="O165" i="2"/>
  <c r="P166" i="2"/>
  <c r="P165" i="2"/>
  <c r="P170" i="2"/>
  <c r="P169" i="2"/>
  <c r="AA169" i="2"/>
  <c r="Z169" i="2" s="1"/>
  <c r="AD169" i="2"/>
  <c r="AC169" i="2"/>
  <c r="O169" i="2"/>
  <c r="W169" i="2"/>
  <c r="AE169" i="2"/>
  <c r="AA168" i="2"/>
  <c r="Z168" i="2" s="1"/>
  <c r="W168" i="2"/>
  <c r="AC168" i="2"/>
  <c r="AD168" i="2"/>
  <c r="AE168" i="2"/>
  <c r="O168" i="2"/>
  <c r="P168" i="2"/>
  <c r="O170" i="2"/>
  <c r="AC170" i="2"/>
  <c r="AD170" i="2"/>
  <c r="AA170" i="2"/>
  <c r="Z170" i="2" s="1"/>
  <c r="W170" i="2"/>
  <c r="AE170" i="2"/>
  <c r="AC164" i="2"/>
  <c r="P164" i="2"/>
  <c r="W164" i="2"/>
  <c r="AA164" i="2"/>
  <c r="Z164" i="2" s="1"/>
  <c r="AE164" i="2"/>
  <c r="O164" i="2"/>
  <c r="AD164" i="2"/>
  <c r="AC161" i="2"/>
  <c r="AC160" i="2"/>
  <c r="AC159" i="2"/>
  <c r="P163" i="2"/>
  <c r="AC162" i="2"/>
  <c r="W159" i="2"/>
  <c r="AD159" i="2"/>
  <c r="AA159" i="2"/>
  <c r="Z159" i="2" s="1"/>
  <c r="AE159" i="2"/>
  <c r="O159" i="2"/>
  <c r="P159" i="2"/>
  <c r="O162" i="2"/>
  <c r="AD162" i="2"/>
  <c r="W162" i="2"/>
  <c r="AE162" i="2"/>
  <c r="AA162" i="2"/>
  <c r="Z162" i="2" s="1"/>
  <c r="P161" i="2"/>
  <c r="P160" i="2"/>
  <c r="AE161" i="2"/>
  <c r="O161" i="2"/>
  <c r="AD161" i="2"/>
  <c r="AA161" i="2"/>
  <c r="Z161" i="2" s="1"/>
  <c r="W161" i="2"/>
  <c r="AA160" i="2"/>
  <c r="Z160" i="2" s="1"/>
  <c r="AD160" i="2"/>
  <c r="W160" i="2"/>
  <c r="AE160" i="2"/>
  <c r="O160" i="2"/>
  <c r="W163" i="2"/>
  <c r="AE163" i="2"/>
  <c r="O163" i="2"/>
  <c r="AA163" i="2"/>
  <c r="Z163" i="2" s="1"/>
  <c r="AD163" i="2"/>
  <c r="AC163" i="2"/>
  <c r="AC155" i="2"/>
  <c r="AC156" i="2"/>
  <c r="P155" i="2"/>
  <c r="P156" i="2"/>
  <c r="AE155" i="2"/>
  <c r="W155" i="2"/>
  <c r="AD155" i="2"/>
  <c r="AA155" i="2"/>
  <c r="Z155" i="2" s="1"/>
  <c r="O155" i="2"/>
  <c r="P158" i="2"/>
  <c r="AE158" i="2"/>
  <c r="O158" i="2"/>
  <c r="AD158" i="2"/>
  <c r="AA158" i="2"/>
  <c r="Z158" i="2" s="1"/>
  <c r="W158" i="2"/>
  <c r="AA156" i="2"/>
  <c r="Z156" i="2" s="1"/>
  <c r="W156" i="2"/>
  <c r="O156" i="2"/>
  <c r="AE156" i="2"/>
  <c r="AD156" i="2"/>
  <c r="P157" i="2"/>
  <c r="AD157" i="2"/>
  <c r="W157" i="2"/>
  <c r="AE157" i="2"/>
  <c r="O157" i="2"/>
  <c r="AA157" i="2"/>
  <c r="Z157" i="2" s="1"/>
  <c r="AC158" i="2"/>
  <c r="AC157" i="2"/>
  <c r="P150" i="2"/>
  <c r="W149" i="2"/>
  <c r="AA149" i="2"/>
  <c r="Z149" i="2" s="1"/>
  <c r="AE149" i="2"/>
  <c r="AD149" i="2"/>
  <c r="O149" i="2"/>
  <c r="AC149" i="2"/>
  <c r="P151" i="2"/>
  <c r="P149" i="2"/>
  <c r="W154" i="2"/>
  <c r="AE154" i="2"/>
  <c r="O154" i="2"/>
  <c r="AD154" i="2"/>
  <c r="AC154" i="2"/>
  <c r="AA154" i="2"/>
  <c r="Z154" i="2" s="1"/>
  <c r="AE153" i="2"/>
  <c r="O153" i="2"/>
  <c r="AC153" i="2"/>
  <c r="W153" i="2"/>
  <c r="AD153" i="2"/>
  <c r="AA153" i="2"/>
  <c r="Z153" i="2" s="1"/>
  <c r="O152" i="2"/>
  <c r="AD152" i="2"/>
  <c r="W152" i="2"/>
  <c r="AE152" i="2"/>
  <c r="AA152" i="2"/>
  <c r="Z152" i="2" s="1"/>
  <c r="AC152" i="2"/>
  <c r="P152" i="2"/>
  <c r="AD151" i="2"/>
  <c r="AC151" i="2"/>
  <c r="AA151" i="2"/>
  <c r="Z151" i="2" s="1"/>
  <c r="AE151" i="2"/>
  <c r="O151" i="2"/>
  <c r="W151" i="2"/>
  <c r="W150" i="2"/>
  <c r="AE150" i="2"/>
  <c r="AD150" i="2"/>
  <c r="O150" i="2"/>
  <c r="AA150" i="2"/>
  <c r="Z150" i="2" s="1"/>
  <c r="AC150" i="2"/>
  <c r="P153" i="2"/>
  <c r="W145" i="2"/>
  <c r="AA146" i="2"/>
  <c r="Z146" i="2" s="1"/>
  <c r="P148" i="2"/>
  <c r="AA148" i="2"/>
  <c r="Z148" i="2" s="1"/>
  <c r="W148" i="2"/>
  <c r="O148" i="2"/>
  <c r="AE148" i="2"/>
  <c r="AD148" i="2"/>
  <c r="AC148" i="2"/>
  <c r="AA147" i="2"/>
  <c r="Z147" i="2" s="1"/>
  <c r="AC147" i="2"/>
  <c r="AC146" i="2"/>
  <c r="AC145" i="2"/>
  <c r="AE145" i="2"/>
  <c r="O145" i="2"/>
  <c r="AD145" i="2"/>
  <c r="AA145" i="2"/>
  <c r="Z145" i="2" s="1"/>
  <c r="P146" i="2"/>
  <c r="O146" i="2"/>
  <c r="AE146" i="2"/>
  <c r="AD146" i="2"/>
  <c r="P147" i="2"/>
  <c r="AE147" i="2"/>
  <c r="O147" i="2"/>
  <c r="AD147" i="2"/>
  <c r="A17" i="12"/>
  <c r="C16" i="12"/>
  <c r="D15" i="12"/>
  <c r="O38" i="2"/>
  <c r="W38" i="2"/>
  <c r="AD38" i="2"/>
  <c r="AE38" i="2"/>
  <c r="AA38" i="2"/>
  <c r="Z38" i="2" s="1"/>
  <c r="AC38" i="2"/>
  <c r="P8" i="2"/>
  <c r="P135" i="2"/>
  <c r="P50" i="2"/>
  <c r="P17" i="2"/>
  <c r="P47" i="2"/>
  <c r="P55" i="2"/>
  <c r="P75" i="2"/>
  <c r="P15" i="2"/>
  <c r="P110" i="2"/>
  <c r="AC90" i="2"/>
  <c r="AA90" i="2"/>
  <c r="Z90" i="2" s="1"/>
  <c r="O90" i="2"/>
  <c r="AE90" i="2"/>
  <c r="AD90" i="2"/>
  <c r="W90" i="2"/>
  <c r="AE42" i="2"/>
  <c r="AD42" i="2"/>
  <c r="O42" i="2"/>
  <c r="AC42" i="2"/>
  <c r="AA42" i="2"/>
  <c r="Z42" i="2" s="1"/>
  <c r="W42" i="2"/>
  <c r="AE108" i="2"/>
  <c r="W108" i="2"/>
  <c r="AC108" i="2"/>
  <c r="AA108" i="2"/>
  <c r="Z108" i="2" s="1"/>
  <c r="AD108" i="2"/>
  <c r="O108" i="2"/>
  <c r="W140" i="2"/>
  <c r="AC140" i="2"/>
  <c r="AA140" i="2"/>
  <c r="Z140" i="2" s="1"/>
  <c r="AD140" i="2"/>
  <c r="O140" i="2"/>
  <c r="AE140" i="2"/>
  <c r="P31" i="2"/>
  <c r="P143" i="2"/>
  <c r="P127" i="2"/>
  <c r="P113" i="2"/>
  <c r="AC27" i="2"/>
  <c r="AE27" i="2"/>
  <c r="W27" i="2"/>
  <c r="AD27" i="2"/>
  <c r="O27" i="2"/>
  <c r="AA27" i="2"/>
  <c r="Z27" i="2" s="1"/>
  <c r="P28" i="2"/>
  <c r="AA57" i="2"/>
  <c r="Z57" i="2" s="1"/>
  <c r="AC57" i="2"/>
  <c r="AE57" i="2"/>
  <c r="W57" i="2"/>
  <c r="AD57" i="2"/>
  <c r="O57" i="2"/>
  <c r="O17" i="2"/>
  <c r="AA17" i="2"/>
  <c r="Z17" i="2" s="1"/>
  <c r="AD17" i="2"/>
  <c r="W17" i="2"/>
  <c r="AE17" i="2"/>
  <c r="AC17" i="2"/>
  <c r="AD102" i="2"/>
  <c r="O102" i="2"/>
  <c r="AE102" i="2"/>
  <c r="W102" i="2"/>
  <c r="AC102" i="2"/>
  <c r="AA102" i="2"/>
  <c r="Z102" i="2" s="1"/>
  <c r="P63" i="2"/>
  <c r="AE117" i="2"/>
  <c r="AC117" i="2"/>
  <c r="W117" i="2"/>
  <c r="O117" i="2"/>
  <c r="AD117" i="2"/>
  <c r="AA117" i="2"/>
  <c r="Z117" i="2" s="1"/>
  <c r="O10" i="2"/>
  <c r="AE10" i="2"/>
  <c r="AC10" i="2"/>
  <c r="AA10" i="2"/>
  <c r="Z10" i="2" s="1"/>
  <c r="AD10" i="2"/>
  <c r="W10" i="2"/>
  <c r="P43" i="2"/>
  <c r="P35" i="2"/>
  <c r="W119" i="2"/>
  <c r="AA119" i="2"/>
  <c r="Z119" i="2" s="1"/>
  <c r="O119" i="2"/>
  <c r="AE119" i="2"/>
  <c r="AC119" i="2"/>
  <c r="AD119" i="2"/>
  <c r="W116" i="2"/>
  <c r="AE116" i="2"/>
  <c r="AD116" i="2"/>
  <c r="O116" i="2"/>
  <c r="AA116" i="2"/>
  <c r="Z116" i="2" s="1"/>
  <c r="AC116" i="2"/>
  <c r="P40" i="2"/>
  <c r="P115" i="2"/>
  <c r="W55" i="2"/>
  <c r="AD55" i="2"/>
  <c r="AC55" i="2"/>
  <c r="AE55" i="2"/>
  <c r="O55" i="2"/>
  <c r="AA55" i="2"/>
  <c r="Z55" i="2" s="1"/>
  <c r="W125" i="2"/>
  <c r="AA125" i="2"/>
  <c r="Z125" i="2" s="1"/>
  <c r="AE125" i="2"/>
  <c r="AD125" i="2"/>
  <c r="O125" i="2"/>
  <c r="AC125" i="2"/>
  <c r="AD80" i="2"/>
  <c r="AA80" i="2"/>
  <c r="Z80" i="2" s="1"/>
  <c r="W80" i="2"/>
  <c r="AC80" i="2"/>
  <c r="O80" i="2"/>
  <c r="AE80" i="2"/>
  <c r="O135" i="2"/>
  <c r="AE135" i="2"/>
  <c r="AD135" i="2"/>
  <c r="AA135" i="2"/>
  <c r="Z135" i="2" s="1"/>
  <c r="W135" i="2"/>
  <c r="AC135" i="2"/>
  <c r="AC127" i="2"/>
  <c r="AD127" i="2"/>
  <c r="AA127" i="2"/>
  <c r="Z127" i="2" s="1"/>
  <c r="W127" i="2"/>
  <c r="AE127" i="2"/>
  <c r="O127" i="2"/>
  <c r="W69" i="2"/>
  <c r="AD69" i="2"/>
  <c r="AE69" i="2"/>
  <c r="O69" i="2"/>
  <c r="AC69" i="2"/>
  <c r="AA69" i="2"/>
  <c r="Z69" i="2" s="1"/>
  <c r="AE43" i="2"/>
  <c r="O43" i="2"/>
  <c r="AA43" i="2"/>
  <c r="Z43" i="2" s="1"/>
  <c r="AD43" i="2"/>
  <c r="AC43" i="2"/>
  <c r="W43" i="2"/>
  <c r="AE50" i="2"/>
  <c r="AD50" i="2"/>
  <c r="AA50" i="2"/>
  <c r="Z50" i="2" s="1"/>
  <c r="W50" i="2"/>
  <c r="O50" i="2"/>
  <c r="AC50" i="2"/>
  <c r="AD99" i="2"/>
  <c r="AE99" i="2"/>
  <c r="W99" i="2"/>
  <c r="O99" i="2"/>
  <c r="AA99" i="2"/>
  <c r="Z99" i="2" s="1"/>
  <c r="AC99" i="2"/>
  <c r="AE88" i="2"/>
  <c r="AA88" i="2"/>
  <c r="Z88" i="2" s="1"/>
  <c r="W88" i="2"/>
  <c r="O88" i="2"/>
  <c r="AD88" i="2"/>
  <c r="AC88" i="2"/>
  <c r="P49" i="2"/>
  <c r="P65" i="2"/>
  <c r="AD83" i="2"/>
  <c r="AA83" i="2"/>
  <c r="Z83" i="2" s="1"/>
  <c r="W83" i="2"/>
  <c r="AC83" i="2"/>
  <c r="O83" i="2"/>
  <c r="AE83" i="2"/>
  <c r="O58" i="2"/>
  <c r="AE58" i="2"/>
  <c r="AD58" i="2"/>
  <c r="AC58" i="2"/>
  <c r="AA58" i="2"/>
  <c r="Z58" i="2" s="1"/>
  <c r="W58" i="2"/>
  <c r="P85" i="2"/>
  <c r="AC141" i="2"/>
  <c r="W141" i="2"/>
  <c r="O141" i="2"/>
  <c r="AE141" i="2"/>
  <c r="AD141" i="2"/>
  <c r="AA141" i="2"/>
  <c r="Z141" i="2" s="1"/>
  <c r="AC52" i="2"/>
  <c r="W52" i="2"/>
  <c r="AA52" i="2"/>
  <c r="Z52" i="2" s="1"/>
  <c r="AD52" i="2"/>
  <c r="O52" i="2"/>
  <c r="AE52" i="2"/>
  <c r="P24" i="2"/>
  <c r="AD26" i="2"/>
  <c r="W26" i="2"/>
  <c r="AA26" i="2"/>
  <c r="Z26" i="2" s="1"/>
  <c r="O26" i="2"/>
  <c r="AC26" i="2"/>
  <c r="AE26" i="2"/>
  <c r="O37" i="2"/>
  <c r="AD37" i="2"/>
  <c r="AE37" i="2"/>
  <c r="AC37" i="2"/>
  <c r="W37" i="2"/>
  <c r="AA37" i="2"/>
  <c r="Z37" i="2" s="1"/>
  <c r="AE105" i="2"/>
  <c r="AD105" i="2"/>
  <c r="O105" i="2"/>
  <c r="AA105" i="2"/>
  <c r="Z105" i="2" s="1"/>
  <c r="W105" i="2"/>
  <c r="AC105" i="2"/>
  <c r="AC70" i="2"/>
  <c r="W70" i="2"/>
  <c r="O70" i="2"/>
  <c r="AA70" i="2"/>
  <c r="Z70" i="2" s="1"/>
  <c r="AD70" i="2"/>
  <c r="AE70" i="2"/>
  <c r="P138" i="2"/>
  <c r="W35" i="2"/>
  <c r="AD35" i="2"/>
  <c r="O35" i="2"/>
  <c r="AA35" i="2"/>
  <c r="Z35" i="2" s="1"/>
  <c r="AE35" i="2"/>
  <c r="AC35" i="2"/>
  <c r="P10" i="2"/>
  <c r="O107" i="2"/>
  <c r="AD107" i="2"/>
  <c r="AC107" i="2"/>
  <c r="AE107" i="2"/>
  <c r="AA107" i="2"/>
  <c r="Z107" i="2" s="1"/>
  <c r="W107" i="2"/>
  <c r="P83" i="2"/>
  <c r="AD98" i="2"/>
  <c r="O98" i="2"/>
  <c r="W98" i="2"/>
  <c r="AC98" i="2"/>
  <c r="AE98" i="2"/>
  <c r="AA98" i="2"/>
  <c r="Z98" i="2" s="1"/>
  <c r="AD130" i="2"/>
  <c r="AA130" i="2"/>
  <c r="Z130" i="2" s="1"/>
  <c r="W130" i="2"/>
  <c r="O130" i="2"/>
  <c r="AC130" i="2"/>
  <c r="AE130" i="2"/>
  <c r="AE77" i="2"/>
  <c r="AC77" i="2"/>
  <c r="AA77" i="2"/>
  <c r="Z77" i="2" s="1"/>
  <c r="O77" i="2"/>
  <c r="AD77" i="2"/>
  <c r="W77" i="2"/>
  <c r="O60" i="2"/>
  <c r="AE60" i="2"/>
  <c r="AA60" i="2"/>
  <c r="Z60" i="2" s="1"/>
  <c r="W60" i="2"/>
  <c r="AD60" i="2"/>
  <c r="AC60" i="2"/>
  <c r="AC81" i="2"/>
  <c r="AA81" i="2"/>
  <c r="Z81" i="2" s="1"/>
  <c r="O81" i="2"/>
  <c r="AD81" i="2"/>
  <c r="AE81" i="2"/>
  <c r="W81" i="2"/>
  <c r="AC122" i="2"/>
  <c r="W122" i="2"/>
  <c r="AE122" i="2"/>
  <c r="O122" i="2"/>
  <c r="AA122" i="2"/>
  <c r="Z122" i="2" s="1"/>
  <c r="AD122" i="2"/>
  <c r="O48" i="2"/>
  <c r="AA48" i="2"/>
  <c r="Z48" i="2" s="1"/>
  <c r="AE48" i="2"/>
  <c r="AD48" i="2"/>
  <c r="W48" i="2"/>
  <c r="AC48" i="2"/>
  <c r="P62" i="2"/>
  <c r="P84" i="2"/>
  <c r="P86" i="2"/>
  <c r="AD29" i="2"/>
  <c r="W29" i="2"/>
  <c r="AE29" i="2"/>
  <c r="O29" i="2"/>
  <c r="AC29" i="2"/>
  <c r="AA29" i="2"/>
  <c r="Z29" i="2" s="1"/>
  <c r="P126" i="2"/>
  <c r="W12" i="2"/>
  <c r="AD12" i="2"/>
  <c r="AE12" i="2"/>
  <c r="O12" i="2"/>
  <c r="AC12" i="2"/>
  <c r="AA12" i="2"/>
  <c r="Z12" i="2" s="1"/>
  <c r="AC110" i="2"/>
  <c r="AA110" i="2"/>
  <c r="Z110" i="2" s="1"/>
  <c r="O110" i="2"/>
  <c r="AD110" i="2"/>
  <c r="W110" i="2"/>
  <c r="AE110" i="2"/>
  <c r="P117" i="2"/>
  <c r="AE72" i="2"/>
  <c r="AD72" i="2"/>
  <c r="AC72" i="2"/>
  <c r="AA72" i="2"/>
  <c r="Z72" i="2" s="1"/>
  <c r="O72" i="2"/>
  <c r="W72" i="2"/>
  <c r="P69" i="2"/>
  <c r="O126" i="2"/>
  <c r="AD126" i="2"/>
  <c r="W126" i="2"/>
  <c r="AC126" i="2"/>
  <c r="AA126" i="2"/>
  <c r="Z126" i="2" s="1"/>
  <c r="AE126" i="2"/>
  <c r="P134" i="2"/>
  <c r="AE109" i="2"/>
  <c r="AC109" i="2"/>
  <c r="W109" i="2"/>
  <c r="AD109" i="2"/>
  <c r="AA109" i="2"/>
  <c r="Z109" i="2" s="1"/>
  <c r="O109" i="2"/>
  <c r="AD22" i="2"/>
  <c r="W22" i="2"/>
  <c r="AA22" i="2"/>
  <c r="Z22" i="2" s="1"/>
  <c r="AC22" i="2"/>
  <c r="AE22" i="2"/>
  <c r="O22" i="2"/>
  <c r="P36" i="2"/>
  <c r="O46" i="2"/>
  <c r="AD46" i="2"/>
  <c r="AE46" i="2"/>
  <c r="AA46" i="2"/>
  <c r="Z46" i="2" s="1"/>
  <c r="W46" i="2"/>
  <c r="AC46" i="2"/>
  <c r="O97" i="2"/>
  <c r="AC97" i="2"/>
  <c r="AE97" i="2"/>
  <c r="AD97" i="2"/>
  <c r="W97" i="2"/>
  <c r="AA97" i="2"/>
  <c r="Z97" i="2" s="1"/>
  <c r="AC75" i="2"/>
  <c r="W75" i="2"/>
  <c r="AE75" i="2"/>
  <c r="O75" i="2"/>
  <c r="AD75" i="2"/>
  <c r="AA75" i="2"/>
  <c r="Z75" i="2" s="1"/>
  <c r="P41" i="2"/>
  <c r="AD104" i="2"/>
  <c r="W104" i="2"/>
  <c r="O104" i="2"/>
  <c r="AE104" i="2"/>
  <c r="AC104" i="2"/>
  <c r="AA104" i="2"/>
  <c r="Z104" i="2" s="1"/>
  <c r="W71" i="2"/>
  <c r="AC71" i="2"/>
  <c r="AA71" i="2"/>
  <c r="Z71" i="2" s="1"/>
  <c r="AE71" i="2"/>
  <c r="O71" i="2"/>
  <c r="AD71" i="2"/>
  <c r="AA96" i="2"/>
  <c r="Z96" i="2" s="1"/>
  <c r="AC96" i="2"/>
  <c r="AE96" i="2"/>
  <c r="O96" i="2"/>
  <c r="AD96" i="2"/>
  <c r="W96" i="2"/>
  <c r="W59" i="2"/>
  <c r="AA59" i="2"/>
  <c r="Z59" i="2" s="1"/>
  <c r="AD59" i="2"/>
  <c r="AE59" i="2"/>
  <c r="O59" i="2"/>
  <c r="AC59" i="2"/>
  <c r="P99" i="2"/>
  <c r="P91" i="2"/>
  <c r="W92" i="2"/>
  <c r="AA92" i="2"/>
  <c r="Z92" i="2" s="1"/>
  <c r="AE92" i="2"/>
  <c r="AD92" i="2"/>
  <c r="O92" i="2"/>
  <c r="AC92" i="2"/>
  <c r="P123" i="2"/>
  <c r="P12" i="2"/>
  <c r="AA133" i="2"/>
  <c r="Z133" i="2" s="1"/>
  <c r="AD133" i="2"/>
  <c r="AC133" i="2"/>
  <c r="O133" i="2"/>
  <c r="W133" i="2"/>
  <c r="AE133" i="2"/>
  <c r="AA142" i="2"/>
  <c r="Z142" i="2" s="1"/>
  <c r="AE142" i="2"/>
  <c r="W142" i="2"/>
  <c r="AD142" i="2"/>
  <c r="O142" i="2"/>
  <c r="AC142" i="2"/>
  <c r="O31" i="2"/>
  <c r="AA31" i="2"/>
  <c r="Z31" i="2" s="1"/>
  <c r="AE31" i="2"/>
  <c r="AC31" i="2"/>
  <c r="AD31" i="2"/>
  <c r="W31" i="2"/>
  <c r="AE89" i="2"/>
  <c r="AD89" i="2"/>
  <c r="AC89" i="2"/>
  <c r="W89" i="2"/>
  <c r="O89" i="2"/>
  <c r="AA89" i="2"/>
  <c r="Z89" i="2" s="1"/>
  <c r="P34" i="2"/>
  <c r="AC15" i="2"/>
  <c r="AD15" i="2"/>
  <c r="AE15" i="2"/>
  <c r="W15" i="2"/>
  <c r="O15" i="2"/>
  <c r="AA15" i="2"/>
  <c r="Z15" i="2" s="1"/>
  <c r="P95" i="2"/>
  <c r="P137" i="2"/>
  <c r="AE68" i="2"/>
  <c r="O68" i="2"/>
  <c r="AC68" i="2"/>
  <c r="AD68" i="2"/>
  <c r="W68" i="2"/>
  <c r="AA68" i="2"/>
  <c r="Z68" i="2" s="1"/>
  <c r="P114" i="2"/>
  <c r="P121" i="2"/>
  <c r="AA76" i="2"/>
  <c r="Z76" i="2" s="1"/>
  <c r="AC76" i="2"/>
  <c r="O76" i="2"/>
  <c r="AD76" i="2"/>
  <c r="AE76" i="2"/>
  <c r="W76" i="2"/>
  <c r="AA123" i="2"/>
  <c r="Z123" i="2" s="1"/>
  <c r="O123" i="2"/>
  <c r="AE123" i="2"/>
  <c r="AC123" i="2"/>
  <c r="AD123" i="2"/>
  <c r="W123" i="2"/>
  <c r="P70" i="2"/>
  <c r="P60" i="2"/>
  <c r="P139" i="2"/>
  <c r="AC112" i="2"/>
  <c r="AA112" i="2"/>
  <c r="Z112" i="2" s="1"/>
  <c r="O112" i="2"/>
  <c r="W112" i="2"/>
  <c r="AD112" i="2"/>
  <c r="AE112" i="2"/>
  <c r="W11" i="2"/>
  <c r="AD11" i="2"/>
  <c r="AA11" i="2"/>
  <c r="Z11" i="2" s="1"/>
  <c r="AC11" i="2"/>
  <c r="O11" i="2"/>
  <c r="AE11" i="2"/>
  <c r="P71" i="2"/>
  <c r="P105" i="2"/>
  <c r="P104" i="2"/>
  <c r="AD124" i="2"/>
  <c r="AC124" i="2"/>
  <c r="AE124" i="2"/>
  <c r="W124" i="2"/>
  <c r="AA124" i="2"/>
  <c r="Z124" i="2" s="1"/>
  <c r="O124" i="2"/>
  <c r="AE115" i="2"/>
  <c r="AD115" i="2"/>
  <c r="O115" i="2"/>
  <c r="AA115" i="2"/>
  <c r="Z115" i="2" s="1"/>
  <c r="W115" i="2"/>
  <c r="AC115" i="2"/>
  <c r="P102" i="2"/>
  <c r="AC19" i="2"/>
  <c r="AA19" i="2"/>
  <c r="Z19" i="2" s="1"/>
  <c r="O19" i="2"/>
  <c r="AD19" i="2"/>
  <c r="AE19" i="2"/>
  <c r="W19" i="2"/>
  <c r="P18" i="2"/>
  <c r="P98" i="2"/>
  <c r="P54" i="2"/>
  <c r="W113" i="2"/>
  <c r="O113" i="2"/>
  <c r="AC113" i="2"/>
  <c r="AE113" i="2"/>
  <c r="AD113" i="2"/>
  <c r="AA113" i="2"/>
  <c r="Z113" i="2" s="1"/>
  <c r="AE93" i="2"/>
  <c r="AC93" i="2"/>
  <c r="W93" i="2"/>
  <c r="AA93" i="2"/>
  <c r="Z93" i="2" s="1"/>
  <c r="AD93" i="2"/>
  <c r="O93" i="2"/>
  <c r="AE73" i="2"/>
  <c r="AC73" i="2"/>
  <c r="AA73" i="2"/>
  <c r="Z73" i="2" s="1"/>
  <c r="W73" i="2"/>
  <c r="O73" i="2"/>
  <c r="AD73" i="2"/>
  <c r="O120" i="2"/>
  <c r="AC120" i="2"/>
  <c r="AD120" i="2"/>
  <c r="W120" i="2"/>
  <c r="AE120" i="2"/>
  <c r="AA120" i="2"/>
  <c r="Z120" i="2" s="1"/>
  <c r="AC129" i="2"/>
  <c r="O129" i="2"/>
  <c r="W129" i="2"/>
  <c r="AA129" i="2"/>
  <c r="Z129" i="2" s="1"/>
  <c r="AE129" i="2"/>
  <c r="AD129" i="2"/>
  <c r="AE8" i="2"/>
  <c r="O8" i="2"/>
  <c r="W8" i="2"/>
  <c r="AA8" i="2"/>
  <c r="Z8" i="2" s="1"/>
  <c r="AC8" i="2"/>
  <c r="AD8" i="2"/>
  <c r="P128" i="2"/>
  <c r="AC85" i="2"/>
  <c r="AD85" i="2"/>
  <c r="AE85" i="2"/>
  <c r="W85" i="2"/>
  <c r="O85" i="2"/>
  <c r="AA85" i="2"/>
  <c r="Z85" i="2" s="1"/>
  <c r="P88" i="2"/>
  <c r="P48" i="2"/>
  <c r="W86" i="2"/>
  <c r="AE86" i="2"/>
  <c r="AA86" i="2"/>
  <c r="Z86" i="2" s="1"/>
  <c r="O86" i="2"/>
  <c r="AD86" i="2"/>
  <c r="AC86" i="2"/>
  <c r="P14" i="2"/>
  <c r="W20" i="2"/>
  <c r="AA20" i="2"/>
  <c r="Z20" i="2" s="1"/>
  <c r="AD20" i="2"/>
  <c r="O20" i="2"/>
  <c r="AE20" i="2"/>
  <c r="AC20" i="2"/>
  <c r="P81" i="2"/>
  <c r="P103" i="2"/>
  <c r="P59" i="2"/>
  <c r="P89" i="2"/>
  <c r="P57" i="2"/>
  <c r="P64" i="2"/>
  <c r="AA101" i="2"/>
  <c r="Z101" i="2" s="1"/>
  <c r="AE101" i="2"/>
  <c r="AD101" i="2"/>
  <c r="W101" i="2"/>
  <c r="O101" i="2"/>
  <c r="AC100" i="2"/>
  <c r="P100" i="2"/>
  <c r="P119" i="2"/>
  <c r="AE40" i="2"/>
  <c r="AA40" i="2"/>
  <c r="Z40" i="2" s="1"/>
  <c r="W40" i="2"/>
  <c r="O40" i="2"/>
  <c r="AC40" i="2"/>
  <c r="AD40" i="2"/>
  <c r="AC101" i="2"/>
  <c r="P101" i="2"/>
  <c r="P9" i="2"/>
  <c r="AE100" i="2"/>
  <c r="AA100" i="2"/>
  <c r="Z100" i="2" s="1"/>
  <c r="W100" i="2"/>
  <c r="O100" i="2"/>
  <c r="AD100" i="2"/>
  <c r="AD33" i="2"/>
  <c r="AE33" i="2"/>
  <c r="O33" i="2"/>
  <c r="AA33" i="2"/>
  <c r="Z33" i="2" s="1"/>
  <c r="W33" i="2"/>
  <c r="AC33" i="2"/>
  <c r="AA144" i="2"/>
  <c r="Z144" i="2" s="1"/>
  <c r="W144" i="2"/>
  <c r="AD144" i="2"/>
  <c r="O144" i="2"/>
  <c r="AE144" i="2"/>
  <c r="AC144" i="2"/>
  <c r="P74" i="2"/>
  <c r="AE137" i="2"/>
  <c r="AC137" i="2"/>
  <c r="AD137" i="2"/>
  <c r="W137" i="2"/>
  <c r="O137" i="2"/>
  <c r="AA137" i="2"/>
  <c r="Z137" i="2" s="1"/>
  <c r="P125" i="2"/>
  <c r="AD62" i="2"/>
  <c r="AE62" i="2"/>
  <c r="W62" i="2"/>
  <c r="O62" i="2"/>
  <c r="AA62" i="2"/>
  <c r="Z62" i="2" s="1"/>
  <c r="AC62" i="2"/>
  <c r="AA13" i="2"/>
  <c r="Z13" i="2" s="1"/>
  <c r="W13" i="2"/>
  <c r="AE13" i="2"/>
  <c r="O13" i="2"/>
  <c r="AC13" i="2"/>
  <c r="AD13" i="2"/>
  <c r="AE82" i="2"/>
  <c r="AD82" i="2"/>
  <c r="O82" i="2"/>
  <c r="W82" i="2"/>
  <c r="AA82" i="2"/>
  <c r="Z82" i="2" s="1"/>
  <c r="AC82" i="2"/>
  <c r="AA67" i="2"/>
  <c r="Z67" i="2" s="1"/>
  <c r="W67" i="2"/>
  <c r="AD67" i="2"/>
  <c r="AC67" i="2"/>
  <c r="AE67" i="2"/>
  <c r="O67" i="2"/>
  <c r="AC16" i="2"/>
  <c r="AD16" i="2"/>
  <c r="W16" i="2"/>
  <c r="AA16" i="2"/>
  <c r="Z16" i="2" s="1"/>
  <c r="AE16" i="2"/>
  <c r="O16" i="2"/>
  <c r="O23" i="2"/>
  <c r="AA23" i="2"/>
  <c r="Z23" i="2" s="1"/>
  <c r="W23" i="2"/>
  <c r="AD23" i="2"/>
  <c r="AE23" i="2"/>
  <c r="AC23" i="2"/>
  <c r="P80" i="2"/>
  <c r="P72" i="2"/>
  <c r="AA53" i="2"/>
  <c r="W53" i="2"/>
  <c r="AD53" i="2"/>
  <c r="O53" i="2"/>
  <c r="AC53" i="2"/>
  <c r="AE53" i="2"/>
  <c r="P44" i="2"/>
  <c r="AE84" i="2"/>
  <c r="W84" i="2"/>
  <c r="AD84" i="2"/>
  <c r="O84" i="2"/>
  <c r="AA84" i="2"/>
  <c r="Z84" i="2" s="1"/>
  <c r="AC84" i="2"/>
  <c r="P58" i="2"/>
  <c r="W41" i="2"/>
  <c r="AA41" i="2"/>
  <c r="Z41" i="2" s="1"/>
  <c r="AC41" i="2"/>
  <c r="O41" i="2"/>
  <c r="AD41" i="2"/>
  <c r="AE41" i="2"/>
  <c r="P21" i="2"/>
  <c r="AE61" i="2"/>
  <c r="AC61" i="2"/>
  <c r="AD61" i="2"/>
  <c r="W61" i="2"/>
  <c r="AA61" i="2"/>
  <c r="Z61" i="2" s="1"/>
  <c r="O61" i="2"/>
  <c r="O54" i="2"/>
  <c r="AA54" i="2"/>
  <c r="Z54" i="2" s="1"/>
  <c r="AE54" i="2"/>
  <c r="AD54" i="2"/>
  <c r="W54" i="2"/>
  <c r="AC54" i="2"/>
  <c r="W121" i="2"/>
  <c r="AC121" i="2"/>
  <c r="AE121" i="2"/>
  <c r="AD121" i="2"/>
  <c r="O121" i="2"/>
  <c r="AA121" i="2"/>
  <c r="Z121" i="2" s="1"/>
  <c r="W65" i="2"/>
  <c r="O65" i="2"/>
  <c r="AC65" i="2"/>
  <c r="AE65" i="2"/>
  <c r="AD65" i="2"/>
  <c r="AA65" i="2"/>
  <c r="Z65" i="2" s="1"/>
  <c r="P90" i="2"/>
  <c r="P131" i="2"/>
  <c r="P53" i="2"/>
  <c r="P67" i="2"/>
  <c r="AC114" i="2"/>
  <c r="AD114" i="2"/>
  <c r="AE114" i="2"/>
  <c r="AA114" i="2"/>
  <c r="Z114" i="2" s="1"/>
  <c r="W114" i="2"/>
  <c r="O114" i="2"/>
  <c r="AE56" i="2"/>
  <c r="AD56" i="2"/>
  <c r="W56" i="2"/>
  <c r="AC56" i="2"/>
  <c r="O56" i="2"/>
  <c r="AA56" i="2"/>
  <c r="Z56" i="2" s="1"/>
  <c r="AD128" i="2"/>
  <c r="AA128" i="2"/>
  <c r="Z128" i="2" s="1"/>
  <c r="O128" i="2"/>
  <c r="AC128" i="2"/>
  <c r="W128" i="2"/>
  <c r="AE128" i="2"/>
  <c r="P38" i="2"/>
  <c r="AE49" i="2"/>
  <c r="AA49" i="2"/>
  <c r="Z49" i="2" s="1"/>
  <c r="W49" i="2"/>
  <c r="O49" i="2"/>
  <c r="AD49" i="2"/>
  <c r="AC49" i="2"/>
  <c r="O74" i="2"/>
  <c r="AE74" i="2"/>
  <c r="AD74" i="2"/>
  <c r="AC74" i="2"/>
  <c r="W74" i="2"/>
  <c r="AA74" i="2"/>
  <c r="Z74" i="2" s="1"/>
  <c r="O143" i="2"/>
  <c r="AA143" i="2"/>
  <c r="Z143" i="2" s="1"/>
  <c r="AD143" i="2"/>
  <c r="W143" i="2"/>
  <c r="AE143" i="2"/>
  <c r="AC143" i="2"/>
  <c r="O103" i="2"/>
  <c r="AC103" i="2"/>
  <c r="AA103" i="2"/>
  <c r="Z103" i="2" s="1"/>
  <c r="AE103" i="2"/>
  <c r="AD103" i="2"/>
  <c r="W103" i="2"/>
  <c r="P45" i="2"/>
  <c r="AC24" i="2"/>
  <c r="AD24" i="2"/>
  <c r="O24" i="2"/>
  <c r="AA24" i="2"/>
  <c r="Z24" i="2" s="1"/>
  <c r="AE24" i="2"/>
  <c r="W24" i="2"/>
  <c r="AD64" i="2"/>
  <c r="AA64" i="2"/>
  <c r="Z64" i="2" s="1"/>
  <c r="W64" i="2"/>
  <c r="AE64" i="2"/>
  <c r="O64" i="2"/>
  <c r="AC64" i="2"/>
  <c r="P87" i="2"/>
  <c r="P133" i="2"/>
  <c r="P46" i="2"/>
  <c r="P79" i="2"/>
  <c r="AA14" i="2"/>
  <c r="Z14" i="2" s="1"/>
  <c r="AC14" i="2"/>
  <c r="W14" i="2"/>
  <c r="AD14" i="2"/>
  <c r="O14" i="2"/>
  <c r="AE14" i="2"/>
  <c r="W44" i="2"/>
  <c r="AE44" i="2"/>
  <c r="AA44" i="2"/>
  <c r="Z44" i="2" s="1"/>
  <c r="O44" i="2"/>
  <c r="AC44" i="2"/>
  <c r="AD44" i="2"/>
  <c r="P19" i="2"/>
  <c r="P93" i="2"/>
  <c r="AC118" i="2"/>
  <c r="AA118" i="2"/>
  <c r="Z118" i="2" s="1"/>
  <c r="O118" i="2"/>
  <c r="W118" i="2"/>
  <c r="AD118" i="2"/>
  <c r="AE118" i="2"/>
  <c r="P96" i="2"/>
  <c r="P129" i="2"/>
  <c r="O39" i="2"/>
  <c r="AE39" i="2"/>
  <c r="AC39" i="2"/>
  <c r="W39" i="2"/>
  <c r="AD39" i="2"/>
  <c r="AA39" i="2"/>
  <c r="Z39" i="2" s="1"/>
  <c r="P51" i="2"/>
  <c r="P68" i="2"/>
  <c r="AC21" i="2"/>
  <c r="W21" i="2"/>
  <c r="O21" i="2"/>
  <c r="AA21" i="2"/>
  <c r="Z21" i="2" s="1"/>
  <c r="AE21" i="2"/>
  <c r="AD21" i="2"/>
  <c r="P76" i="2"/>
  <c r="P77" i="2"/>
  <c r="P37" i="2"/>
  <c r="O18" i="2"/>
  <c r="AE18" i="2"/>
  <c r="W18" i="2"/>
  <c r="AD18" i="2"/>
  <c r="AA18" i="2"/>
  <c r="Z18" i="2" s="1"/>
  <c r="AC18" i="2"/>
  <c r="P13" i="2"/>
  <c r="AE136" i="2"/>
  <c r="W136" i="2"/>
  <c r="AD136" i="2"/>
  <c r="AC136" i="2"/>
  <c r="O136" i="2"/>
  <c r="AA136" i="2"/>
  <c r="Z136" i="2" s="1"/>
  <c r="W132" i="2"/>
  <c r="AD132" i="2"/>
  <c r="AC132" i="2"/>
  <c r="O132" i="2"/>
  <c r="AA132" i="2"/>
  <c r="Z132" i="2" s="1"/>
  <c r="AE132" i="2"/>
  <c r="W91" i="2"/>
  <c r="AC91" i="2"/>
  <c r="O91" i="2"/>
  <c r="AD91" i="2"/>
  <c r="AA91" i="2"/>
  <c r="Z91" i="2" s="1"/>
  <c r="AE91" i="2"/>
  <c r="W51" i="2"/>
  <c r="AA51" i="2"/>
  <c r="Z51" i="2" s="1"/>
  <c r="O51" i="2"/>
  <c r="AE51" i="2"/>
  <c r="AC51" i="2"/>
  <c r="AD51" i="2"/>
  <c r="P122" i="2"/>
  <c r="AC63" i="2"/>
  <c r="AA63" i="2"/>
  <c r="Z63" i="2" s="1"/>
  <c r="O63" i="2"/>
  <c r="AD63" i="2"/>
  <c r="W63" i="2"/>
  <c r="AE63" i="2"/>
  <c r="AD131" i="2"/>
  <c r="AE131" i="2"/>
  <c r="AA131" i="2"/>
  <c r="Z131" i="2" s="1"/>
  <c r="O131" i="2"/>
  <c r="AC131" i="2"/>
  <c r="W131" i="2"/>
  <c r="AD79" i="2"/>
  <c r="AC79" i="2"/>
  <c r="AE79" i="2"/>
  <c r="W79" i="2"/>
  <c r="O79" i="2"/>
  <c r="AA79" i="2"/>
  <c r="Z79" i="2" s="1"/>
  <c r="P23" i="2"/>
  <c r="P108" i="2"/>
  <c r="P16" i="2"/>
  <c r="P120" i="2"/>
  <c r="AC87" i="2"/>
  <c r="AE87" i="2"/>
  <c r="O87" i="2"/>
  <c r="AD87" i="2"/>
  <c r="AA87" i="2"/>
  <c r="Z87" i="2" s="1"/>
  <c r="W87" i="2"/>
  <c r="O45" i="2"/>
  <c r="AE45" i="2"/>
  <c r="AD45" i="2"/>
  <c r="W45" i="2"/>
  <c r="AA45" i="2"/>
  <c r="Z45" i="2" s="1"/>
  <c r="AC45" i="2"/>
  <c r="P11" i="2"/>
  <c r="P61" i="2"/>
  <c r="P25" i="2"/>
  <c r="P109" i="2"/>
  <c r="AE139" i="2"/>
  <c r="O139" i="2"/>
  <c r="AD139" i="2"/>
  <c r="W139" i="2"/>
  <c r="AC139" i="2"/>
  <c r="AA139" i="2"/>
  <c r="Z139" i="2" s="1"/>
  <c r="P27" i="2"/>
  <c r="AC32" i="2"/>
  <c r="AD32" i="2"/>
  <c r="AA32" i="2"/>
  <c r="Z32" i="2" s="1"/>
  <c r="O32" i="2"/>
  <c r="AE32" i="2"/>
  <c r="W32" i="2"/>
  <c r="P20" i="2"/>
  <c r="P116" i="2"/>
  <c r="P130" i="2"/>
  <c r="AD34" i="2"/>
  <c r="AC34" i="2"/>
  <c r="AA34" i="2"/>
  <c r="Z34" i="2" s="1"/>
  <c r="W34" i="2"/>
  <c r="AE34" i="2"/>
  <c r="O34" i="2"/>
  <c r="AD66" i="2"/>
  <c r="AE66" i="2"/>
  <c r="O66" i="2"/>
  <c r="AA66" i="2"/>
  <c r="Z66" i="2" s="1"/>
  <c r="AC66" i="2"/>
  <c r="W66" i="2"/>
  <c r="AC28" i="2"/>
  <c r="W28" i="2"/>
  <c r="AA28" i="2"/>
  <c r="Z28" i="2" s="1"/>
  <c r="AD28" i="2"/>
  <c r="O28" i="2"/>
  <c r="AE28" i="2"/>
  <c r="P94" i="2"/>
  <c r="AA7" i="2"/>
  <c r="Z7" i="2" s="1"/>
  <c r="AE7" i="2"/>
  <c r="W7" i="2"/>
  <c r="V7" i="2"/>
  <c r="T7" i="2" s="1"/>
  <c r="O7" i="2"/>
  <c r="AD7" i="2"/>
  <c r="P26" i="2"/>
  <c r="AD111" i="2"/>
  <c r="W111" i="2"/>
  <c r="AE111" i="2"/>
  <c r="O111" i="2"/>
  <c r="AC111" i="2"/>
  <c r="AA111" i="2"/>
  <c r="Z111" i="2" s="1"/>
  <c r="P56" i="2"/>
  <c r="O30" i="2"/>
  <c r="AE30" i="2"/>
  <c r="AD30" i="2"/>
  <c r="AC30" i="2"/>
  <c r="AA30" i="2"/>
  <c r="Z30" i="2" s="1"/>
  <c r="W30" i="2"/>
  <c r="O25" i="2"/>
  <c r="AE25" i="2"/>
  <c r="AC25" i="2"/>
  <c r="AD25" i="2"/>
  <c r="W25" i="2"/>
  <c r="AA25" i="2"/>
  <c r="Z25" i="2" s="1"/>
  <c r="AD78" i="2"/>
  <c r="AE78" i="2"/>
  <c r="AC78" i="2"/>
  <c r="AA78" i="2"/>
  <c r="Z78" i="2" s="1"/>
  <c r="W78" i="2"/>
  <c r="O78" i="2"/>
  <c r="P92" i="2"/>
  <c r="AC106" i="2"/>
  <c r="W106" i="2"/>
  <c r="AD106" i="2"/>
  <c r="AA106" i="2"/>
  <c r="Z106" i="2" s="1"/>
  <c r="AE106" i="2"/>
  <c r="O106" i="2"/>
  <c r="P124" i="2"/>
  <c r="W138" i="2"/>
  <c r="AA138" i="2"/>
  <c r="Z138" i="2" s="1"/>
  <c r="O138" i="2"/>
  <c r="AE138" i="2"/>
  <c r="AD138" i="2"/>
  <c r="AC138" i="2"/>
  <c r="AE94" i="2"/>
  <c r="AC94" i="2"/>
  <c r="W94" i="2"/>
  <c r="AA94" i="2"/>
  <c r="Z94" i="2" s="1"/>
  <c r="O94" i="2"/>
  <c r="AD94" i="2"/>
  <c r="AD36" i="2"/>
  <c r="O36" i="2"/>
  <c r="W36" i="2"/>
  <c r="AC36" i="2"/>
  <c r="AA36" i="2"/>
  <c r="Z36" i="2" s="1"/>
  <c r="AE36" i="2"/>
  <c r="AD47" i="2"/>
  <c r="W47" i="2"/>
  <c r="AC47" i="2"/>
  <c r="AA47" i="2"/>
  <c r="Z47" i="2" s="1"/>
  <c r="AE47" i="2"/>
  <c r="O47" i="2"/>
  <c r="P39" i="2"/>
  <c r="P118" i="2"/>
  <c r="W134" i="2"/>
  <c r="O134" i="2"/>
  <c r="AE134" i="2"/>
  <c r="AC134" i="2"/>
  <c r="AA134" i="2"/>
  <c r="Z134" i="2" s="1"/>
  <c r="AD134" i="2"/>
  <c r="P29" i="2"/>
  <c r="P132" i="2"/>
  <c r="AA95" i="2"/>
  <c r="Z95" i="2" s="1"/>
  <c r="AD95" i="2"/>
  <c r="O95" i="2"/>
  <c r="AE95" i="2"/>
  <c r="W95" i="2"/>
  <c r="AC95" i="2"/>
  <c r="W9" i="2"/>
  <c r="AC9" i="2"/>
  <c r="AA9" i="2"/>
  <c r="Z9" i="2" s="1"/>
  <c r="O9" i="2"/>
  <c r="AD9" i="2"/>
  <c r="AE9" i="2"/>
  <c r="P97" i="2"/>
  <c r="P136" i="2"/>
  <c r="P7" i="2"/>
  <c r="AC7" i="2"/>
  <c r="F2" i="12"/>
  <c r="G2" i="12" s="1"/>
  <c r="H2" i="12" s="1"/>
  <c r="U145" i="2" l="1"/>
  <c r="U38" i="2"/>
  <c r="U148" i="2"/>
  <c r="U163" i="2"/>
  <c r="AB184" i="2"/>
  <c r="Q184" i="2" s="1"/>
  <c r="S184" i="2" s="1"/>
  <c r="AB188" i="2"/>
  <c r="Q188" i="2" s="1"/>
  <c r="S188" i="2" s="1"/>
  <c r="AB187" i="2"/>
  <c r="Q187" i="2" s="1"/>
  <c r="S187" i="2" s="1"/>
  <c r="AB183" i="2"/>
  <c r="Q183" i="2" s="1"/>
  <c r="S183" i="2" s="1"/>
  <c r="AB185" i="2"/>
  <c r="AH185" i="2" s="1"/>
  <c r="AB189" i="2"/>
  <c r="AH189" i="2" s="1"/>
  <c r="U185" i="2"/>
  <c r="X185" i="2"/>
  <c r="X188" i="2"/>
  <c r="U188" i="2"/>
  <c r="X184" i="2"/>
  <c r="U184" i="2"/>
  <c r="U186" i="2"/>
  <c r="X186" i="2"/>
  <c r="AB186" i="2"/>
  <c r="X183" i="2"/>
  <c r="U183" i="2"/>
  <c r="X189" i="2"/>
  <c r="U189" i="2"/>
  <c r="U187" i="2"/>
  <c r="X187" i="2"/>
  <c r="X145" i="2"/>
  <c r="X163" i="2"/>
  <c r="AB181" i="2"/>
  <c r="Q181" i="2" s="1"/>
  <c r="S181" i="2" s="1"/>
  <c r="AB182" i="2"/>
  <c r="Q182" i="2" s="1"/>
  <c r="S182" i="2" s="1"/>
  <c r="AB178" i="2"/>
  <c r="Q178" i="2" s="1"/>
  <c r="S178" i="2" s="1"/>
  <c r="AB180" i="2"/>
  <c r="AH180" i="2" s="1"/>
  <c r="AB179" i="2"/>
  <c r="Q179" i="2" s="1"/>
  <c r="S179" i="2" s="1"/>
  <c r="X148" i="2"/>
  <c r="U180" i="2"/>
  <c r="X180" i="2"/>
  <c r="U181" i="2"/>
  <c r="X181" i="2"/>
  <c r="X178" i="2"/>
  <c r="U178" i="2"/>
  <c r="X182" i="2"/>
  <c r="U182" i="2"/>
  <c r="X179" i="2"/>
  <c r="U179" i="2"/>
  <c r="X38" i="2"/>
  <c r="AB175" i="2"/>
  <c r="Q175" i="2" s="1"/>
  <c r="S175" i="2" s="1"/>
  <c r="AB177" i="2"/>
  <c r="Q177" i="2" s="1"/>
  <c r="S177" i="2" s="1"/>
  <c r="AB176" i="2"/>
  <c r="Q176" i="2" s="1"/>
  <c r="S176" i="2" s="1"/>
  <c r="U177" i="2"/>
  <c r="X177" i="2"/>
  <c r="U175" i="2"/>
  <c r="X175" i="2"/>
  <c r="X176" i="2"/>
  <c r="U176" i="2"/>
  <c r="X18" i="2"/>
  <c r="U18" i="2"/>
  <c r="X44" i="2"/>
  <c r="U44" i="2"/>
  <c r="X16" i="2"/>
  <c r="U16" i="2"/>
  <c r="X40" i="2"/>
  <c r="U40" i="2"/>
  <c r="X68" i="2"/>
  <c r="U68" i="2"/>
  <c r="X31" i="2"/>
  <c r="U31" i="2"/>
  <c r="X109" i="2"/>
  <c r="U109" i="2"/>
  <c r="X72" i="2"/>
  <c r="U72" i="2"/>
  <c r="X52" i="2"/>
  <c r="U52" i="2"/>
  <c r="X127" i="2"/>
  <c r="U127" i="2"/>
  <c r="X57" i="2"/>
  <c r="U57" i="2"/>
  <c r="X150" i="2"/>
  <c r="U150" i="2"/>
  <c r="X160" i="2"/>
  <c r="U160" i="2"/>
  <c r="X162" i="2"/>
  <c r="U162" i="2"/>
  <c r="X168" i="2"/>
  <c r="U168" i="2"/>
  <c r="X95" i="2"/>
  <c r="U95" i="2"/>
  <c r="X138" i="2"/>
  <c r="U138" i="2"/>
  <c r="X85" i="2"/>
  <c r="U85" i="2"/>
  <c r="X82" i="2"/>
  <c r="U82" i="2"/>
  <c r="X13" i="2"/>
  <c r="U13" i="2"/>
  <c r="X137" i="2"/>
  <c r="U137" i="2"/>
  <c r="X105" i="2"/>
  <c r="U105" i="2"/>
  <c r="X119" i="2"/>
  <c r="U119" i="2"/>
  <c r="X102" i="2"/>
  <c r="U102" i="2"/>
  <c r="X115" i="2"/>
  <c r="U115" i="2"/>
  <c r="X117" i="2"/>
  <c r="U117" i="2"/>
  <c r="X112" i="2"/>
  <c r="U112" i="2"/>
  <c r="X15" i="2"/>
  <c r="U15" i="2"/>
  <c r="X81" i="2"/>
  <c r="U81" i="2"/>
  <c r="X98" i="2"/>
  <c r="U98" i="2"/>
  <c r="X37" i="2"/>
  <c r="U37" i="2"/>
  <c r="X141" i="2"/>
  <c r="U141" i="2"/>
  <c r="X88" i="2"/>
  <c r="U88" i="2"/>
  <c r="X17" i="2"/>
  <c r="U17" i="2"/>
  <c r="X149" i="2"/>
  <c r="U149" i="2"/>
  <c r="X173" i="2"/>
  <c r="U173" i="2"/>
  <c r="X59" i="2"/>
  <c r="U59" i="2"/>
  <c r="X99" i="2"/>
  <c r="U99" i="2"/>
  <c r="X64" i="2"/>
  <c r="U64" i="2"/>
  <c r="X65" i="2"/>
  <c r="U65" i="2"/>
  <c r="X33" i="2"/>
  <c r="U33" i="2"/>
  <c r="X92" i="2"/>
  <c r="U92" i="2"/>
  <c r="X46" i="2"/>
  <c r="U46" i="2"/>
  <c r="X126" i="2"/>
  <c r="U126" i="2"/>
  <c r="X108" i="2"/>
  <c r="U108" i="2"/>
  <c r="X90" i="2"/>
  <c r="U90" i="2"/>
  <c r="X151" i="2"/>
  <c r="U151" i="2"/>
  <c r="X171" i="2"/>
  <c r="U171" i="2"/>
  <c r="X97" i="2"/>
  <c r="U97" i="2"/>
  <c r="X166" i="2"/>
  <c r="U166" i="2"/>
  <c r="X84" i="2"/>
  <c r="U84" i="2"/>
  <c r="X94" i="2"/>
  <c r="U94" i="2"/>
  <c r="X101" i="2"/>
  <c r="U101" i="2"/>
  <c r="X86" i="2"/>
  <c r="U86" i="2"/>
  <c r="X8" i="2"/>
  <c r="U8" i="2"/>
  <c r="X77" i="2"/>
  <c r="U77" i="2"/>
  <c r="X50" i="2"/>
  <c r="U50" i="2"/>
  <c r="X146" i="2"/>
  <c r="U146" i="2"/>
  <c r="X91" i="2"/>
  <c r="U91" i="2"/>
  <c r="X66" i="2"/>
  <c r="U66" i="2"/>
  <c r="X30" i="2"/>
  <c r="U30" i="2"/>
  <c r="X131" i="2"/>
  <c r="U131" i="2"/>
  <c r="X14" i="2"/>
  <c r="U14" i="2"/>
  <c r="X114" i="2"/>
  <c r="U114" i="2"/>
  <c r="X32" i="2"/>
  <c r="U32" i="2"/>
  <c r="X73" i="2"/>
  <c r="U73" i="2"/>
  <c r="X133" i="2"/>
  <c r="U133" i="2"/>
  <c r="X122" i="2"/>
  <c r="U122" i="2"/>
  <c r="X60" i="2"/>
  <c r="U60" i="2"/>
  <c r="X70" i="2"/>
  <c r="U70" i="2"/>
  <c r="X69" i="2"/>
  <c r="U69" i="2"/>
  <c r="X116" i="2"/>
  <c r="U116" i="2"/>
  <c r="X10" i="2"/>
  <c r="U10" i="2"/>
  <c r="X152" i="2"/>
  <c r="U152" i="2"/>
  <c r="X156" i="2"/>
  <c r="U156" i="2"/>
  <c r="X161" i="2"/>
  <c r="U161" i="2"/>
  <c r="X170" i="2"/>
  <c r="U170" i="2"/>
  <c r="X174" i="2"/>
  <c r="U174" i="2"/>
  <c r="X172" i="2"/>
  <c r="U172" i="2"/>
  <c r="X61" i="2"/>
  <c r="U61" i="2"/>
  <c r="X142" i="2"/>
  <c r="U142" i="2"/>
  <c r="X54" i="2"/>
  <c r="U54" i="2"/>
  <c r="X74" i="2"/>
  <c r="U74" i="2"/>
  <c r="X75" i="2"/>
  <c r="U75" i="2"/>
  <c r="X12" i="2"/>
  <c r="U12" i="2"/>
  <c r="X55" i="2"/>
  <c r="X27" i="2"/>
  <c r="U27" i="2"/>
  <c r="X42" i="2"/>
  <c r="U42" i="2"/>
  <c r="X153" i="2"/>
  <c r="U153" i="2"/>
  <c r="X154" i="2"/>
  <c r="U154" i="2"/>
  <c r="X155" i="2"/>
  <c r="U155" i="2"/>
  <c r="X169" i="2"/>
  <c r="U169" i="2"/>
  <c r="X47" i="2"/>
  <c r="U47" i="2"/>
  <c r="X78" i="2"/>
  <c r="U78" i="2"/>
  <c r="X143" i="2"/>
  <c r="U143" i="2"/>
  <c r="X139" i="2"/>
  <c r="U139" i="2"/>
  <c r="X104" i="2"/>
  <c r="U104" i="2"/>
  <c r="X80" i="2"/>
  <c r="U80" i="2"/>
  <c r="X140" i="2"/>
  <c r="U140" i="2"/>
  <c r="X164" i="2"/>
  <c r="U164" i="2"/>
  <c r="X25" i="2"/>
  <c r="U25" i="2"/>
  <c r="X129" i="2"/>
  <c r="U129" i="2"/>
  <c r="X157" i="2"/>
  <c r="U157" i="2"/>
  <c r="X134" i="2"/>
  <c r="U134" i="2"/>
  <c r="X9" i="2"/>
  <c r="U9" i="2"/>
  <c r="X79" i="2"/>
  <c r="U79" i="2"/>
  <c r="X132" i="2"/>
  <c r="U132" i="2"/>
  <c r="X34" i="2"/>
  <c r="U34" i="2"/>
  <c r="X51" i="2"/>
  <c r="U51" i="2"/>
  <c r="X62" i="2"/>
  <c r="U62" i="2"/>
  <c r="X76" i="2"/>
  <c r="U76" i="2"/>
  <c r="X89" i="2"/>
  <c r="U89" i="2"/>
  <c r="X24" i="2"/>
  <c r="U24" i="2"/>
  <c r="X130" i="2"/>
  <c r="U130" i="2"/>
  <c r="X147" i="2"/>
  <c r="U147" i="2"/>
  <c r="X165" i="2"/>
  <c r="U165" i="2"/>
  <c r="X36" i="2"/>
  <c r="U36" i="2"/>
  <c r="X22" i="2"/>
  <c r="U22" i="2"/>
  <c r="X45" i="2"/>
  <c r="U45" i="2"/>
  <c r="X111" i="2"/>
  <c r="U111" i="2"/>
  <c r="X118" i="2"/>
  <c r="U118" i="2"/>
  <c r="X136" i="2"/>
  <c r="U136" i="2"/>
  <c r="X49" i="2"/>
  <c r="U49" i="2"/>
  <c r="X56" i="2"/>
  <c r="U56" i="2"/>
  <c r="X121" i="2"/>
  <c r="U121" i="2"/>
  <c r="X28" i="2"/>
  <c r="U28" i="2"/>
  <c r="X20" i="2"/>
  <c r="U20" i="2"/>
  <c r="X39" i="2"/>
  <c r="U39" i="2"/>
  <c r="X106" i="2"/>
  <c r="U106" i="2"/>
  <c r="X21" i="2"/>
  <c r="U21" i="2"/>
  <c r="X41" i="2"/>
  <c r="U41" i="2"/>
  <c r="X120" i="2"/>
  <c r="U120" i="2"/>
  <c r="X113" i="2"/>
  <c r="U113" i="2"/>
  <c r="X19" i="2"/>
  <c r="U19" i="2"/>
  <c r="X96" i="2"/>
  <c r="U96" i="2"/>
  <c r="X7" i="2"/>
  <c r="U7" i="2"/>
  <c r="X63" i="2"/>
  <c r="U63" i="2"/>
  <c r="X53" i="2"/>
  <c r="U53" i="2"/>
  <c r="X23" i="2"/>
  <c r="U23" i="2"/>
  <c r="X100" i="2"/>
  <c r="U100" i="2"/>
  <c r="X124" i="2"/>
  <c r="U124" i="2"/>
  <c r="X11" i="2"/>
  <c r="U11" i="2"/>
  <c r="X123" i="2"/>
  <c r="U123" i="2"/>
  <c r="X48" i="2"/>
  <c r="U48" i="2"/>
  <c r="X58" i="2"/>
  <c r="U58" i="2"/>
  <c r="X87" i="2"/>
  <c r="U87" i="2"/>
  <c r="X103" i="2"/>
  <c r="U103" i="2"/>
  <c r="X128" i="2"/>
  <c r="U128" i="2"/>
  <c r="X67" i="2"/>
  <c r="U67" i="2"/>
  <c r="X144" i="2"/>
  <c r="U144" i="2"/>
  <c r="X93" i="2"/>
  <c r="U93" i="2"/>
  <c r="X71" i="2"/>
  <c r="U71" i="2"/>
  <c r="X26" i="2"/>
  <c r="U26" i="2"/>
  <c r="X83" i="2"/>
  <c r="U83" i="2"/>
  <c r="X135" i="2"/>
  <c r="U135" i="2"/>
  <c r="X125" i="2"/>
  <c r="U125" i="2"/>
  <c r="X158" i="2"/>
  <c r="U158" i="2"/>
  <c r="X110" i="2"/>
  <c r="U110" i="2"/>
  <c r="X29" i="2"/>
  <c r="U29" i="2"/>
  <c r="X107" i="2"/>
  <c r="U107" i="2"/>
  <c r="X35" i="2"/>
  <c r="U35" i="2"/>
  <c r="X43" i="2"/>
  <c r="U43" i="2"/>
  <c r="X159" i="2"/>
  <c r="U159" i="2"/>
  <c r="X167" i="2"/>
  <c r="U167" i="2"/>
  <c r="AB172" i="2"/>
  <c r="Q172" i="2" s="1"/>
  <c r="S172" i="2" s="1"/>
  <c r="AB174" i="2"/>
  <c r="Q174" i="2" s="1"/>
  <c r="S174" i="2" s="1"/>
  <c r="AB171" i="2"/>
  <c r="Q171" i="2" s="1"/>
  <c r="S171" i="2" s="1"/>
  <c r="AB173" i="2"/>
  <c r="Q173" i="2" s="1"/>
  <c r="S173" i="2" s="1"/>
  <c r="AB166" i="2"/>
  <c r="Q166" i="2" s="1"/>
  <c r="S166" i="2" s="1"/>
  <c r="AB165" i="2"/>
  <c r="Q165" i="2" s="1"/>
  <c r="S165" i="2" s="1"/>
  <c r="AB168" i="2"/>
  <c r="Q168" i="2" s="1"/>
  <c r="S168" i="2" s="1"/>
  <c r="AB167" i="2"/>
  <c r="Q167" i="2" s="1"/>
  <c r="S167" i="2" s="1"/>
  <c r="AB169" i="2"/>
  <c r="Q169" i="2" s="1"/>
  <c r="S169" i="2" s="1"/>
  <c r="AB170" i="2"/>
  <c r="Q170" i="2" s="1"/>
  <c r="S170" i="2" s="1"/>
  <c r="AB164" i="2"/>
  <c r="Q164" i="2" s="1"/>
  <c r="S164" i="2" s="1"/>
  <c r="AA4" i="5"/>
  <c r="Y7" i="4"/>
  <c r="AA7" i="4"/>
  <c r="AB7" i="4" s="1"/>
  <c r="AB159" i="2"/>
  <c r="Q159" i="2" s="1"/>
  <c r="S159" i="2" s="1"/>
  <c r="AB160" i="2"/>
  <c r="Q160" i="2" s="1"/>
  <c r="S160" i="2" s="1"/>
  <c r="AB162" i="2"/>
  <c r="Q162" i="2" s="1"/>
  <c r="S162" i="2" s="1"/>
  <c r="AB163" i="2"/>
  <c r="Q163" i="2" s="1"/>
  <c r="S163" i="2" s="1"/>
  <c r="AB161" i="2"/>
  <c r="Q161" i="2" s="1"/>
  <c r="S161" i="2" s="1"/>
  <c r="AB157" i="2"/>
  <c r="Q157" i="2" s="1"/>
  <c r="S157" i="2" s="1"/>
  <c r="AB156" i="2"/>
  <c r="Q156" i="2" s="1"/>
  <c r="S156" i="2" s="1"/>
  <c r="AB155" i="2"/>
  <c r="Q155" i="2" s="1"/>
  <c r="S155" i="2" s="1"/>
  <c r="AB158" i="2"/>
  <c r="Q158" i="2" s="1"/>
  <c r="S158" i="2" s="1"/>
  <c r="AB149" i="2"/>
  <c r="Q149" i="2" s="1"/>
  <c r="S149" i="2" s="1"/>
  <c r="AB154" i="2"/>
  <c r="Q154" i="2" s="1"/>
  <c r="S154" i="2" s="1"/>
  <c r="AB152" i="2"/>
  <c r="Q152" i="2" s="1"/>
  <c r="S152" i="2" s="1"/>
  <c r="AB151" i="2"/>
  <c r="Q151" i="2" s="1"/>
  <c r="S151" i="2" s="1"/>
  <c r="AB153" i="2"/>
  <c r="Q153" i="2" s="1"/>
  <c r="S153" i="2" s="1"/>
  <c r="AB150" i="2"/>
  <c r="Q150" i="2" s="1"/>
  <c r="S150" i="2" s="1"/>
  <c r="AB148" i="2"/>
  <c r="Q148" i="2" s="1"/>
  <c r="S148" i="2" s="1"/>
  <c r="AB131" i="2"/>
  <c r="Q131" i="2" s="1"/>
  <c r="S131" i="2" s="1"/>
  <c r="AB146" i="2"/>
  <c r="Q146" i="2" s="1"/>
  <c r="S146" i="2" s="1"/>
  <c r="AB147" i="2"/>
  <c r="Q147" i="2" s="1"/>
  <c r="S147" i="2" s="1"/>
  <c r="AB145" i="2"/>
  <c r="Q145" i="2" s="1"/>
  <c r="S145" i="2" s="1"/>
  <c r="AB43" i="2"/>
  <c r="AB140" i="2"/>
  <c r="Q140" i="2" s="1"/>
  <c r="S140" i="2" s="1"/>
  <c r="AB55" i="2"/>
  <c r="AB117" i="2"/>
  <c r="Q117" i="2" s="1"/>
  <c r="S117" i="2" s="1"/>
  <c r="AB87" i="2"/>
  <c r="Q87" i="2" s="1"/>
  <c r="S87" i="2" s="1"/>
  <c r="AB12" i="2"/>
  <c r="AB141" i="2"/>
  <c r="Q141" i="2" s="1"/>
  <c r="S141" i="2" s="1"/>
  <c r="AB70" i="2"/>
  <c r="AB115" i="2"/>
  <c r="Q115" i="2" s="1"/>
  <c r="S115" i="2" s="1"/>
  <c r="AB113" i="2"/>
  <c r="AB44" i="2"/>
  <c r="Q44" i="2" s="1"/>
  <c r="S44" i="2" s="1"/>
  <c r="AB65" i="2"/>
  <c r="AB27" i="2"/>
  <c r="AB29" i="2"/>
  <c r="Q29" i="2" s="1"/>
  <c r="S29" i="2" s="1"/>
  <c r="AB78" i="2"/>
  <c r="Q78" i="2" s="1"/>
  <c r="S78" i="2" s="1"/>
  <c r="AB114" i="2"/>
  <c r="AB142" i="2"/>
  <c r="Q142" i="2" s="1"/>
  <c r="S142" i="2" s="1"/>
  <c r="AB73" i="2"/>
  <c r="Q73" i="2" s="1"/>
  <c r="S73" i="2" s="1"/>
  <c r="AB84" i="2"/>
  <c r="AB107" i="2"/>
  <c r="AB126" i="2"/>
  <c r="Q126" i="2" s="1"/>
  <c r="S126" i="2" s="1"/>
  <c r="AB53" i="2"/>
  <c r="Q53" i="2" s="1"/>
  <c r="S53" i="2" s="1"/>
  <c r="AB20" i="2"/>
  <c r="AB62" i="2"/>
  <c r="AB144" i="2"/>
  <c r="Q144" i="2" s="1"/>
  <c r="S144" i="2" s="1"/>
  <c r="AB63" i="2"/>
  <c r="AB39" i="2"/>
  <c r="Q39" i="2" s="1"/>
  <c r="S39" i="2" s="1"/>
  <c r="AB37" i="2"/>
  <c r="AB17" i="2"/>
  <c r="AB79" i="2"/>
  <c r="AB82" i="2"/>
  <c r="AB33" i="2"/>
  <c r="AB105" i="2"/>
  <c r="Q105" i="2" s="1"/>
  <c r="S105" i="2" s="1"/>
  <c r="AB58" i="2"/>
  <c r="AB36" i="2"/>
  <c r="Z53" i="2"/>
  <c r="Z202" i="2" s="1"/>
  <c r="AA202" i="2"/>
  <c r="AB96" i="2"/>
  <c r="AB42" i="2"/>
  <c r="Q42" i="2" s="1"/>
  <c r="S42" i="2" s="1"/>
  <c r="AB94" i="2"/>
  <c r="AB7" i="2"/>
  <c r="AB34" i="2"/>
  <c r="AB104" i="2"/>
  <c r="AB46" i="2"/>
  <c r="AB57" i="2"/>
  <c r="D16" i="12"/>
  <c r="C17" i="12"/>
  <c r="A18" i="12"/>
  <c r="AB106" i="2"/>
  <c r="AB143" i="2"/>
  <c r="Q143" i="2" s="1"/>
  <c r="S143" i="2" s="1"/>
  <c r="AB14" i="2"/>
  <c r="AB67" i="2"/>
  <c r="AB137" i="2"/>
  <c r="Q137" i="2" s="1"/>
  <c r="S137" i="2" s="1"/>
  <c r="AB129" i="2"/>
  <c r="Q129" i="2" s="1"/>
  <c r="S129" i="2" s="1"/>
  <c r="AB112" i="2"/>
  <c r="AB93" i="2"/>
  <c r="AB19" i="2"/>
  <c r="AB77" i="2"/>
  <c r="AB132" i="2"/>
  <c r="Q132" i="2" s="1"/>
  <c r="S132" i="2" s="1"/>
  <c r="AB130" i="2"/>
  <c r="Q130" i="2" s="1"/>
  <c r="S130" i="2" s="1"/>
  <c r="AB16" i="2"/>
  <c r="AB35" i="2"/>
  <c r="Q35" i="2" s="1"/>
  <c r="S35" i="2" s="1"/>
  <c r="AB38" i="2"/>
  <c r="AB66" i="2"/>
  <c r="AB13" i="2"/>
  <c r="AB92" i="2"/>
  <c r="Q92" i="2" s="1"/>
  <c r="S92" i="2" s="1"/>
  <c r="AB102" i="2"/>
  <c r="AB118" i="2"/>
  <c r="Q118" i="2" s="1"/>
  <c r="S118" i="2" s="1"/>
  <c r="AB120" i="2"/>
  <c r="Q120" i="2" s="1"/>
  <c r="S120" i="2" s="1"/>
  <c r="AB76" i="2"/>
  <c r="AB52" i="2"/>
  <c r="AB127" i="2"/>
  <c r="Q127" i="2" s="1"/>
  <c r="S127" i="2" s="1"/>
  <c r="AB30" i="2"/>
  <c r="AB80" i="2"/>
  <c r="Q80" i="2" s="1"/>
  <c r="S80" i="2" s="1"/>
  <c r="AB11" i="2"/>
  <c r="AB89" i="2"/>
  <c r="Q89" i="2" s="1"/>
  <c r="S89" i="2" s="1"/>
  <c r="AB138" i="2"/>
  <c r="Q138" i="2" s="1"/>
  <c r="S138" i="2" s="1"/>
  <c r="AB101" i="2"/>
  <c r="AB72" i="2"/>
  <c r="AB103" i="2"/>
  <c r="AB100" i="2"/>
  <c r="AB110" i="2"/>
  <c r="AB122" i="2"/>
  <c r="Q122" i="2" s="1"/>
  <c r="S122" i="2" s="1"/>
  <c r="AB88" i="2"/>
  <c r="Q88" i="2" s="1"/>
  <c r="S88" i="2" s="1"/>
  <c r="AB99" i="2"/>
  <c r="Q99" i="2" s="1"/>
  <c r="S99" i="2" s="1"/>
  <c r="AB133" i="2"/>
  <c r="Q133" i="2" s="1"/>
  <c r="S133" i="2" s="1"/>
  <c r="AB40" i="2"/>
  <c r="Q40" i="2" s="1"/>
  <c r="S40" i="2" s="1"/>
  <c r="AB128" i="2"/>
  <c r="Q128" i="2" s="1"/>
  <c r="S128" i="2" s="1"/>
  <c r="AB61" i="2"/>
  <c r="AB22" i="2"/>
  <c r="AB25" i="2"/>
  <c r="AB95" i="2"/>
  <c r="Q95" i="2" s="1"/>
  <c r="S95" i="2" s="1"/>
  <c r="AB18" i="2"/>
  <c r="AB49" i="2"/>
  <c r="AB85" i="2"/>
  <c r="Q85" i="2" s="1"/>
  <c r="S85" i="2" s="1"/>
  <c r="AB15" i="2"/>
  <c r="Q15" i="2" s="1"/>
  <c r="S15" i="2" s="1"/>
  <c r="AB97" i="2"/>
  <c r="AB109" i="2"/>
  <c r="AB56" i="2"/>
  <c r="AB45" i="2"/>
  <c r="AB135" i="2"/>
  <c r="Q135" i="2" s="1"/>
  <c r="S135" i="2" s="1"/>
  <c r="AB134" i="2"/>
  <c r="Q134" i="2" s="1"/>
  <c r="S134" i="2" s="1"/>
  <c r="AB136" i="2"/>
  <c r="Q136" i="2" s="1"/>
  <c r="S136" i="2" s="1"/>
  <c r="AB24" i="2"/>
  <c r="AB41" i="2"/>
  <c r="AB124" i="2"/>
  <c r="Q124" i="2" s="1"/>
  <c r="S124" i="2" s="1"/>
  <c r="AB21" i="2"/>
  <c r="Q21" i="2" s="1"/>
  <c r="S21" i="2" s="1"/>
  <c r="AB54" i="2"/>
  <c r="Q54" i="2" s="1"/>
  <c r="S54" i="2" s="1"/>
  <c r="AB116" i="2"/>
  <c r="Q116" i="2" s="1"/>
  <c r="S116" i="2" s="1"/>
  <c r="AB23" i="2"/>
  <c r="Q23" i="2" s="1"/>
  <c r="S23" i="2" s="1"/>
  <c r="AB68" i="2"/>
  <c r="Q68" i="2" s="1"/>
  <c r="S68" i="2" s="1"/>
  <c r="AB71" i="2"/>
  <c r="Q71" i="2" s="1"/>
  <c r="S71" i="2" s="1"/>
  <c r="AB108" i="2"/>
  <c r="Q108" i="2" s="1"/>
  <c r="S108" i="2" s="1"/>
  <c r="AB125" i="2"/>
  <c r="Q125" i="2" s="1"/>
  <c r="S125" i="2" s="1"/>
  <c r="AB90" i="2"/>
  <c r="Q90" i="2" s="1"/>
  <c r="S90" i="2" s="1"/>
  <c r="AB32" i="2"/>
  <c r="Q32" i="2" s="1"/>
  <c r="S32" i="2" s="1"/>
  <c r="AB74" i="2"/>
  <c r="Q74" i="2" s="1"/>
  <c r="S74" i="2" s="1"/>
  <c r="AB60" i="2"/>
  <c r="Q60" i="2" s="1"/>
  <c r="S60" i="2" s="1"/>
  <c r="AB98" i="2"/>
  <c r="Q98" i="2" s="1"/>
  <c r="S98" i="2" s="1"/>
  <c r="AB8" i="2"/>
  <c r="Q8" i="2" s="1"/>
  <c r="S8" i="2" s="1"/>
  <c r="AB119" i="2"/>
  <c r="Q119" i="2" s="1"/>
  <c r="S119" i="2" s="1"/>
  <c r="AB86" i="2"/>
  <c r="Q86" i="2" s="1"/>
  <c r="S86" i="2" s="1"/>
  <c r="AB47" i="2"/>
  <c r="Q47" i="2" s="1"/>
  <c r="S47" i="2" s="1"/>
  <c r="AB111" i="2"/>
  <c r="Q111" i="2" s="1"/>
  <c r="S111" i="2" s="1"/>
  <c r="AB139" i="2"/>
  <c r="Q139" i="2" s="1"/>
  <c r="S139" i="2" s="1"/>
  <c r="AB123" i="2"/>
  <c r="Q123" i="2" s="1"/>
  <c r="S123" i="2" s="1"/>
  <c r="AB75" i="2"/>
  <c r="Q75" i="2" s="1"/>
  <c r="S75" i="2" s="1"/>
  <c r="AB48" i="2"/>
  <c r="Q48" i="2" s="1"/>
  <c r="S48" i="2" s="1"/>
  <c r="AB81" i="2"/>
  <c r="Q81" i="2" s="1"/>
  <c r="S81" i="2" s="1"/>
  <c r="AB83" i="2"/>
  <c r="Q83" i="2" s="1"/>
  <c r="S83" i="2" s="1"/>
  <c r="AB50" i="2"/>
  <c r="Q50" i="2" s="1"/>
  <c r="S50" i="2" s="1"/>
  <c r="AB10" i="2"/>
  <c r="Q10" i="2" s="1"/>
  <c r="S10" i="2" s="1"/>
  <c r="AB51" i="2"/>
  <c r="Q51" i="2" s="1"/>
  <c r="S51" i="2" s="1"/>
  <c r="AB121" i="2"/>
  <c r="Q121" i="2" s="1"/>
  <c r="S121" i="2" s="1"/>
  <c r="AB91" i="2"/>
  <c r="Q91" i="2" s="1"/>
  <c r="S91" i="2" s="1"/>
  <c r="AB64" i="2"/>
  <c r="Q64" i="2" s="1"/>
  <c r="S64" i="2" s="1"/>
  <c r="AB31" i="2"/>
  <c r="Q31" i="2" s="1"/>
  <c r="S31" i="2" s="1"/>
  <c r="AB26" i="2"/>
  <c r="Q26" i="2" s="1"/>
  <c r="S26" i="2" s="1"/>
  <c r="AB69" i="2"/>
  <c r="Q69" i="2" s="1"/>
  <c r="S69" i="2" s="1"/>
  <c r="AB9" i="2"/>
  <c r="Q9" i="2" s="1"/>
  <c r="S9" i="2" s="1"/>
  <c r="AB28" i="2"/>
  <c r="Q28" i="2" s="1"/>
  <c r="S28" i="2" s="1"/>
  <c r="AB59" i="2"/>
  <c r="Q59" i="2" s="1"/>
  <c r="S59" i="2" s="1"/>
  <c r="I2" i="12"/>
  <c r="C9" i="12"/>
  <c r="B10" i="12" s="1"/>
  <c r="AH184" i="2" l="1"/>
  <c r="AH187" i="2"/>
  <c r="AH188" i="2"/>
  <c r="Q185" i="2"/>
  <c r="S185" i="2" s="1"/>
  <c r="AH183" i="2"/>
  <c r="Q189" i="2"/>
  <c r="S189" i="2" s="1"/>
  <c r="Q186" i="2"/>
  <c r="S186" i="2" s="1"/>
  <c r="AH186" i="2"/>
  <c r="AH182" i="2"/>
  <c r="AH178" i="2"/>
  <c r="AH181" i="2"/>
  <c r="Q180" i="2"/>
  <c r="S180" i="2" s="1"/>
  <c r="AH179" i="2"/>
  <c r="AH97" i="2"/>
  <c r="Q97" i="2"/>
  <c r="S97" i="2" s="1"/>
  <c r="AH30" i="2"/>
  <c r="Q30" i="2"/>
  <c r="S30" i="2" s="1"/>
  <c r="AH16" i="2"/>
  <c r="Q16" i="2"/>
  <c r="S16" i="2" s="1"/>
  <c r="AH106" i="2"/>
  <c r="Q106" i="2"/>
  <c r="S106" i="2" s="1"/>
  <c r="Q27" i="2"/>
  <c r="S27" i="2" s="1"/>
  <c r="AH43" i="2"/>
  <c r="Q43" i="2"/>
  <c r="S43" i="2" s="1"/>
  <c r="AH62" i="2"/>
  <c r="Q62" i="2"/>
  <c r="S62" i="2" s="1"/>
  <c r="AH36" i="2"/>
  <c r="Q36" i="2"/>
  <c r="S36" i="2" s="1"/>
  <c r="AH49" i="2"/>
  <c r="Q49" i="2"/>
  <c r="S49" i="2" s="1"/>
  <c r="AH76" i="2"/>
  <c r="Q76" i="2"/>
  <c r="S76" i="2" s="1"/>
  <c r="AH77" i="2"/>
  <c r="Q77" i="2"/>
  <c r="S77" i="2" s="1"/>
  <c r="AH113" i="2"/>
  <c r="Q113" i="2"/>
  <c r="S113" i="2" s="1"/>
  <c r="AH41" i="2"/>
  <c r="Q41" i="2"/>
  <c r="S41" i="2" s="1"/>
  <c r="AH18" i="2"/>
  <c r="Q18" i="2"/>
  <c r="S18" i="2" s="1"/>
  <c r="AH100" i="2"/>
  <c r="Q100" i="2"/>
  <c r="S100" i="2" s="1"/>
  <c r="AH19" i="2"/>
  <c r="Q19" i="2"/>
  <c r="S19" i="2" s="1"/>
  <c r="AH57" i="2"/>
  <c r="Q57" i="2"/>
  <c r="S57" i="2" s="1"/>
  <c r="AH93" i="2"/>
  <c r="Q93" i="2"/>
  <c r="S93" i="2" s="1"/>
  <c r="AH33" i="2"/>
  <c r="Q33" i="2"/>
  <c r="S33" i="2" s="1"/>
  <c r="AH107" i="2"/>
  <c r="Q107" i="2"/>
  <c r="S107" i="2" s="1"/>
  <c r="AH70" i="2"/>
  <c r="Q70" i="2"/>
  <c r="S70" i="2" s="1"/>
  <c r="AH25" i="2"/>
  <c r="Q25" i="2"/>
  <c r="S25" i="2" s="1"/>
  <c r="Q102" i="2"/>
  <c r="S102" i="2" s="1"/>
  <c r="Q112" i="2"/>
  <c r="S112" i="2" s="1"/>
  <c r="AH82" i="2"/>
  <c r="Q82" i="2"/>
  <c r="S82" i="2" s="1"/>
  <c r="AH84" i="2"/>
  <c r="Q84" i="2"/>
  <c r="S84" i="2" s="1"/>
  <c r="AH22" i="2"/>
  <c r="Q22" i="2"/>
  <c r="S22" i="2" s="1"/>
  <c r="Q101" i="2"/>
  <c r="S101" i="2" s="1"/>
  <c r="AH34" i="2"/>
  <c r="Q34" i="2"/>
  <c r="S34" i="2" s="1"/>
  <c r="Q12" i="2"/>
  <c r="S12" i="2" s="1"/>
  <c r="AH13" i="2"/>
  <c r="Q13" i="2"/>
  <c r="S13" i="2" s="1"/>
  <c r="AH7" i="2"/>
  <c r="Q7" i="2"/>
  <c r="S7" i="2" s="1"/>
  <c r="AH17" i="2"/>
  <c r="Q17" i="2"/>
  <c r="S17" i="2" s="1"/>
  <c r="AH45" i="2"/>
  <c r="Q45" i="2"/>
  <c r="S45" i="2" s="1"/>
  <c r="AH66" i="2"/>
  <c r="Q66" i="2"/>
  <c r="S66" i="2" s="1"/>
  <c r="AH94" i="2"/>
  <c r="Q94" i="2"/>
  <c r="S94" i="2" s="1"/>
  <c r="AH37" i="2"/>
  <c r="Q37" i="2"/>
  <c r="S37" i="2" s="1"/>
  <c r="AH114" i="2"/>
  <c r="Q114" i="2"/>
  <c r="S114" i="2" s="1"/>
  <c r="AH56" i="2"/>
  <c r="Q56" i="2"/>
  <c r="S56" i="2" s="1"/>
  <c r="AH11" i="2"/>
  <c r="Q11" i="2"/>
  <c r="S11" i="2" s="1"/>
  <c r="AH38" i="2"/>
  <c r="Q38" i="2"/>
  <c r="S38" i="2" s="1"/>
  <c r="AH14" i="2"/>
  <c r="Q14" i="2"/>
  <c r="S14" i="2" s="1"/>
  <c r="AH55" i="2"/>
  <c r="Q55" i="2"/>
  <c r="S55" i="2" s="1"/>
  <c r="AH65" i="2"/>
  <c r="Q65" i="2"/>
  <c r="S65" i="2" s="1"/>
  <c r="Q52" i="2"/>
  <c r="S52" i="2" s="1"/>
  <c r="AH20" i="2"/>
  <c r="Q20" i="2"/>
  <c r="S20" i="2" s="1"/>
  <c r="Q110" i="2"/>
  <c r="S110" i="2" s="1"/>
  <c r="AH58" i="2"/>
  <c r="Q58" i="2"/>
  <c r="S58" i="2" s="1"/>
  <c r="AH24" i="2"/>
  <c r="Q24" i="2"/>
  <c r="S24" i="2" s="1"/>
  <c r="AH103" i="2"/>
  <c r="Q103" i="2"/>
  <c r="S103" i="2" s="1"/>
  <c r="AH46" i="2"/>
  <c r="Q46" i="2"/>
  <c r="S46" i="2" s="1"/>
  <c r="Q72" i="2"/>
  <c r="S72" i="2" s="1"/>
  <c r="AH104" i="2"/>
  <c r="Q104" i="2"/>
  <c r="S104" i="2" s="1"/>
  <c r="AH79" i="2"/>
  <c r="Q79" i="2"/>
  <c r="S79" i="2" s="1"/>
  <c r="AH61" i="2"/>
  <c r="Q61" i="2"/>
  <c r="S61" i="2" s="1"/>
  <c r="AH67" i="2"/>
  <c r="Q67" i="2"/>
  <c r="S67" i="2" s="1"/>
  <c r="AH109" i="2"/>
  <c r="Q109" i="2"/>
  <c r="S109" i="2" s="1"/>
  <c r="AH96" i="2"/>
  <c r="Q96" i="2"/>
  <c r="S96" i="2" s="1"/>
  <c r="AH63" i="2"/>
  <c r="Q63" i="2"/>
  <c r="S63" i="2" s="1"/>
  <c r="AH141" i="2"/>
  <c r="AH162" i="2"/>
  <c r="AH134" i="2"/>
  <c r="AH138" i="2"/>
  <c r="AH137" i="2"/>
  <c r="AH142" i="2"/>
  <c r="AH151" i="2"/>
  <c r="AH159" i="2"/>
  <c r="AH154" i="2"/>
  <c r="AH177" i="2"/>
  <c r="AH145" i="2"/>
  <c r="AH132" i="2"/>
  <c r="AH124" i="2"/>
  <c r="AH157" i="2"/>
  <c r="AH115" i="2"/>
  <c r="AH131" i="2"/>
  <c r="AH118" i="2"/>
  <c r="AH136" i="2"/>
  <c r="AH166" i="2"/>
  <c r="AH129" i="2"/>
  <c r="AH153" i="2"/>
  <c r="AH117" i="2"/>
  <c r="AH143" i="2"/>
  <c r="AH140" i="2"/>
  <c r="AH175" i="2"/>
  <c r="I10" i="12"/>
  <c r="H10" i="12"/>
  <c r="G10" i="12"/>
  <c r="J10" i="12"/>
  <c r="AH176" i="2"/>
  <c r="U55" i="2"/>
  <c r="U202" i="2" s="1"/>
  <c r="T202" i="2"/>
  <c r="AH172" i="2"/>
  <c r="AH171" i="2"/>
  <c r="AH173" i="2"/>
  <c r="AH174" i="2"/>
  <c r="AH168" i="2"/>
  <c r="AH167" i="2"/>
  <c r="AH165" i="2"/>
  <c r="AH169" i="2"/>
  <c r="AH170" i="2"/>
  <c r="AH164" i="2"/>
  <c r="AH160" i="2"/>
  <c r="AH163" i="2"/>
  <c r="AH161" i="2"/>
  <c r="AH156" i="2"/>
  <c r="AH155" i="2"/>
  <c r="AH158" i="2"/>
  <c r="AH149" i="2"/>
  <c r="AH152" i="2"/>
  <c r="AH150" i="2"/>
  <c r="AH148" i="2"/>
  <c r="AH146" i="2"/>
  <c r="AH147" i="2"/>
  <c r="AH87" i="2"/>
  <c r="AH12" i="2"/>
  <c r="AH44" i="2"/>
  <c r="AH27" i="2"/>
  <c r="AH29" i="2"/>
  <c r="AH144" i="2"/>
  <c r="AH126" i="2"/>
  <c r="AH78" i="2"/>
  <c r="AH73" i="2"/>
  <c r="AH53" i="2"/>
  <c r="AH105" i="2"/>
  <c r="AH42" i="2"/>
  <c r="AH39" i="2"/>
  <c r="AH133" i="2"/>
  <c r="B11" i="12"/>
  <c r="F10" i="12"/>
  <c r="E10" i="12"/>
  <c r="C18" i="12"/>
  <c r="A19" i="12"/>
  <c r="D17" i="12"/>
  <c r="AH80" i="2"/>
  <c r="AH35" i="2"/>
  <c r="AH95" i="2"/>
  <c r="AH52" i="2"/>
  <c r="AH72" i="2"/>
  <c r="AH112" i="2"/>
  <c r="AH102" i="2"/>
  <c r="AH127" i="2"/>
  <c r="AH130" i="2"/>
  <c r="AH101" i="2"/>
  <c r="AH120" i="2"/>
  <c r="AH135" i="2"/>
  <c r="AH92" i="2"/>
  <c r="AH89" i="2"/>
  <c r="AH128" i="2"/>
  <c r="AH40" i="2"/>
  <c r="AH99" i="2"/>
  <c r="AH110" i="2"/>
  <c r="AH15" i="2"/>
  <c r="AH88" i="2"/>
  <c r="AH85" i="2"/>
  <c r="AH122" i="2"/>
  <c r="AH75" i="2"/>
  <c r="AH69" i="2"/>
  <c r="AH123" i="2"/>
  <c r="AH119" i="2"/>
  <c r="AH59" i="2"/>
  <c r="AH9" i="2"/>
  <c r="AH108" i="2"/>
  <c r="AH64" i="2"/>
  <c r="AH71" i="2"/>
  <c r="AH111" i="2"/>
  <c r="AH60" i="2"/>
  <c r="AH90" i="2"/>
  <c r="AH47" i="2"/>
  <c r="AH8" i="2"/>
  <c r="AH116" i="2"/>
  <c r="AH32" i="2"/>
  <c r="AH139" i="2"/>
  <c r="AH98" i="2"/>
  <c r="AH121" i="2"/>
  <c r="AH10" i="2"/>
  <c r="AH68" i="2"/>
  <c r="AH21" i="2"/>
  <c r="AH91" i="2"/>
  <c r="AH50" i="2"/>
  <c r="AH83" i="2"/>
  <c r="AH26" i="2"/>
  <c r="AH31" i="2"/>
  <c r="AH51" i="2"/>
  <c r="AH74" i="2"/>
  <c r="AH54" i="2"/>
  <c r="AH81" i="2"/>
  <c r="AH125" i="2"/>
  <c r="AH28" i="2"/>
  <c r="AH48" i="2"/>
  <c r="AH86" i="2"/>
  <c r="AH23" i="2"/>
  <c r="J2" i="12"/>
  <c r="I100" i="9"/>
  <c r="AF7" i="6"/>
  <c r="AF7" i="9"/>
  <c r="Q202" i="2" l="1"/>
  <c r="J11" i="12"/>
  <c r="I11" i="12"/>
  <c r="H11" i="12"/>
  <c r="G11" i="12"/>
  <c r="F11" i="12"/>
  <c r="E11" i="12"/>
  <c r="B12" i="12"/>
  <c r="A20" i="12"/>
  <c r="C19" i="12"/>
  <c r="D18" i="12"/>
  <c r="K2" i="12"/>
  <c r="K10" i="12" s="1"/>
  <c r="K11" i="12" l="1"/>
  <c r="J12" i="12"/>
  <c r="G12" i="12"/>
  <c r="I12" i="12"/>
  <c r="H12" i="12"/>
  <c r="K12" i="12"/>
  <c r="F12" i="12"/>
  <c r="E12" i="12"/>
  <c r="B13" i="12"/>
  <c r="C20" i="12"/>
  <c r="A21" i="12"/>
  <c r="D19" i="12"/>
  <c r="L2" i="12"/>
  <c r="L10" i="12" l="1"/>
  <c r="L11" i="12"/>
  <c r="L12" i="12"/>
  <c r="G13" i="12"/>
  <c r="H13" i="12"/>
  <c r="L13" i="12"/>
  <c r="K13" i="12"/>
  <c r="J13" i="12"/>
  <c r="I13" i="12"/>
  <c r="F13" i="12"/>
  <c r="B14" i="12"/>
  <c r="E13" i="12"/>
  <c r="A22" i="12"/>
  <c r="C21" i="12"/>
  <c r="D20" i="12"/>
  <c r="M2" i="12"/>
  <c r="M13" i="12" l="1"/>
  <c r="N2" i="12"/>
  <c r="N14" i="12"/>
  <c r="M10" i="12"/>
  <c r="M11" i="12"/>
  <c r="M12" i="12"/>
  <c r="J14" i="12"/>
  <c r="L14" i="12"/>
  <c r="K14" i="12"/>
  <c r="H14" i="12"/>
  <c r="G14" i="12"/>
  <c r="M14" i="12"/>
  <c r="I14" i="12"/>
  <c r="F14" i="12"/>
  <c r="E14" i="12"/>
  <c r="B15" i="12"/>
  <c r="C22" i="12"/>
  <c r="A23" i="12"/>
  <c r="D21" i="12"/>
  <c r="O2" i="12" l="1"/>
  <c r="N10" i="12"/>
  <c r="N11" i="12"/>
  <c r="N12" i="12"/>
  <c r="N13" i="12"/>
  <c r="N15" i="12"/>
  <c r="O10" i="12"/>
  <c r="O11" i="12"/>
  <c r="O12" i="12"/>
  <c r="O13" i="12"/>
  <c r="G15" i="12"/>
  <c r="K15" i="12"/>
  <c r="J15" i="12"/>
  <c r="O15" i="12"/>
  <c r="I15" i="12"/>
  <c r="M15" i="12"/>
  <c r="L15" i="12"/>
  <c r="H15" i="12"/>
  <c r="B16" i="12"/>
  <c r="F15" i="12"/>
  <c r="E15" i="12"/>
  <c r="C23" i="12"/>
  <c r="A24" i="12"/>
  <c r="A25" i="12" s="1"/>
  <c r="D22" i="12"/>
  <c r="S2" i="12"/>
  <c r="P2" i="12" l="1"/>
  <c r="P15" i="12" s="1"/>
  <c r="O14" i="12"/>
  <c r="N16" i="12"/>
  <c r="Q2" i="12"/>
  <c r="P10" i="12"/>
  <c r="P11" i="12"/>
  <c r="P12" i="12"/>
  <c r="P13" i="12"/>
  <c r="P14" i="12"/>
  <c r="S10" i="12"/>
  <c r="S11" i="12"/>
  <c r="S12" i="12"/>
  <c r="S13" i="12"/>
  <c r="S14" i="12"/>
  <c r="S15" i="12"/>
  <c r="I16" i="12"/>
  <c r="P16" i="12"/>
  <c r="O16" i="12"/>
  <c r="H16" i="12"/>
  <c r="G16" i="12"/>
  <c r="M16" i="12"/>
  <c r="L16" i="12"/>
  <c r="S16" i="12"/>
  <c r="J16" i="12"/>
  <c r="K16" i="12"/>
  <c r="C25" i="12"/>
  <c r="F16" i="12"/>
  <c r="E16" i="12"/>
  <c r="B17" i="12"/>
  <c r="C24" i="12"/>
  <c r="D23" i="12"/>
  <c r="Q10" i="12" l="1"/>
  <c r="R10" i="12" s="1"/>
  <c r="Q11" i="12"/>
  <c r="Q12" i="12"/>
  <c r="Q13" i="12"/>
  <c r="Q14" i="12"/>
  <c r="R14" i="12" s="1"/>
  <c r="Q15" i="12"/>
  <c r="R15" i="12" s="1"/>
  <c r="Q16" i="12"/>
  <c r="R16" i="12" s="1"/>
  <c r="N17" i="12"/>
  <c r="Q17" i="12"/>
  <c r="R11" i="12"/>
  <c r="R12" i="12"/>
  <c r="R13" i="12"/>
  <c r="O17" i="12"/>
  <c r="J17" i="12"/>
  <c r="P17" i="12"/>
  <c r="M17" i="12"/>
  <c r="S17" i="12"/>
  <c r="I17" i="12"/>
  <c r="H17" i="12"/>
  <c r="G17" i="12"/>
  <c r="L17" i="12"/>
  <c r="K17" i="12"/>
  <c r="F25" i="12"/>
  <c r="D25" i="12"/>
  <c r="F17" i="12"/>
  <c r="B18" i="12"/>
  <c r="E17" i="12"/>
  <c r="D24" i="12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62" i="6"/>
  <c r="X63" i="6"/>
  <c r="X64" i="6"/>
  <c r="X65" i="6"/>
  <c r="X66" i="6"/>
  <c r="X67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45" i="6"/>
  <c r="X46" i="6"/>
  <c r="X47" i="6"/>
  <c r="X48" i="6"/>
  <c r="X43" i="6"/>
  <c r="X44" i="6"/>
  <c r="X32" i="6"/>
  <c r="X33" i="6"/>
  <c r="X34" i="6"/>
  <c r="X35" i="6"/>
  <c r="X36" i="6"/>
  <c r="X37" i="6"/>
  <c r="X38" i="6"/>
  <c r="X39" i="6"/>
  <c r="X40" i="6"/>
  <c r="X41" i="6"/>
  <c r="X42" i="6"/>
  <c r="X27" i="6"/>
  <c r="X28" i="6"/>
  <c r="X29" i="6"/>
  <c r="X30" i="6"/>
  <c r="X31" i="6"/>
  <c r="Q18" i="12" l="1"/>
  <c r="N18" i="12"/>
  <c r="O18" i="12"/>
  <c r="S18" i="12"/>
  <c r="M18" i="12"/>
  <c r="L18" i="12"/>
  <c r="J18" i="12"/>
  <c r="I18" i="12"/>
  <c r="H18" i="12"/>
  <c r="K18" i="12"/>
  <c r="G18" i="12"/>
  <c r="P18" i="12"/>
  <c r="R17" i="12"/>
  <c r="F18" i="12"/>
  <c r="E18" i="12"/>
  <c r="B19" i="12"/>
  <c r="X25" i="6"/>
  <c r="X2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Q19" i="12" l="1"/>
  <c r="N19" i="12"/>
  <c r="R18" i="12"/>
  <c r="P19" i="12"/>
  <c r="L19" i="12"/>
  <c r="H19" i="12"/>
  <c r="O19" i="12"/>
  <c r="I19" i="12"/>
  <c r="G19" i="12"/>
  <c r="M19" i="12"/>
  <c r="K19" i="12"/>
  <c r="J19" i="12"/>
  <c r="S19" i="12"/>
  <c r="E19" i="12"/>
  <c r="F19" i="12"/>
  <c r="B20" i="12"/>
  <c r="Q20" i="12" l="1"/>
  <c r="N20" i="12"/>
  <c r="R19" i="12"/>
  <c r="K20" i="12"/>
  <c r="I20" i="12"/>
  <c r="H20" i="12"/>
  <c r="M20" i="12"/>
  <c r="L20" i="12"/>
  <c r="J20" i="12"/>
  <c r="P20" i="12"/>
  <c r="O20" i="12"/>
  <c r="G20" i="12"/>
  <c r="S20" i="12"/>
  <c r="F20" i="12"/>
  <c r="E20" i="12"/>
  <c r="B21" i="12"/>
  <c r="Q21" i="12" l="1"/>
  <c r="N21" i="12"/>
  <c r="H21" i="12"/>
  <c r="G21" i="12"/>
  <c r="O21" i="12"/>
  <c r="M21" i="12"/>
  <c r="S21" i="12"/>
  <c r="J21" i="12"/>
  <c r="P21" i="12"/>
  <c r="L21" i="12"/>
  <c r="K21" i="12"/>
  <c r="I21" i="12"/>
  <c r="R20" i="12"/>
  <c r="B22" i="12"/>
  <c r="E21" i="12"/>
  <c r="F21" i="12"/>
  <c r="O202" i="2"/>
  <c r="F202" i="2"/>
  <c r="F205" i="2" s="1"/>
  <c r="AF202" i="2"/>
  <c r="M202" i="2"/>
  <c r="V202" i="2"/>
  <c r="R21" i="12" l="1"/>
  <c r="Q22" i="12"/>
  <c r="N22" i="12"/>
  <c r="I22" i="12"/>
  <c r="S22" i="12"/>
  <c r="P22" i="12"/>
  <c r="M22" i="12"/>
  <c r="G22" i="12"/>
  <c r="O22" i="12"/>
  <c r="H22" i="12"/>
  <c r="L22" i="12"/>
  <c r="J22" i="12"/>
  <c r="K22" i="12"/>
  <c r="B23" i="12"/>
  <c r="E22" i="12"/>
  <c r="F22" i="12"/>
  <c r="X202" i="2"/>
  <c r="P202" i="2"/>
  <c r="N23" i="12" l="1"/>
  <c r="Q23" i="12"/>
  <c r="R22" i="12"/>
  <c r="F23" i="12"/>
  <c r="H23" i="12"/>
  <c r="O23" i="12"/>
  <c r="P23" i="12"/>
  <c r="J23" i="12"/>
  <c r="G23" i="12"/>
  <c r="S23" i="12"/>
  <c r="I23" i="12"/>
  <c r="L23" i="12"/>
  <c r="M23" i="12"/>
  <c r="K23" i="12"/>
  <c r="E23" i="12"/>
  <c r="B24" i="12"/>
  <c r="F24" i="12" s="1"/>
  <c r="R202" i="2"/>
  <c r="N24" i="12" l="1"/>
  <c r="Q24" i="12"/>
  <c r="W202" i="2"/>
  <c r="R23" i="12"/>
  <c r="M24" i="12"/>
  <c r="E24" i="12"/>
  <c r="O24" i="12"/>
  <c r="L24" i="12"/>
  <c r="J24" i="12"/>
  <c r="I24" i="12"/>
  <c r="S24" i="12"/>
  <c r="P24" i="12"/>
  <c r="H24" i="12"/>
  <c r="K24" i="12"/>
  <c r="G24" i="12"/>
  <c r="B25" i="12"/>
  <c r="B26" i="12" s="1"/>
  <c r="S202" i="2"/>
  <c r="B27" i="12" l="1"/>
  <c r="J26" i="12"/>
  <c r="H26" i="12"/>
  <c r="Q26" i="12"/>
  <c r="I26" i="12"/>
  <c r="O26" i="12"/>
  <c r="N26" i="12"/>
  <c r="P26" i="12"/>
  <c r="L26" i="12"/>
  <c r="M26" i="12"/>
  <c r="S26" i="12"/>
  <c r="G26" i="12"/>
  <c r="E26" i="12"/>
  <c r="K26" i="12"/>
  <c r="N25" i="12"/>
  <c r="Q25" i="12"/>
  <c r="R24" i="12"/>
  <c r="P25" i="12"/>
  <c r="M25" i="12"/>
  <c r="K25" i="12"/>
  <c r="S25" i="12"/>
  <c r="E25" i="12"/>
  <c r="L25" i="12"/>
  <c r="H25" i="12"/>
  <c r="G25" i="12"/>
  <c r="O25" i="12"/>
  <c r="J25" i="12"/>
  <c r="I25" i="12"/>
  <c r="R26" i="12" l="1"/>
  <c r="L27" i="12"/>
  <c r="B28" i="12"/>
  <c r="Q27" i="12"/>
  <c r="R27" i="12" s="1"/>
  <c r="K27" i="12"/>
  <c r="I27" i="12"/>
  <c r="J27" i="12"/>
  <c r="G27" i="12"/>
  <c r="P27" i="12"/>
  <c r="E27" i="12"/>
  <c r="O27" i="12"/>
  <c r="N27" i="12"/>
  <c r="H27" i="12"/>
  <c r="M27" i="12"/>
  <c r="S27" i="12"/>
  <c r="R25" i="12"/>
  <c r="P28" i="12" l="1"/>
  <c r="P30" i="12" s="1"/>
  <c r="U204" i="2" s="1"/>
  <c r="Q28" i="12"/>
  <c r="J28" i="12"/>
  <c r="H28" i="12"/>
  <c r="S28" i="12"/>
  <c r="S30" i="12" s="1"/>
  <c r="K28" i="12"/>
  <c r="K30" i="12" s="1"/>
  <c r="O204" i="2" s="1"/>
  <c r="E28" i="12"/>
  <c r="I28" i="12"/>
  <c r="I30" i="12" s="1"/>
  <c r="F204" i="2" s="1"/>
  <c r="N28" i="12"/>
  <c r="N30" i="12" s="1"/>
  <c r="R204" i="2" s="1"/>
  <c r="G28" i="12"/>
  <c r="G30" i="12" s="1"/>
  <c r="C204" i="2" s="1"/>
  <c r="M28" i="12"/>
  <c r="M30" i="12" s="1"/>
  <c r="L28" i="12"/>
  <c r="L30" i="12" s="1"/>
  <c r="P204" i="2" s="1"/>
  <c r="O28" i="12"/>
  <c r="O30" i="12"/>
  <c r="H30" i="12"/>
  <c r="AA204" i="2" s="1"/>
  <c r="J30" i="12"/>
  <c r="M204" i="2" s="1"/>
  <c r="R28" i="12" l="1"/>
  <c r="R30" i="12"/>
  <c r="T204" i="2"/>
  <c r="Q30" i="12"/>
  <c r="V204" i="2" s="1"/>
</calcChain>
</file>

<file path=xl/sharedStrings.xml><?xml version="1.0" encoding="utf-8"?>
<sst xmlns="http://schemas.openxmlformats.org/spreadsheetml/2006/main" count="21216" uniqueCount="2212">
  <si>
    <t>ID de grupo</t>
  </si>
  <si>
    <t>Nombre de grupo</t>
  </si>
  <si>
    <t>Fecha de alta del grupo</t>
  </si>
  <si>
    <t>Número de clientes aprobados</t>
  </si>
  <si>
    <t>Fecha de última afiliación</t>
  </si>
  <si>
    <t>Días transcurridos desde la alta del grupo</t>
  </si>
  <si>
    <t>Ciclo</t>
  </si>
  <si>
    <t>Plazo</t>
  </si>
  <si>
    <t>Saldo en riesgo</t>
  </si>
  <si>
    <t>Periodicidad</t>
  </si>
  <si>
    <t>SITUACIÓN DE CARTERA</t>
  </si>
  <si>
    <t>Préstamos vigentes</t>
  </si>
  <si>
    <t>Moneda: PESO</t>
  </si>
  <si>
    <t>CÓDIGO</t>
  </si>
  <si>
    <t>INTERÉS</t>
  </si>
  <si>
    <t>ACREDITADO/CLIENTE</t>
  </si>
  <si>
    <t>CICLO</t>
  </si>
  <si>
    <t>TIPO CRÉDITO</t>
  </si>
  <si>
    <t>NOMBRE LÍNEA CRÉDITO</t>
  </si>
  <si>
    <t>NOMBRE ORG. FONDEADORA</t>
  </si>
  <si>
    <t>NOMBRE DEL TIPO DE EMPRESA</t>
  </si>
  <si>
    <t>NOMBRE DEL EMPRESA</t>
  </si>
  <si>
    <t>SALDO</t>
  </si>
  <si>
    <t>%</t>
  </si>
  <si>
    <t>INTERÉS POR DEVENGAR</t>
  </si>
  <si>
    <t>PARCIALIDAD</t>
  </si>
  <si>
    <t>PERIODOS VENCIDOS</t>
  </si>
  <si>
    <t>FECHA DE INICIO DEL CICLO</t>
  </si>
  <si>
    <t>FECHA DE FIN DE CICLO</t>
  </si>
  <si>
    <t>CLIENTES CICLO ACTUAL</t>
  </si>
  <si>
    <t>CLIENTES CICLO ANTERIOR</t>
  </si>
  <si>
    <t>CLIENTES NUEVOS</t>
  </si>
  <si>
    <t>CLIENTES RENOVADOS</t>
  </si>
  <si>
    <t>COMENTARIO1</t>
  </si>
  <si>
    <t>COMENTARIO2</t>
  </si>
  <si>
    <t>COMENTARIO3</t>
  </si>
  <si>
    <t>NOMBRE DEL PRODUCTO DE CRÉDITO</t>
  </si>
  <si>
    <t>NÚMERO DE INTEGRANTES</t>
  </si>
  <si>
    <t>DÍAS DE ATRASO EN LA CARTERA VENCIDA</t>
  </si>
  <si>
    <t>000067</t>
  </si>
  <si>
    <t>Martinez Bañuelos Nallely Sarahi</t>
  </si>
  <si>
    <t>008</t>
  </si>
  <si>
    <t>Ixtapaluca</t>
  </si>
  <si>
    <t>001</t>
  </si>
  <si>
    <t>Región Estado México</t>
  </si>
  <si>
    <t>000001</t>
  </si>
  <si>
    <t>BRILLANTES</t>
  </si>
  <si>
    <t>01</t>
  </si>
  <si>
    <t>Grupal</t>
  </si>
  <si>
    <t>002</t>
  </si>
  <si>
    <t>Javier Jesús Vargas Castañeda</t>
  </si>
  <si>
    <t>Recursos propios</t>
  </si>
  <si>
    <t>Grupal semanal</t>
  </si>
  <si>
    <t>000002</t>
  </si>
  <si>
    <t>MOTIVADORAS</t>
  </si>
  <si>
    <t>Coordinación</t>
  </si>
  <si>
    <t>Código
promotor</t>
  </si>
  <si>
    <t>Nombre
promotor</t>
  </si>
  <si>
    <t>Código
recuperador</t>
  </si>
  <si>
    <t>Nombre
recuperador</t>
  </si>
  <si>
    <t>Inicio
ciclo</t>
  </si>
  <si>
    <t>Fin
ciclo</t>
  </si>
  <si>
    <t>Cantidad
entregada</t>
  </si>
  <si>
    <t>Cantidad
Prestada</t>
  </si>
  <si>
    <t>Días de mora</t>
  </si>
  <si>
    <t>Plazo del
crédito</t>
  </si>
  <si>
    <t>Parcialidad +
Parcialidad comisión</t>
  </si>
  <si>
    <t>Comisión
a pagar</t>
  </si>
  <si>
    <t>Interés moratorio saldo
vencido total</t>
  </si>
  <si>
    <t>Pagos vencidos</t>
  </si>
  <si>
    <t>Periodos
vencidos</t>
  </si>
  <si>
    <t>Saldo
capital</t>
  </si>
  <si>
    <t>Saldo
vencido</t>
  </si>
  <si>
    <t>Saldo comisión vencida</t>
  </si>
  <si>
    <t>Saldo recargos</t>
  </si>
  <si>
    <t>$ Último
pago</t>
  </si>
  <si>
    <t>Último
pago</t>
  </si>
  <si>
    <t>Situación
crédito</t>
  </si>
  <si>
    <t>Medio
comunic. 1</t>
  </si>
  <si>
    <t>Medio
comunic. 2</t>
  </si>
  <si>
    <t>Actividad económica
PLD</t>
  </si>
  <si>
    <t>Nombre
conyuge</t>
  </si>
  <si>
    <t>Teléfono
conyuge</t>
  </si>
  <si>
    <t>Tipo Garantía 1</t>
  </si>
  <si>
    <t>Descripción
garantía 1</t>
  </si>
  <si>
    <t>Saldo
total</t>
  </si>
  <si>
    <t>Saldo
adelantado</t>
  </si>
  <si>
    <t>Cód. producto
crédito</t>
  </si>
  <si>
    <t>Nom. producto
crédito</t>
  </si>
  <si>
    <t>Calle</t>
  </si>
  <si>
    <t>Colonia</t>
  </si>
  <si>
    <t>Entidad
federativa</t>
  </si>
  <si>
    <t>Municipio</t>
  </si>
  <si>
    <t>Frecuencia</t>
  </si>
  <si>
    <t>Criticidad</t>
  </si>
  <si>
    <t>Semanal</t>
  </si>
  <si>
    <t>Entregado</t>
  </si>
  <si>
    <t>FRANCISCO I MADERO 10</t>
  </si>
  <si>
    <t>Santa Cruz Tlapacoya</t>
  </si>
  <si>
    <t>México</t>
  </si>
  <si>
    <t>ID GRUPO</t>
  </si>
  <si>
    <t>Número de clientes rechazados</t>
  </si>
  <si>
    <t>ACEITUNAS DE COKTAIL</t>
  </si>
  <si>
    <t>ESPERANZA</t>
  </si>
  <si>
    <t>GLADIOLAS</t>
  </si>
  <si>
    <t>LIDERES UNIDOS</t>
  </si>
  <si>
    <t>LINDAS</t>
  </si>
  <si>
    <t>NUEVO COMIENZO</t>
  </si>
  <si>
    <t>ORQUIDEAS</t>
  </si>
  <si>
    <t>PARDO</t>
  </si>
  <si>
    <t>TUTTY FRATELLI</t>
  </si>
  <si>
    <t>MAY MAY</t>
  </si>
  <si>
    <t>Cód. grupo
solidario</t>
  </si>
  <si>
    <t>Cód.
región</t>
  </si>
  <si>
    <t>Grupo solidario</t>
  </si>
  <si>
    <t>Número
integrantes</t>
  </si>
  <si>
    <t>Saldo interés
Vencido (IVA)</t>
  </si>
  <si>
    <t>Nombre
referencia 1</t>
  </si>
  <si>
    <t>Teléfono
referencia 1</t>
  </si>
  <si>
    <t>Valor
Garantía 1</t>
  </si>
  <si>
    <t>Años
reside</t>
  </si>
  <si>
    <t>Tasa
interés</t>
  </si>
  <si>
    <t>Día junta</t>
  </si>
  <si>
    <t>Hora
junta</t>
  </si>
  <si>
    <t>Miércoles</t>
  </si>
  <si>
    <t>16:00</t>
  </si>
  <si>
    <t>Lunes</t>
  </si>
  <si>
    <t>15:00</t>
  </si>
  <si>
    <t>NOMBRE
PROMOTOR CRED.</t>
  </si>
  <si>
    <t>CÓDIGO
COORD.</t>
  </si>
  <si>
    <t>NOMBRE
COORDINACIÓN</t>
  </si>
  <si>
    <t>CÓDIGO
GER. REGI.</t>
  </si>
  <si>
    <t>NOMBRE
GERENCIA REGIONAL</t>
  </si>
  <si>
    <t>CÓDIGO
L. CRÉDITO</t>
  </si>
  <si>
    <t>CARTERA
COLOCADA</t>
  </si>
  <si>
    <t xml:space="preserve">                 </t>
  </si>
  <si>
    <t>PAGOS COMPROMETIDOS DE
CAPITAL</t>
  </si>
  <si>
    <t>INT SEGÚN TABLA
DE AMORTIZACIÓN</t>
  </si>
  <si>
    <t>INTERÉS 
DEVENGADO</t>
  </si>
  <si>
    <t xml:space="preserve">   </t>
  </si>
  <si>
    <t>PAGOS EFECTUADOS DE
CAPITAL</t>
  </si>
  <si>
    <t>CARTERA VENCIDA
IMPORTE</t>
  </si>
  <si>
    <t>CARTERA VIGENTE
IMPORTE</t>
  </si>
  <si>
    <t>000064</t>
  </si>
  <si>
    <t>Contreras Martinez Jose Luis</t>
  </si>
  <si>
    <t>000004</t>
  </si>
  <si>
    <t>Martes</t>
  </si>
  <si>
    <t>14:00</t>
  </si>
  <si>
    <t>000063</t>
  </si>
  <si>
    <t>Cabrera Flores Viridiana</t>
  </si>
  <si>
    <t>000005</t>
  </si>
  <si>
    <t>04:00</t>
  </si>
  <si>
    <t>000007</t>
  </si>
  <si>
    <t>SIMPRE VIVA 142 MZ 6 LT 11</t>
  </si>
  <si>
    <t>000065</t>
  </si>
  <si>
    <t>Lopez Cabrera Edith Alejandra</t>
  </si>
  <si>
    <t>000003</t>
  </si>
  <si>
    <t>AV LERDO DE TEJADA MZ 1380 LT 7</t>
  </si>
  <si>
    <t>000008</t>
  </si>
  <si>
    <t>3ER CARRIL SN</t>
  </si>
  <si>
    <t>10:00</t>
  </si>
  <si>
    <t>CAMISS</t>
  </si>
  <si>
    <t>FRESITAS</t>
  </si>
  <si>
    <t>Contreras Martinez Jose  Luis</t>
  </si>
  <si>
    <t>000066</t>
  </si>
  <si>
    <t>Ponce Galindo Alicia Berenice</t>
  </si>
  <si>
    <t>000009</t>
  </si>
  <si>
    <t>ORIENTE 17 N 369 MZ 77 LT 34 INT 2 COL REFORMA NEZ</t>
  </si>
  <si>
    <t>Viernes</t>
  </si>
  <si>
    <t>02:00</t>
  </si>
  <si>
    <t>000068</t>
  </si>
  <si>
    <t>Flores Mendez Veronica</t>
  </si>
  <si>
    <t>000006</t>
  </si>
  <si>
    <t xml:space="preserve"> C CONCEPCION 303</t>
  </si>
  <si>
    <t>ESTRELLA</t>
  </si>
  <si>
    <t>Monto 
del crédito</t>
  </si>
  <si>
    <t>Día 
de 
reunión</t>
  </si>
  <si>
    <t>Hora 
de 
reunión</t>
  </si>
  <si>
    <t>Saldo 
ahorro 
acumulado</t>
  </si>
  <si>
    <t>SAN PEDRO</t>
  </si>
  <si>
    <t>ECHEGUREN</t>
  </si>
  <si>
    <t>MARGARITAS</t>
  </si>
  <si>
    <t>XOLOC</t>
  </si>
  <si>
    <t>000010</t>
  </si>
  <si>
    <t>CDA CUAUHTEMOC 5 LA PIEDAD TULTEPEC ESTADO DE MEXI</t>
  </si>
  <si>
    <t>12:00</t>
  </si>
  <si>
    <t>COLIBRI</t>
  </si>
  <si>
    <t>HACHI</t>
  </si>
  <si>
    <t>000069</t>
  </si>
  <si>
    <t>000070</t>
  </si>
  <si>
    <t>Olivares Morales Josue Edgar</t>
  </si>
  <si>
    <t>Sanchez Posada Jose Olimpo</t>
  </si>
  <si>
    <t>000013</t>
  </si>
  <si>
    <t>000011</t>
  </si>
  <si>
    <t>000015</t>
  </si>
  <si>
    <t>000016</t>
  </si>
  <si>
    <t>ADOLFO RUIZ CORTINEZ 34</t>
  </si>
  <si>
    <t>Jueves</t>
  </si>
  <si>
    <t>11:00</t>
  </si>
  <si>
    <t>CTO JUAREZ MZ 2 CS 37 LOS SABINOS II  COACALCO</t>
  </si>
  <si>
    <t>09:00</t>
  </si>
  <si>
    <t>OYAMEL 8</t>
  </si>
  <si>
    <t>Nombre
del
gerente</t>
  </si>
  <si>
    <t>Tipo de
grupo</t>
  </si>
  <si>
    <t>JUAN EDMUNDO LUNA AGUILLON</t>
  </si>
  <si>
    <t>MIGRADO</t>
  </si>
  <si>
    <t>ADRIANA ALEJALDRE GUZMAN</t>
  </si>
  <si>
    <t>IRVIN URIEL MORA VELAZCO</t>
  </si>
  <si>
    <t>FERMINA RAMOS BALDERAS L02</t>
  </si>
  <si>
    <t>FERMIN RAMOS BALDERAS</t>
  </si>
  <si>
    <t>PEDRO RIOS OSORIO L01</t>
  </si>
  <si>
    <t>PEDRO RIOS OSORIO</t>
  </si>
  <si>
    <t>REPORTE DE COBRANZA</t>
  </si>
  <si>
    <t>Sexo</t>
  </si>
  <si>
    <t>Número de</t>
  </si>
  <si>
    <t>Pagos</t>
  </si>
  <si>
    <t>Tasa</t>
  </si>
  <si>
    <t>Monto</t>
  </si>
  <si>
    <t>Saldo capital</t>
  </si>
  <si>
    <t>Capital</t>
  </si>
  <si>
    <t>Interés</t>
  </si>
  <si>
    <t>Saldo vencido</t>
  </si>
  <si>
    <t>Monto último</t>
  </si>
  <si>
    <t>Fecha</t>
  </si>
  <si>
    <t>Total</t>
  </si>
  <si>
    <t>Calle y número</t>
  </si>
  <si>
    <t>Entre calles</t>
  </si>
  <si>
    <t>Código postal</t>
  </si>
  <si>
    <t>Entidad Federativa</t>
  </si>
  <si>
    <t xml:space="preserve">Depósito en </t>
  </si>
  <si>
    <t>Garantía</t>
  </si>
  <si>
    <t>Línea de fondeo/</t>
  </si>
  <si>
    <t xml:space="preserve">Comentario </t>
  </si>
  <si>
    <t>Comentario</t>
  </si>
  <si>
    <t>Fecha de</t>
  </si>
  <si>
    <t>Desembolsado</t>
  </si>
  <si>
    <t>sin IVA</t>
  </si>
  <si>
    <t>cuota</t>
  </si>
  <si>
    <t>cuota capital</t>
  </si>
  <si>
    <t>vigente</t>
  </si>
  <si>
    <t>vencido</t>
  </si>
  <si>
    <t>moratorio</t>
  </si>
  <si>
    <t>Gastos</t>
  </si>
  <si>
    <t>(exigíble al día)</t>
  </si>
  <si>
    <t>pago</t>
  </si>
  <si>
    <t>último pago</t>
  </si>
  <si>
    <t>inicio</t>
  </si>
  <si>
    <t>vencimiento</t>
  </si>
  <si>
    <t>próximo pago</t>
  </si>
  <si>
    <t>por vencer</t>
  </si>
  <si>
    <t>pagos</t>
  </si>
  <si>
    <t>Teléfono 1</t>
  </si>
  <si>
    <t>Teléfono 2</t>
  </si>
  <si>
    <t>Teléfono 3</t>
  </si>
  <si>
    <t>del negocio</t>
  </si>
  <si>
    <t>de casa</t>
  </si>
  <si>
    <t>garantía</t>
  </si>
  <si>
    <t>prendaria</t>
  </si>
  <si>
    <t>Calificación</t>
  </si>
  <si>
    <t>Institución fondeadora</t>
  </si>
  <si>
    <t>cuenta</t>
  </si>
  <si>
    <t>castigo</t>
  </si>
  <si>
    <t>NUEVO</t>
  </si>
  <si>
    <t>GRUPAL</t>
  </si>
  <si>
    <t>0</t>
  </si>
  <si>
    <t>VIGENTE</t>
  </si>
  <si>
    <t>11/08/2025</t>
  </si>
  <si>
    <t>08/08/2025</t>
  </si>
  <si>
    <t>02/12/2025</t>
  </si>
  <si>
    <t>56420</t>
  </si>
  <si>
    <t>NEZAHUALCOYOTL</t>
  </si>
  <si>
    <t>MÉXICO</t>
  </si>
  <si>
    <t>SANTA CRUZ TLAPACOYA</t>
  </si>
  <si>
    <t>56577</t>
  </si>
  <si>
    <t>IXTAPALUCA</t>
  </si>
  <si>
    <t>Recursos propios /Javier Jesús Vargas Castañeda</t>
  </si>
  <si>
    <t>06/08/2025</t>
  </si>
  <si>
    <t>01/12/2025</t>
  </si>
  <si>
    <t>18/08/2025</t>
  </si>
  <si>
    <t>5537415225</t>
  </si>
  <si>
    <t>5652235628</t>
  </si>
  <si>
    <t>5625875700</t>
  </si>
  <si>
    <t>FRANCISCO I MADERO 112</t>
  </si>
  <si>
    <t>SAN PABLO DE LAS SALINAS</t>
  </si>
  <si>
    <t>54930</t>
  </si>
  <si>
    <t>TULTITLAN</t>
  </si>
  <si>
    <t>00000101G000001</t>
  </si>
  <si>
    <t>12/08/2025</t>
  </si>
  <si>
    <t>26/11/2025</t>
  </si>
  <si>
    <t>5574125698</t>
  </si>
  <si>
    <t>5615977141</t>
  </si>
  <si>
    <t>5576821163</t>
  </si>
  <si>
    <t>MORAS MZ 32 LT 8-CS 4</t>
  </si>
  <si>
    <t>SAN FRANCISCO COACALCO (SECCIÓN HACIENDA)</t>
  </si>
  <si>
    <t>55712</t>
  </si>
  <si>
    <t>COACALCO</t>
  </si>
  <si>
    <t>00000201G000002</t>
  </si>
  <si>
    <t>1</t>
  </si>
  <si>
    <t>5526620815</t>
  </si>
  <si>
    <t>5523929169</t>
  </si>
  <si>
    <t>5620142690</t>
  </si>
  <si>
    <t>SIEMPRE VIVA 6-11</t>
  </si>
  <si>
    <t>GEOVILLAS SANTA BÁRBARA</t>
  </si>
  <si>
    <t>56535</t>
  </si>
  <si>
    <t>00000701G000007</t>
  </si>
  <si>
    <t>13/08/2025</t>
  </si>
  <si>
    <t>03/12/2025</t>
  </si>
  <si>
    <t>5534205865</t>
  </si>
  <si>
    <t>5569857786</t>
  </si>
  <si>
    <t>5631128630</t>
  </si>
  <si>
    <t>CDA CUAUHTEMOC 5</t>
  </si>
  <si>
    <t>TULTEPEC CENTRO</t>
  </si>
  <si>
    <t>54960</t>
  </si>
  <si>
    <t>TULTEPEC</t>
  </si>
  <si>
    <t>FERMIN RAMOS BALDERAS/FERMINA RAMOS BALDERAS L02</t>
  </si>
  <si>
    <t>00001001G000010</t>
  </si>
  <si>
    <t>5571914404</t>
  </si>
  <si>
    <t>5579015301</t>
  </si>
  <si>
    <t>5631048305</t>
  </si>
  <si>
    <t>AV SEBASTIAN LERDO DE TEJADA 1380-7</t>
  </si>
  <si>
    <t>MARÍA ISABEL</t>
  </si>
  <si>
    <t>56615</t>
  </si>
  <si>
    <t>VALLE DE CHALCO SOLIDARIDAD</t>
  </si>
  <si>
    <t>00000301G000003</t>
  </si>
  <si>
    <t>14/08/2025</t>
  </si>
  <si>
    <t>04/12/2025</t>
  </si>
  <si>
    <t>21/08/2025</t>
  </si>
  <si>
    <t>5575138348</t>
  </si>
  <si>
    <t>5537131074</t>
  </si>
  <si>
    <t>5636731148</t>
  </si>
  <si>
    <t>CTO UAREZ  MZ 2-37</t>
  </si>
  <si>
    <t>LOS SABINOS II</t>
  </si>
  <si>
    <t>55715</t>
  </si>
  <si>
    <t>00001101G000011</t>
  </si>
  <si>
    <t>2221494819</t>
  </si>
  <si>
    <t>2222935886</t>
  </si>
  <si>
    <t>2212320032</t>
  </si>
  <si>
    <t>72210</t>
  </si>
  <si>
    <t>PUEBLA</t>
  </si>
  <si>
    <t>PEDRO RIOS OSORIO/PEDRO RIOS OSORIO L01</t>
  </si>
  <si>
    <t>00001301G000013</t>
  </si>
  <si>
    <t>5628182117</t>
  </si>
  <si>
    <t>5526249659</t>
  </si>
  <si>
    <t>5519177342</t>
  </si>
  <si>
    <t>3ER CARRIL SN  MZ 25-LT 8</t>
  </si>
  <si>
    <t>HORNOS SANTA BÁRBARA</t>
  </si>
  <si>
    <t>00000801G000008</t>
  </si>
  <si>
    <t>10/12/2025</t>
  </si>
  <si>
    <t>27/08/2025</t>
  </si>
  <si>
    <t>5524976141</t>
  </si>
  <si>
    <t>5621667793</t>
  </si>
  <si>
    <t>7714045198</t>
  </si>
  <si>
    <t>VALLE DE LOS PINOS</t>
  </si>
  <si>
    <t>LA PAZ</t>
  </si>
  <si>
    <t>00001601G000016</t>
  </si>
  <si>
    <t>05/12/2025</t>
  </si>
  <si>
    <t>22/08/2025</t>
  </si>
  <si>
    <t>2482484584</t>
  </si>
  <si>
    <t>2481660701</t>
  </si>
  <si>
    <t>2481315208</t>
  </si>
  <si>
    <t>C DE LA LUZ  425-2</t>
  </si>
  <si>
    <t>SAN MATÍAS TLALANCALECA</t>
  </si>
  <si>
    <t>74110</t>
  </si>
  <si>
    <t>SAN MATIAS TLALANCALECA</t>
  </si>
  <si>
    <t>00000601G000006</t>
  </si>
  <si>
    <t>5652604655</t>
  </si>
  <si>
    <t>5568875522</t>
  </si>
  <si>
    <t>5532428980</t>
  </si>
  <si>
    <t>ORIENTE 17 369 MZ 77 LT 34-2</t>
  </si>
  <si>
    <t>REFORMA</t>
  </si>
  <si>
    <t>57840</t>
  </si>
  <si>
    <t>00000901G000009</t>
  </si>
  <si>
    <t>5610287231</t>
  </si>
  <si>
    <t>5631504271</t>
  </si>
  <si>
    <t>5524012122</t>
  </si>
  <si>
    <t>JUAN POZOS 21</t>
  </si>
  <si>
    <t>EL CALVARIO</t>
  </si>
  <si>
    <t>56560</t>
  </si>
  <si>
    <t>00000501G000005</t>
  </si>
  <si>
    <t>5587328255</t>
  </si>
  <si>
    <t>5538875274</t>
  </si>
  <si>
    <t>5563985928</t>
  </si>
  <si>
    <t>PASCUAL OROZCO MA 22-LT 3</t>
  </si>
  <si>
    <t>REVOLUCIÓN</t>
  </si>
  <si>
    <t>56390</t>
  </si>
  <si>
    <t>CHICOLOAPAN</t>
  </si>
  <si>
    <t>00001501G000015</t>
  </si>
  <si>
    <t>25/08/2025</t>
  </si>
  <si>
    <t>Puebla</t>
  </si>
  <si>
    <t>000017</t>
  </si>
  <si>
    <t>XOLOC # 62</t>
  </si>
  <si>
    <t>CRISTAL</t>
  </si>
  <si>
    <t>CHICAS MAGICAS</t>
  </si>
  <si>
    <t>EXITOSAS</t>
  </si>
  <si>
    <t>CERECITAS</t>
  </si>
  <si>
    <t>CAMPEONAS</t>
  </si>
  <si>
    <t>Los Reyes</t>
  </si>
  <si>
    <t>000022</t>
  </si>
  <si>
    <t>000012</t>
  </si>
  <si>
    <t>ANDROMEDA</t>
  </si>
  <si>
    <t>26/08/2025</t>
  </si>
  <si>
    <t>Código gerencia
 regional</t>
  </si>
  <si>
    <t>Nombre gerencia
regional</t>
  </si>
  <si>
    <t>Código
coordinación</t>
  </si>
  <si>
    <t>Nombre
coordinación</t>
  </si>
  <si>
    <t>Código oficial
de crédito</t>
  </si>
  <si>
    <t>Nombre oficial
de crédito</t>
  </si>
  <si>
    <t>Cód cliente/
Gpo.</t>
  </si>
  <si>
    <t>Nombre
cliente/grupo</t>
  </si>
  <si>
    <t>Ciclo real
del cliente</t>
  </si>
  <si>
    <t>Ciclo
del cliente</t>
  </si>
  <si>
    <t>Nombre de
gpo. (Ind gpo)</t>
  </si>
  <si>
    <t>Número de
integrantes</t>
  </si>
  <si>
    <t>Tipo de cliente
(Nuevo o renovación)</t>
  </si>
  <si>
    <t>Tipo de crédito
(Ind/Gpo/Ind Gpo)</t>
  </si>
  <si>
    <t>Producto
de crédito</t>
  </si>
  <si>
    <t>Nombre
grupo</t>
  </si>
  <si>
    <t>Día
de pago</t>
  </si>
  <si>
    <t>Hora de
junta</t>
  </si>
  <si>
    <t>Días
de atraso</t>
  </si>
  <si>
    <t>Rango de
morosidad</t>
  </si>
  <si>
    <t>Pagos
vencidos</t>
  </si>
  <si>
    <t>Estado
(Vigente/vencido)</t>
  </si>
  <si>
    <t>19/08/2025</t>
  </si>
  <si>
    <t>Tultitlán</t>
  </si>
  <si>
    <t>000020</t>
  </si>
  <si>
    <t>RETORNO EL CAÑAVERAL 30 PLANTA BAJA</t>
  </si>
  <si>
    <t>05:00</t>
  </si>
  <si>
    <t>MOYSEN</t>
  </si>
  <si>
    <t>CUPIDO</t>
  </si>
  <si>
    <t>ABEJAS</t>
  </si>
  <si>
    <t>ABUNDANCIA</t>
  </si>
  <si>
    <t>000026</t>
  </si>
  <si>
    <t>C HIDALGO 2 B</t>
  </si>
  <si>
    <t>NUEVA LUZ</t>
  </si>
  <si>
    <t>EXITOSAS DE SAN JUAN</t>
  </si>
  <si>
    <t>LOS EFECTIVOS</t>
  </si>
  <si>
    <t>000027</t>
  </si>
  <si>
    <t>ZARAGOZA</t>
  </si>
  <si>
    <t>LA CRUZ</t>
  </si>
  <si>
    <t>FLORECITAS</t>
  </si>
  <si>
    <t>28/08/2025</t>
  </si>
  <si>
    <t>5566025377</t>
  </si>
  <si>
    <t>5576288667</t>
  </si>
  <si>
    <t>5560785819</t>
  </si>
  <si>
    <t>LOMA DE LA PAZ MZ 24  LT 7B SN</t>
  </si>
  <si>
    <t>LOMAS DE IXTAPALUCA</t>
  </si>
  <si>
    <t>56567</t>
  </si>
  <si>
    <t>TREAT GLADIATOR SA DE CV /TREAT GLADIATOR SA DE CV</t>
  </si>
  <si>
    <t>00001201G000012</t>
  </si>
  <si>
    <t>Región Estado Puebla</t>
  </si>
  <si>
    <t>011</t>
  </si>
  <si>
    <t>08/12/2025</t>
  </si>
  <si>
    <t>2227128744</t>
  </si>
  <si>
    <t>2224861015</t>
  </si>
  <si>
    <t>2224472334</t>
  </si>
  <si>
    <t>XOLOC 162</t>
  </si>
  <si>
    <t>IGNACIO ROMERO VARGAS</t>
  </si>
  <si>
    <t>72120</t>
  </si>
  <si>
    <t>00001701G000017</t>
  </si>
  <si>
    <t>009</t>
  </si>
  <si>
    <t>09/12/2025</t>
  </si>
  <si>
    <t>5589621682</t>
  </si>
  <si>
    <t>5614742243</t>
  </si>
  <si>
    <t>5522741889</t>
  </si>
  <si>
    <t>ORIENTE 9-359</t>
  </si>
  <si>
    <t>00002201G000022</t>
  </si>
  <si>
    <t>010</t>
  </si>
  <si>
    <t>20/08/2025</t>
  </si>
  <si>
    <t>5529707507</t>
  </si>
  <si>
    <t>5527052820</t>
  </si>
  <si>
    <t>5635828685</t>
  </si>
  <si>
    <t>LAGUNA 2</t>
  </si>
  <si>
    <t>SAN MATEO IXTACALCO</t>
  </si>
  <si>
    <t>54840</t>
  </si>
  <si>
    <t>CUAUTITLAN</t>
  </si>
  <si>
    <t>00002001G000020</t>
  </si>
  <si>
    <t>11/12/2025</t>
  </si>
  <si>
    <t>9214266494</t>
  </si>
  <si>
    <t>2482166562</t>
  </si>
  <si>
    <t>2481732016</t>
  </si>
  <si>
    <t>C HIDALGO  2-B</t>
  </si>
  <si>
    <t>SAN JUAN CUAUHTÉMOC CU</t>
  </si>
  <si>
    <t>74109</t>
  </si>
  <si>
    <t>TLAHUAPAN</t>
  </si>
  <si>
    <t>00002601G000026</t>
  </si>
  <si>
    <t>TREAT GLADIATOR SA DE CV</t>
  </si>
  <si>
    <t>000072</t>
  </si>
  <si>
    <t>Lopez Garcia Nahum Antonio</t>
  </si>
  <si>
    <t>000031</t>
  </si>
  <si>
    <t>EL VENADO # 4</t>
  </si>
  <si>
    <t>000032</t>
  </si>
  <si>
    <t>000025</t>
  </si>
  <si>
    <t>CDA RAYON SN</t>
  </si>
  <si>
    <t>29/08/2025</t>
  </si>
  <si>
    <t>000036</t>
  </si>
  <si>
    <t>GARDENIAS</t>
  </si>
  <si>
    <t>ENCINOS MZ 8 LT 72</t>
  </si>
  <si>
    <t>000030</t>
  </si>
  <si>
    <t>6TA CDA DE EMILIANO ZAPATA</t>
  </si>
  <si>
    <t>1200</t>
  </si>
  <si>
    <t>000077</t>
  </si>
  <si>
    <t>Juarez Palma Ma Ines</t>
  </si>
  <si>
    <t>000033</t>
  </si>
  <si>
    <t>3ER CTO BVLD  H CHALCO C2 MZ14 LT 23</t>
  </si>
  <si>
    <t>11</t>
  </si>
  <si>
    <t>SONRISA</t>
  </si>
  <si>
    <t>DOS DE ABRIL</t>
  </si>
  <si>
    <t>15/12/2025</t>
  </si>
  <si>
    <t>5576043175</t>
  </si>
  <si>
    <t>5564200232</t>
  </si>
  <si>
    <t>5652134205</t>
  </si>
  <si>
    <t>ENCINO MZ 8-LT 72</t>
  </si>
  <si>
    <t>LAS ROSAS</t>
  </si>
  <si>
    <t>56514</t>
  </si>
  <si>
    <t>MARIA TERESA ALESSANDRI GONZALEZ/MARIA TERESA ALESSANDRI GONZALEZ L01</t>
  </si>
  <si>
    <t>00003601G000036</t>
  </si>
  <si>
    <t>12/12/2025</t>
  </si>
  <si>
    <t>5567901095</t>
  </si>
  <si>
    <t>5529854496</t>
  </si>
  <si>
    <t>5642792259</t>
  </si>
  <si>
    <t>PRIVADA VOLCAN DE ATITLAN MZ 45-LT 84 B</t>
  </si>
  <si>
    <t>SAN BUENAVENTURA</t>
  </si>
  <si>
    <t>56536</t>
  </si>
  <si>
    <t>FERMIN RAMOS BALDERAS/FERMIN RAMOS BALDERAS L01</t>
  </si>
  <si>
    <t>00003201G000032</t>
  </si>
  <si>
    <t>5640950275</t>
  </si>
  <si>
    <t>2201066454</t>
  </si>
  <si>
    <t>5582625811</t>
  </si>
  <si>
    <t>EL VENADO 4</t>
  </si>
  <si>
    <t>AMPLIACIÓN ZOQUIAPAN</t>
  </si>
  <si>
    <t>56589</t>
  </si>
  <si>
    <t>00003101G000031</t>
  </si>
  <si>
    <t>5591431629</t>
  </si>
  <si>
    <t>5610673264</t>
  </si>
  <si>
    <t>5661507156</t>
  </si>
  <si>
    <t>CDA RAYON SN MZ17-LT6</t>
  </si>
  <si>
    <t>SAN JUAN XOCOTLA</t>
  </si>
  <si>
    <t>JOSE SEGURA ALFARO/JOSE SEGURA ALFARO L02</t>
  </si>
  <si>
    <t>00002501G000025</t>
  </si>
  <si>
    <t>5561816100</t>
  </si>
  <si>
    <t>5554340109</t>
  </si>
  <si>
    <t>5572716008</t>
  </si>
  <si>
    <t>CDA EMILIANO ZAPATA 21</t>
  </si>
  <si>
    <t>SAN LORENZO RÍO TENCO</t>
  </si>
  <si>
    <t>54713</t>
  </si>
  <si>
    <t>CUAUTITLAN IZCALLI</t>
  </si>
  <si>
    <t>ROSA SEGURA GUADARRAMA/ROSA SEGURA GUADARRAMA L01</t>
  </si>
  <si>
    <t>00003001G000030</t>
  </si>
  <si>
    <t>5565643744</t>
  </si>
  <si>
    <t>5632195884</t>
  </si>
  <si>
    <t>5531632188</t>
  </si>
  <si>
    <t>3 CTO BVLD H CHALCO C2 M14-L23</t>
  </si>
  <si>
    <t>LOS HÉROES CHALCO</t>
  </si>
  <si>
    <t>56644</t>
  </si>
  <si>
    <t>CHALCO</t>
  </si>
  <si>
    <t>MARIA TERESA DE JESUS GUADARRAMA DIAZ/MARIA TERESA DE JESUS GUADARRAMA DIAZ</t>
  </si>
  <si>
    <t>00003301G000033</t>
  </si>
  <si>
    <t>FERMIN RAMOS BALDERAS L01</t>
  </si>
  <si>
    <t>MARIA TERESA ALESSANDRI GONZALEZ L01</t>
  </si>
  <si>
    <t>MARIA TERESA ALESSANDRI GONZALEZ</t>
  </si>
  <si>
    <t>MARIA TERESA DE JESUS GUADARRAMA DIAZ</t>
  </si>
  <si>
    <t>ROSA SEGURA GUADARRAMA L01</t>
  </si>
  <si>
    <t>ROSA SEGURA GUADARRAMA</t>
  </si>
  <si>
    <t>JOSE SEGURA ALFARO L02</t>
  </si>
  <si>
    <t>JOSE SEGURA ALFARO</t>
  </si>
  <si>
    <t>000029</t>
  </si>
  <si>
    <t>RETAMA MZ 8 LT 11</t>
  </si>
  <si>
    <t>000035</t>
  </si>
  <si>
    <t>2 DE ABRIL</t>
  </si>
  <si>
    <t>CAPILLA 3 NO EXT 84</t>
  </si>
  <si>
    <t>16:30</t>
  </si>
  <si>
    <t>TULIPANES</t>
  </si>
  <si>
    <t>PUERTA DE ORO</t>
  </si>
  <si>
    <t>ALAMOS DE MARISCAL</t>
  </si>
  <si>
    <t>MARIPOSAS</t>
  </si>
  <si>
    <t>Semana</t>
  </si>
  <si>
    <t>02/09/2025</t>
  </si>
  <si>
    <t>16/12/2025</t>
  </si>
  <si>
    <t>5573679127</t>
  </si>
  <si>
    <t>5541326462</t>
  </si>
  <si>
    <t>5643407948</t>
  </si>
  <si>
    <t>RETAMA MZ 8-LT 11</t>
  </si>
  <si>
    <t>NUEVA SAN MIGUEL</t>
  </si>
  <si>
    <t>56604</t>
  </si>
  <si>
    <t>Recursos propios /Recursos Propios</t>
  </si>
  <si>
    <t>00002901G000029</t>
  </si>
  <si>
    <t>5648379387</t>
  </si>
  <si>
    <t>5639673352</t>
  </si>
  <si>
    <t>5641100645</t>
  </si>
  <si>
    <t>CAPILLA 3 CS 84-0</t>
  </si>
  <si>
    <t>LA ERA</t>
  </si>
  <si>
    <t>56530</t>
  </si>
  <si>
    <t>00003501G000035</t>
  </si>
  <si>
    <t>Recursos Propios</t>
  </si>
  <si>
    <t>000039</t>
  </si>
  <si>
    <t>COMETAS</t>
  </si>
  <si>
    <t>C REFORMA # 3</t>
  </si>
  <si>
    <t>000040</t>
  </si>
  <si>
    <t>CACHU</t>
  </si>
  <si>
    <t>FRANCISCO  PAZ # 9 1</t>
  </si>
  <si>
    <t>000045</t>
  </si>
  <si>
    <t>LEONIDAS 1</t>
  </si>
  <si>
    <t>I M ALTAMIRANO 151</t>
  </si>
  <si>
    <t>1:00</t>
  </si>
  <si>
    <t>000037</t>
  </si>
  <si>
    <t>FANTASTICAS</t>
  </si>
  <si>
    <t>AV LA SAUCERA SN</t>
  </si>
  <si>
    <t>000041</t>
  </si>
  <si>
    <t>IGNACIO ZARAGOZA SN</t>
  </si>
  <si>
    <t>000018</t>
  </si>
  <si>
    <t>CTO MZ7 LT9</t>
  </si>
  <si>
    <t>03/09/2025</t>
  </si>
  <si>
    <t>17/12/2025</t>
  </si>
  <si>
    <t>5554766478</t>
  </si>
  <si>
    <t>5627168531</t>
  </si>
  <si>
    <t>6677339401</t>
  </si>
  <si>
    <t>I M ALTAMIRANO  M 151</t>
  </si>
  <si>
    <t>COVADONGA</t>
  </si>
  <si>
    <t>56607</t>
  </si>
  <si>
    <t>00004501G000045</t>
  </si>
  <si>
    <t>2271194147</t>
  </si>
  <si>
    <t>2225615071</t>
  </si>
  <si>
    <t>2271132601</t>
  </si>
  <si>
    <t>C REFORMA  3</t>
  </si>
  <si>
    <t>TERCERO</t>
  </si>
  <si>
    <t>74160</t>
  </si>
  <si>
    <t>HUEJOTZINGO</t>
  </si>
  <si>
    <t>00003901G000039</t>
  </si>
  <si>
    <t>23/12/2025</t>
  </si>
  <si>
    <t>09/09/2025</t>
  </si>
  <si>
    <t>5538656932</t>
  </si>
  <si>
    <t>AV SAUCERA SN</t>
  </si>
  <si>
    <t>00003701G000037</t>
  </si>
  <si>
    <t>5588155908</t>
  </si>
  <si>
    <t>5650400427</t>
  </si>
  <si>
    <t>5611593948</t>
  </si>
  <si>
    <t>CICUTO MZ7-LT9</t>
  </si>
  <si>
    <t>CITLALMINA</t>
  </si>
  <si>
    <t>56540</t>
  </si>
  <si>
    <t>00001801G000018</t>
  </si>
  <si>
    <t>5528231762</t>
  </si>
  <si>
    <t>5537309009</t>
  </si>
  <si>
    <t>IGNACIO ZARAGOZA  SN -SN</t>
  </si>
  <si>
    <t>00004101G000041</t>
  </si>
  <si>
    <t>5531550396</t>
  </si>
  <si>
    <t>5577221611</t>
  </si>
  <si>
    <t>5516017018</t>
  </si>
  <si>
    <t>56370</t>
  </si>
  <si>
    <t>00004001G000040</t>
  </si>
  <si>
    <t>000042</t>
  </si>
  <si>
    <t>FRANCISCO I MADERO MZ 9 LT 10</t>
  </si>
  <si>
    <t>000034</t>
  </si>
  <si>
    <t>000044</t>
  </si>
  <si>
    <t>ALAMOS DE LA MARISCAL</t>
  </si>
  <si>
    <t>MART DE CANA # 32 11</t>
  </si>
  <si>
    <t>09:30</t>
  </si>
  <si>
    <t>000047</t>
  </si>
  <si>
    <t>KIRA</t>
  </si>
  <si>
    <t>DIAG SANTUARIO # 4809</t>
  </si>
  <si>
    <t>000043</t>
  </si>
  <si>
    <t>ADELITA</t>
  </si>
  <si>
    <t>AV FRATERNIDAD MZ 9 LT 126</t>
  </si>
  <si>
    <t>000081</t>
  </si>
  <si>
    <t>Becerril Aguirre Jonathan</t>
  </si>
  <si>
    <t>000046</t>
  </si>
  <si>
    <t>LOS PEQUES</t>
  </si>
  <si>
    <t>000053</t>
  </si>
  <si>
    <t>PATRICIA</t>
  </si>
  <si>
    <t>HACIENDA LA COTALERA MZ 7 LT 13 39</t>
  </si>
  <si>
    <t>000052</t>
  </si>
  <si>
    <t>LAS TORRES</t>
  </si>
  <si>
    <t>HALCON SN</t>
  </si>
  <si>
    <t>000051</t>
  </si>
  <si>
    <t>MIS ANGELITOS</t>
  </si>
  <si>
    <t>000048</t>
  </si>
  <si>
    <t>UNA LUZ EN MI CAMINO</t>
  </si>
  <si>
    <t>EUCALIPTOS</t>
  </si>
  <si>
    <t>000028</t>
  </si>
  <si>
    <t>C IGNACIO ZARAGOZA # 30</t>
  </si>
  <si>
    <t>000050</t>
  </si>
  <si>
    <t>BUGAMBILIAS</t>
  </si>
  <si>
    <t>BUGAMBILIAS SN</t>
  </si>
  <si>
    <t>000049</t>
  </si>
  <si>
    <t>LOS SOLTERONES</t>
  </si>
  <si>
    <t>000055</t>
  </si>
  <si>
    <t>MAGIA</t>
  </si>
  <si>
    <t>CICLISMO # 4838 3</t>
  </si>
  <si>
    <t>000054</t>
  </si>
  <si>
    <t>VALIENTES</t>
  </si>
  <si>
    <t>04/09/2025</t>
  </si>
  <si>
    <t>18/12/2025</t>
  </si>
  <si>
    <t>5517299434</t>
  </si>
  <si>
    <t>5580995355</t>
  </si>
  <si>
    <t>5513505913</t>
  </si>
  <si>
    <t>BUENO 12</t>
  </si>
  <si>
    <t>EMILIANO ZAPATA</t>
  </si>
  <si>
    <t>56550</t>
  </si>
  <si>
    <t>00004601G000046</t>
  </si>
  <si>
    <t>5578339586</t>
  </si>
  <si>
    <t>5538360683</t>
  </si>
  <si>
    <t>5620909964</t>
  </si>
  <si>
    <t>LOS REYES ACATLIXHUAYAN</t>
  </si>
  <si>
    <t>56655</t>
  </si>
  <si>
    <t>TEMAMATLA</t>
  </si>
  <si>
    <t>00003401G000034</t>
  </si>
  <si>
    <t>5534049922</t>
  </si>
  <si>
    <t>5630961682</t>
  </si>
  <si>
    <t>5646861358</t>
  </si>
  <si>
    <t>AV FRATERNIDAD MZ 9-LT 126</t>
  </si>
  <si>
    <t>REAL DE SAN MARTÍN</t>
  </si>
  <si>
    <t>56614</t>
  </si>
  <si>
    <t>00004301G000043</t>
  </si>
  <si>
    <t>5534184262</t>
  </si>
  <si>
    <t>5510792520</t>
  </si>
  <si>
    <t>5587610201</t>
  </si>
  <si>
    <t>SAN JUAN SN</t>
  </si>
  <si>
    <t>CASCO DE SAN JUAN</t>
  </si>
  <si>
    <t>56600</t>
  </si>
  <si>
    <t>00004201G000042</t>
  </si>
  <si>
    <t>2226115633</t>
  </si>
  <si>
    <t>2212017779</t>
  </si>
  <si>
    <t>2228033045</t>
  </si>
  <si>
    <t>DIAG SANTUARIO 4809</t>
  </si>
  <si>
    <t>MORELOS</t>
  </si>
  <si>
    <t>72080</t>
  </si>
  <si>
    <t>00004701G000047</t>
  </si>
  <si>
    <t>2224419237</t>
  </si>
  <si>
    <t>2212348669</t>
  </si>
  <si>
    <t>2221034033</t>
  </si>
  <si>
    <t>MART DE CAA  32-11</t>
  </si>
  <si>
    <t>BARRANCA HONDA</t>
  </si>
  <si>
    <t>72014</t>
  </si>
  <si>
    <t>00004401G000044</t>
  </si>
  <si>
    <t>Becerril  Aguirre Jonathan</t>
  </si>
  <si>
    <t>TORRES</t>
  </si>
  <si>
    <t>LOMAS DE LAS FLORES</t>
  </si>
  <si>
    <t>05/09/2025</t>
  </si>
  <si>
    <t>PRIV VOLCAN DE ATITLAN</t>
  </si>
  <si>
    <t xml:space="preserve"> ORIENTE 9 359</t>
  </si>
  <si>
    <t>LINDA VISTA</t>
  </si>
  <si>
    <t>C MORAS 32 4</t>
  </si>
  <si>
    <t>PASCUAL OROZCO MZ 40 LT 16</t>
  </si>
  <si>
    <t>C BUENO MZ 2</t>
  </si>
  <si>
    <t>19/12/2025</t>
  </si>
  <si>
    <t>5536296043</t>
  </si>
  <si>
    <t>5547635700</t>
  </si>
  <si>
    <t>5587989368</t>
  </si>
  <si>
    <t>FRANCISCO VILLA 14</t>
  </si>
  <si>
    <t>SANTA CRUZ TLALPIZAHUAC</t>
  </si>
  <si>
    <t>00005101G000051</t>
  </si>
  <si>
    <t>5534413705</t>
  </si>
  <si>
    <t>5521795094</t>
  </si>
  <si>
    <t>5566196406</t>
  </si>
  <si>
    <t>HACIENDA LA COTERA MZ 7-LT13  39</t>
  </si>
  <si>
    <t>00005301G000053</t>
  </si>
  <si>
    <t>5585466727</t>
  </si>
  <si>
    <t>5660997998</t>
  </si>
  <si>
    <t>5635737172</t>
  </si>
  <si>
    <t>TEPETLAOXTOC MX77-LT9</t>
  </si>
  <si>
    <t>SOLIDARIDAD 3RA. SECCIÓN</t>
  </si>
  <si>
    <t>54948</t>
  </si>
  <si>
    <t>00005201G000052</t>
  </si>
  <si>
    <t>BUGAMBILIAS  SN</t>
  </si>
  <si>
    <t>SAN PABLITO (PARAJE SAN PABLITO)</t>
  </si>
  <si>
    <t>54983</t>
  </si>
  <si>
    <t>00005001G000050</t>
  </si>
  <si>
    <t>2225267406</t>
  </si>
  <si>
    <t>5640020323</t>
  </si>
  <si>
    <t>2222171829</t>
  </si>
  <si>
    <t>Ciclismo 4838-3</t>
  </si>
  <si>
    <t>UNIDAD MAGISTERIAL MÉXICO 68</t>
  </si>
  <si>
    <t>72300</t>
  </si>
  <si>
    <t>00005501G000055</t>
  </si>
  <si>
    <t>5536449932</t>
  </si>
  <si>
    <t>9842793830</t>
  </si>
  <si>
    <t>5538254441</t>
  </si>
  <si>
    <t>CUATLAZOLLI MZ 1-LT 3</t>
  </si>
  <si>
    <t>TLAYEHUALE</t>
  </si>
  <si>
    <t>56586</t>
  </si>
  <si>
    <t>00004901G000049</t>
  </si>
  <si>
    <t>5568594479</t>
  </si>
  <si>
    <t>5528294952</t>
  </si>
  <si>
    <t>5581420717</t>
  </si>
  <si>
    <t>ALEJANDRINA MZ 8-LT 5</t>
  </si>
  <si>
    <t>NUEVA SAN ISIDRO</t>
  </si>
  <si>
    <t>56605</t>
  </si>
  <si>
    <t>00005401G000054</t>
  </si>
  <si>
    <t>2212783161</t>
  </si>
  <si>
    <t>2481020208</t>
  </si>
  <si>
    <t>2225278472</t>
  </si>
  <si>
    <t>C IGNACIO ZARAGOZA  30</t>
  </si>
  <si>
    <t>SAN JERÓNIMO TIANGUISMANALCO</t>
  </si>
  <si>
    <t>74128</t>
  </si>
  <si>
    <t>SAN MARTIN TEXMELUCAN</t>
  </si>
  <si>
    <t>00002801G000028</t>
  </si>
  <si>
    <t>5586833984</t>
  </si>
  <si>
    <t>5538394996</t>
  </si>
  <si>
    <t>5582477598</t>
  </si>
  <si>
    <t>EUCALIPTOS MZ 5-LT 13</t>
  </si>
  <si>
    <t>FLORESTA</t>
  </si>
  <si>
    <t>00004801G000048</t>
  </si>
  <si>
    <t>PASTELITOS Y PANQUECITOS</t>
  </si>
  <si>
    <t>HERMOSAS FLORES</t>
  </si>
  <si>
    <t>TRIUNFADORAS</t>
  </si>
  <si>
    <t>08/09/2025</t>
  </si>
  <si>
    <t>000056</t>
  </si>
  <si>
    <t>PASTELITOS Y PANQUESITOS</t>
  </si>
  <si>
    <t>ALFAREROS N.6</t>
  </si>
  <si>
    <t>000057</t>
  </si>
  <si>
    <t>GABANNA</t>
  </si>
  <si>
    <t>INFINITO</t>
  </si>
  <si>
    <t>LOS DEL VALLE</t>
  </si>
  <si>
    <t>LA QUINTA</t>
  </si>
  <si>
    <t>000060</t>
  </si>
  <si>
    <t>DIAMANTES</t>
  </si>
  <si>
    <t>AV VICENTE GUERRERO # 1160 2</t>
  </si>
  <si>
    <t>000058</t>
  </si>
  <si>
    <t>CERRADA CONDOR 16</t>
  </si>
  <si>
    <t>24/12/2025</t>
  </si>
  <si>
    <t>5575270627</t>
  </si>
  <si>
    <t>5514816598</t>
  </si>
  <si>
    <t>5578435074</t>
  </si>
  <si>
    <t>PSO MAPLES MZ 4-LT 10</t>
  </si>
  <si>
    <t>ARBOLADA</t>
  </si>
  <si>
    <t>56570</t>
  </si>
  <si>
    <t>00005701G000057</t>
  </si>
  <si>
    <t>APOYATE EN MI</t>
  </si>
  <si>
    <t>ALCATRAZ</t>
  </si>
  <si>
    <t>GRANDES SUEÑOS</t>
  </si>
  <si>
    <t>TREBOL</t>
  </si>
  <si>
    <t>FATY</t>
  </si>
  <si>
    <t>11/09/2025</t>
  </si>
  <si>
    <t>25/12/2025</t>
  </si>
  <si>
    <t>2225856470</t>
  </si>
  <si>
    <t>2271204274</t>
  </si>
  <si>
    <t>2271136702</t>
  </si>
  <si>
    <t>AV VICENTE GUERRERO 1160-2</t>
  </si>
  <si>
    <t>CUARTO</t>
  </si>
  <si>
    <t>Recursos propios /Javier Ramirez Sánchez</t>
  </si>
  <si>
    <t>00006001G000060</t>
  </si>
  <si>
    <t>5528433122</t>
  </si>
  <si>
    <t>5549463897</t>
  </si>
  <si>
    <t>5618854328</t>
  </si>
  <si>
    <t>2DA CDA DE COHETERIAS SN</t>
  </si>
  <si>
    <t>00005601G000056</t>
  </si>
  <si>
    <t>003</t>
  </si>
  <si>
    <t>Javier Ramirez Sánchez</t>
  </si>
  <si>
    <t>000061</t>
  </si>
  <si>
    <t>AV TAMARINDO MZ 1731 LT5</t>
  </si>
  <si>
    <t>000059</t>
  </si>
  <si>
    <t>VILLA HARUMI 10</t>
  </si>
  <si>
    <t>000062</t>
  </si>
  <si>
    <t>15 DE MAYO # 18</t>
  </si>
  <si>
    <t>12/09/2025</t>
  </si>
  <si>
    <t>26/12/2025</t>
  </si>
  <si>
    <t>5631606944</t>
  </si>
  <si>
    <t>5548692551</t>
  </si>
  <si>
    <t>5657530496</t>
  </si>
  <si>
    <t>AV TAMARINDO MZ 1731-LT 5</t>
  </si>
  <si>
    <t>AVÁNDARO</t>
  </si>
  <si>
    <t>56618</t>
  </si>
  <si>
    <t>00006301G000063</t>
  </si>
  <si>
    <t>5519742775</t>
  </si>
  <si>
    <t>5560815278</t>
  </si>
  <si>
    <t>5578898505</t>
  </si>
  <si>
    <t>PROL ISIDRO FABELA  6</t>
  </si>
  <si>
    <t>JORGE JIMÉNEZ CANTÚ</t>
  </si>
  <si>
    <t>00006101G000061</t>
  </si>
  <si>
    <t>5523895184</t>
  </si>
  <si>
    <t>SIERRA DE GUADALUPE</t>
  </si>
  <si>
    <t>54957</t>
  </si>
  <si>
    <t>00005801G000058</t>
  </si>
  <si>
    <t>MZ E EDIF 2A-303</t>
  </si>
  <si>
    <t>ALBORADA II</t>
  </si>
  <si>
    <t>54935</t>
  </si>
  <si>
    <t>00005901G000059</t>
  </si>
  <si>
    <t>TREBOLES</t>
  </si>
  <si>
    <t>CANELA</t>
  </si>
  <si>
    <t>RIVERAS</t>
  </si>
  <si>
    <t>SERPENTINA</t>
  </si>
  <si>
    <t>VORTICE</t>
  </si>
  <si>
    <t>15/09/2025</t>
  </si>
  <si>
    <t>000084</t>
  </si>
  <si>
    <t>ORTEGA FORTANEL GABRIELA</t>
  </si>
  <si>
    <t>C. 7 MZ 6 LT 14</t>
  </si>
  <si>
    <t>11:30</t>
  </si>
  <si>
    <t>CAMINO REAL MZ 12 L9</t>
  </si>
  <si>
    <t>9:00</t>
  </si>
  <si>
    <t>11 MZ 90 LT 22</t>
  </si>
  <si>
    <t>AND 10 # 10 27 LOMAS DE SAN SEBASTIAN</t>
  </si>
  <si>
    <t>17/09/2025</t>
  </si>
  <si>
    <t>30/12/2025</t>
  </si>
  <si>
    <t>5529310771</t>
  </si>
  <si>
    <t>5551833671</t>
  </si>
  <si>
    <t>5521827558</t>
  </si>
  <si>
    <t>7 MZ 6-LT 14</t>
  </si>
  <si>
    <t>PROFESOR CARLOS HANK GONZÁLEZ</t>
  </si>
  <si>
    <t>56510</t>
  </si>
  <si>
    <t>00006601G000066</t>
  </si>
  <si>
    <t>29/12/2025</t>
  </si>
  <si>
    <t>5517408581</t>
  </si>
  <si>
    <t>5643002694</t>
  </si>
  <si>
    <t>5532579807</t>
  </si>
  <si>
    <t>11 MZ 90-LT 22</t>
  </si>
  <si>
    <t>VALLE DE LOS REYES</t>
  </si>
  <si>
    <t>56430</t>
  </si>
  <si>
    <t>00006701G000067</t>
  </si>
  <si>
    <t>5656928948</t>
  </si>
  <si>
    <t>5613834394</t>
  </si>
  <si>
    <t>5578805066</t>
  </si>
  <si>
    <t>CAMINO REAL  MZ 12-LT 9</t>
  </si>
  <si>
    <t>DR. JORGE JIMÉNEZ CANTÚ</t>
  </si>
  <si>
    <t>56515</t>
  </si>
  <si>
    <t>00006401G000064</t>
  </si>
  <si>
    <t>2226796565</t>
  </si>
  <si>
    <t>2217628304</t>
  </si>
  <si>
    <t>2214574012</t>
  </si>
  <si>
    <t>15  DE MAYO  18</t>
  </si>
  <si>
    <t>FRANCISCO I. MADERO</t>
  </si>
  <si>
    <t>72130</t>
  </si>
  <si>
    <t>00006201G000062</t>
  </si>
  <si>
    <t>5566350821</t>
  </si>
  <si>
    <t>7224324332</t>
  </si>
  <si>
    <t>5617362059</t>
  </si>
  <si>
    <t>AND 10 MZ 10-LT 27</t>
  </si>
  <si>
    <t>LOMAS DE SAN SEBASTIÁN</t>
  </si>
  <si>
    <t>56512</t>
  </si>
  <si>
    <t>00006501G000065</t>
  </si>
  <si>
    <t>000071</t>
  </si>
  <si>
    <t>MUJERES IMPARABLES</t>
  </si>
  <si>
    <t>VALLE DE MEXICO # 31 11</t>
  </si>
  <si>
    <t>PINOS</t>
  </si>
  <si>
    <t>AV CONSTITUCION # 16</t>
  </si>
  <si>
    <t>000075</t>
  </si>
  <si>
    <t>B3 EDIF 11</t>
  </si>
  <si>
    <t>GALERIAS</t>
  </si>
  <si>
    <t>LAS DIVINAS</t>
  </si>
  <si>
    <t>LOS GALINDO</t>
  </si>
  <si>
    <t>SWEET CANDY</t>
  </si>
  <si>
    <t>LENTEJUELAS</t>
  </si>
  <si>
    <t>CATALEYA</t>
  </si>
  <si>
    <t>JACALONES</t>
  </si>
  <si>
    <t>REYNAS</t>
  </si>
  <si>
    <t>LAS ESTRELLAS</t>
  </si>
  <si>
    <t>VECINOS</t>
  </si>
  <si>
    <t>INDEPENDECIA</t>
  </si>
  <si>
    <t>18/09/2025</t>
  </si>
  <si>
    <t>01/01/2026</t>
  </si>
  <si>
    <t>2213987198</t>
  </si>
  <si>
    <t>2218185891</t>
  </si>
  <si>
    <t>2219401243</t>
  </si>
  <si>
    <t>AV SN JOSE EDF E 14-2</t>
  </si>
  <si>
    <t>SAN JOSÉ CHAPULCO</t>
  </si>
  <si>
    <t>72494</t>
  </si>
  <si>
    <t>00007101G000071</t>
  </si>
  <si>
    <t>3312663190</t>
  </si>
  <si>
    <t>2271113174</t>
  </si>
  <si>
    <t>3317159189</t>
  </si>
  <si>
    <t>AV CONSTITUCION 16</t>
  </si>
  <si>
    <t>SAN LORENZO CHIAUTZINGO</t>
  </si>
  <si>
    <t>74150</t>
  </si>
  <si>
    <t>CHIAUTZINGO</t>
  </si>
  <si>
    <t>00007001G000070</t>
  </si>
  <si>
    <t>CDA FCO I MADERO SN</t>
  </si>
  <si>
    <t>12:30</t>
  </si>
  <si>
    <t>CDA COZUMEL 1</t>
  </si>
  <si>
    <t>OBREGON</t>
  </si>
  <si>
    <t>Pueblo Nuevo</t>
  </si>
  <si>
    <t>000080</t>
  </si>
  <si>
    <t>LIBERTAD SN</t>
  </si>
  <si>
    <t>000082</t>
  </si>
  <si>
    <t>5 NTE # 2214</t>
  </si>
  <si>
    <t>000076</t>
  </si>
  <si>
    <t>MONTE ALBAN MZ 1 LT 1</t>
  </si>
  <si>
    <t>000078</t>
  </si>
  <si>
    <t>2 DE MARZO #5</t>
  </si>
  <si>
    <t>000073</t>
  </si>
  <si>
    <t>000074</t>
  </si>
  <si>
    <t>000083</t>
  </si>
  <si>
    <t>INDEPENDENCIA</t>
  </si>
  <si>
    <t>TERCERA CERRADA QUINTA SUR 15</t>
  </si>
  <si>
    <t>13:30</t>
  </si>
  <si>
    <t>METATRON</t>
  </si>
  <si>
    <t>NUEVO AMANECER</t>
  </si>
  <si>
    <t>19/09/2025</t>
  </si>
  <si>
    <t>5624260862</t>
  </si>
  <si>
    <t>9903997098</t>
  </si>
  <si>
    <t>5656956825</t>
  </si>
  <si>
    <t>LOMA BONITA MZ 08-LT 2</t>
  </si>
  <si>
    <t>00007401G000074</t>
  </si>
  <si>
    <t>02/01/2026</t>
  </si>
  <si>
    <t>2227497633</t>
  </si>
  <si>
    <t>2225985477</t>
  </si>
  <si>
    <t>2212219654</t>
  </si>
  <si>
    <t>5 NTE 2214-SN</t>
  </si>
  <si>
    <t>SANTIAGO MIXQUITLA</t>
  </si>
  <si>
    <t>72760</t>
  </si>
  <si>
    <t>SAN PEDRO CHOLULA</t>
  </si>
  <si>
    <t>00008201G000082</t>
  </si>
  <si>
    <t>5583433648</t>
  </si>
  <si>
    <t>5539943984</t>
  </si>
  <si>
    <t>5530109293</t>
  </si>
  <si>
    <t>CAMPANARIO DE ACOLMAN MZ 5-LT 5</t>
  </si>
  <si>
    <t>PUEBLO NUEVO</t>
  </si>
  <si>
    <t>00008401G000084</t>
  </si>
  <si>
    <t>000085</t>
  </si>
  <si>
    <t>5630114310</t>
  </si>
  <si>
    <t>5515127096</t>
  </si>
  <si>
    <t>5569633021</t>
  </si>
  <si>
    <t>PSO DE LA QUEBRADA MZ 61-LT 1</t>
  </si>
  <si>
    <t>00008501G000085</t>
  </si>
  <si>
    <t>5545097260</t>
  </si>
  <si>
    <t>5543804667</t>
  </si>
  <si>
    <t>5560893989</t>
  </si>
  <si>
    <t>Morelos 3</t>
  </si>
  <si>
    <t>00008001G000080</t>
  </si>
  <si>
    <t>5577968983</t>
  </si>
  <si>
    <t>5563246263</t>
  </si>
  <si>
    <t>5621148420</t>
  </si>
  <si>
    <t>MORELOS 11</t>
  </si>
  <si>
    <t>SAN PABLO ATLAZALPAN</t>
  </si>
  <si>
    <t>56620</t>
  </si>
  <si>
    <t>00007201G000072</t>
  </si>
  <si>
    <t>5621425789</t>
  </si>
  <si>
    <t>CDA BELLA 4</t>
  </si>
  <si>
    <t>LA QUEBRADA AMPLIACIÓN</t>
  </si>
  <si>
    <t>54769</t>
  </si>
  <si>
    <t>00006901G000069</t>
  </si>
  <si>
    <t>5629625768</t>
  </si>
  <si>
    <t>5634049415</t>
  </si>
  <si>
    <t>5623247119</t>
  </si>
  <si>
    <t>JACARANDAS  MZ 83-LT 10</t>
  </si>
  <si>
    <t>JARDINES DE CHALCO</t>
  </si>
  <si>
    <t>00008101G000081</t>
  </si>
  <si>
    <t>5549649073</t>
  </si>
  <si>
    <t>5540615843</t>
  </si>
  <si>
    <t>5635953518</t>
  </si>
  <si>
    <t>A OBREGON 11-0</t>
  </si>
  <si>
    <t>56723</t>
  </si>
  <si>
    <t>TLALMANALCO</t>
  </si>
  <si>
    <t>00007701G000077</t>
  </si>
  <si>
    <t>5523319782</t>
  </si>
  <si>
    <t>5612364794</t>
  </si>
  <si>
    <t>2202367185</t>
  </si>
  <si>
    <t>CONDOMINIO B MZ 10</t>
  </si>
  <si>
    <t>RANCHO EL CARMEN</t>
  </si>
  <si>
    <t>00007501G000075</t>
  </si>
  <si>
    <t>000079</t>
  </si>
  <si>
    <t>NARCISOS MZ 24-LT 48</t>
  </si>
  <si>
    <t>LOS HÉROES COACALCO</t>
  </si>
  <si>
    <t>00007901G000079</t>
  </si>
  <si>
    <t>000086</t>
  </si>
  <si>
    <t>5518517101</t>
  </si>
  <si>
    <t>5573407157</t>
  </si>
  <si>
    <t>5568646846</t>
  </si>
  <si>
    <t>INDEPENDENCIA 10-0</t>
  </si>
  <si>
    <t>SANTA MARÍA HUEXOCULCO</t>
  </si>
  <si>
    <t>56646</t>
  </si>
  <si>
    <t>CERRO DEL TEJOCOTE</t>
  </si>
  <si>
    <t>00008601G000086</t>
  </si>
  <si>
    <t>TERCERA CERRADA QUINTA SUR 15-1</t>
  </si>
  <si>
    <t>54915</t>
  </si>
  <si>
    <t>00008301G000083</t>
  </si>
  <si>
    <t>5545373680</t>
  </si>
  <si>
    <t>5637069378</t>
  </si>
  <si>
    <t>5636194304</t>
  </si>
  <si>
    <t>MONTE ALBAN MZ 1</t>
  </si>
  <si>
    <t>00007601G000076</t>
  </si>
  <si>
    <t>5516248803</t>
  </si>
  <si>
    <t>2482012198</t>
  </si>
  <si>
    <t>5549128539</t>
  </si>
  <si>
    <t>3RA CDA BAJA CALIFORNIA SN-0</t>
  </si>
  <si>
    <t>TEPETITLA</t>
  </si>
  <si>
    <t>56650</t>
  </si>
  <si>
    <t>00007801G000078</t>
  </si>
  <si>
    <t>5572979158</t>
  </si>
  <si>
    <t>5631042523</t>
  </si>
  <si>
    <t>5519167098</t>
  </si>
  <si>
    <t>CDA ROBLE 23-18</t>
  </si>
  <si>
    <t>AMPLIACIÓN TECAMACHALCO</t>
  </si>
  <si>
    <t>56500</t>
  </si>
  <si>
    <t>00007301G000073</t>
  </si>
  <si>
    <t>000087</t>
  </si>
  <si>
    <t>AV SAN ANTONIO 103</t>
  </si>
  <si>
    <t>Ahorro</t>
  </si>
  <si>
    <t>ID</t>
  </si>
  <si>
    <t>GRUPO</t>
  </si>
  <si>
    <t>#</t>
  </si>
  <si>
    <t>FECHA DEPOSITO</t>
  </si>
  <si>
    <t>DEPOSITO</t>
  </si>
  <si>
    <t>PAGO</t>
  </si>
  <si>
    <t>AHORRO</t>
  </si>
  <si>
    <t>AHORRO ACUMULADO</t>
  </si>
  <si>
    <t>% AHORRO</t>
  </si>
  <si>
    <t>ACEITUNAS DE COCKTAIL</t>
  </si>
  <si>
    <t>TUTTY FRATELLY</t>
  </si>
  <si>
    <t xml:space="preserve">000018 </t>
  </si>
  <si>
    <t xml:space="preserve">000036 </t>
  </si>
  <si>
    <t>ALAMOS DEL MARISCAL</t>
  </si>
  <si>
    <t xml:space="preserve">000060 </t>
  </si>
  <si>
    <t xml:space="preserve">000080 </t>
  </si>
  <si>
    <t>000088</t>
  </si>
  <si>
    <t>LUNA</t>
  </si>
  <si>
    <t>LOS MISMOS DE SIEMPRE</t>
  </si>
  <si>
    <t>LAS CHICAS DE TEZOMPA</t>
  </si>
  <si>
    <t>PALOMAS MENSAJERAS</t>
  </si>
  <si>
    <t>24/09/2025</t>
  </si>
  <si>
    <t>22/09/2025</t>
  </si>
  <si>
    <t>23/09/2025</t>
  </si>
  <si>
    <t>07/01/2026</t>
  </si>
  <si>
    <t>5660430991</t>
  </si>
  <si>
    <t>5546758416</t>
  </si>
  <si>
    <t>5645572146</t>
  </si>
  <si>
    <t>DE LAS ROSAS MZ 2-LT 63</t>
  </si>
  <si>
    <t>EL CAPULÍN</t>
  </si>
  <si>
    <t>56568</t>
  </si>
  <si>
    <t>DE LAS ROSAS MZ 2 LT 63</t>
  </si>
  <si>
    <t>00008801G000088</t>
  </si>
  <si>
    <t>05/01/2026</t>
  </si>
  <si>
    <t>EMILIO PORTES GIL 37</t>
  </si>
  <si>
    <t>SAN JUAN</t>
  </si>
  <si>
    <t>54900</t>
  </si>
  <si>
    <t>00008701G000087</t>
  </si>
  <si>
    <t>000089</t>
  </si>
  <si>
    <t>ESPINILLO MZ 13 LT 137 C 1072</t>
  </si>
  <si>
    <t>MARAVILLA</t>
  </si>
  <si>
    <t>BIENVENIDOS</t>
  </si>
  <si>
    <t>FORTALEZA</t>
  </si>
  <si>
    <t>PEONIAS</t>
  </si>
  <si>
    <t>JARDINES</t>
  </si>
  <si>
    <t>CHICAS DE TEZOMPA</t>
  </si>
  <si>
    <t>25/09/2025</t>
  </si>
  <si>
    <t>08/01/2026</t>
  </si>
  <si>
    <t>5516904197</t>
  </si>
  <si>
    <t>5541829688</t>
  </si>
  <si>
    <t>5611725090</t>
  </si>
  <si>
    <t>ESPINILLO MZ 13 LT137-C1072</t>
  </si>
  <si>
    <t>GEOVILLAS DE SANTA BÁRBARA</t>
  </si>
  <si>
    <t>00008901G000089</t>
  </si>
  <si>
    <t>000095</t>
  </si>
  <si>
    <t>MEXICAS SN</t>
  </si>
  <si>
    <t>000093</t>
  </si>
  <si>
    <t>CDA DEL PANTENOS 3</t>
  </si>
  <si>
    <t>000094</t>
  </si>
  <si>
    <t>000091</t>
  </si>
  <si>
    <t>CHICAS TEZOMPA</t>
  </si>
  <si>
    <t>26/09/2025</t>
  </si>
  <si>
    <t>09/01/2026</t>
  </si>
  <si>
    <t>5630545065</t>
  </si>
  <si>
    <t>CDA DEL PANTEON 3</t>
  </si>
  <si>
    <t>SANTA MARÍA MAGDALENA HUIZACHITLA</t>
  </si>
  <si>
    <t>00009301G000093</t>
  </si>
  <si>
    <t>AMAPOLA 32</t>
  </si>
  <si>
    <t>JARDINES DE SANTA CRUZ</t>
  </si>
  <si>
    <t>54965</t>
  </si>
  <si>
    <t>00009501G000095</t>
  </si>
  <si>
    <t>INVICTUS</t>
  </si>
  <si>
    <t>LAS BELLAS</t>
  </si>
  <si>
    <t>PIRAMIDE</t>
  </si>
  <si>
    <t>MORITA</t>
  </si>
  <si>
    <t>PRECIOSAS</t>
  </si>
  <si>
    <t>LOS DE LA 17</t>
  </si>
  <si>
    <t>000090</t>
  </si>
  <si>
    <t>000096</t>
  </si>
  <si>
    <t>29/09/2025</t>
  </si>
  <si>
    <t>Carera vigente
inicial</t>
  </si>
  <si>
    <t>Cartera
vigente
calculada</t>
  </si>
  <si>
    <t>Cartera vigente
sistema</t>
  </si>
  <si>
    <t>Pagos
cubiertos</t>
  </si>
  <si>
    <t>PAGOS EFECTUADOS DE
CAPITAL+INTERÉS</t>
  </si>
  <si>
    <t>000098</t>
  </si>
  <si>
    <t>11 DE ENERO MZ 14 LT 10</t>
  </si>
  <si>
    <t>10:30</t>
  </si>
  <si>
    <t>000101</t>
  </si>
  <si>
    <t>PV NICOLAS BRAVO # 5 1</t>
  </si>
  <si>
    <t>000102</t>
  </si>
  <si>
    <t>CALLE 19 MZ 3 LT 6</t>
  </si>
  <si>
    <t>13:00</t>
  </si>
  <si>
    <t>Ahorro
inicial</t>
  </si>
  <si>
    <t>30/09/2025</t>
  </si>
  <si>
    <t>13/01/2026</t>
  </si>
  <si>
    <t>2211247374</t>
  </si>
  <si>
    <t>2213823993</t>
  </si>
  <si>
    <t>2229814280</t>
  </si>
  <si>
    <t>11 DE ENERO  MZ 14-LT 10</t>
  </si>
  <si>
    <t>00009801G000098</t>
  </si>
  <si>
    <t>2211115278</t>
  </si>
  <si>
    <t>2212712571</t>
  </si>
  <si>
    <t>2204732733</t>
  </si>
  <si>
    <t>CALLE 5 DE MAYO  3512-SN</t>
  </si>
  <si>
    <t>SAN PABLO XOCHIMEHUACAN</t>
  </si>
  <si>
    <t>00010101G000101</t>
  </si>
  <si>
    <t>5631122011</t>
  </si>
  <si>
    <t>5621599711</t>
  </si>
  <si>
    <t>5636677023</t>
  </si>
  <si>
    <t xml:space="preserve"> 19 MZ 3-LT 6</t>
  </si>
  <si>
    <t>00010201G000102</t>
  </si>
  <si>
    <t>FLOR DE LIZ</t>
  </si>
  <si>
    <t>CORAZON PARTIDO</t>
  </si>
  <si>
    <t>DUBAI</t>
  </si>
  <si>
    <t>HALCONES</t>
  </si>
  <si>
    <t>DELFINES</t>
  </si>
  <si>
    <t>LAS MOSQUETEREAS</t>
  </si>
  <si>
    <t>CASCADA DE LUZ</t>
  </si>
  <si>
    <t>HIDALGO</t>
  </si>
  <si>
    <t>SAN PABLO</t>
  </si>
  <si>
    <t>SANTA MARIA</t>
  </si>
  <si>
    <t>000103</t>
  </si>
  <si>
    <t>000104</t>
  </si>
  <si>
    <t>000110</t>
  </si>
  <si>
    <t>GIRASOLES</t>
  </si>
  <si>
    <t>ESTRELLAS</t>
  </si>
  <si>
    <t>01/10/2025</t>
  </si>
  <si>
    <t>14/01/2026</t>
  </si>
  <si>
    <t>5510912796</t>
  </si>
  <si>
    <t>5554604331</t>
  </si>
  <si>
    <t>5637996926</t>
  </si>
  <si>
    <t>NORTE 20  MZ 528-LT 1</t>
  </si>
  <si>
    <t>SAN ISIDRO</t>
  </si>
  <si>
    <t>56617</t>
  </si>
  <si>
    <t>00011001G000110</t>
  </si>
  <si>
    <t>5649633879</t>
  </si>
  <si>
    <t>5619291168</t>
  </si>
  <si>
    <t>5613664394</t>
  </si>
  <si>
    <t>BENITO QUEZADA MZ 7-LT 106</t>
  </si>
  <si>
    <t>CERRO DEL MARQUES</t>
  </si>
  <si>
    <t>AV FRATERNIDAD MZ10 LT139</t>
  </si>
  <si>
    <t>00010401G000104</t>
  </si>
  <si>
    <t>5570672512</t>
  </si>
  <si>
    <t>5527655820</t>
  </si>
  <si>
    <t>5520533473</t>
  </si>
  <si>
    <t>PROGRESO 18</t>
  </si>
  <si>
    <t>IXTAPALUCA CENTRO</t>
  </si>
  <si>
    <t>00009401G000094</t>
  </si>
  <si>
    <t>5512688790</t>
  </si>
  <si>
    <t>5564997988</t>
  </si>
  <si>
    <t>5560808426</t>
  </si>
  <si>
    <t>FRANCISCO VILLA 10-0</t>
  </si>
  <si>
    <t>JACARANDAS I Y II</t>
  </si>
  <si>
    <t>TLAPACOYA</t>
  </si>
  <si>
    <t>56556</t>
  </si>
  <si>
    <t>00010301G000103</t>
  </si>
  <si>
    <t>5539400983</t>
  </si>
  <si>
    <t>5653097932</t>
  </si>
  <si>
    <t>5575127196</t>
  </si>
  <si>
    <t>CLL BENITO JUAREZ 17</t>
  </si>
  <si>
    <t>SAN JUAN TEZOMPA</t>
  </si>
  <si>
    <t>56624</t>
  </si>
  <si>
    <t>00009101G000091</t>
  </si>
  <si>
    <t>12/01/2026</t>
  </si>
  <si>
    <t>5549693064</t>
  </si>
  <si>
    <t>5561517371</t>
  </si>
  <si>
    <t>PRIV DDE ALLENDE 19-0</t>
  </si>
  <si>
    <t>AYOTLA</t>
  </si>
  <si>
    <t>00009001G000090</t>
  </si>
  <si>
    <t>5610571851</t>
  </si>
  <si>
    <t>5564865337</t>
  </si>
  <si>
    <t>5522802986</t>
  </si>
  <si>
    <t>CONO LAUREL 1021</t>
  </si>
  <si>
    <t>00009601G000096</t>
  </si>
  <si>
    <t>San Francisco Coacalco (Sección Hacienda)</t>
  </si>
  <si>
    <t>Coacalco</t>
  </si>
  <si>
    <t>Tlalmanalco</t>
  </si>
  <si>
    <t>Nezahualcoyotl</t>
  </si>
  <si>
    <t>La Era</t>
  </si>
  <si>
    <t>Tlapacoya</t>
  </si>
  <si>
    <t>Adriana Alejaldre Guzman</t>
  </si>
  <si>
    <t>000109</t>
  </si>
  <si>
    <t>LAS MOSQUETERAS</t>
  </si>
  <si>
    <t>000105</t>
  </si>
  <si>
    <t>000114</t>
  </si>
  <si>
    <t>000106</t>
  </si>
  <si>
    <t>000107</t>
  </si>
  <si>
    <t>000108</t>
  </si>
  <si>
    <t>02/10/2025</t>
  </si>
  <si>
    <t>5656748979</t>
  </si>
  <si>
    <t>5547896679</t>
  </si>
  <si>
    <t>5540847906</t>
  </si>
  <si>
    <t>EDGARDO ALMICAR MZ 2-LT 58</t>
  </si>
  <si>
    <t>56608</t>
  </si>
  <si>
    <t>00010501G000105</t>
  </si>
  <si>
    <t>15/01/2026</t>
  </si>
  <si>
    <t>5665714866</t>
  </si>
  <si>
    <t>2219170920</t>
  </si>
  <si>
    <t>2211144895</t>
  </si>
  <si>
    <t>AV IGNACIO ALLENDE 5-2</t>
  </si>
  <si>
    <t>SAN ANTONIO MIHUACAN CU</t>
  </si>
  <si>
    <t>72670</t>
  </si>
  <si>
    <t>CORONANGO</t>
  </si>
  <si>
    <t>IGNACIO ALLENDE # 5 2</t>
  </si>
  <si>
    <t>00010801G000108</t>
  </si>
  <si>
    <t>5644967729</t>
  </si>
  <si>
    <t>5574466846</t>
  </si>
  <si>
    <t>5620617024</t>
  </si>
  <si>
    <t>TULIPANES 32-0</t>
  </si>
  <si>
    <t>SAN MATEO HUITZILZINGO</t>
  </si>
  <si>
    <t>56625</t>
  </si>
  <si>
    <t>00010901G000109</t>
  </si>
  <si>
    <t>5578707178</t>
  </si>
  <si>
    <t>5611483139</t>
  </si>
  <si>
    <t>5525741071</t>
  </si>
  <si>
    <t>EMILIANO ZAPATA 16</t>
  </si>
  <si>
    <t>CDA OLMECAS SN</t>
  </si>
  <si>
    <t>00011401G000114</t>
  </si>
  <si>
    <t>C EMILIANO ZAPATA SN</t>
  </si>
  <si>
    <t>PROLONGACION EMILIANO ZAPATA SN</t>
  </si>
  <si>
    <t>00010701G000107</t>
  </si>
  <si>
    <t>5516577211</t>
  </si>
  <si>
    <t>FLOR DE MAYO 25</t>
  </si>
  <si>
    <t>00010601G000106</t>
  </si>
  <si>
    <t>000111</t>
  </si>
  <si>
    <t>000112</t>
  </si>
  <si>
    <t>13 NTE # 6205</t>
  </si>
  <si>
    <t>Valle de Bravo</t>
  </si>
  <si>
    <t>Valle De Bravo</t>
  </si>
  <si>
    <t>000097</t>
  </si>
  <si>
    <t>Etiquetas de fila</t>
  </si>
  <si>
    <t>Total general</t>
  </si>
  <si>
    <t>Transferencia electrónica</t>
  </si>
  <si>
    <t>Desembolso en caja</t>
  </si>
  <si>
    <t>000115</t>
  </si>
  <si>
    <t>CALANDRIAS SN</t>
  </si>
  <si>
    <t>000116</t>
  </si>
  <si>
    <t>SANDIA</t>
  </si>
  <si>
    <t>21 DE MARZO # 27</t>
  </si>
  <si>
    <t>03/10/2025</t>
  </si>
  <si>
    <t>16/01/2026</t>
  </si>
  <si>
    <t>7209177708</t>
  </si>
  <si>
    <t>CALANDRIAS  SN</t>
  </si>
  <si>
    <t>SAN MARCOS</t>
  </si>
  <si>
    <t>54970</t>
  </si>
  <si>
    <t>00011501G000115</t>
  </si>
  <si>
    <t>2221646907</t>
  </si>
  <si>
    <t>2223452269</t>
  </si>
  <si>
    <t>2212049381</t>
  </si>
  <si>
    <t>PV 27 B SUR 13313-A</t>
  </si>
  <si>
    <t>HACIENDA SANTA CLARA</t>
  </si>
  <si>
    <t>72498</t>
  </si>
  <si>
    <t>VALLE DE BRAVO</t>
  </si>
  <si>
    <t>51200</t>
  </si>
  <si>
    <t>00011201G000112</t>
  </si>
  <si>
    <t>5575303025</t>
  </si>
  <si>
    <t>5574373620</t>
  </si>
  <si>
    <t>5511585330</t>
  </si>
  <si>
    <t>21 DE MARZO  27-Nt</t>
  </si>
  <si>
    <t>ZOQUIAPAN</t>
  </si>
  <si>
    <t>00011601G000116</t>
  </si>
  <si>
    <t>5548670506</t>
  </si>
  <si>
    <t>5524338008</t>
  </si>
  <si>
    <t>5530270982</t>
  </si>
  <si>
    <t>FAC DE LOS OLIVOS 0</t>
  </si>
  <si>
    <t>00011101G000111</t>
  </si>
  <si>
    <t>DIAMANTINA</t>
  </si>
  <si>
    <t>IZORA</t>
  </si>
  <si>
    <t>GUERREROS DJ</t>
  </si>
  <si>
    <t>LAS COMADRES</t>
  </si>
  <si>
    <t>REBELDES</t>
  </si>
  <si>
    <t>GURREROS DJ</t>
  </si>
  <si>
    <t>ALIADAS</t>
  </si>
  <si>
    <t>AFRODITAS</t>
  </si>
  <si>
    <t>000120</t>
  </si>
  <si>
    <t>06/10/2025</t>
  </si>
  <si>
    <t>19/01/2026</t>
  </si>
  <si>
    <t>5561719066</t>
  </si>
  <si>
    <t>ALVARO OBREGON MZ 22-LT 18</t>
  </si>
  <si>
    <t>EJIDAL EL PINO</t>
  </si>
  <si>
    <t>56507</t>
  </si>
  <si>
    <t>00009701G000097</t>
  </si>
  <si>
    <t>2271018758</t>
  </si>
  <si>
    <t>2221249180</t>
  </si>
  <si>
    <t>2229091193</t>
  </si>
  <si>
    <t>M J MARTINEZ 1108</t>
  </si>
  <si>
    <t>MJ MARTINEZ # 1108</t>
  </si>
  <si>
    <t>00012001G000120</t>
  </si>
  <si>
    <t>HOROSCOPOS</t>
  </si>
  <si>
    <t>ARANDANOS</t>
  </si>
  <si>
    <t>LAS FLORECITAS</t>
  </si>
  <si>
    <t>LOS TRIUNFADORES</t>
  </si>
  <si>
    <t>Suma de AHORRO ACUMULADO</t>
  </si>
  <si>
    <t>Promotor</t>
  </si>
  <si>
    <t>Gerente</t>
  </si>
  <si>
    <t>REENCUENTRO</t>
  </si>
  <si>
    <t>CENTENARIOS</t>
  </si>
  <si>
    <t>LUPITA</t>
  </si>
  <si>
    <t>07/10/2025</t>
  </si>
  <si>
    <t>000117</t>
  </si>
  <si>
    <t>20/01/2026</t>
  </si>
  <si>
    <t>5642340540</t>
  </si>
  <si>
    <t>5613084524</t>
  </si>
  <si>
    <t>5520780181</t>
  </si>
  <si>
    <t>PUERTO DE VERACRUZ MZ 7</t>
  </si>
  <si>
    <t>VOLCANES 2DA. SECCIÓN</t>
  </si>
  <si>
    <t>00011701G000117</t>
  </si>
  <si>
    <t>000124</t>
  </si>
  <si>
    <t>5548459939</t>
  </si>
  <si>
    <t>5581860782</t>
  </si>
  <si>
    <t>5591987177</t>
  </si>
  <si>
    <t>FRANCISCO I MADERO MZ 16-LT17 CS2</t>
  </si>
  <si>
    <t>LOS HÉROES</t>
  </si>
  <si>
    <t>56585</t>
  </si>
  <si>
    <t>FRANCISCO I MADERO MZ 16 LT 17</t>
  </si>
  <si>
    <t>00012401G000124</t>
  </si>
  <si>
    <t>000119</t>
  </si>
  <si>
    <t>5586139804</t>
  </si>
  <si>
    <t>5582570557</t>
  </si>
  <si>
    <t>5638069442</t>
  </si>
  <si>
    <t>AVE COLIBRI 10-2</t>
  </si>
  <si>
    <t>ALFREDO DEL MAZO</t>
  </si>
  <si>
    <t>AVE. COLIBRI MZ 1O LT2</t>
  </si>
  <si>
    <t>00011901G000119</t>
  </si>
  <si>
    <t>000113</t>
  </si>
  <si>
    <t>5636276786</t>
  </si>
  <si>
    <t>5525250131</t>
  </si>
  <si>
    <t>INDEPENDENCIA 2-0</t>
  </si>
  <si>
    <t>SAN SEBASTIÁN</t>
  </si>
  <si>
    <t>00011301G000113</t>
  </si>
  <si>
    <t>000122</t>
  </si>
  <si>
    <t>LA GAVIA 48-B</t>
  </si>
  <si>
    <t>JARDINES DE LA HACIENDA SUR</t>
  </si>
  <si>
    <t>54720</t>
  </si>
  <si>
    <t>LA GAVIA 48</t>
  </si>
  <si>
    <t>00012201G000122</t>
  </si>
  <si>
    <t>000121</t>
  </si>
  <si>
    <t>5540634541</t>
  </si>
  <si>
    <t>5657522224</t>
  </si>
  <si>
    <t>5521306132</t>
  </si>
  <si>
    <t>GUADALUPE VICTORIA 8-0</t>
  </si>
  <si>
    <t>00012101G000121</t>
  </si>
  <si>
    <t>000125</t>
  </si>
  <si>
    <t>1 CDA FRANCISCO VILLA 1-0</t>
  </si>
  <si>
    <t>DEL RINCÓN BRUJO</t>
  </si>
  <si>
    <t>56880</t>
  </si>
  <si>
    <t>TEPETLIXPA</t>
  </si>
  <si>
    <t>00012501G000125</t>
  </si>
  <si>
    <t>000123</t>
  </si>
  <si>
    <t>5513747616</t>
  </si>
  <si>
    <t>5629791606</t>
  </si>
  <si>
    <t>2211108539</t>
  </si>
  <si>
    <t>MARGARITA MORAN MZ 77-LT 22</t>
  </si>
  <si>
    <t>LUIS CORDOVA REYES</t>
  </si>
  <si>
    <t>56576</t>
  </si>
  <si>
    <t>AV FELISA CALDERON MZ 2 LT 20</t>
  </si>
  <si>
    <t>00012301G000123</t>
  </si>
  <si>
    <t>Reporte de Antigüedad Grupal</t>
  </si>
  <si>
    <t>ARRAYANES</t>
  </si>
  <si>
    <t>PALOMAS</t>
  </si>
  <si>
    <t>CANDELARIAS 2</t>
  </si>
  <si>
    <t>08/10/2025</t>
  </si>
  <si>
    <t>000126</t>
  </si>
  <si>
    <t>21/01/2026</t>
  </si>
  <si>
    <t>2228643107</t>
  </si>
  <si>
    <t>2221350221</t>
  </si>
  <si>
    <t>2217310055</t>
  </si>
  <si>
    <t>JUAN DE DIOS PEZA SN</t>
  </si>
  <si>
    <t>SAN FRANCISCO OCOTLÁN (OCOTLÁN)</t>
  </si>
  <si>
    <t>72680</t>
  </si>
  <si>
    <t>JUAN DE DIOS PEZA</t>
  </si>
  <si>
    <t>00012601G000126</t>
  </si>
  <si>
    <t>000128</t>
  </si>
  <si>
    <t>5631042725</t>
  </si>
  <si>
    <t>5550302236</t>
  </si>
  <si>
    <t>9511954193</t>
  </si>
  <si>
    <t>PINO SUAREZ 122-10</t>
  </si>
  <si>
    <t>DARÍO MARTÍNEZ I SECCIÓN</t>
  </si>
  <si>
    <t>56619</t>
  </si>
  <si>
    <t>PINO SUAREZ MZ122 LT10</t>
  </si>
  <si>
    <t>00012801G000128</t>
  </si>
  <si>
    <t>000130</t>
  </si>
  <si>
    <t>2482011228</t>
  </si>
  <si>
    <t>2481701975</t>
  </si>
  <si>
    <t>2481012210</t>
  </si>
  <si>
    <t>CALLE NACIONAL 4</t>
  </si>
  <si>
    <t>CALLE NACIONAL # 4</t>
  </si>
  <si>
    <t>00013001G000130</t>
  </si>
  <si>
    <t>000129</t>
  </si>
  <si>
    <t>000127</t>
  </si>
  <si>
    <t>000131</t>
  </si>
  <si>
    <t>000133</t>
  </si>
  <si>
    <t>09/10/2025</t>
  </si>
  <si>
    <t>22/01/2026</t>
  </si>
  <si>
    <t>5633039608</t>
  </si>
  <si>
    <t>5613856809</t>
  </si>
  <si>
    <t>5647449452</t>
  </si>
  <si>
    <t>PASEOS DE CHALCO MZ 13-LT 65</t>
  </si>
  <si>
    <t>PASEOS DE CHALCO</t>
  </si>
  <si>
    <t>00012901G000129</t>
  </si>
  <si>
    <t>5545095495</t>
  </si>
  <si>
    <t>5571087826</t>
  </si>
  <si>
    <t>5523135539</t>
  </si>
  <si>
    <t>JOSE GPE POSADAS  MZ 1368-L9</t>
  </si>
  <si>
    <t>DEL CARMEN</t>
  </si>
  <si>
    <t>JOSE GPE POSADAS MZ 1368 L9</t>
  </si>
  <si>
    <t>00013101G000131</t>
  </si>
  <si>
    <t>SECC 1 MZ 7 LT 40-CASA 49</t>
  </si>
  <si>
    <t>SEC 1 MZ 7 LT 40 CASA 49</t>
  </si>
  <si>
    <t>00013301G000133</t>
  </si>
  <si>
    <t>5648703204</t>
  </si>
  <si>
    <t>5521756191</t>
  </si>
  <si>
    <t>5592299700</t>
  </si>
  <si>
    <t>CIPATLI MZ 813-LT 39</t>
  </si>
  <si>
    <t>FUNDIDORES</t>
  </si>
  <si>
    <t>56334</t>
  </si>
  <si>
    <t>CHIMALHUACAN</t>
  </si>
  <si>
    <t>CIPATLI MZ 813 LT 39</t>
  </si>
  <si>
    <t>00012701G000127</t>
  </si>
  <si>
    <t>Forma de entrega</t>
  </si>
  <si>
    <t>Tipo de resumen</t>
  </si>
  <si>
    <t>Suma de Saldo en riesgo</t>
  </si>
  <si>
    <t>Grupos</t>
  </si>
  <si>
    <t>Socios</t>
  </si>
  <si>
    <t>Vigentes</t>
  </si>
  <si>
    <t>Pago Sermanal</t>
  </si>
  <si>
    <t>% Mora</t>
  </si>
  <si>
    <t>GIRASOL</t>
  </si>
  <si>
    <t>XIMENA</t>
  </si>
  <si>
    <t>LOS CAPIBARAS</t>
  </si>
  <si>
    <t>TRIBU</t>
  </si>
  <si>
    <t>000132</t>
  </si>
  <si>
    <t>CALENDARIAS 2</t>
  </si>
  <si>
    <t>10/10/2025</t>
  </si>
  <si>
    <t>23/01/2026</t>
  </si>
  <si>
    <t>5582930459</t>
  </si>
  <si>
    <t>5554725094</t>
  </si>
  <si>
    <t>2 DE FEBRERO 16-0</t>
  </si>
  <si>
    <t>00013201G000132</t>
  </si>
  <si>
    <t>JUDITH PATRICIA SERRANO HERRER</t>
  </si>
  <si>
    <t>(en blanco)</t>
  </si>
  <si>
    <t>LAS VENENOSAS</t>
  </si>
  <si>
    <t>X|</t>
  </si>
  <si>
    <t>000136</t>
  </si>
  <si>
    <t>000138</t>
  </si>
  <si>
    <t>000135</t>
  </si>
  <si>
    <t>000137</t>
  </si>
  <si>
    <t>13/10/2025</t>
  </si>
  <si>
    <t>14/10/2025</t>
  </si>
  <si>
    <t>26/01/2026</t>
  </si>
  <si>
    <t>5518271405</t>
  </si>
  <si>
    <t>5583203332</t>
  </si>
  <si>
    <t>5554135262</t>
  </si>
  <si>
    <t>VALLE DE BRAVO MZ 16-LT 17</t>
  </si>
  <si>
    <t>ESTADO DE MÉXICO</t>
  </si>
  <si>
    <t>00013601G000136</t>
  </si>
  <si>
    <t>27/01/2026</t>
  </si>
  <si>
    <t>5646002800</t>
  </si>
  <si>
    <t>5547069374</t>
  </si>
  <si>
    <t>5518611240</t>
  </si>
  <si>
    <t>NORTE 15 MZ 1306-LT 12</t>
  </si>
  <si>
    <t>NORTE 15 MZ 1306 LT 12</t>
  </si>
  <si>
    <t>00013801G000138</t>
  </si>
  <si>
    <t>2484925555</t>
  </si>
  <si>
    <t>2481281636</t>
  </si>
  <si>
    <t>2481162370</t>
  </si>
  <si>
    <t>SAN MARTIN  LOC 9-1</t>
  </si>
  <si>
    <t>SAN MARTIN LOC # 9 1</t>
  </si>
  <si>
    <t>00013701G000137</t>
  </si>
  <si>
    <t>5518671312</t>
  </si>
  <si>
    <t>5634283045</t>
  </si>
  <si>
    <t>5520329087</t>
  </si>
  <si>
    <t>NORTE 10 MZ 451-LT 3</t>
  </si>
  <si>
    <t>NORTE 10, MZ 451, LT 3</t>
  </si>
  <si>
    <t>00013501G000135</t>
  </si>
  <si>
    <t>&lt;</t>
  </si>
  <si>
    <t>EMPRENDEDORAS</t>
  </si>
  <si>
    <t>RENACER</t>
  </si>
  <si>
    <t>000139</t>
  </si>
  <si>
    <t>15/10/2025</t>
  </si>
  <si>
    <t>28/01/2026</t>
  </si>
  <si>
    <t>AV GONZALO LPZ CID MC 1- LT 64</t>
  </si>
  <si>
    <t>AV GONZALO LPZ CID MZ 1 LT 64</t>
  </si>
  <si>
    <t>00013901G000139</t>
  </si>
  <si>
    <t>000140</t>
  </si>
  <si>
    <t>NORTE 16 MZ 544 LT 8</t>
  </si>
  <si>
    <t>JOYAS DEL TRIUNFO</t>
  </si>
  <si>
    <t>GOYITA</t>
  </si>
  <si>
    <t>000143</t>
  </si>
  <si>
    <t>16/10/2025</t>
  </si>
  <si>
    <t>5521768092</t>
  </si>
  <si>
    <t>5569060335</t>
  </si>
  <si>
    <t>5636264657</t>
  </si>
  <si>
    <t>NORTE  16 MZ 544-LT 8</t>
  </si>
  <si>
    <t>00014001G000140</t>
  </si>
  <si>
    <t>29/01/2026</t>
  </si>
  <si>
    <t>2482254218</t>
  </si>
  <si>
    <t>2481040261</t>
  </si>
  <si>
    <t>2221013663</t>
  </si>
  <si>
    <t>2 ABRIL 639</t>
  </si>
  <si>
    <t>SAN NICOLÁS ZACALOACAYAN</t>
  </si>
  <si>
    <t>74155</t>
  </si>
  <si>
    <t>2 DE ABRIL # 639</t>
  </si>
  <si>
    <t>00014301G000143</t>
  </si>
  <si>
    <t>000141</t>
  </si>
  <si>
    <t>9 NTE # 20 1</t>
  </si>
  <si>
    <t>000142</t>
  </si>
  <si>
    <t>GRUPO GIRASOL</t>
  </si>
  <si>
    <t>FRESNO 24</t>
  </si>
  <si>
    <t>PLATINO</t>
  </si>
  <si>
    <t>ESTRELLITAS</t>
  </si>
  <si>
    <t>LA LOMA</t>
  </si>
  <si>
    <t>CHERRY</t>
  </si>
  <si>
    <t>TEPIC</t>
  </si>
  <si>
    <t>ORTIZ</t>
  </si>
  <si>
    <t>000145</t>
  </si>
  <si>
    <t>17/10/2025</t>
  </si>
  <si>
    <t>30/01/2026</t>
  </si>
  <si>
    <t>MZ L LT 5-DEPTO 102</t>
  </si>
  <si>
    <t>SAN RAFAEL COACALCO</t>
  </si>
  <si>
    <t>55719</t>
  </si>
  <si>
    <t>MZ L LT 5 DEPTO 102</t>
  </si>
  <si>
    <t>00014501G000145</t>
  </si>
  <si>
    <t>5610497920</t>
  </si>
  <si>
    <t>5610589206</t>
  </si>
  <si>
    <t>5648780867</t>
  </si>
  <si>
    <t>VENUSTIANO CARRANZA</t>
  </si>
  <si>
    <t>56377</t>
  </si>
  <si>
    <t>00014201G000142</t>
  </si>
  <si>
    <t>2221240321</t>
  </si>
  <si>
    <t>2217180065</t>
  </si>
  <si>
    <t>2212746845</t>
  </si>
  <si>
    <t>9 NTE 20-1</t>
  </si>
  <si>
    <t>EL SALVADOR</t>
  </si>
  <si>
    <t>72365</t>
  </si>
  <si>
    <t>00014101G000141</t>
  </si>
  <si>
    <t>Pago Semanal</t>
  </si>
  <si>
    <t>Ahorro Acumulado</t>
  </si>
  <si>
    <t>% de Ahorro</t>
  </si>
  <si>
    <t>Nombre promotor</t>
  </si>
  <si>
    <t>Nombre del gerente</t>
  </si>
  <si>
    <t>Suma de Pago Semanal</t>
  </si>
  <si>
    <t>Cuenta de Nombre promotor</t>
  </si>
  <si>
    <t>Pago</t>
  </si>
  <si>
    <t>Ficha Completa</t>
  </si>
  <si>
    <t>Cartera Vencida</t>
  </si>
  <si>
    <t>ANGELES</t>
  </si>
  <si>
    <t>000148</t>
  </si>
  <si>
    <t>000147</t>
  </si>
  <si>
    <t>000118</t>
  </si>
  <si>
    <t>AUSTRIA MZ 7 LT 42</t>
  </si>
  <si>
    <t>000149</t>
  </si>
  <si>
    <t>72 PTE # 2303 1</t>
  </si>
  <si>
    <t>20/10/2025</t>
  </si>
  <si>
    <t>02/02/2026</t>
  </si>
  <si>
    <t>5637359868</t>
  </si>
  <si>
    <t>5649216705</t>
  </si>
  <si>
    <t>5648042080</t>
  </si>
  <si>
    <t>MIRAFLORES 39-0</t>
  </si>
  <si>
    <t>56700</t>
  </si>
  <si>
    <t>00014701G000147</t>
  </si>
  <si>
    <t>5630580796</t>
  </si>
  <si>
    <t>5541419756</t>
  </si>
  <si>
    <t>FELIPE ANGELES 0-0</t>
  </si>
  <si>
    <t>20 DE NOVIEMBRE</t>
  </si>
  <si>
    <t>56579</t>
  </si>
  <si>
    <t>00014801G000148</t>
  </si>
  <si>
    <t>5530842452</t>
  </si>
  <si>
    <t>5513028308</t>
  </si>
  <si>
    <t>5580135521</t>
  </si>
  <si>
    <t>AUTRIA MZ 7-LT 42</t>
  </si>
  <si>
    <t>COATEPEC</t>
  </si>
  <si>
    <t>56580</t>
  </si>
  <si>
    <t>00011801G000118</t>
  </si>
  <si>
    <t>INDESTRUCTIBLES</t>
  </si>
  <si>
    <t>PANTERAS</t>
  </si>
  <si>
    <t>YUGOSLAVIA</t>
  </si>
  <si>
    <t>VIOLETAS</t>
  </si>
  <si>
    <t>MUJERES TRABAJADORAS</t>
  </si>
  <si>
    <t>000150</t>
  </si>
  <si>
    <t>21/10/2025</t>
  </si>
  <si>
    <t>2218150515</t>
  </si>
  <si>
    <t>2217690933</t>
  </si>
  <si>
    <t>2221393220</t>
  </si>
  <si>
    <t>72 PTE 2303-1</t>
  </si>
  <si>
    <t>72230</t>
  </si>
  <si>
    <t>00014901G000149</t>
  </si>
  <si>
    <t>03/02/2026</t>
  </si>
  <si>
    <t>5643188843</t>
  </si>
  <si>
    <t>SALVADOR DIAZ MIRON 60-Sn</t>
  </si>
  <si>
    <t>BENITO JUÁREZ</t>
  </si>
  <si>
    <t>54942</t>
  </si>
  <si>
    <t>AV L ECHEVERRIA 37</t>
  </si>
  <si>
    <t>00015001G000150</t>
  </si>
  <si>
    <t>Liquidado</t>
  </si>
  <si>
    <t>CORONELAS 177</t>
  </si>
  <si>
    <t>Estatus</t>
  </si>
  <si>
    <t>000156</t>
  </si>
  <si>
    <t>Roldan Cruz Hector Enrique</t>
  </si>
  <si>
    <t>000146</t>
  </si>
  <si>
    <t>000151</t>
  </si>
  <si>
    <t>000159</t>
  </si>
  <si>
    <t>000158</t>
  </si>
  <si>
    <t>000154</t>
  </si>
  <si>
    <t>ANDR PRIMERO DE MAYO E # 3 A</t>
  </si>
  <si>
    <t>LA PIEDAD MZ 51 LT 3</t>
  </si>
  <si>
    <t>ORIENTE 42, MZ 157, LT 7</t>
  </si>
  <si>
    <t>AV FERROCARRIL MZ 14 LT 30</t>
  </si>
  <si>
    <t>000160</t>
  </si>
  <si>
    <t>AZUCENAS</t>
  </si>
  <si>
    <t>EBANO MZ 66 LT9</t>
  </si>
  <si>
    <t>22/10/2025</t>
  </si>
  <si>
    <t>8 - 30</t>
  </si>
  <si>
    <t>04/02/2026</t>
  </si>
  <si>
    <t>5544187711</t>
  </si>
  <si>
    <t>5517679185</t>
  </si>
  <si>
    <t>5578731479</t>
  </si>
  <si>
    <t>AV FERROCARRIL MZ 14-LT 30</t>
  </si>
  <si>
    <t>00015101G000151</t>
  </si>
  <si>
    <t>5566059295</t>
  </si>
  <si>
    <t>5615762207</t>
  </si>
  <si>
    <t>5514018583</t>
  </si>
  <si>
    <t>TEPIC MZ 23-LT 13</t>
  </si>
  <si>
    <t>WENCESLAO VICTORIA SOTO</t>
  </si>
  <si>
    <t>00014601G000146</t>
  </si>
  <si>
    <t>5613628871</t>
  </si>
  <si>
    <t>5646755567</t>
  </si>
  <si>
    <t>5514459364</t>
  </si>
  <si>
    <t>ORIENTE 42 MZ 157-LT 7</t>
  </si>
  <si>
    <t>GUADALUPANA</t>
  </si>
  <si>
    <t>56616</t>
  </si>
  <si>
    <t>00015901G000159</t>
  </si>
  <si>
    <t>2221869674</t>
  </si>
  <si>
    <t>2216633134</t>
  </si>
  <si>
    <t>2224021179</t>
  </si>
  <si>
    <t>ANDR PRIMERO DE MAYO E  3-A</t>
  </si>
  <si>
    <t>SANCTORUM</t>
  </si>
  <si>
    <t>72730</t>
  </si>
  <si>
    <t>CUAUTLANCINGO</t>
  </si>
  <si>
    <t>00015401G000154</t>
  </si>
  <si>
    <t>5538241108</t>
  </si>
  <si>
    <t>5654336195</t>
  </si>
  <si>
    <t>SUR 13 283-6</t>
  </si>
  <si>
    <t>NIÑOS HÉROES</t>
  </si>
  <si>
    <t>56610</t>
  </si>
  <si>
    <t>00015601G000156</t>
  </si>
  <si>
    <t>ORIENTE 26-SN</t>
  </si>
  <si>
    <t>LA PIEDAD</t>
  </si>
  <si>
    <t>00015801G000158</t>
  </si>
  <si>
    <t>000161</t>
  </si>
  <si>
    <t>23/10/2025</t>
  </si>
  <si>
    <t>EBANO MZ 66-LT 9</t>
  </si>
  <si>
    <t>AMPLIACIÓN SAN MARCOS</t>
  </si>
  <si>
    <t>54954</t>
  </si>
  <si>
    <t>00016001G000160</t>
  </si>
  <si>
    <t>05/02/2026</t>
  </si>
  <si>
    <t>5554738438</t>
  </si>
  <si>
    <t>5547752101</t>
  </si>
  <si>
    <t>7341009312</t>
  </si>
  <si>
    <t>ORIENTE 18 L 9-MZ 430</t>
  </si>
  <si>
    <t>ORIENTE 18,  L 9, MZ 430</t>
  </si>
  <si>
    <t>00016101G000161</t>
  </si>
  <si>
    <t>RAFAEL VALDOVINOS 32 INT 14B</t>
  </si>
  <si>
    <t>Monto del crédito</t>
  </si>
  <si>
    <t>Tipo de grupo</t>
  </si>
  <si>
    <t>Fecha de inicio del crédito</t>
  </si>
  <si>
    <t>Día de reunión</t>
  </si>
  <si>
    <t>Hora de reunión</t>
  </si>
  <si>
    <t>Próximo pago</t>
  </si>
  <si>
    <t>Cartera vigente sistema</t>
  </si>
  <si>
    <t>Carera vigente inicial</t>
  </si>
  <si>
    <t>Cartera vigente calculada</t>
  </si>
  <si>
    <t>Diferencia Validación vigente</t>
  </si>
  <si>
    <t>Monto promedio del grupo</t>
  </si>
  <si>
    <t>Número de Integrantes</t>
  </si>
  <si>
    <t>Pagos cubiertos</t>
  </si>
  <si>
    <t>Pagos por vencer</t>
  </si>
  <si>
    <t>Total de pagos</t>
  </si>
  <si>
    <t>Cuenta de ID de grupo</t>
  </si>
  <si>
    <t>Suma de Número de Integrantes</t>
  </si>
  <si>
    <t>Suma de Monto del crédito</t>
  </si>
  <si>
    <t>Suma de Cartera vigente sistema</t>
  </si>
  <si>
    <t>Suma de Carera vigente inicial</t>
  </si>
  <si>
    <t>Suma de Cartera vigente calculada</t>
  </si>
  <si>
    <t>Original</t>
  </si>
  <si>
    <t>Correcto</t>
  </si>
  <si>
    <t>000162</t>
  </si>
  <si>
    <t>MARAGARITAS</t>
  </si>
  <si>
    <t>06/02/2026</t>
  </si>
  <si>
    <t>NICOLAS MORELOS 17-SN</t>
  </si>
  <si>
    <t>JOSÉ MARÍA MORELOS Y PAVÓN</t>
  </si>
  <si>
    <t>55718</t>
  </si>
  <si>
    <t>00016201G000162</t>
  </si>
  <si>
    <t>000152</t>
  </si>
  <si>
    <t>5516482199</t>
  </si>
  <si>
    <t>5542920808</t>
  </si>
  <si>
    <t>5542365534</t>
  </si>
  <si>
    <t>FRANCISCO VILLA 1</t>
  </si>
  <si>
    <t>SAN MARTÍN CUAUTLALPAN</t>
  </si>
  <si>
    <t>00015201G000152</t>
  </si>
  <si>
    <t>000166</t>
  </si>
  <si>
    <t>5537946108</t>
  </si>
  <si>
    <t>5562128802</t>
  </si>
  <si>
    <t>5587744889</t>
  </si>
  <si>
    <t>CJON CAM REAL 14-SN</t>
  </si>
  <si>
    <t>SAN MARCOS HUIXTOCO</t>
  </si>
  <si>
    <t>56643</t>
  </si>
  <si>
    <t>CJON CAM REAL # 14</t>
  </si>
  <si>
    <t>00016601G000166</t>
  </si>
  <si>
    <t>000153</t>
  </si>
  <si>
    <t>5588011561</t>
  </si>
  <si>
    <t>5573722302</t>
  </si>
  <si>
    <t>5540090925</t>
  </si>
  <si>
    <t>ORO MZ 1-LT2</t>
  </si>
  <si>
    <t>00015301G000153</t>
  </si>
  <si>
    <t>000163</t>
  </si>
  <si>
    <t>5538124730</t>
  </si>
  <si>
    <t>5621051197</t>
  </si>
  <si>
    <t>5634484491</t>
  </si>
  <si>
    <t>21 MZ 185-L 22</t>
  </si>
  <si>
    <t>CALLE 21, MZ 185, L 22</t>
  </si>
  <si>
    <t>00016301G000163</t>
  </si>
  <si>
    <t>000164</t>
  </si>
  <si>
    <t>AURORA</t>
  </si>
  <si>
    <t>5644377300</t>
  </si>
  <si>
    <t>5656054812</t>
  </si>
  <si>
    <t>5585632388</t>
  </si>
  <si>
    <t>COVARRUBIAS 14</t>
  </si>
  <si>
    <t>EJIDAL</t>
  </si>
  <si>
    <t>00016401G000164</t>
  </si>
  <si>
    <t>000167</t>
  </si>
  <si>
    <t>HORTENSIAS</t>
  </si>
  <si>
    <t>AZAHARES 64</t>
  </si>
  <si>
    <t>000165</t>
  </si>
  <si>
    <t>MARAVILLAS</t>
  </si>
  <si>
    <t>000157</t>
  </si>
  <si>
    <t>27/10/2025</t>
  </si>
  <si>
    <t>09/02/2026</t>
  </si>
  <si>
    <t>CERRADA LIBERTAD MZ 10-LT 2</t>
  </si>
  <si>
    <t>00015701G000157</t>
  </si>
  <si>
    <t>AZAHARES 64-SN</t>
  </si>
  <si>
    <t>UNIDAD MORELOS 3RA. SECCIÓN</t>
  </si>
  <si>
    <t>00016701G000167</t>
  </si>
  <si>
    <t>5524153443</t>
  </si>
  <si>
    <t>5634881163</t>
  </si>
  <si>
    <t>CDA TRES 39-9</t>
  </si>
  <si>
    <t>RICARDO CALVA REYES</t>
  </si>
  <si>
    <t>00016501G000165</t>
  </si>
  <si>
    <t>000171</t>
  </si>
  <si>
    <t>02 ORO</t>
  </si>
  <si>
    <t>000168</t>
  </si>
  <si>
    <t>000169</t>
  </si>
  <si>
    <t>LA GUADALUPANA</t>
  </si>
  <si>
    <t>Cuautle Pacheco Jheimy</t>
  </si>
  <si>
    <t>000172</t>
  </si>
  <si>
    <t>TROYA</t>
  </si>
  <si>
    <t>28/10/2025</t>
  </si>
  <si>
    <t>2271379799</t>
  </si>
  <si>
    <t>2271089632</t>
  </si>
  <si>
    <t>2272309728</t>
  </si>
  <si>
    <t xml:space="preserve"> CIELITO LINDO SN-sn</t>
  </si>
  <si>
    <t>SANTA ANA XALMIMILULCO</t>
  </si>
  <si>
    <t>74169</t>
  </si>
  <si>
    <t>CIELITO LINDO SN</t>
  </si>
  <si>
    <t>00016801G000168</t>
  </si>
  <si>
    <t>10/02/2026</t>
  </si>
  <si>
    <t>5522516830</t>
  </si>
  <si>
    <t>5564422722</t>
  </si>
  <si>
    <t>5562055450</t>
  </si>
  <si>
    <t>PASEO DE LA CLARIDAD MZ 5 Lt3-Cs68</t>
  </si>
  <si>
    <t>BOSQUES DE CHALCO I</t>
  </si>
  <si>
    <t>PASEO DE LA CLARIDAD MZ 5 LT 3 CASA 68</t>
  </si>
  <si>
    <t>00017201G000172</t>
  </si>
  <si>
    <t>2224028369</t>
  </si>
  <si>
    <t>2225351389</t>
  </si>
  <si>
    <t>2228242884</t>
  </si>
  <si>
    <t>3 SUR 2704-3</t>
  </si>
  <si>
    <t>CHULA VISTA</t>
  </si>
  <si>
    <t>72420</t>
  </si>
  <si>
    <t>3 SUR # 2704 3</t>
  </si>
  <si>
    <t>00016901G000169</t>
  </si>
  <si>
    <t>5535072420</t>
  </si>
  <si>
    <t>5524431530</t>
  </si>
  <si>
    <t>5542726413</t>
  </si>
  <si>
    <t>URNES 6-22</t>
  </si>
  <si>
    <t>HACIENDA LAS PALMAS I Y II</t>
  </si>
  <si>
    <t>00017101G000171</t>
  </si>
  <si>
    <t>000170</t>
  </si>
  <si>
    <t>FORTALEZA TECAMAC</t>
  </si>
  <si>
    <t>REVOLUCION SECC 44 MZ 142 LT 17 N.4</t>
  </si>
  <si>
    <t>REVOLUCION SECC 44 MZ142-LT17</t>
  </si>
  <si>
    <t>LOS HÉROES TECÁMAC</t>
  </si>
  <si>
    <t>55763</t>
  </si>
  <si>
    <t>TECAMAC</t>
  </si>
  <si>
    <t>00017001G000170</t>
  </si>
  <si>
    <t>000174</t>
  </si>
  <si>
    <t>ARBOLEDAS</t>
  </si>
  <si>
    <t>29/10/2025</t>
  </si>
  <si>
    <t>MORELOS SN</t>
  </si>
  <si>
    <t>11/02/2026</t>
  </si>
  <si>
    <t>5645945701</t>
  </si>
  <si>
    <t>5512189878</t>
  </si>
  <si>
    <t>5650797480</t>
  </si>
  <si>
    <t>ORIENTE 40 A MZ 14-LT 17</t>
  </si>
  <si>
    <t>UNIÓN DE GUADALUPE</t>
  </si>
  <si>
    <t>56606</t>
  </si>
  <si>
    <t>ORIENTE 48, MZ 3, LT 18</t>
  </si>
  <si>
    <t>00017401G000174</t>
  </si>
  <si>
    <t>000179</t>
  </si>
  <si>
    <t>TOVARCITO</t>
  </si>
  <si>
    <t>PONIENTE 14 A, MZ 1869, LT 19</t>
  </si>
  <si>
    <t>31/10/2025</t>
  </si>
  <si>
    <t>30/10/2025</t>
  </si>
  <si>
    <t>12/02/2026</t>
  </si>
  <si>
    <t>5515782082</t>
  </si>
  <si>
    <t>5654703833</t>
  </si>
  <si>
    <t>5631693403</t>
  </si>
  <si>
    <t>PONIENTE  14 A MZ 1869-LT 19</t>
  </si>
  <si>
    <t>EL AGOSTADERO</t>
  </si>
  <si>
    <t>00017901G000179</t>
  </si>
  <si>
    <t>000175</t>
  </si>
  <si>
    <t>LIBELULAS</t>
  </si>
  <si>
    <t>000182</t>
  </si>
  <si>
    <t>GRUPO ANGEL</t>
  </si>
  <si>
    <t>000180</t>
  </si>
  <si>
    <t>GARITA</t>
  </si>
  <si>
    <t>000183</t>
  </si>
  <si>
    <t>TULIPANES ECATEPEC</t>
  </si>
  <si>
    <t>000185</t>
  </si>
  <si>
    <t>JOB</t>
  </si>
  <si>
    <t>MARGARITA MAZA D JUAREZ MZ 2</t>
  </si>
  <si>
    <t>15:30</t>
  </si>
  <si>
    <t>17:00</t>
  </si>
  <si>
    <t>LA GARITA N.42 A</t>
  </si>
  <si>
    <t>SEGUNDO CARRIL DE SAN ISIDRO # 28</t>
  </si>
  <si>
    <t>000184</t>
  </si>
  <si>
    <t>LAS SOÑADORAS</t>
  </si>
  <si>
    <t>SINDICOS MZ 1850 LT 11</t>
  </si>
  <si>
    <t>24/10/2025</t>
  </si>
  <si>
    <t>13/02/2026</t>
  </si>
  <si>
    <t>5519249571</t>
  </si>
  <si>
    <t>5610673695</t>
  </si>
  <si>
    <t>5538292523</t>
  </si>
  <si>
    <t>M DE OCA 31-10</t>
  </si>
  <si>
    <t>00017501G000175</t>
  </si>
  <si>
    <t>5646792986</t>
  </si>
  <si>
    <t>5575533568</t>
  </si>
  <si>
    <t>5582116517</t>
  </si>
  <si>
    <t>LAZARO CARDENAS A-36</t>
  </si>
  <si>
    <t>SAN PABLO ATLAZALPAN CU</t>
  </si>
  <si>
    <t>0000</t>
  </si>
  <si>
    <t>00018201G000182</t>
  </si>
  <si>
    <t>5545757421</t>
  </si>
  <si>
    <t>5560180815</t>
  </si>
  <si>
    <t>5535149437</t>
  </si>
  <si>
    <t>SEGUNDO CARRIL DE SAN ISIDRO  28D</t>
  </si>
  <si>
    <t>00018501G000185</t>
  </si>
  <si>
    <t>4612616413</t>
  </si>
  <si>
    <t>5656864769</t>
  </si>
  <si>
    <t>5532958593</t>
  </si>
  <si>
    <t>SINDICOS MZ 1850-LT 11</t>
  </si>
  <si>
    <t>00018401G000184</t>
  </si>
  <si>
    <t>LA GARITA 42-A</t>
  </si>
  <si>
    <t>00018001G000180</t>
  </si>
  <si>
    <t>MARGARITA MAZA D JUAREZ MZ 2-LT</t>
  </si>
  <si>
    <t>LUIS DONALDO COLOSIO</t>
  </si>
  <si>
    <t>55029</t>
  </si>
  <si>
    <t>ECATEPEC</t>
  </si>
  <si>
    <t>00018301G000183</t>
  </si>
  <si>
    <t>000181</t>
  </si>
  <si>
    <t>ZULA</t>
  </si>
  <si>
    <t>000186</t>
  </si>
  <si>
    <t>VENUS</t>
  </si>
  <si>
    <t>000188</t>
  </si>
  <si>
    <t>SAN FRANCISCO</t>
  </si>
  <si>
    <t>000178</t>
  </si>
  <si>
    <t>MICTLAN</t>
  </si>
  <si>
    <t>Concepto Depósito</t>
  </si>
  <si>
    <t>03/11/2025</t>
  </si>
  <si>
    <t>25/10/2025</t>
  </si>
  <si>
    <t>26/10/2025</t>
  </si>
  <si>
    <t>5540061282</t>
  </si>
  <si>
    <t>5667875101</t>
  </si>
  <si>
    <t>5550753171</t>
  </si>
  <si>
    <t>EMILIANO ZAPATA  16</t>
  </si>
  <si>
    <t>SANTIAGO ZULA</t>
  </si>
  <si>
    <t>56653</t>
  </si>
  <si>
    <t>00018101G000181</t>
  </si>
  <si>
    <t>16/02/2026</t>
  </si>
  <si>
    <t>2291482971</t>
  </si>
  <si>
    <t>2213461802</t>
  </si>
  <si>
    <t>2217643736</t>
  </si>
  <si>
    <t>48 NTE LTE 1 1106-A</t>
  </si>
  <si>
    <t>BOSQUES DE SANTA ANITA</t>
  </si>
  <si>
    <t>72227</t>
  </si>
  <si>
    <t>48 NTE LTE 1 # 1106 A</t>
  </si>
  <si>
    <t>00018601G000186</t>
  </si>
  <si>
    <t>2213189742</t>
  </si>
  <si>
    <t>2482277091</t>
  </si>
  <si>
    <t>2481061276</t>
  </si>
  <si>
    <t>FRANCISCO I MADERO 5</t>
  </si>
  <si>
    <t>SAN FRANCISCO TEPEYAC</t>
  </si>
  <si>
    <t>74129</t>
  </si>
  <si>
    <t>FRANCISCO I MADERO # 5</t>
  </si>
  <si>
    <t>00018801G000188</t>
  </si>
  <si>
    <t>VICENTE LOM TEL # 1 B</t>
  </si>
  <si>
    <t>OCTAVIO PAZ MZ 1-LT 36</t>
  </si>
  <si>
    <t>LINDEROS DE IXTAPALUCA (EL TABLÓN)</t>
  </si>
  <si>
    <t>56588</t>
  </si>
  <si>
    <t>00017801G000178</t>
  </si>
  <si>
    <t>000176</t>
  </si>
  <si>
    <t>SAN RAFAEL</t>
  </si>
  <si>
    <t>Betancourt Rojas Jacqueline</t>
  </si>
  <si>
    <t>000189</t>
  </si>
  <si>
    <t>LOS SOLIDARIOS DEL VALLE</t>
  </si>
  <si>
    <t>000187</t>
  </si>
  <si>
    <t>LA ANTORCHA</t>
  </si>
  <si>
    <t>04/11/2025</t>
  </si>
  <si>
    <t>FRANCISCO PAZ 9-1</t>
  </si>
  <si>
    <t>SAN VICENTE CHICOLOAPAN DE JUÁREZ CENTRO</t>
  </si>
  <si>
    <t>17/02/2026</t>
  </si>
  <si>
    <t>5549195302</t>
  </si>
  <si>
    <t>5621506716</t>
  </si>
  <si>
    <t>ORIENTE 34 53-5</t>
  </si>
  <si>
    <t>PROVIDENCIA</t>
  </si>
  <si>
    <t>00018901G000189</t>
  </si>
  <si>
    <t>19/02/2026</t>
  </si>
  <si>
    <t>06/11/2025</t>
  </si>
  <si>
    <t>PROL LA CAÑADA  1-0</t>
  </si>
  <si>
    <t>56740</t>
  </si>
  <si>
    <t>00017601G000176</t>
  </si>
  <si>
    <t>2221325909</t>
  </si>
  <si>
    <t>2221589214</t>
  </si>
  <si>
    <t>2213378446</t>
  </si>
  <si>
    <t>VICENTE LOM TEL 1-B</t>
  </si>
  <si>
    <t>00018701G000187</t>
  </si>
  <si>
    <t>Ahorro Consumido</t>
  </si>
  <si>
    <t>Cartera Vencida Estadistica</t>
  </si>
  <si>
    <t>Cartera vencida Total</t>
  </si>
  <si>
    <t>000195</t>
  </si>
  <si>
    <t>GIRASOL 24</t>
  </si>
  <si>
    <t>000194</t>
  </si>
  <si>
    <t>NUEVO RENACER</t>
  </si>
  <si>
    <t>DIAG REF NTE #4915</t>
  </si>
  <si>
    <t>000190</t>
  </si>
  <si>
    <t>LAS AITANAS</t>
  </si>
  <si>
    <t>000198</t>
  </si>
  <si>
    <t>ELOHIM</t>
  </si>
  <si>
    <t>1A CERRADA DEL COLIBRI MZ 50</t>
  </si>
  <si>
    <t>000193</t>
  </si>
  <si>
    <t>LOS EXITOSOS</t>
  </si>
  <si>
    <t>CARLOS B ZETINA #699</t>
  </si>
  <si>
    <t>CÓDIGO 
OFIC. CRED.</t>
  </si>
  <si>
    <t>NOMBRE
OFICIAL DE CRÉDITO</t>
  </si>
  <si>
    <t>CÓDIGO
PROMOTOR CRED.</t>
  </si>
  <si>
    <t>05/11/2025</t>
  </si>
  <si>
    <t>1 - 7</t>
  </si>
  <si>
    <t>18/02/2026</t>
  </si>
  <si>
    <t>2271138488</t>
  </si>
  <si>
    <t>2481732704</t>
  </si>
  <si>
    <t>2271055880</t>
  </si>
  <si>
    <t>CARLOS B ZETINA 699</t>
  </si>
  <si>
    <t>PRIMERO</t>
  </si>
  <si>
    <t>00019301G000193</t>
  </si>
  <si>
    <t>16 DE SEPTIEMBRE 10</t>
  </si>
  <si>
    <t>00019001G000190</t>
  </si>
  <si>
    <t>2224659859</t>
  </si>
  <si>
    <t>2221214049</t>
  </si>
  <si>
    <t>2212504967</t>
  </si>
  <si>
    <t>DIAG REF NTE 4915</t>
  </si>
  <si>
    <t>AQUILES SERDÁN</t>
  </si>
  <si>
    <t>72140</t>
  </si>
  <si>
    <t>00019401G000194</t>
  </si>
  <si>
    <t>SANTA MARÍA DE GUADALUPE LA QUEBRADA</t>
  </si>
  <si>
    <t>54764</t>
  </si>
  <si>
    <t>00019501G000195</t>
  </si>
  <si>
    <t>5534659053</t>
  </si>
  <si>
    <t>5614801223</t>
  </si>
  <si>
    <t>5625932364</t>
  </si>
  <si>
    <t>1A CERRADA COLIBRI MZ 50-LT 09</t>
  </si>
  <si>
    <t>00019801G000198</t>
  </si>
  <si>
    <t>Suma de Cartera vencida Total</t>
  </si>
  <si>
    <t>Mora</t>
  </si>
  <si>
    <t>Suma de Cartera Vencida Estadistica</t>
  </si>
  <si>
    <t>Suma de Ahorro Consumido</t>
  </si>
  <si>
    <t>Cartera Insoluta</t>
  </si>
  <si>
    <t>Cartera</t>
  </si>
  <si>
    <t>Suma de Cartera Insoluta</t>
  </si>
  <si>
    <t>000197</t>
  </si>
  <si>
    <t>SOL</t>
  </si>
  <si>
    <t>000192</t>
  </si>
  <si>
    <t>PERLA</t>
  </si>
  <si>
    <t>000201</t>
  </si>
  <si>
    <t>JUQUILA</t>
  </si>
  <si>
    <t>000196</t>
  </si>
  <si>
    <t>ROOMIES DE VILLAS</t>
  </si>
  <si>
    <t>000199</t>
  </si>
  <si>
    <t>GENESIS</t>
  </si>
  <si>
    <t>000191</t>
  </si>
  <si>
    <t>COLIBRIS</t>
  </si>
  <si>
    <t>000200</t>
  </si>
  <si>
    <t>EL SUEÑO</t>
  </si>
  <si>
    <t>TECOMATLAN MZ 22 LT 28</t>
  </si>
  <si>
    <t>JOSE MARIA  VELASCO MZ 2,  LT 14</t>
  </si>
  <si>
    <t>16 DE SEPTIEMBRE, NO. 48</t>
  </si>
  <si>
    <t>CALLE 19 MZ 1 LT 4</t>
  </si>
  <si>
    <t>CAJON DEL SOLDADO # 3</t>
  </si>
  <si>
    <t>CDA C DE LOS ARCOS 2 MZ 2 L104 D</t>
  </si>
  <si>
    <t>5652488723</t>
  </si>
  <si>
    <t>5653262904</t>
  </si>
  <si>
    <t>5613789544</t>
  </si>
  <si>
    <t>CJON DEL SOLDADO 3</t>
  </si>
  <si>
    <t>00019101G000191</t>
  </si>
  <si>
    <t>5532380428</t>
  </si>
  <si>
    <t>5527051649</t>
  </si>
  <si>
    <t>6642833691</t>
  </si>
  <si>
    <t>16 DE SEPTIEMBRE 48</t>
  </si>
  <si>
    <t>LA CONCHITA</t>
  </si>
  <si>
    <t>00019901G000199</t>
  </si>
  <si>
    <t>CJN BELLAVISTA 6</t>
  </si>
  <si>
    <t>00019701G000197</t>
  </si>
  <si>
    <t>5618619813</t>
  </si>
  <si>
    <t>5625829455</t>
  </si>
  <si>
    <t>5548515268</t>
  </si>
  <si>
    <t>CUEYATL MZ 9-LT 16</t>
  </si>
  <si>
    <t>REY IZCOATL</t>
  </si>
  <si>
    <t>00020101G000201</t>
  </si>
  <si>
    <t>5547287647</t>
  </si>
  <si>
    <t>5581834951</t>
  </si>
  <si>
    <t>5625026221</t>
  </si>
  <si>
    <t>19 MZ 1-LT 4</t>
  </si>
  <si>
    <t>00019201G000192</t>
  </si>
  <si>
    <t>5539744918</t>
  </si>
  <si>
    <t>5511957738</t>
  </si>
  <si>
    <t>3333236357</t>
  </si>
  <si>
    <t>JOSE MARIA VELASCO MZ 2-LT 14</t>
  </si>
  <si>
    <t>GEOVILLAS DE AYOTLA</t>
  </si>
  <si>
    <t>56566</t>
  </si>
  <si>
    <t>00019601G000196</t>
  </si>
  <si>
    <t>5566074824</t>
  </si>
  <si>
    <t>5971225575</t>
  </si>
  <si>
    <t>5570116744</t>
  </si>
  <si>
    <t>CDA C DE LOS ARCOS 2 MZ2  LT104-D</t>
  </si>
  <si>
    <t>00020001G000200</t>
  </si>
  <si>
    <t>000203</t>
  </si>
  <si>
    <t>CONSTRUYENDO EL FUTURO</t>
  </si>
  <si>
    <t>000205</t>
  </si>
  <si>
    <t>AGUILAS</t>
  </si>
  <si>
    <t>000213</t>
  </si>
  <si>
    <t>LAS REBELDES</t>
  </si>
  <si>
    <t>000204</t>
  </si>
  <si>
    <t>ANGELES DE CHARLY</t>
  </si>
  <si>
    <t>000206</t>
  </si>
  <si>
    <t>PALMITAS</t>
  </si>
  <si>
    <t>Garcia Herrera Jonathan</t>
  </si>
  <si>
    <t>000209</t>
  </si>
  <si>
    <t>BOMBONES</t>
  </si>
  <si>
    <t>000214</t>
  </si>
  <si>
    <t>EUROPEOS</t>
  </si>
  <si>
    <t>000202</t>
  </si>
  <si>
    <t>000207</t>
  </si>
  <si>
    <t>AV SOR JUANA INES DE LA CRUZ N.11</t>
  </si>
  <si>
    <t>ING FELIX VAZQUEZ OCAÑA</t>
  </si>
  <si>
    <t>CDA CIPRES SN</t>
  </si>
  <si>
    <t>BOSQUES EUROPEOS 201 EDIF A24</t>
  </si>
  <si>
    <t>14:30</t>
  </si>
  <si>
    <t>PALMA MZ 2 LT 28</t>
  </si>
  <si>
    <t>C PRIMAVERA OTE SN</t>
  </si>
  <si>
    <t>000210</t>
  </si>
  <si>
    <t>LAS LUNAS</t>
  </si>
  <si>
    <t>000211</t>
  </si>
  <si>
    <t>LA NOPALERA</t>
  </si>
  <si>
    <t>000212</t>
  </si>
  <si>
    <t>UNICORNIO</t>
  </si>
  <si>
    <t>000215</t>
  </si>
  <si>
    <t>000216</t>
  </si>
  <si>
    <t>SANTA CECILIA</t>
  </si>
  <si>
    <t>07/11/2025</t>
  </si>
  <si>
    <t>20/02/2026</t>
  </si>
  <si>
    <t>5633399649</t>
  </si>
  <si>
    <t>5645865542</t>
  </si>
  <si>
    <t>5642470636</t>
  </si>
  <si>
    <t>FRANCISCO VILLA MZ 1</t>
  </si>
  <si>
    <t>00020301G000203</t>
  </si>
  <si>
    <t>5513420664</t>
  </si>
  <si>
    <t>5578311857</t>
  </si>
  <si>
    <t>5661063499</t>
  </si>
  <si>
    <t>PALMA MZ 2-LT 28</t>
  </si>
  <si>
    <t>MARCO ANTONIO SOSA</t>
  </si>
  <si>
    <t>00020601G000206</t>
  </si>
  <si>
    <t>5617573547</t>
  </si>
  <si>
    <t>5522156996</t>
  </si>
  <si>
    <t>5574210874</t>
  </si>
  <si>
    <t>FCO LUNA GOBIERON MZ 43-LT 24</t>
  </si>
  <si>
    <t>AMPLIACIÓN 6 DE JUNIO</t>
  </si>
  <si>
    <t>00020501G000205</t>
  </si>
  <si>
    <t>BOSQUES EUROPEOS EDIF 24 A 201</t>
  </si>
  <si>
    <t>BOSQUES DEL ALBA II</t>
  </si>
  <si>
    <t>54753</t>
  </si>
  <si>
    <t>00021401G000214</t>
  </si>
  <si>
    <t>5512944688</t>
  </si>
  <si>
    <t>5540088470</t>
  </si>
  <si>
    <t>5657171896</t>
  </si>
  <si>
    <t>AV SORJUANA. INES DE LA CRUZ 11-1</t>
  </si>
  <si>
    <t>METROPOLITANA TERCERA SECCIÓN</t>
  </si>
  <si>
    <t>57750</t>
  </si>
  <si>
    <t>00020401G000204</t>
  </si>
  <si>
    <t>5520960962</t>
  </si>
  <si>
    <t>7751665565</t>
  </si>
  <si>
    <t>SUR 1 144-28</t>
  </si>
  <si>
    <t>00021301G000213</t>
  </si>
  <si>
    <t>5661543566</t>
  </si>
  <si>
    <t>ING FELIX VAZQUEZ OCAÑA MZ 2-LT 33</t>
  </si>
  <si>
    <t>SANTA MARÍA II</t>
  </si>
  <si>
    <t>00020201G000202</t>
  </si>
  <si>
    <t>5564546514</t>
  </si>
  <si>
    <t>5531577751</t>
  </si>
  <si>
    <t>5561159918</t>
  </si>
  <si>
    <t>SANTA CATARINA AYOTZINGO</t>
  </si>
  <si>
    <t>56623</t>
  </si>
  <si>
    <t>00020901G000209</t>
  </si>
  <si>
    <t>2224358897</t>
  </si>
  <si>
    <t>2484925986</t>
  </si>
  <si>
    <t>2481502705</t>
  </si>
  <si>
    <t>00020701G000207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</si>
</sst>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\$#,##0.00"/>
    <numFmt numFmtId="165" formatCode="00"/>
    <numFmt numFmtId="166" formatCode="h:mm;@"/>
    <numFmt numFmtId="167" formatCode="dd/mm/yyyy;@"/>
    <numFmt numFmtId="168" formatCode="###0"/>
    <numFmt numFmtId="169" formatCode="_-&quot;$&quot;* #,##0_-;\-&quot;$&quot;* #,##0_-;_-&quot;$&quot;* &quot;-&quot;??_-;_-@_-"/>
    <numFmt numFmtId="170" formatCode="_-* #,##0_-;\-* #,##0_-;_-* &quot;-&quot;??_-;_-@_-"/>
    <numFmt numFmtId="171" formatCode="0.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7"/>
      <color rgb="FF000066"/>
      <name val="Arial"/>
      <family val="2"/>
    </font>
    <font>
      <b/>
      <sz val="10"/>
      <color rgb="FF000066"/>
      <name val="Arial"/>
      <family val="2"/>
    </font>
    <font>
      <sz val="10"/>
      <color theme="1"/>
      <name val="Calibri"/>
    </font>
    <font>
      <sz val="10"/>
      <color rgb="FF000000"/>
      <name val="Calibri"/>
    </font>
    <font>
      <b/>
      <sz val="20"/>
      <color theme="3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3F3F3"/>
        <bgColor rgb="FFF3F3F3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rgb="FF000066"/>
      </left>
      <right/>
      <top style="medium">
        <color rgb="FF000066"/>
      </top>
      <bottom style="medium">
        <color rgb="FF000066"/>
      </bottom>
      <diagonal/>
    </border>
    <border>
      <left/>
      <right/>
      <top style="medium">
        <color rgb="FF000066"/>
      </top>
      <bottom style="medium">
        <color rgb="FF000066"/>
      </bottom>
      <diagonal/>
    </border>
    <border>
      <left/>
      <right style="medium">
        <color rgb="FF000066"/>
      </right>
      <top style="medium">
        <color rgb="FF000066"/>
      </top>
      <bottom style="medium">
        <color rgb="FF000066"/>
      </bottom>
      <diagonal/>
    </border>
    <border>
      <left style="medium">
        <color rgb="FF000066"/>
      </left>
      <right/>
      <top/>
      <bottom/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66"/>
      </left>
      <right/>
      <top style="medium">
        <color rgb="FF000066"/>
      </top>
      <bottom/>
      <diagonal/>
    </border>
    <border>
      <left/>
      <right/>
      <top style="medium">
        <color rgb="FF000066"/>
      </top>
      <bottom/>
      <diagonal/>
    </border>
  </borders>
  <cellStyleXfs count="12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3">
    <xf numFmtId="0" fontId="0" fillId="0" borderId="0" xfId="0"/>
    <xf numFmtId="44" fontId="0" fillId="0" borderId="0" xfId="1" applyFont="1"/>
    <xf numFmtId="49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4" fontId="3" fillId="0" borderId="0" xfId="0" applyNumberFormat="1" applyFont="1"/>
    <xf numFmtId="2" fontId="0" fillId="0" borderId="0" xfId="0" applyNumberFormat="1"/>
    <xf numFmtId="49" fontId="7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/>
    </xf>
    <xf numFmtId="3" fontId="7" fillId="2" borderId="0" xfId="0" applyNumberFormat="1" applyFont="1" applyFill="1" applyAlignment="1">
      <alignment horizontal="center" vertical="center" wrapText="1"/>
    </xf>
    <xf numFmtId="4" fontId="7" fillId="2" borderId="0" xfId="0" applyNumberFormat="1" applyFont="1" applyFill="1" applyAlignment="1">
      <alignment horizontal="center" vertical="center" wrapText="1"/>
    </xf>
    <xf numFmtId="3" fontId="7" fillId="2" borderId="0" xfId="0" applyNumberFormat="1" applyFont="1" applyFill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2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2" fontId="8" fillId="0" borderId="0" xfId="0" applyNumberFormat="1" applyFont="1"/>
    <xf numFmtId="0" fontId="2" fillId="3" borderId="0" xfId="0" applyFont="1" applyFill="1" applyAlignment="1">
      <alignment horizontal="center" vertical="center" wrapText="1"/>
    </xf>
    <xf numFmtId="0" fontId="0" fillId="0" borderId="0" xfId="0" applyProtection="1"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0" fillId="4" borderId="0" xfId="0" applyFill="1" applyAlignment="1">
      <alignment horizontal="center"/>
    </xf>
    <xf numFmtId="49" fontId="3" fillId="4" borderId="0" xfId="0" applyNumberFormat="1" applyFont="1" applyFill="1" applyAlignment="1">
      <alignment horizontal="center"/>
    </xf>
    <xf numFmtId="49" fontId="0" fillId="4" borderId="0" xfId="0" applyNumberFormat="1" applyFill="1" applyAlignment="1">
      <alignment horizontal="center"/>
    </xf>
    <xf numFmtId="4" fontId="3" fillId="4" borderId="0" xfId="0" applyNumberFormat="1" applyFon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Protection="1">
      <protection locked="0"/>
    </xf>
    <xf numFmtId="44" fontId="0" fillId="0" borderId="0" xfId="1" applyFont="1" applyProtection="1">
      <protection locked="0"/>
    </xf>
    <xf numFmtId="14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4" fontId="0" fillId="0" borderId="0" xfId="1" applyNumberFormat="1" applyFont="1" applyProtection="1">
      <protection locked="0"/>
    </xf>
    <xf numFmtId="164" fontId="0" fillId="0" borderId="0" xfId="0" applyNumberFormat="1" applyProtection="1">
      <protection locked="0"/>
    </xf>
    <xf numFmtId="49" fontId="0" fillId="0" borderId="0" xfId="0" applyNumberFormat="1"/>
    <xf numFmtId="49" fontId="4" fillId="0" borderId="0" xfId="0" applyNumberFormat="1" applyFont="1" applyAlignment="1">
      <alignment horizontal="center"/>
    </xf>
    <xf numFmtId="44" fontId="0" fillId="0" borderId="0" xfId="0" applyNumberFormat="1" applyProtection="1">
      <protection locked="0"/>
    </xf>
    <xf numFmtId="4" fontId="0" fillId="0" borderId="0" xfId="0" applyNumberFormat="1"/>
    <xf numFmtId="0" fontId="3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wrapText="1"/>
    </xf>
    <xf numFmtId="0" fontId="3" fillId="0" borderId="0" xfId="0" applyFont="1" applyAlignment="1">
      <alignment horizontal="center"/>
    </xf>
    <xf numFmtId="1" fontId="0" fillId="0" borderId="0" xfId="1" applyNumberFormat="1" applyFont="1" applyProtection="1">
      <protection locked="0"/>
    </xf>
    <xf numFmtId="9" fontId="0" fillId="0" borderId="0" xfId="2" applyFont="1" applyProtection="1">
      <protection locked="0"/>
    </xf>
    <xf numFmtId="44" fontId="3" fillId="5" borderId="0" xfId="1" applyFont="1" applyFill="1" applyAlignment="1">
      <alignment horizontal="center" wrapText="1"/>
    </xf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2" applyNumberFormat="1" applyFont="1" applyProtection="1">
      <protection locked="0"/>
    </xf>
    <xf numFmtId="8" fontId="0" fillId="0" borderId="0" xfId="0" applyNumberFormat="1"/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0" fontId="10" fillId="0" borderId="0" xfId="0" applyFont="1"/>
    <xf numFmtId="0" fontId="12" fillId="6" borderId="3" xfId="0" applyFont="1" applyFill="1" applyBorder="1" applyAlignment="1">
      <alignment horizontal="center" vertical="center" wrapText="1"/>
    </xf>
    <xf numFmtId="44" fontId="12" fillId="6" borderId="4" xfId="1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14" fontId="0" fillId="0" borderId="0" xfId="0" applyNumberFormat="1"/>
    <xf numFmtId="44" fontId="12" fillId="6" borderId="3" xfId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4" fontId="12" fillId="6" borderId="5" xfId="1" applyFont="1" applyFill="1" applyBorder="1" applyAlignment="1">
      <alignment horizontal="center" vertical="center" wrapText="1"/>
    </xf>
    <xf numFmtId="44" fontId="12" fillId="7" borderId="4" xfId="1" applyFont="1" applyFill="1" applyBorder="1" applyAlignment="1">
      <alignment horizontal="center" vertical="center" wrapText="1"/>
    </xf>
    <xf numFmtId="0" fontId="13" fillId="6" borderId="7" xfId="0" applyFont="1" applyFill="1" applyBorder="1"/>
    <xf numFmtId="0" fontId="13" fillId="6" borderId="8" xfId="0" applyFont="1" applyFill="1" applyBorder="1"/>
    <xf numFmtId="169" fontId="13" fillId="6" borderId="8" xfId="1" applyNumberFormat="1" applyFont="1" applyFill="1" applyBorder="1"/>
    <xf numFmtId="169" fontId="13" fillId="7" borderId="8" xfId="1" applyNumberFormat="1" applyFont="1" applyFill="1" applyBorder="1"/>
    <xf numFmtId="44" fontId="12" fillId="8" borderId="4" xfId="1" applyFont="1" applyFill="1" applyBorder="1" applyAlignment="1">
      <alignment horizontal="center" vertical="center" wrapText="1"/>
    </xf>
    <xf numFmtId="44" fontId="12" fillId="8" borderId="5" xfId="1" applyFont="1" applyFill="1" applyBorder="1" applyAlignment="1">
      <alignment horizontal="center" vertical="center" wrapText="1"/>
    </xf>
    <xf numFmtId="49" fontId="8" fillId="0" borderId="9" xfId="0" applyNumberFormat="1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14" fontId="8" fillId="0" borderId="9" xfId="0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0" fillId="0" borderId="9" xfId="0" applyFont="1" applyBorder="1"/>
    <xf numFmtId="0" fontId="8" fillId="0" borderId="0" xfId="0" applyFont="1"/>
    <xf numFmtId="49" fontId="8" fillId="0" borderId="0" xfId="0" applyNumberFormat="1" applyFont="1"/>
    <xf numFmtId="0" fontId="8" fillId="0" borderId="9" xfId="0" applyFont="1" applyBorder="1"/>
    <xf numFmtId="0" fontId="14" fillId="9" borderId="10" xfId="0" applyFont="1" applyFill="1" applyBorder="1" applyAlignment="1">
      <alignment horizontal="left"/>
    </xf>
    <xf numFmtId="0" fontId="14" fillId="9" borderId="9" xfId="0" applyFont="1" applyFill="1" applyBorder="1" applyAlignment="1">
      <alignment horizontal="left"/>
    </xf>
    <xf numFmtId="0" fontId="14" fillId="10" borderId="9" xfId="0" applyFont="1" applyFill="1" applyBorder="1" applyAlignment="1">
      <alignment horizontal="left"/>
    </xf>
    <xf numFmtId="0" fontId="15" fillId="9" borderId="9" xfId="0" applyFont="1" applyFill="1" applyBorder="1" applyAlignment="1">
      <alignment horizontal="left"/>
    </xf>
    <xf numFmtId="0" fontId="16" fillId="0" borderId="0" xfId="0" applyFont="1"/>
    <xf numFmtId="9" fontId="12" fillId="8" borderId="4" xfId="2" applyFont="1" applyFill="1" applyBorder="1" applyAlignment="1">
      <alignment horizontal="center" vertical="center" wrapText="1"/>
    </xf>
    <xf numFmtId="1" fontId="12" fillId="8" borderId="4" xfId="1" applyNumberFormat="1" applyFont="1" applyFill="1" applyBorder="1" applyAlignment="1">
      <alignment horizontal="center" vertical="center" wrapText="1"/>
    </xf>
    <xf numFmtId="49" fontId="12" fillId="6" borderId="4" xfId="1" applyNumberFormat="1" applyFont="1" applyFill="1" applyBorder="1" applyAlignment="1">
      <alignment horizontal="center" vertical="center" wrapText="1"/>
    </xf>
    <xf numFmtId="9" fontId="12" fillId="7" borderId="4" xfId="2" applyFont="1" applyFill="1" applyBorder="1" applyAlignment="1">
      <alignment horizontal="center" vertical="center" wrapText="1"/>
    </xf>
    <xf numFmtId="169" fontId="0" fillId="0" borderId="0" xfId="0" applyNumberFormat="1" applyProtection="1">
      <protection locked="0"/>
    </xf>
    <xf numFmtId="1" fontId="13" fillId="6" borderId="8" xfId="1" applyNumberFormat="1" applyFont="1" applyFill="1" applyBorder="1"/>
    <xf numFmtId="2" fontId="0" fillId="0" borderId="0" xfId="0" applyNumberFormat="1" applyProtection="1">
      <protection locked="0"/>
    </xf>
    <xf numFmtId="44" fontId="13" fillId="6" borderId="8" xfId="1" applyFont="1" applyFill="1" applyBorder="1"/>
    <xf numFmtId="10" fontId="13" fillId="6" borderId="8" xfId="2" applyNumberFormat="1" applyFont="1" applyFill="1" applyBorder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1" applyNumberFormat="1" applyFont="1" applyProtection="1">
      <protection locked="0"/>
    </xf>
    <xf numFmtId="14" fontId="7" fillId="2" borderId="0" xfId="0" applyNumberFormat="1" applyFont="1" applyFill="1" applyAlignment="1">
      <alignment horizontal="center" vertical="center" wrapText="1"/>
    </xf>
    <xf numFmtId="170" fontId="13" fillId="6" borderId="8" xfId="6" applyNumberFormat="1" applyFont="1" applyFill="1" applyBorder="1"/>
    <xf numFmtId="9" fontId="0" fillId="0" borderId="0" xfId="2" applyFont="1" applyAlignment="1" applyProtection="1">
      <alignment horizontal="center"/>
      <protection locked="0"/>
    </xf>
    <xf numFmtId="49" fontId="3" fillId="2" borderId="0" xfId="0" applyNumberFormat="1" applyFont="1" applyFill="1" applyAlignment="1">
      <alignment horizontal="center" vertical="center" wrapText="1"/>
    </xf>
    <xf numFmtId="49" fontId="3" fillId="2" borderId="0" xfId="0" applyNumberFormat="1" applyFont="1" applyFill="1" applyAlignment="1">
      <alignment horizontal="center" vertical="center"/>
    </xf>
    <xf numFmtId="4" fontId="3" fillId="2" borderId="0" xfId="0" applyNumberFormat="1" applyFont="1" applyFill="1" applyAlignment="1">
      <alignment horizontal="center" vertical="center" wrapText="1"/>
    </xf>
    <xf numFmtId="4" fontId="3" fillId="2" borderId="0" xfId="0" applyNumberFormat="1" applyFont="1" applyFill="1" applyAlignment="1">
      <alignment horizontal="center" vertical="center"/>
    </xf>
    <xf numFmtId="167" fontId="3" fillId="2" borderId="0" xfId="0" applyNumberFormat="1" applyFont="1" applyFill="1" applyAlignment="1">
      <alignment horizontal="center" vertical="center"/>
    </xf>
    <xf numFmtId="168" fontId="3" fillId="2" borderId="0" xfId="0" applyNumberFormat="1" applyFont="1" applyFill="1" applyAlignment="1">
      <alignment horizontal="center" vertical="center"/>
    </xf>
    <xf numFmtId="49" fontId="9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0" fontId="1" fillId="0" borderId="0" xfId="2" applyNumberFormat="1" applyFont="1" applyAlignment="1">
      <alignment horizontal="center"/>
    </xf>
    <xf numFmtId="49" fontId="0" fillId="0" borderId="1" xfId="0" applyNumberFormat="1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4" fontId="0" fillId="0" borderId="2" xfId="0" applyNumberFormat="1" applyBorder="1"/>
    <xf numFmtId="0" fontId="0" fillId="0" borderId="1" xfId="0" applyBorder="1" applyAlignment="1">
      <alignment horizontal="center"/>
    </xf>
    <xf numFmtId="4" fontId="0" fillId="0" borderId="1" xfId="0" applyNumberFormat="1" applyBorder="1"/>
    <xf numFmtId="44" fontId="3" fillId="2" borderId="0" xfId="7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49" fontId="0" fillId="0" borderId="2" xfId="0" applyNumberFormat="1" applyBorder="1"/>
    <xf numFmtId="168" fontId="0" fillId="0" borderId="0" xfId="0" applyNumberFormat="1"/>
    <xf numFmtId="10" fontId="1" fillId="0" borderId="1" xfId="2" applyNumberFormat="1" applyFont="1" applyBorder="1" applyAlignment="1">
      <alignment horizontal="center"/>
    </xf>
    <xf numFmtId="10" fontId="1" fillId="0" borderId="0" xfId="2" applyNumberFormat="1" applyFont="1" applyBorder="1" applyAlignment="1">
      <alignment horizontal="center"/>
    </xf>
    <xf numFmtId="167" fontId="0" fillId="0" borderId="0" xfId="0" applyNumberFormat="1"/>
    <xf numFmtId="4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3" fontId="0" fillId="0" borderId="0" xfId="0" applyNumberFormat="1"/>
    <xf numFmtId="171" fontId="13" fillId="6" borderId="8" xfId="2" applyNumberFormat="1" applyFont="1" applyFill="1" applyBorder="1"/>
    <xf numFmtId="169" fontId="0" fillId="0" borderId="6" xfId="1" applyNumberFormat="1" applyFont="1" applyBorder="1" applyAlignment="1">
      <alignment horizontal="center"/>
    </xf>
    <xf numFmtId="169" fontId="0" fillId="0" borderId="11" xfId="1" applyNumberFormat="1" applyFont="1" applyBorder="1" applyAlignment="1">
      <alignment horizontal="center"/>
    </xf>
    <xf numFmtId="169" fontId="0" fillId="0" borderId="12" xfId="1" applyNumberFormat="1" applyFont="1" applyBorder="1" applyAlignment="1">
      <alignment horizontal="center"/>
    </xf>
    <xf numFmtId="171" fontId="0" fillId="0" borderId="12" xfId="2" applyNumberFormat="1" applyFont="1" applyBorder="1" applyAlignment="1">
      <alignment horizontal="center"/>
    </xf>
    <xf numFmtId="169" fontId="0" fillId="0" borderId="0" xfId="1" applyNumberFormat="1" applyFon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171" fontId="0" fillId="0" borderId="0" xfId="2" applyNumberFormat="1" applyFont="1" applyProtection="1">
      <protection locked="0"/>
    </xf>
    <xf numFmtId="43" fontId="0" fillId="0" borderId="0" xfId="6" applyFont="1" applyProtection="1">
      <protection locked="0"/>
    </xf>
    <xf numFmtId="14" fontId="0" fillId="0" borderId="1" xfId="0" applyNumberFormat="1" applyBorder="1"/>
    <xf numFmtId="0" fontId="12" fillId="6" borderId="3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49" fontId="3" fillId="4" borderId="0" xfId="0" applyNumberFormat="1" applyFont="1" applyFill="1" applyAlignment="1">
      <alignment horizontal="center"/>
    </xf>
    <xf numFmtId="49" fontId="3" fillId="4" borderId="0" xfId="0" applyNumberFormat="1" applyFont="1" applyFill="1" applyAlignment="1">
      <alignment horizontal="center" wrapText="1"/>
    </xf>
    <xf numFmtId="0" fontId="0" fillId="0" borderId="0" xfId="0" applyNumberFormat="1"/>
  </cellXfs>
  <cellStyles count="12">
    <cellStyle name="Millares" xfId="6" builtinId="3"/>
    <cellStyle name="Millares 2" xfId="5" xr:uid="{36A9515E-AF52-49CA-90D2-3BE8B4E0F35F}"/>
    <cellStyle name="Millares 2 10" xfId="4" xr:uid="{1956FE63-C077-4C16-8135-9D7A80A80A09}"/>
    <cellStyle name="Millares 2 10 2" xfId="9" xr:uid="{B55ABC7C-C724-4DDC-9A59-55AD6F940A8C}"/>
    <cellStyle name="Millares 2 2" xfId="10" xr:uid="{17BFC5D1-96C2-436F-A2A2-99BB7C73D945}"/>
    <cellStyle name="Millares 3" xfId="11" xr:uid="{BC8BBF00-A348-419B-9867-8A12380429A3}"/>
    <cellStyle name="Moneda" xfId="1" builtinId="4"/>
    <cellStyle name="Moneda 10 3 4" xfId="3" xr:uid="{293A5635-7FC8-49E4-81F3-6552897CF16C}"/>
    <cellStyle name="Moneda 10 3 4 2" xfId="8" xr:uid="{BB4D13AA-4F68-45F1-9DCF-BBA54FC64D50}"/>
    <cellStyle name="Moneda 2" xfId="7" xr:uid="{F32CCC70-420F-415C-9F4D-F41CB76CCB44}"/>
    <cellStyle name="Normal" xfId="0" builtinId="0"/>
    <cellStyle name="Porcentaje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B8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228600</xdr:colOff>
      <xdr:row>3</xdr:row>
      <xdr:rowOff>19050</xdr:rowOff>
    </xdr:from>
    <xdr:to>
      <xdr:col>4</xdr:col>
      <xdr:colOff>1556025</xdr:colOff>
      <xdr:row>6</xdr:row>
      <xdr:rowOff>80133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4270390-883D-4A14-A9E0-9BD92A87C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09550"/>
          <a:ext cx="2089425" cy="632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177165</xdr:rowOff>
    </xdr:from>
    <xdr:to>
      <xdr:col>1</xdr:col>
      <xdr:colOff>1545</xdr:colOff>
      <xdr:row>3</xdr:row>
      <xdr:rowOff>83943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D73156-0987-401F-BE79-00ED502DA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177165"/>
          <a:ext cx="2089425" cy="632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175260</xdr:rowOff>
    </xdr:from>
    <xdr:to>
      <xdr:col>1</xdr:col>
      <xdr:colOff>70125</xdr:colOff>
      <xdr:row>3</xdr:row>
      <xdr:rowOff>409698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DCB97A-5F72-40D6-864C-71189C2C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8140"/>
          <a:ext cx="2150385" cy="600198"/>
        </a:xfrm>
        <a:prstGeom prst="rect">
          <a:avLst/>
        </a:prstGeom>
      </xdr:spPr>
    </xdr:pic>
    <xdr:clientData/>
  </xdr:twoCellAnchor>
  <xdr:twoCellAnchor>
    <xdr:from>
      <xdr:col>2</xdr:col>
      <xdr:colOff>137160</xdr:colOff>
      <xdr:row>2</xdr:row>
      <xdr:rowOff>175260</xdr:rowOff>
    </xdr:from>
    <xdr:to>
      <xdr:col>2</xdr:col>
      <xdr:colOff>1173480</xdr:colOff>
      <xdr:row>3</xdr:row>
      <xdr:rowOff>403860</xdr:rowOff>
    </xdr:to>
    <xdr:sp macro="[0]!ConfigurarImpresion" textlink="">
      <xdr:nvSpPr>
        <xdr:cNvPr id="3" name="CuadroTexto 2">
          <a:extLst>
            <a:ext uri="{FF2B5EF4-FFF2-40B4-BE49-F238E27FC236}">
              <a16:creationId xmlns:a16="http://schemas.microsoft.com/office/drawing/2014/main" id="{E3FDFFAF-5B29-95ED-5DCB-74E3C6C0B89D}"/>
            </a:ext>
          </a:extLst>
        </xdr:cNvPr>
        <xdr:cNvSpPr txBox="1"/>
      </xdr:nvSpPr>
      <xdr:spPr>
        <a:xfrm>
          <a:off x="2674620" y="541020"/>
          <a:ext cx="1036320" cy="411480"/>
        </a:xfrm>
        <a:prstGeom prst="rect">
          <a:avLst/>
        </a:prstGeom>
        <a:solidFill>
          <a:srgbClr val="B8CCE4"/>
        </a:solidFill>
        <a:ln>
          <a:solidFill>
            <a:schemeClr val="tx2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Imprimir</a:t>
          </a:r>
          <a:endParaRPr lang="es-MX" sz="1000">
            <a:solidFill>
              <a:schemeClr val="tx2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411120</xdr:colOff>
      <xdr:row>3</xdr:row>
      <xdr:rowOff>59178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26571E0-C7E5-4858-8C47-2FA3E1D43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578760</xdr:colOff>
      <xdr:row>3</xdr:row>
      <xdr:rowOff>13458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F28E532-E5EB-4710-9737-2F044F9FD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18000" cy="6078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0</xdr:row>
      <xdr:rowOff>76200</xdr:rowOff>
    </xdr:from>
    <xdr:to>
      <xdr:col>2</xdr:col>
      <xdr:colOff>708300</xdr:colOff>
      <xdr:row>3</xdr:row>
      <xdr:rowOff>135378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44E0AB7-412A-4B45-BA1D-9080BB383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76200"/>
          <a:ext cx="2118000" cy="60781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x" refreshedDate="45964.414190162039" createdVersion="8" refreshedVersion="8" minRefreshableVersion="3" recordCount="176" xr:uid="{90764059-05FF-4583-802D-B9ECD2715E22}">
  <cacheSource type="worksheet">
    <worksheetSource ref="B1:D1048576" sheet="Ahorros_concentrado"/>
  </cacheSource>
  <cacheFields count="3">
    <cacheField name="ID" numFmtId="0">
      <sharedItems containsBlank="1" count="172">
        <s v="000001"/>
        <s v="000002"/>
        <s v="000003"/>
        <s v="000005"/>
        <s v="000006"/>
        <s v="000007"/>
        <s v="000008"/>
        <s v="000009"/>
        <s v="000010"/>
        <s v="000011"/>
        <s v="000012"/>
        <s v="000013"/>
        <s v="000015"/>
        <s v="000016"/>
        <s v="000017"/>
        <s v="000018 "/>
        <s v="000020"/>
        <s v="000022"/>
        <s v="000025"/>
        <s v="000026"/>
        <s v="000028"/>
        <s v="000029"/>
        <s v="000030"/>
        <s v="000031"/>
        <s v="000032"/>
        <s v="000033"/>
        <s v="000034"/>
        <s v="000035"/>
        <s v="000036 "/>
        <s v="000037"/>
        <s v="000039"/>
        <s v="000040"/>
        <s v="000041"/>
        <s v="000042"/>
        <s v="000043"/>
        <s v="000044"/>
        <s v="000045"/>
        <s v="000046"/>
        <s v="000047"/>
        <s v="000048"/>
        <s v="000049"/>
        <s v="000050"/>
        <s v="000051"/>
        <s v="000052"/>
        <s v="000053"/>
        <s v="000054"/>
        <s v="000055"/>
        <s v="000056"/>
        <s v="000057"/>
        <s v="000058"/>
        <s v="000059"/>
        <s v="000060 "/>
        <s v="000061"/>
        <s v="000062"/>
        <s v="000063"/>
        <s v="000064"/>
        <s v="000065"/>
        <s v="000066"/>
        <s v="000067"/>
        <s v="000069"/>
        <s v="000070"/>
        <s v="000071"/>
        <s v="000072"/>
        <s v="000073"/>
        <s v="000074"/>
        <s v="000075"/>
        <s v="000076"/>
        <s v="000077"/>
        <s v="000078"/>
        <s v="000079"/>
        <s v="000080"/>
        <s v="000081"/>
        <s v="000082"/>
        <s v="000083"/>
        <s v="000084"/>
        <s v="000085"/>
        <s v="000086"/>
        <s v="000087"/>
        <s v="000088"/>
        <s v="000089"/>
        <s v="000090"/>
        <s v="000091"/>
        <s v="000093"/>
        <s v="000094"/>
        <s v="000095"/>
        <s v="000096"/>
        <s v="000097"/>
        <s v="000098"/>
        <s v="000101"/>
        <s v="000102"/>
        <s v="000103"/>
        <s v="000104"/>
        <s v="000105"/>
        <s v="000106"/>
        <s v="000107"/>
        <s v="000108"/>
        <s v="000109"/>
        <s v="000110"/>
        <s v="000111"/>
        <s v="000112"/>
        <s v="000113"/>
        <s v="000114"/>
        <s v="000115"/>
        <s v="000116"/>
        <s v="000117"/>
        <s v="000118"/>
        <s v="000119"/>
        <s v="000120"/>
        <s v="000121"/>
        <s v="000122"/>
        <s v="000123"/>
        <s v="000124"/>
        <s v="000125"/>
        <s v="000126"/>
        <s v="000127"/>
        <s v="000128"/>
        <s v="000129"/>
        <s v="000130"/>
        <s v="000131"/>
        <s v="000132"/>
        <s v="000133"/>
        <s v="000135"/>
        <s v="000136"/>
        <s v="000137"/>
        <s v="000138"/>
        <s v="000139"/>
        <s v="000140"/>
        <s v="000141"/>
        <s v="000142"/>
        <s v="000143"/>
        <s v="000145"/>
        <s v="000146"/>
        <s v="000147"/>
        <s v="000148"/>
        <s v="000149"/>
        <s v="000150"/>
        <s v="000151"/>
        <s v="000152"/>
        <s v="000153"/>
        <s v="000154"/>
        <s v="000156"/>
        <s v="000157"/>
        <s v="000158"/>
        <s v="000159"/>
        <s v="000160"/>
        <s v="000161"/>
        <s v="000162"/>
        <s v="000163"/>
        <s v="000164"/>
        <s v="000165"/>
        <s v="000166"/>
        <s v="000167"/>
        <s v="000168"/>
        <s v="000169"/>
        <s v="000170"/>
        <s v="000171"/>
        <s v="000172"/>
        <s v="000174"/>
        <s v="000175"/>
        <s v="000179"/>
        <s v="000180"/>
        <s v="000181"/>
        <s v="000182"/>
        <s v="000183"/>
        <s v="000184"/>
        <s v="000185"/>
        <s v="000186"/>
        <s v="000187"/>
        <m/>
        <s v="000080 " u="1"/>
        <s v="000004" u="1"/>
        <s v="000144" u="1"/>
      </sharedItems>
    </cacheField>
    <cacheField name="GRUPO" numFmtId="0">
      <sharedItems containsBlank="1" count="162">
        <s v="BRILLANTES"/>
        <s v="MOTIVADORAS"/>
        <s v="ACEITUNAS DE COCKTAIL"/>
        <s v="TUTTY FRATELLY"/>
        <s v="LINDAS"/>
        <s v="NUEVO COMIENZO"/>
        <s v="LIDERES UNIDOS"/>
        <s v="ESPERANZA"/>
        <s v="FRESITAS"/>
        <s v="ECHEGUREN"/>
        <s v="ESTRELLA"/>
        <s v="SAN PEDRO"/>
        <s v="GLADIOLAS"/>
        <s v="MARGARITAS"/>
        <s v="XOLOC"/>
        <s v="CRISTAL"/>
        <s v="CERECITAS"/>
        <s v="HACHI"/>
        <s v="EXITOSAS DE SAN JUAN"/>
        <s v="ANDROMEDA"/>
        <s v="CAMPEONAS"/>
        <s v="MOYSEN"/>
        <s v="FLORECITAS"/>
        <s v="NUEVA LUZ"/>
        <s v="LOS EFECTIVOS"/>
        <s v="CUPIDO"/>
        <s v="SONRISA"/>
        <s v="2 DE ABRIL"/>
        <s v="GARDENIAS"/>
        <s v="FANTASTICAS"/>
        <s v="COMETAS"/>
        <s v="CACHU"/>
        <s v="PUERTA DE ORO"/>
        <s v="MARIPOSAS"/>
        <s v="ADELITA"/>
        <s v="ALAMOS DEL MARISCAL"/>
        <s v="LEONIDAS 1"/>
        <s v="LOS PEQUES"/>
        <s v="KIRA"/>
        <s v="UNA LUZ EN MI CAMINO"/>
        <s v="LOS SOLTERONES"/>
        <s v="BUGAMBILIAS"/>
        <s v="MIS ANGELITOS"/>
        <s v="LAS TORRES"/>
        <s v="PATRICIA"/>
        <s v="VALIENTES"/>
        <s v="MAGIA"/>
        <s v="PASTELITOS Y PANQUESITOS"/>
        <s v="TRIUNFADORAS"/>
        <s v="HERMOSAS FLORES"/>
        <s v="GABANNA"/>
        <s v="DIAMANTES"/>
        <s v="GRANDES SUEÑOS"/>
        <s v="TREBOL"/>
        <s v="FATY"/>
        <s v="TREBOLES"/>
        <s v="APOYATE EN MI"/>
        <s v="ALCATRAZ"/>
        <s v="LOS DEL VALLE"/>
        <s v="LAS DIVINAS"/>
        <s v="PINOS"/>
        <s v="MUJERES IMPARABLES"/>
        <s v="LOS GALINDO"/>
        <s v="LENTEJUELAS"/>
        <s v="GALERIAS"/>
        <s v="SERPENTINA"/>
        <s v="VORTICE"/>
        <s v="LAS ESTRELLAS"/>
        <s v="CANELA"/>
        <s v="REYNAS"/>
        <s v="CATALEYA"/>
        <s v="JACALONES"/>
        <s v="INDEPENDENCIA"/>
        <s v="SWEET CANDY"/>
        <s v="METATRON"/>
        <s v="VECINOS"/>
        <s v="NUEVO AMANECER"/>
        <s v="LUNA"/>
        <s v="LOS MISMOS DE SIEMPRE"/>
        <s v="CHICAS TEZOMPA"/>
        <s v="PALOMAS MENSAJERAS"/>
        <s v="BIENVENIDOS"/>
        <s v="JARDINES"/>
        <s v="INVICTUS"/>
        <s v="LAS BELLAS"/>
        <s v="FORTALEZA"/>
        <s v="MARAVILLA"/>
        <s v="PEONIAS"/>
        <s v="DUBAI"/>
        <s v="PRECIOSAS"/>
        <s v="CASCADA DE LUZ"/>
        <s v="FLOR DE LIZ"/>
        <s v="SAN PABLO"/>
        <s v="CORAZON PARTIDO"/>
        <s v="LAS MOSQUETERAS"/>
        <s v="MORITA"/>
        <s v="SANTA MARIA"/>
        <s v="HALCONES"/>
        <s v="DIAMANTINA"/>
        <s v="PIRAMIDE"/>
        <s v="LA CRUZ"/>
        <s v="SANDIA"/>
        <s v="GUERREROS DJ"/>
        <s v="COLIBRI"/>
        <s v="ALIADAS"/>
        <s v="LAS COMADRES"/>
        <s v="HOROSCOPOS"/>
        <s v="REBELDES"/>
        <s v="ESTRELLAS"/>
        <s v="LAS FLORECITAS"/>
        <s v="CENTENARIOS"/>
        <s v="LOS TRIUNFADORES"/>
        <s v="LUPITA"/>
        <s v="REENCUENTRO"/>
        <s v="CALENDARIAS 2"/>
        <s v="ARRAYANES"/>
        <s v="ARANDANOS"/>
        <s v="LOS CAPIBARAS"/>
        <s v="XIMENA"/>
        <s v="LAS VENENOSAS"/>
        <s v="TRIBU"/>
        <s v="IZORA"/>
        <s v="GRUPO GIRASOL"/>
        <s v="RENACER"/>
        <s v="COACALCO"/>
        <s v="TEPIC"/>
        <s v="CHERRY"/>
        <s v="EMPRENDEDORAS"/>
        <s v="LA LOMA"/>
        <s v="ESTRELLITAS"/>
        <s v="PLATINO"/>
        <s v="ANGELES"/>
        <s v="TULIPANES"/>
        <s v="INDESTRUCTIBLES"/>
        <s v="PANTERAS"/>
        <s v="YUGOSLAVIA"/>
        <s v="ORTIZ"/>
        <s v="AZUCENAS"/>
        <s v="JOYAS DEL TRIUNFO"/>
        <s v="MARAGARITAS"/>
        <s v="GOYITA"/>
        <s v="AURORA"/>
        <s v="MARAVILLAS"/>
        <s v="MUJERES TRABAJADORAS"/>
        <s v="HORTENSIAS"/>
        <s v="LA GUADALUPANA"/>
        <s v="FORTALEZA TECAMAC"/>
        <s v="02 ORO"/>
        <s v="TROYA"/>
        <s v="ARBOLEDAS"/>
        <s v="LIBELULAS"/>
        <s v="TOVARCITO"/>
        <s v="GARITA"/>
        <s v="ZULA"/>
        <s v="GRUPO ANGEL"/>
        <s v="TULIPANES ECATEPEC"/>
        <s v="LAS SOÑADORAS"/>
        <s v="JOB"/>
        <s v="VENUS"/>
        <s v="LA ANTORCHA"/>
        <m/>
        <s v="ORQUIDEAS" u="1"/>
      </sharedItems>
    </cacheField>
    <cacheField name="AHORRO ACUMULADO" numFmtId="0">
      <sharedItems containsString="0" containsBlank="1" containsNumber="1" minValue="0" maxValue="53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x" refreshedDate="45964.414190393516" createdVersion="8" refreshedVersion="8" minRefreshableVersion="3" recordCount="195" xr:uid="{0F8A9997-D140-4D60-AE03-D9A395208080}">
  <cacheSource type="worksheet">
    <worksheetSource ref="A6:AH201" sheet="CARTERA"/>
  </cacheSource>
  <cacheFields count="34">
    <cacheField name="Nombre del gerente" numFmtId="0">
      <sharedItems containsBlank="1" count="8">
        <s v="IRVIN URIEL MORA VELAZCO"/>
        <s v="JUAN EDMUNDO LUNA AGUILLON"/>
        <s v="ADRIANA ALEJALDRE GUZMAN"/>
        <s v="JUDITH PATRICIA SERRANO HERRER"/>
        <m/>
        <e v="#N/A" u="1"/>
        <e v="#REF!" u="1"/>
        <s v="JUAN EDMINDO LUNA AGUILLON" u="1"/>
      </sharedItems>
    </cacheField>
    <cacheField name="Nombre promotor" numFmtId="0">
      <sharedItems containsBlank="1" containsMixedTypes="1" containsNumber="1" containsInteger="1" minValue="0" maxValue="0" count="17">
        <s v="Lopez Garcia Nahum Antonio"/>
        <s v="Sanchez Posada Jose Olimpo"/>
        <s v="Martinez Bañuelos Nallely Sarahi"/>
        <s v="Lopez Cabrera Edith Alejandra"/>
        <s v="Flores Mendez Veronica"/>
        <s v="Olivares Morales Josue Edgar"/>
        <s v="Cabrera Flores Viridiana"/>
        <s v="ORTEGA FORTANEL GABRIELA"/>
        <s v="Becerril Aguirre Jonathan"/>
        <s v="Contreras Martinez Jose Luis"/>
        <s v="Juarez Palma Ma Ines"/>
        <s v="Roldan Cruz Hector Enrique"/>
        <s v="Betancourt Rojas Jacqueline"/>
        <s v="Cuautle Pacheco Jheimy"/>
        <s v="Garcia Herrera Jonathan"/>
        <m/>
        <n v="0" u="1"/>
      </sharedItems>
    </cacheField>
    <cacheField name="ID de grupo" numFmtId="2">
      <sharedItems containsBlank="1"/>
    </cacheField>
    <cacheField name="Nombre de grupo" numFmtId="0">
      <sharedItems containsBlank="1"/>
    </cacheField>
    <cacheField name="Ciclo" numFmtId="0">
      <sharedItems containsBlank="1"/>
    </cacheField>
    <cacheField name="Monto del crédito" numFmtId="0">
      <sharedItems containsString="0" containsBlank="1" containsNumber="1" containsInteger="1" minValue="29000" maxValue="625000"/>
    </cacheField>
    <cacheField name="Tipo de grupo" numFmtId="0">
      <sharedItems containsBlank="1"/>
    </cacheField>
    <cacheField name="Fecha de inicio del crédito" numFmtId="0">
      <sharedItems containsNonDate="0" containsDate="1" containsString="0" containsBlank="1" minDate="2025-08-06T00:00:00" maxDate="2025-11-01T00:00:00"/>
    </cacheField>
    <cacheField name="Plazo" numFmtId="0">
      <sharedItems containsString="0" containsBlank="1" containsNumber="1" containsInteger="1" minValue="16" maxValue="16"/>
    </cacheField>
    <cacheField name="Día de reunión" numFmtId="0">
      <sharedItems containsBlank="1"/>
    </cacheField>
    <cacheField name="Hora de reunión" numFmtId="0">
      <sharedItems containsDate="1" containsBlank="1" containsMixedTypes="1" minDate="1899-12-30T00:00:00" maxDate="1899-12-31T00:00:00"/>
    </cacheField>
    <cacheField name="Periodicidad" numFmtId="0">
      <sharedItems containsBlank="1"/>
    </cacheField>
    <cacheField name="Pago Semanal" numFmtId="0">
      <sharedItems containsString="0" containsBlank="1" containsNumber="1" minValue="2204.02" maxValue="47500.42"/>
    </cacheField>
    <cacheField name="Próximo pago" numFmtId="0">
      <sharedItems containsBlank="1"/>
    </cacheField>
    <cacheField name="Cartera vigente sistema" numFmtId="0">
      <sharedItems containsString="0" containsBlank="1" containsNumber="1" minValue="0" maxValue="620165.44000000006"/>
    </cacheField>
    <cacheField name="Carera vigente inicial" numFmtId="0">
      <sharedItems containsString="0" containsBlank="1" containsNumber="1" minValue="35264.32" maxValue="760006.72"/>
    </cacheField>
    <cacheField name="Cartera vigente calculada" numFmtId="0">
      <sharedItems containsString="0" containsBlank="1" containsNumber="1" minValue="21280.210000000003" maxValue="620165.44000000006"/>
    </cacheField>
    <cacheField name="Cartera Insoluta" numFmtId="0">
      <sharedItems containsString="0" containsBlank="1" containsNumber="1" minValue="0" maxValue="510000"/>
    </cacheField>
    <cacheField name="Diferencia Validación vigente" numFmtId="0">
      <sharedItems containsString="0" containsBlank="1" containsNumber="1" minValue="-44688.399999999994" maxValue="0"/>
    </cacheField>
    <cacheField name="Ahorro Consumido" numFmtId="0">
      <sharedItems containsString="0" containsBlank="1" containsNumber="1" minValue="0" maxValue="15750"/>
    </cacheField>
    <cacheField name="Cartera Vencida Estadistica" numFmtId="0">
      <sharedItems containsString="0" containsBlank="1" containsNumber="1" minValue="0" maxValue="8142.6500000000015"/>
    </cacheField>
    <cacheField name="Cartera vencida Total" numFmtId="0">
      <sharedItems containsString="0" containsBlank="1" containsNumber="1" minValue="0" maxValue="23372.65"/>
    </cacheField>
    <cacheField name="% Mora" numFmtId="0">
      <sharedItems containsString="0" containsBlank="1" containsNumber="1" minValue="0" maxValue="0.31163196037888974"/>
    </cacheField>
    <cacheField name="Saldo en riesgo" numFmtId="0">
      <sharedItems containsString="0" containsBlank="1" containsNumber="1" minValue="0" maxValue="252000"/>
    </cacheField>
    <cacheField name="Saldo _x000a_ahorro _x000a_acumulado" numFmtId="0">
      <sharedItems containsNonDate="0" containsString="0" containsBlank="1"/>
    </cacheField>
    <cacheField name="Monto promedio del grupo" numFmtId="0">
      <sharedItems containsString="0" containsBlank="1" containsNumber="1" minValue="5800" maxValue="85000"/>
    </cacheField>
    <cacheField name="Número de Integrantes" numFmtId="0">
      <sharedItems containsString="0" containsBlank="1" containsNumber="1" containsInteger="1" minValue="5" maxValue="12"/>
    </cacheField>
    <cacheField name="Semana" numFmtId="0">
      <sharedItems containsString="0" containsBlank="1" containsNumber="1" containsInteger="1" minValue="0" maxValue="12"/>
    </cacheField>
    <cacheField name="Pagos cubiertos" numFmtId="0">
      <sharedItems containsString="0" containsBlank="1" containsNumber="1" minValue="0" maxValue="12"/>
    </cacheField>
    <cacheField name="Pagos por vencer" numFmtId="0">
      <sharedItems containsString="0" containsBlank="1" containsNumber="1" containsInteger="1" minValue="0" maxValue="16"/>
    </cacheField>
    <cacheField name="Total de pagos" numFmtId="0">
      <sharedItems containsString="0" containsBlank="1" containsNumber="1" containsInteger="1" minValue="16" maxValue="16"/>
    </cacheField>
    <cacheField name="Días de mora" numFmtId="0">
      <sharedItems containsString="0" containsBlank="1" containsNumber="1" containsInteger="1" minValue="0" maxValue="17"/>
    </cacheField>
    <cacheField name="Ahorro Acumulado" numFmtId="0">
      <sharedItems containsString="0" containsBlank="1" containsNumber="1" minValue="0" maxValue="53900"/>
    </cacheField>
    <cacheField name="% de Ahorro" numFmtId="0">
      <sharedItems containsString="0" containsBlank="1" containsNumber="1" minValue="0" maxValue="0.78800443797081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x v="0"/>
    <n v="8608.9199999999983"/>
  </r>
  <r>
    <x v="1"/>
    <x v="1"/>
    <n v="17300.44000000001"/>
  </r>
  <r>
    <x v="2"/>
    <x v="2"/>
    <n v="5768.7999999999993"/>
  </r>
  <r>
    <x v="3"/>
    <x v="3"/>
    <n v="12959.8"/>
  </r>
  <r>
    <x v="4"/>
    <x v="4"/>
    <n v="7897.7599999999984"/>
  </r>
  <r>
    <x v="5"/>
    <x v="5"/>
    <n v="11655.8"/>
  </r>
  <r>
    <x v="6"/>
    <x v="6"/>
    <n v="8069.84"/>
  </r>
  <r>
    <x v="7"/>
    <x v="7"/>
    <n v="1374.8999999999996"/>
  </r>
  <r>
    <x v="8"/>
    <x v="8"/>
    <n v="5092.7699999999986"/>
  </r>
  <r>
    <x v="9"/>
    <x v="9"/>
    <n v="2668.5600000000004"/>
  </r>
  <r>
    <x v="10"/>
    <x v="10"/>
    <n v="7511.82"/>
  </r>
  <r>
    <x v="11"/>
    <x v="11"/>
    <n v="9491.7799999999988"/>
  </r>
  <r>
    <x v="12"/>
    <x v="12"/>
    <n v="2724.96"/>
  </r>
  <r>
    <x v="13"/>
    <x v="13"/>
    <n v="2611.9300000000003"/>
  </r>
  <r>
    <x v="14"/>
    <x v="14"/>
    <n v="3099.95"/>
  </r>
  <r>
    <x v="15"/>
    <x v="15"/>
    <n v="4761"/>
  </r>
  <r>
    <x v="16"/>
    <x v="16"/>
    <n v="6938.799999999992"/>
  </r>
  <r>
    <x v="17"/>
    <x v="17"/>
    <n v="2537.92"/>
  </r>
  <r>
    <x v="18"/>
    <x v="18"/>
    <n v="3239.699999999998"/>
  </r>
  <r>
    <x v="19"/>
    <x v="19"/>
    <n v="3694"/>
  </r>
  <r>
    <x v="20"/>
    <x v="20"/>
    <n v="2964"/>
  </r>
  <r>
    <x v="21"/>
    <x v="21"/>
    <n v="6786"/>
  </r>
  <r>
    <x v="22"/>
    <x v="22"/>
    <n v="4580.1899999999987"/>
  </r>
  <r>
    <x v="23"/>
    <x v="23"/>
    <n v="3488"/>
  </r>
  <r>
    <x v="24"/>
    <x v="24"/>
    <n v="12452"/>
  </r>
  <r>
    <x v="25"/>
    <x v="25"/>
    <n v="3219"/>
  </r>
  <r>
    <x v="26"/>
    <x v="26"/>
    <n v="6473"/>
  </r>
  <r>
    <x v="27"/>
    <x v="27"/>
    <n v="5337"/>
  </r>
  <r>
    <x v="28"/>
    <x v="28"/>
    <n v="5287.1199999999953"/>
  </r>
  <r>
    <x v="29"/>
    <x v="29"/>
    <n v="2042.6400000000003"/>
  </r>
  <r>
    <x v="30"/>
    <x v="30"/>
    <n v="4221"/>
  </r>
  <r>
    <x v="31"/>
    <x v="31"/>
    <n v="4160"/>
  </r>
  <r>
    <x v="32"/>
    <x v="32"/>
    <n v="42327.220000000016"/>
  </r>
  <r>
    <x v="33"/>
    <x v="33"/>
    <n v="2692"/>
  </r>
  <r>
    <x v="34"/>
    <x v="34"/>
    <n v="2654"/>
  </r>
  <r>
    <x v="35"/>
    <x v="35"/>
    <n v="3430"/>
  </r>
  <r>
    <x v="36"/>
    <x v="36"/>
    <n v="4907"/>
  </r>
  <r>
    <x v="37"/>
    <x v="37"/>
    <n v="9576"/>
  </r>
  <r>
    <x v="38"/>
    <x v="38"/>
    <n v="2949"/>
  </r>
  <r>
    <x v="39"/>
    <x v="39"/>
    <n v="1230"/>
  </r>
  <r>
    <x v="40"/>
    <x v="40"/>
    <n v="53900"/>
  </r>
  <r>
    <x v="41"/>
    <x v="41"/>
    <n v="3031.5999999999985"/>
  </r>
  <r>
    <x v="42"/>
    <x v="42"/>
    <n v="1742"/>
  </r>
  <r>
    <x v="43"/>
    <x v="43"/>
    <n v="7765.5499999999984"/>
  </r>
  <r>
    <x v="44"/>
    <x v="44"/>
    <n v="6432"/>
  </r>
  <r>
    <x v="45"/>
    <x v="45"/>
    <n v="3989.5499999999984"/>
  </r>
  <r>
    <x v="46"/>
    <x v="46"/>
    <n v="4588"/>
  </r>
  <r>
    <x v="47"/>
    <x v="47"/>
    <n v="2629.6499999999987"/>
  </r>
  <r>
    <x v="48"/>
    <x v="48"/>
    <n v="7029"/>
  </r>
  <r>
    <x v="49"/>
    <x v="49"/>
    <n v="3343.4400000000023"/>
  </r>
  <r>
    <x v="50"/>
    <x v="50"/>
    <n v="4788.4400000000005"/>
  </r>
  <r>
    <x v="51"/>
    <x v="51"/>
    <n v="4383"/>
  </r>
  <r>
    <x v="52"/>
    <x v="52"/>
    <n v="3308.98"/>
  </r>
  <r>
    <x v="53"/>
    <x v="53"/>
    <n v="2339"/>
  </r>
  <r>
    <x v="54"/>
    <x v="54"/>
    <n v="3222"/>
  </r>
  <r>
    <x v="55"/>
    <x v="55"/>
    <n v="2963.9300000000003"/>
  </r>
  <r>
    <x v="56"/>
    <x v="56"/>
    <n v="2817"/>
  </r>
  <r>
    <x v="57"/>
    <x v="57"/>
    <n v="4515"/>
  </r>
  <r>
    <x v="58"/>
    <x v="58"/>
    <n v="2235"/>
  </r>
  <r>
    <x v="59"/>
    <x v="59"/>
    <n v="2899.5800000000017"/>
  </r>
  <r>
    <x v="60"/>
    <x v="60"/>
    <n v="3392"/>
  </r>
  <r>
    <x v="61"/>
    <x v="61"/>
    <n v="2597"/>
  </r>
  <r>
    <x v="62"/>
    <x v="62"/>
    <n v="2350"/>
  </r>
  <r>
    <x v="63"/>
    <x v="63"/>
    <n v="540"/>
  </r>
  <r>
    <x v="64"/>
    <x v="64"/>
    <n v="4200"/>
  </r>
  <r>
    <x v="65"/>
    <x v="65"/>
    <n v="3941"/>
  </r>
  <r>
    <x v="66"/>
    <x v="66"/>
    <n v="2354"/>
  </r>
  <r>
    <x v="67"/>
    <x v="67"/>
    <n v="7586"/>
  </r>
  <r>
    <x v="68"/>
    <x v="68"/>
    <n v="2023"/>
  </r>
  <r>
    <x v="69"/>
    <x v="69"/>
    <n v="3413.7899999999954"/>
  </r>
  <r>
    <x v="70"/>
    <x v="70"/>
    <n v="3789"/>
  </r>
  <r>
    <x v="71"/>
    <x v="71"/>
    <n v="4087"/>
  </r>
  <r>
    <x v="72"/>
    <x v="51"/>
    <n v="7027"/>
  </r>
  <r>
    <x v="73"/>
    <x v="72"/>
    <n v="1383.7899999999986"/>
  </r>
  <r>
    <x v="74"/>
    <x v="73"/>
    <n v="1788"/>
  </r>
  <r>
    <x v="75"/>
    <x v="74"/>
    <n v="6379.76"/>
  </r>
  <r>
    <x v="76"/>
    <x v="75"/>
    <n v="612"/>
  </r>
  <r>
    <x v="77"/>
    <x v="76"/>
    <n v="3541.3999999999978"/>
  </r>
  <r>
    <x v="78"/>
    <x v="45"/>
    <n v="1566"/>
  </r>
  <r>
    <x v="79"/>
    <x v="77"/>
    <n v="1117"/>
  </r>
  <r>
    <x v="80"/>
    <x v="78"/>
    <n v="1516.92"/>
  </r>
  <r>
    <x v="81"/>
    <x v="79"/>
    <n v="4304"/>
  </r>
  <r>
    <x v="82"/>
    <x v="80"/>
    <n v="2996.8199999999988"/>
  </r>
  <r>
    <x v="83"/>
    <x v="81"/>
    <n v="5171.5599999999977"/>
  </r>
  <r>
    <x v="84"/>
    <x v="82"/>
    <n v="1835.7600000000002"/>
  </r>
  <r>
    <x v="85"/>
    <x v="83"/>
    <n v="3660"/>
  </r>
  <r>
    <x v="86"/>
    <x v="84"/>
    <n v="1949"/>
  </r>
  <r>
    <x v="87"/>
    <x v="85"/>
    <n v="1745"/>
  </r>
  <r>
    <x v="88"/>
    <x v="86"/>
    <n v="1817.42"/>
  </r>
  <r>
    <x v="89"/>
    <x v="87"/>
    <n v="2607.0299999999988"/>
  </r>
  <r>
    <x v="90"/>
    <x v="88"/>
    <n v="4153.9399999999987"/>
  </r>
  <r>
    <x v="91"/>
    <x v="89"/>
    <n v="1210"/>
  </r>
  <r>
    <x v="92"/>
    <x v="90"/>
    <n v="2670"/>
  </r>
  <r>
    <x v="93"/>
    <x v="91"/>
    <n v="2219.7499999999991"/>
  </r>
  <r>
    <x v="94"/>
    <x v="92"/>
    <n v="3564.5499999999993"/>
  </r>
  <r>
    <x v="95"/>
    <x v="93"/>
    <n v="2912"/>
  </r>
  <r>
    <x v="96"/>
    <x v="94"/>
    <n v="4285.1399999999994"/>
  </r>
  <r>
    <x v="97"/>
    <x v="95"/>
    <n v="2511"/>
  </r>
  <r>
    <x v="98"/>
    <x v="96"/>
    <n v="2630"/>
  </r>
  <r>
    <x v="99"/>
    <x v="97"/>
    <n v="902"/>
  </r>
  <r>
    <x v="100"/>
    <x v="98"/>
    <n v="796"/>
  </r>
  <r>
    <x v="101"/>
    <x v="99"/>
    <n v="2280.96"/>
  </r>
  <r>
    <x v="102"/>
    <x v="100"/>
    <n v="1524.8000000000002"/>
  </r>
  <r>
    <x v="103"/>
    <x v="101"/>
    <n v="3272"/>
  </r>
  <r>
    <x v="104"/>
    <x v="102"/>
    <n v="3484"/>
  </r>
  <r>
    <x v="105"/>
    <x v="103"/>
    <n v="615"/>
  </r>
  <r>
    <x v="106"/>
    <x v="104"/>
    <n v="1168"/>
  </r>
  <r>
    <x v="107"/>
    <x v="105"/>
    <n v="2560"/>
  </r>
  <r>
    <x v="108"/>
    <x v="7"/>
    <n v="1196.96"/>
  </r>
  <r>
    <x v="109"/>
    <x v="106"/>
    <n v="930.96"/>
  </r>
  <r>
    <x v="110"/>
    <x v="107"/>
    <n v="1216"/>
  </r>
  <r>
    <x v="111"/>
    <x v="108"/>
    <n v="816"/>
  </r>
  <r>
    <x v="112"/>
    <x v="109"/>
    <n v="6535"/>
  </r>
  <r>
    <x v="113"/>
    <x v="110"/>
    <n v="614"/>
  </r>
  <r>
    <x v="114"/>
    <x v="77"/>
    <n v="1043"/>
  </r>
  <r>
    <x v="115"/>
    <x v="46"/>
    <n v="1399"/>
  </r>
  <r>
    <x v="116"/>
    <x v="111"/>
    <n v="9212"/>
  </r>
  <r>
    <x v="117"/>
    <x v="112"/>
    <n v="912"/>
  </r>
  <r>
    <x v="118"/>
    <x v="113"/>
    <n v="1055"/>
  </r>
  <r>
    <x v="119"/>
    <x v="114"/>
    <n v="4071"/>
  </r>
  <r>
    <x v="120"/>
    <x v="115"/>
    <n v="1835.7599999999984"/>
  </r>
  <r>
    <x v="121"/>
    <x v="116"/>
    <n v="1312"/>
  </r>
  <r>
    <x v="122"/>
    <x v="33"/>
    <n v="2646"/>
  </r>
  <r>
    <x v="123"/>
    <x v="117"/>
    <n v="2308"/>
  </r>
  <r>
    <x v="124"/>
    <x v="118"/>
    <n v="1256"/>
  </r>
  <r>
    <x v="125"/>
    <x v="119"/>
    <n v="900"/>
  </r>
  <r>
    <x v="126"/>
    <x v="120"/>
    <n v="1710"/>
  </r>
  <r>
    <x v="127"/>
    <x v="121"/>
    <n v="686"/>
  </r>
  <r>
    <x v="128"/>
    <x v="122"/>
    <n v="330"/>
  </r>
  <r>
    <x v="129"/>
    <x v="123"/>
    <n v="1169"/>
  </r>
  <r>
    <x v="130"/>
    <x v="124"/>
    <n v="4600"/>
  </r>
  <r>
    <x v="131"/>
    <x v="125"/>
    <n v="937"/>
  </r>
  <r>
    <x v="132"/>
    <x v="126"/>
    <n v="480"/>
  </r>
  <r>
    <x v="133"/>
    <x v="127"/>
    <n v="88.039999999999964"/>
  </r>
  <r>
    <x v="134"/>
    <x v="128"/>
    <n v="1264"/>
  </r>
  <r>
    <x v="135"/>
    <x v="129"/>
    <n v="1643.7999999999993"/>
  </r>
  <r>
    <x v="136"/>
    <x v="130"/>
    <n v="587"/>
  </r>
  <r>
    <x v="137"/>
    <x v="131"/>
    <n v="881.89999999999964"/>
  </r>
  <r>
    <x v="138"/>
    <x v="132"/>
    <n v="640"/>
  </r>
  <r>
    <x v="139"/>
    <x v="133"/>
    <n v="1000"/>
  </r>
  <r>
    <x v="140"/>
    <x v="134"/>
    <n v="660.98999999999978"/>
  </r>
  <r>
    <x v="141"/>
    <x v="135"/>
    <n v="506"/>
  </r>
  <r>
    <x v="142"/>
    <x v="132"/>
    <n v="731.92000000000007"/>
  </r>
  <r>
    <x v="143"/>
    <x v="136"/>
    <n v="456"/>
  </r>
  <r>
    <x v="144"/>
    <x v="137"/>
    <n v="1643.7999999999993"/>
  </r>
  <r>
    <x v="145"/>
    <x v="138"/>
    <n v="965"/>
  </r>
  <r>
    <x v="146"/>
    <x v="139"/>
    <n v="1168"/>
  </r>
  <r>
    <x v="147"/>
    <x v="140"/>
    <n v="872"/>
  </r>
  <r>
    <x v="148"/>
    <x v="141"/>
    <n v="939"/>
  </r>
  <r>
    <x v="149"/>
    <x v="142"/>
    <n v="189"/>
  </r>
  <r>
    <x v="150"/>
    <x v="143"/>
    <n v="478"/>
  </r>
  <r>
    <x v="151"/>
    <x v="144"/>
    <n v="464"/>
  </r>
  <r>
    <x v="152"/>
    <x v="103"/>
    <n v="282"/>
  </r>
  <r>
    <x v="153"/>
    <x v="145"/>
    <n v="470"/>
  </r>
  <r>
    <x v="154"/>
    <x v="146"/>
    <n v="842"/>
  </r>
  <r>
    <x v="155"/>
    <x v="147"/>
    <n v="1018"/>
  </r>
  <r>
    <x v="156"/>
    <x v="148"/>
    <n v="282"/>
  </r>
  <r>
    <x v="157"/>
    <x v="149"/>
    <n v="195"/>
  </r>
  <r>
    <x v="158"/>
    <x v="150"/>
    <n v="0"/>
  </r>
  <r>
    <x v="159"/>
    <x v="151"/>
    <n v="195"/>
  </r>
  <r>
    <x v="160"/>
    <x v="152"/>
    <n v="176.98000000000002"/>
  </r>
  <r>
    <x v="161"/>
    <x v="153"/>
    <n v="266"/>
  </r>
  <r>
    <x v="162"/>
    <x v="154"/>
    <n v="546"/>
  </r>
  <r>
    <x v="163"/>
    <x v="155"/>
    <n v="544.93000000000029"/>
  </r>
  <r>
    <x v="164"/>
    <x v="156"/>
    <n v="527"/>
  </r>
  <r>
    <x v="165"/>
    <x v="157"/>
    <n v="962"/>
  </r>
  <r>
    <x v="166"/>
    <x v="158"/>
    <n v="450"/>
  </r>
  <r>
    <x v="167"/>
    <x v="159"/>
    <n v="391"/>
  </r>
  <r>
    <x v="168"/>
    <x v="160"/>
    <m/>
  </r>
  <r>
    <x v="168"/>
    <x v="160"/>
    <m/>
  </r>
  <r>
    <x v="168"/>
    <x v="160"/>
    <m/>
  </r>
  <r>
    <x v="168"/>
    <x v="160"/>
    <m/>
  </r>
  <r>
    <x v="168"/>
    <x v="160"/>
    <m/>
  </r>
  <r>
    <x v="168"/>
    <x v="160"/>
    <m/>
  </r>
  <r>
    <x v="168"/>
    <x v="160"/>
    <m/>
  </r>
  <r>
    <x v="168"/>
    <x v="16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x v="0"/>
    <x v="0"/>
    <s v="000089"/>
    <s v="LUNA"/>
    <s v="01"/>
    <n v="48000"/>
    <s v="MIGRADO"/>
    <d v="2025-09-18T00:00:00"/>
    <n v="16"/>
    <s v="Jueves"/>
    <s v="09:30"/>
    <s v="Semanal"/>
    <n v="3648.03"/>
    <s v="06/11/2025"/>
    <n v="36480.51"/>
    <n v="58368.480000000003"/>
    <n v="36480.51"/>
    <n v="30000.18"/>
    <n v="0"/>
    <n v="0"/>
    <n v="0"/>
    <n v="0"/>
    <n v="0"/>
    <n v="0"/>
    <m/>
    <n v="8000"/>
    <n v="6"/>
    <n v="6"/>
    <n v="5.9999506583005067"/>
    <n v="10"/>
    <n v="16"/>
    <n v="0"/>
    <n v="1117"/>
    <n v="5.10321095678124E-2"/>
  </r>
  <r>
    <x v="1"/>
    <x v="1"/>
    <s v="000145"/>
    <s v="COACALCO"/>
    <s v="01"/>
    <n v="118000"/>
    <s v="MIGRADO"/>
    <d v="2025-10-10T00:00:00"/>
    <n v="16"/>
    <s v="Viernes"/>
    <s v="9:00"/>
    <s v="Semanal"/>
    <n v="8968.08"/>
    <s v="07/11/2025"/>
    <n v="116561.26000000001"/>
    <n v="143489.28"/>
    <n v="116585.04000000001"/>
    <n v="95875"/>
    <n v="-23.779999999998836"/>
    <n v="0"/>
    <n v="0"/>
    <n v="0"/>
    <n v="0"/>
    <n v="0"/>
    <m/>
    <n v="14750"/>
    <n v="8"/>
    <n v="3"/>
    <n v="3.0026493965263468"/>
    <n v="13"/>
    <n v="16"/>
    <n v="0"/>
    <n v="4600"/>
    <n v="0.17097676797411857"/>
  </r>
  <r>
    <x v="1"/>
    <x v="2"/>
    <s v="000069"/>
    <s v="LAS DIVINAS"/>
    <s v="01"/>
    <n v="108000"/>
    <s v="MIGRADO"/>
    <d v="2025-09-12T00:00:00"/>
    <n v="16"/>
    <s v="Viernes"/>
    <s v="14:00"/>
    <s v="Semanal"/>
    <n v="8208.07"/>
    <s v="07/11/2025"/>
    <n v="73872.66"/>
    <n v="131329.12"/>
    <n v="73872.66"/>
    <n v="60750.01"/>
    <n v="0"/>
    <n v="0"/>
    <n v="0"/>
    <n v="0"/>
    <n v="0"/>
    <n v="0"/>
    <m/>
    <n v="13500"/>
    <n v="8"/>
    <n v="7"/>
    <n v="7"/>
    <n v="9"/>
    <n v="16"/>
    <n v="0"/>
    <n v="2899.5800000000017"/>
    <n v="5.0465665410469762E-2"/>
  </r>
  <r>
    <x v="1"/>
    <x v="2"/>
    <s v="000079"/>
    <s v="REYNAS"/>
    <s v="01"/>
    <n v="91000"/>
    <s v="MIGRADO"/>
    <d v="2025-09-12T00:00:00"/>
    <n v="16"/>
    <s v="Viernes"/>
    <s v="12:30"/>
    <s v="Semanal"/>
    <n v="6916.06"/>
    <s v="07/11/2025"/>
    <n v="62244.55"/>
    <n v="110656.96000000001"/>
    <n v="62244.55"/>
    <n v="51187.5"/>
    <n v="0"/>
    <n v="0"/>
    <n v="0"/>
    <n v="0"/>
    <n v="0"/>
    <n v="0"/>
    <m/>
    <n v="18200"/>
    <n v="5"/>
    <n v="7"/>
    <n v="6.9999999999999991"/>
    <n v="9"/>
    <n v="16"/>
    <n v="0"/>
    <n v="3413.7899999999954"/>
    <n v="7.0514756337319948E-2"/>
  </r>
  <r>
    <x v="2"/>
    <x v="3"/>
    <s v="000104"/>
    <s v="PRECIOSAS"/>
    <s v="01"/>
    <n v="62000"/>
    <s v="MIGRADO"/>
    <d v="2025-09-24T00:00:00"/>
    <n v="16"/>
    <s v="Miércoles"/>
    <s v="16:00"/>
    <s v="Semanal"/>
    <n v="4712.04"/>
    <s v="05/11/2025"/>
    <n v="51802.66"/>
    <n v="75392.639999999999"/>
    <n v="51832.44"/>
    <n v="42625"/>
    <n v="-29.779999999998836"/>
    <n v="0"/>
    <n v="0"/>
    <n v="0"/>
    <n v="0"/>
    <n v="0"/>
    <m/>
    <n v="10333.333333333334"/>
    <n v="6"/>
    <n v="5"/>
    <n v="5.0063242247519124"/>
    <n v="11"/>
    <n v="16"/>
    <n v="0"/>
    <n v="1210"/>
    <n v="5.1357798320897111E-2"/>
  </r>
  <r>
    <x v="0"/>
    <x v="4"/>
    <s v="000120"/>
    <s v="LAS COMADRES"/>
    <s v="01"/>
    <n v="160000"/>
    <s v="MIGRADO"/>
    <d v="2025-09-29T00:00:00"/>
    <n v="16"/>
    <s v="Lunes"/>
    <s v="10:00"/>
    <s v="Semanal"/>
    <n v="12160.11"/>
    <s v="03/11/2025"/>
    <n v="145921.71"/>
    <n v="194561.76"/>
    <n v="145921.71"/>
    <n v="120000.44"/>
    <n v="0"/>
    <n v="0"/>
    <n v="0"/>
    <n v="0"/>
    <n v="0"/>
    <n v="0"/>
    <m/>
    <n v="32000"/>
    <n v="5"/>
    <n v="4"/>
    <n v="3.9999638161167947"/>
    <n v="12"/>
    <n v="16"/>
    <n v="0"/>
    <n v="2560"/>
    <n v="5.2631102843642037E-2"/>
  </r>
  <r>
    <x v="2"/>
    <x v="3"/>
    <s v="000119"/>
    <s v="ALIADAS"/>
    <s v="01"/>
    <n v="76000"/>
    <s v="MIGRADO"/>
    <d v="2025-09-30T00:00:00"/>
    <n v="16"/>
    <s v="Martes"/>
    <s v="11:00"/>
    <s v="Semanal"/>
    <n v="5776.05"/>
    <s v="04/11/2025"/>
    <n v="69288.759999999995"/>
    <n v="92416.8"/>
    <n v="69312.600000000006"/>
    <n v="57000"/>
    <n v="-23.840000000011059"/>
    <n v="0"/>
    <n v="0"/>
    <n v="0"/>
    <n v="0"/>
    <n v="0"/>
    <m/>
    <n v="12666.666666666666"/>
    <n v="6"/>
    <n v="4"/>
    <n v="4.0041291193808917"/>
    <n v="12"/>
    <n v="16"/>
    <n v="0"/>
    <n v="1168"/>
    <n v="5.0553579002951841E-2"/>
  </r>
  <r>
    <x v="0"/>
    <x v="4"/>
    <s v="000039"/>
    <s v="COMETAS"/>
    <s v="01"/>
    <n v="120000"/>
    <s v="MIGRADO"/>
    <d v="2025-08-27T00:00:00"/>
    <n v="16"/>
    <s v="Miércoles"/>
    <s v="10:00"/>
    <s v="Semanal"/>
    <n v="9120.08"/>
    <s v="05/11/2025"/>
    <n v="63841.279999999999"/>
    <n v="145921.28"/>
    <n v="63841.279999999999"/>
    <n v="52500.72"/>
    <n v="0"/>
    <n v="0"/>
    <n v="0"/>
    <n v="0"/>
    <n v="0"/>
    <n v="0"/>
    <m/>
    <n v="15000"/>
    <n v="8"/>
    <n v="9"/>
    <n v="8.9999210533240941"/>
    <n v="7"/>
    <n v="16"/>
    <n v="0"/>
    <n v="4221"/>
    <n v="5.1424987500109647E-2"/>
  </r>
  <r>
    <x v="0"/>
    <x v="0"/>
    <s v="000053"/>
    <s v="PATRICIA"/>
    <s v="01"/>
    <n v="171000"/>
    <s v="MIGRADO"/>
    <d v="2025-08-29T00:00:00"/>
    <n v="16"/>
    <s v="Viernes"/>
    <s v="10:00"/>
    <s v="Semanal"/>
    <n v="12996.11"/>
    <s v="07/11/2025"/>
    <n v="90973.82"/>
    <n v="207937.76"/>
    <n v="90973.82"/>
    <n v="74813.53"/>
    <n v="0"/>
    <n v="0"/>
    <n v="0"/>
    <n v="0"/>
    <n v="0"/>
    <n v="0"/>
    <m/>
    <n v="34200"/>
    <n v="5"/>
    <n v="9"/>
    <n v="8.9999238233594507"/>
    <n v="7"/>
    <n v="16"/>
    <n v="0"/>
    <n v="6432"/>
    <n v="5.4990813917908249E-2"/>
  </r>
  <r>
    <x v="1"/>
    <x v="2"/>
    <s v="000195"/>
    <s v="COLIBRI"/>
    <s v="01"/>
    <n v="100000"/>
    <s v="MIGRADO"/>
    <d v="2025-10-29T00:00:00"/>
    <n v="16"/>
    <s v="Miércoles"/>
    <s v="13:30"/>
    <s v="Semanal"/>
    <n v="7600.07"/>
    <s v="05/11/2025"/>
    <n v="121601.07"/>
    <n v="121601.12"/>
    <n v="121601.12"/>
    <n v="100000"/>
    <n v="-4.9999999988358468E-2"/>
    <n v="0"/>
    <n v="0"/>
    <n v="0"/>
    <n v="0"/>
    <n v="0"/>
    <m/>
    <n v="11111.111111111111"/>
    <n v="9"/>
    <n v="0"/>
    <n v="0"/>
    <n v="16"/>
    <n v="16"/>
    <n v="0"/>
    <n v="0"/>
    <n v="0"/>
  </r>
  <r>
    <x v="0"/>
    <x v="5"/>
    <s v="000141"/>
    <s v="IZORA"/>
    <s v="01"/>
    <n v="60000"/>
    <s v="MIGRADO"/>
    <d v="2025-10-09T00:00:00"/>
    <n v="16"/>
    <s v="Jueves"/>
    <s v="13:00"/>
    <s v="Semanal"/>
    <n v="4560.04"/>
    <s v="06/11/2025"/>
    <n v="59279.64"/>
    <n v="72960.639999999999"/>
    <n v="59280.520000000004"/>
    <n v="48750"/>
    <n v="-0.88000000000465661"/>
    <n v="0"/>
    <n v="0"/>
    <n v="0"/>
    <n v="0"/>
    <n v="0"/>
    <m/>
    <n v="12000"/>
    <n v="5"/>
    <n v="3"/>
    <n v="3.0001929807633267"/>
    <n v="13"/>
    <n v="16"/>
    <n v="0"/>
    <n v="686"/>
    <n v="5.0145758955330799E-2"/>
  </r>
  <r>
    <x v="0"/>
    <x v="4"/>
    <s v="000143"/>
    <s v="RENACER"/>
    <s v="01"/>
    <n v="70000"/>
    <s v="MIGRADO"/>
    <d v="2025-10-09T00:00:00"/>
    <n v="16"/>
    <s v="Jueves"/>
    <s v="12:00"/>
    <s v="Semanal"/>
    <n v="5320.05"/>
    <s v="06/11/2025"/>
    <n v="69159.75"/>
    <n v="85120.8"/>
    <n v="69160.649999999994"/>
    <n v="56875"/>
    <n v="-0.89999999999417923"/>
    <n v="0"/>
    <n v="0"/>
    <n v="0"/>
    <n v="0"/>
    <n v="0"/>
    <m/>
    <n v="14000"/>
    <n v="5"/>
    <n v="3"/>
    <n v="3.0001597729344649"/>
    <n v="13"/>
    <n v="16"/>
    <n v="0"/>
    <n v="1169"/>
    <n v="7.324492564292942E-2"/>
  </r>
  <r>
    <x v="1"/>
    <x v="2"/>
    <s v="000002"/>
    <s v="MOTIVADORAS"/>
    <s v="01"/>
    <n v="188000"/>
    <s v="MIGRADO"/>
    <d v="2025-08-06T00:00:00"/>
    <n v="16"/>
    <s v="Miércoles"/>
    <s v="16:00"/>
    <s v="Semanal"/>
    <n v="14288.130000000001"/>
    <s v="05/11/2025"/>
    <n v="57152.450000000004"/>
    <n v="228610.08000000002"/>
    <n v="57152.520000000019"/>
    <n v="47000"/>
    <n v="-7.0000000014260877E-2"/>
    <n v="0"/>
    <n v="0"/>
    <n v="0"/>
    <n v="0"/>
    <n v="0"/>
    <m/>
    <n v="26857.142857142859"/>
    <n v="7"/>
    <n v="12"/>
    <n v="11.999999999999998"/>
    <n v="4"/>
    <n v="16"/>
    <n v="0"/>
    <n v="17300.44000000001"/>
    <n v="0.10090217077625512"/>
  </r>
  <r>
    <x v="3"/>
    <x v="6"/>
    <s v="000005"/>
    <s v="TUTTY FRATELLI"/>
    <s v="01"/>
    <n v="154000"/>
    <s v="MIGRADO"/>
    <d v="2025-08-11T00:00:00"/>
    <n v="16"/>
    <s v="Lunes"/>
    <s v="04:00"/>
    <s v="Semanal"/>
    <n v="11704.1"/>
    <s v="03/11/2025"/>
    <n v="58485.440000000002"/>
    <n v="187265.6"/>
    <n v="58520.5"/>
    <n v="48125"/>
    <n v="-35.059999999997672"/>
    <n v="0"/>
    <n v="0"/>
    <n v="0"/>
    <n v="0"/>
    <n v="0"/>
    <m/>
    <n v="25666.666666666668"/>
    <n v="6"/>
    <n v="11"/>
    <n v="11.002998949086217"/>
    <n v="5"/>
    <n v="16"/>
    <n v="0"/>
    <n v="12959.8"/>
    <n v="0.10066247181446129"/>
  </r>
  <r>
    <x v="0"/>
    <x v="5"/>
    <s v="000017"/>
    <s v="XOLOC"/>
    <s v="01"/>
    <n v="71000"/>
    <s v="MIGRADO"/>
    <d v="2025-08-18T00:00:00"/>
    <n v="16"/>
    <s v="Lunes"/>
    <s v="12:00"/>
    <s v="Semanal"/>
    <n v="5396.05"/>
    <s v="03/11/2025"/>
    <n v="32376.71"/>
    <n v="86336.8"/>
    <n v="32376.71"/>
    <n v="26625.420000000002"/>
    <n v="0"/>
    <n v="0"/>
    <n v="0"/>
    <n v="0"/>
    <n v="0"/>
    <n v="0"/>
    <m/>
    <n v="7888.8888888888887"/>
    <n v="9"/>
    <n v="10"/>
    <n v="9.9999166056652555"/>
    <n v="6"/>
    <n v="16"/>
    <n v="0"/>
    <n v="3099.95"/>
    <n v="5.7448503998295042E-2"/>
  </r>
  <r>
    <x v="3"/>
    <x v="7"/>
    <s v="000132"/>
    <s v="CALENDARIAS 2"/>
    <s v="01"/>
    <n v="134000"/>
    <s v="MIGRADO"/>
    <d v="2025-10-03T00:00:00"/>
    <n v="16"/>
    <s v="Viernes"/>
    <s v="16:00"/>
    <s v="Semanal"/>
    <n v="10184.09"/>
    <s v="07/11/2025"/>
    <n v="122208.43000000001"/>
    <n v="162945.44"/>
    <n v="122209.08"/>
    <n v="100500"/>
    <n v="-0.64999999999417923"/>
    <n v="0"/>
    <n v="0"/>
    <n v="0"/>
    <n v="0"/>
    <n v="0"/>
    <m/>
    <n v="26800"/>
    <n v="5"/>
    <n v="4"/>
    <n v="4.0000628431209861"/>
    <n v="12"/>
    <n v="16"/>
    <n v="0"/>
    <n v="4071"/>
    <n v="9.9935291223859954E-2"/>
  </r>
  <r>
    <x v="0"/>
    <x v="0"/>
    <s v="000031"/>
    <s v="NUEVA LUZ"/>
    <s v="01"/>
    <n v="77000"/>
    <s v="MIGRADO"/>
    <d v="2025-08-22T00:00:00"/>
    <n v="16"/>
    <s v="Viernes"/>
    <s v="12:00"/>
    <s v="Semanal"/>
    <n v="5852.05"/>
    <s v="07/11/2025"/>
    <n v="35132.82"/>
    <n v="93632.8"/>
    <n v="35132.82"/>
    <n v="28895.510000000002"/>
    <n v="0"/>
    <n v="20.51"/>
    <n v="0"/>
    <n v="20.51"/>
    <n v="7.0979885802327069E-4"/>
    <n v="28895.510000000002"/>
    <m/>
    <n v="15400"/>
    <n v="5"/>
    <n v="10"/>
    <n v="9.9964969540588342"/>
    <n v="6"/>
    <n v="16"/>
    <n v="0"/>
    <n v="3488"/>
    <n v="5.9603045086764464E-2"/>
  </r>
  <r>
    <x v="3"/>
    <x v="8"/>
    <s v="000111"/>
    <s v="SANTA MARIA"/>
    <s v="01"/>
    <n v="66000"/>
    <s v="MIGRADO"/>
    <d v="2025-09-25T00:00:00"/>
    <n v="16"/>
    <s v="Jueves"/>
    <s v="10:00"/>
    <s v="Semanal"/>
    <n v="5016.04"/>
    <s v="06/11/2025"/>
    <n v="55176.700000000004"/>
    <n v="80256.639999999999"/>
    <n v="55176.700000000004"/>
    <n v="45375.21"/>
    <n v="0"/>
    <n v="0"/>
    <n v="0"/>
    <n v="0"/>
    <n v="0"/>
    <n v="0"/>
    <m/>
    <n v="11000"/>
    <n v="6"/>
    <n v="5"/>
    <n v="4.9999601279096657"/>
    <n v="11"/>
    <n v="16"/>
    <n v="0"/>
    <n v="2630"/>
    <n v="0.10486359757896668"/>
  </r>
  <r>
    <x v="0"/>
    <x v="4"/>
    <s v="000026"/>
    <s v="ANDROMEDA"/>
    <s v="01"/>
    <n v="77000"/>
    <s v="MIGRADO"/>
    <d v="2025-08-21T00:00:00"/>
    <n v="16"/>
    <s v="Jueves"/>
    <s v="14:00"/>
    <s v="Semanal"/>
    <n v="5852.05"/>
    <s v="06/11/2025"/>
    <n v="35112.770000000004"/>
    <n v="93632.8"/>
    <n v="35112.770000000004"/>
    <n v="28875.48"/>
    <n v="0"/>
    <n v="0"/>
    <n v="0"/>
    <n v="0"/>
    <n v="0"/>
    <n v="0"/>
    <m/>
    <n v="15400"/>
    <n v="5"/>
    <n v="10"/>
    <n v="9.9999231038695839"/>
    <n v="6"/>
    <n v="16"/>
    <n v="0"/>
    <n v="3694"/>
    <n v="6.3123179056911685E-2"/>
  </r>
  <r>
    <x v="1"/>
    <x v="1"/>
    <s v="000095"/>
    <s v="JARDINES"/>
    <s v="01"/>
    <n v="55000"/>
    <s v="MIGRADO"/>
    <d v="2025-09-19T00:00:00"/>
    <n v="16"/>
    <s v="Viernes"/>
    <s v="11:00"/>
    <s v="Semanal"/>
    <n v="4180.04"/>
    <s v="07/11/2025"/>
    <n v="41800.35"/>
    <n v="66880.639999999999"/>
    <n v="41800.400000000001"/>
    <n v="34375.01"/>
    <n v="-5.0000000002910383E-2"/>
    <n v="0"/>
    <n v="0"/>
    <n v="0"/>
    <n v="0"/>
    <n v="0"/>
    <m/>
    <n v="11000"/>
    <n v="5"/>
    <n v="6"/>
    <n v="6"/>
    <n v="10"/>
    <n v="16"/>
    <n v="0"/>
    <n v="1835.7600000000002"/>
    <n v="7.3195471813666868E-2"/>
  </r>
  <r>
    <x v="0"/>
    <x v="5"/>
    <s v="000098"/>
    <s v="FORTALEZA"/>
    <s v="01"/>
    <n v="63000"/>
    <s v="MIGRADO"/>
    <d v="2025-09-23T00:00:00"/>
    <n v="16"/>
    <s v="Martes"/>
    <s v="10:30"/>
    <s v="Semanal"/>
    <n v="4788.04"/>
    <s v="04/11/2025"/>
    <n v="52663.67"/>
    <n v="76608.639999999999"/>
    <n v="52668.44"/>
    <n v="43312.5"/>
    <n v="-4.7700000000040745"/>
    <n v="0"/>
    <n v="0"/>
    <n v="0"/>
    <n v="0"/>
    <n v="0"/>
    <m/>
    <n v="12600"/>
    <n v="5"/>
    <n v="5"/>
    <n v="5.0010024978905774"/>
    <n v="11"/>
    <n v="16"/>
    <n v="0"/>
    <n v="1745"/>
    <n v="7.2889950794061881E-2"/>
  </r>
  <r>
    <x v="2"/>
    <x v="9"/>
    <s v="000036"/>
    <s v="GARDENIAS"/>
    <s v="01"/>
    <n v="146000"/>
    <s v="MIGRADO"/>
    <d v="2025-08-25T00:00:00"/>
    <n v="16"/>
    <s v="Lunes"/>
    <s v="10:00"/>
    <s v="Semanal"/>
    <n v="11096.1"/>
    <s v="03/11/2025"/>
    <n v="77671.680000000008"/>
    <n v="177537.6"/>
    <n v="77672.7"/>
    <n v="63875"/>
    <n v="-1.0199999999895226"/>
    <n v="0"/>
    <n v="0"/>
    <n v="0"/>
    <n v="0"/>
    <n v="0"/>
    <m/>
    <n v="24333.333333333332"/>
    <n v="6"/>
    <n v="9"/>
    <n v="9.000088319319401"/>
    <n v="7"/>
    <n v="16"/>
    <n v="0"/>
    <n v="0"/>
    <n v="0"/>
  </r>
  <r>
    <x v="2"/>
    <x v="10"/>
    <s v="000081"/>
    <s v="JACALONES"/>
    <s v="01"/>
    <n v="152000"/>
    <s v="MIGRADO"/>
    <d v="2025-09-12T00:00:00"/>
    <n v="16"/>
    <s v="Viernes"/>
    <s v="14:00"/>
    <s v="Semanal"/>
    <n v="11552.1"/>
    <s v="07/11/2025"/>
    <n v="103961.62"/>
    <n v="184833.6"/>
    <n v="103968.90000000001"/>
    <n v="85500"/>
    <n v="-7.2800000000133878"/>
    <n v="0"/>
    <n v="0"/>
    <n v="0"/>
    <n v="0"/>
    <n v="0"/>
    <m/>
    <n v="21714.285714285714"/>
    <n v="7"/>
    <n v="7"/>
    <n v="7.0006319197375371"/>
    <n v="9"/>
    <n v="16"/>
    <n v="0"/>
    <n v="4087"/>
    <n v="5.0541212667579306E-2"/>
  </r>
  <r>
    <x v="2"/>
    <x v="9"/>
    <s v="000201"/>
    <s v="JUQUILA"/>
    <s v="01"/>
    <n v="94000"/>
    <s v="MIGRADO"/>
    <d v="2025-10-30T00:00:00"/>
    <n v="16"/>
    <s v="Jueves"/>
    <s v="16:00"/>
    <s v="Semanal"/>
    <n v="7144.06"/>
    <s v="06/11/2025"/>
    <n v="114305"/>
    <n v="114304.96000000001"/>
    <n v="114305"/>
    <n v="94000"/>
    <n v="0"/>
    <n v="0"/>
    <n v="0"/>
    <n v="0"/>
    <n v="0"/>
    <n v="0"/>
    <m/>
    <n v="15666.666666666666"/>
    <n v="6"/>
    <n v="0"/>
    <n v="0"/>
    <n v="16"/>
    <n v="16"/>
    <n v="0"/>
    <n v="0"/>
    <n v="0"/>
  </r>
  <r>
    <x v="3"/>
    <x v="6"/>
    <s v="000061"/>
    <s v="GRANDES SUEÑOS"/>
    <s v="01"/>
    <n v="50000"/>
    <s v="MIGRADO"/>
    <d v="2025-09-05T00:00:00"/>
    <n v="16"/>
    <s v="Viernes"/>
    <s v="15:00"/>
    <s v="Semanal"/>
    <n v="3800.03"/>
    <s v="07/11/2025"/>
    <n v="30395.510000000002"/>
    <n v="60800.480000000003"/>
    <n v="30400.240000000002"/>
    <n v="25000"/>
    <n v="-4.7299999999995634"/>
    <n v="0"/>
    <n v="0"/>
    <n v="0"/>
    <n v="0"/>
    <n v="0"/>
    <m/>
    <n v="10000"/>
    <n v="5"/>
    <n v="8"/>
    <n v="8.0012578848061722"/>
    <n v="8"/>
    <n v="16"/>
    <n v="0"/>
    <n v="3308.98"/>
    <n v="0.10884716699605003"/>
  </r>
  <r>
    <x v="0"/>
    <x v="0"/>
    <s v="000166"/>
    <s v="MUJERES TRABAJADORAS"/>
    <s v="01"/>
    <n v="60000"/>
    <s v="MIGRADO"/>
    <d v="2025-10-17T00:00:00"/>
    <n v="16"/>
    <s v="Viernes"/>
    <s v="10:00"/>
    <s v="Semanal"/>
    <n v="4560.04"/>
    <s v="07/11/2025"/>
    <n v="63840.639999999999"/>
    <n v="72960.639999999999"/>
    <n v="63840.639999999999"/>
    <n v="52500.08"/>
    <n v="0"/>
    <n v="0"/>
    <n v="0"/>
    <n v="0"/>
    <n v="0"/>
    <n v="0"/>
    <m/>
    <n v="12000"/>
    <n v="5"/>
    <n v="2"/>
    <n v="1.999982456294243"/>
    <n v="14"/>
    <n v="16"/>
    <n v="0"/>
    <n v="478"/>
    <n v="5.2411820948939043E-2"/>
  </r>
  <r>
    <x v="2"/>
    <x v="9"/>
    <s v="000064"/>
    <s v="TREBOLES"/>
    <s v="01"/>
    <n v="111000"/>
    <s v="MIGRADO"/>
    <d v="2025-09-09T00:00:00"/>
    <n v="16"/>
    <s v="Martes"/>
    <s v="9:00"/>
    <s v="Semanal"/>
    <n v="8436.07"/>
    <s v="04/11/2025"/>
    <n v="75904.11"/>
    <n v="134977.12"/>
    <n v="75924.63"/>
    <n v="62437.5"/>
    <n v="-20.520000000004075"/>
    <n v="0"/>
    <n v="0"/>
    <n v="0"/>
    <n v="0"/>
    <n v="0"/>
    <m/>
    <n v="18500"/>
    <n v="6"/>
    <n v="7"/>
    <n v="7.0024395245653483"/>
    <n v="9"/>
    <n v="16"/>
    <n v="0"/>
    <n v="2963.9300000000003"/>
    <n v="5.0191448319960773E-2"/>
  </r>
  <r>
    <x v="0"/>
    <x v="5"/>
    <s v="000082"/>
    <s v="DIAMANTES"/>
    <s v="01"/>
    <n v="185000"/>
    <s v="MIGRADO"/>
    <d v="2025-09-12T00:00:00"/>
    <n v="16"/>
    <s v="Viernes"/>
    <s v="09:30"/>
    <s v="Semanal"/>
    <n v="14060.12"/>
    <s v="07/11/2025"/>
    <n v="126540.97"/>
    <n v="224961.92000000001"/>
    <n v="126541.08"/>
    <n v="104062.51000000001"/>
    <n v="-0.11000000000058208"/>
    <n v="0"/>
    <n v="0"/>
    <n v="0"/>
    <n v="0"/>
    <n v="0"/>
    <m/>
    <n v="26428.571428571428"/>
    <n v="7"/>
    <n v="7"/>
    <n v="7.0000113797037287"/>
    <n v="9"/>
    <n v="16"/>
    <n v="0"/>
    <n v="7027"/>
    <n v="7.1397480452310702E-2"/>
  </r>
  <r>
    <x v="2"/>
    <x v="3"/>
    <s v="000123"/>
    <s v="REBELDES"/>
    <s v="01"/>
    <n v="65000"/>
    <s v="MIGRADO"/>
    <d v="2025-09-30T00:00:00"/>
    <n v="16"/>
    <s v="Martes"/>
    <s v="16:00"/>
    <s v="Semanal"/>
    <n v="4940.04"/>
    <s v="04/11/2025"/>
    <n v="57416.69"/>
    <n v="79040.639999999999"/>
    <n v="59280.479999999996"/>
    <n v="47763.71"/>
    <n v="-1863.7899999999936"/>
    <n v="0"/>
    <n v="0"/>
    <n v="0"/>
    <n v="0"/>
    <n v="0"/>
    <m/>
    <n v="10833.333333333334"/>
    <n v="6"/>
    <n v="4"/>
    <n v="4.377292491558773"/>
    <n v="12"/>
    <n v="16"/>
    <n v="0"/>
    <n v="1216"/>
    <n v="6.1537963255358256E-2"/>
  </r>
  <r>
    <x v="1"/>
    <x v="2"/>
    <s v="000052"/>
    <s v="LAS TORRES"/>
    <s v="01"/>
    <n v="79000"/>
    <s v="MIGRADO"/>
    <d v="2025-08-29T00:00:00"/>
    <n v="16"/>
    <s v="Viernes"/>
    <s v="16:00"/>
    <s v="Semanal"/>
    <n v="6004.05"/>
    <s v="07/11/2025"/>
    <n v="42028.39"/>
    <n v="96064.8"/>
    <n v="42028.39"/>
    <n v="34562.520000000004"/>
    <n v="0"/>
    <n v="0"/>
    <n v="0"/>
    <n v="0"/>
    <n v="0"/>
    <n v="0"/>
    <m/>
    <n v="13166.666666666666"/>
    <n v="6"/>
    <n v="9"/>
    <n v="9"/>
    <n v="7"/>
    <n v="16"/>
    <n v="0"/>
    <n v="7765.5499999999984"/>
    <n v="0.14370947758411218"/>
  </r>
  <r>
    <x v="3"/>
    <x v="6"/>
    <s v="000051"/>
    <s v="MIS ANGELITOS"/>
    <s v="01"/>
    <n v="51000"/>
    <s v="MIGRADO"/>
    <d v="2025-08-29T00:00:00"/>
    <n v="16"/>
    <s v="Viernes"/>
    <s v="16:00"/>
    <s v="Semanal"/>
    <n v="3876.03"/>
    <s v="07/11/2025"/>
    <n v="27128.54"/>
    <n v="62016.480000000003"/>
    <n v="27132.21"/>
    <n v="22312.5"/>
    <n v="-3.6699999999982538"/>
    <n v="0"/>
    <n v="0"/>
    <n v="0"/>
    <n v="0"/>
    <n v="0"/>
    <m/>
    <n v="10200"/>
    <n v="5"/>
    <n v="9"/>
    <n v="9.0009623248530062"/>
    <n v="7"/>
    <n v="16"/>
    <n v="0"/>
    <n v="1742"/>
    <n v="4.9936547332078328E-2"/>
  </r>
  <r>
    <x v="0"/>
    <x v="4"/>
    <s v="000060"/>
    <s v="DIAMANTES"/>
    <s v="01"/>
    <n v="144000"/>
    <s v="MIGRADO"/>
    <d v="2025-09-04T00:00:00"/>
    <n v="16"/>
    <s v="Jueves"/>
    <s v="10:00"/>
    <s v="Semanal"/>
    <n v="10944.1"/>
    <s v="06/11/2025"/>
    <n v="87552.540000000008"/>
    <n v="175105.6"/>
    <n v="87552.8"/>
    <n v="72000"/>
    <n v="-0.25999999999476131"/>
    <n v="0"/>
    <n v="0"/>
    <n v="0"/>
    <n v="0"/>
    <n v="0"/>
    <m/>
    <n v="24000"/>
    <n v="6"/>
    <n v="8"/>
    <n v="8.000018274686818"/>
    <n v="8"/>
    <n v="16"/>
    <n v="0"/>
    <n v="0"/>
    <n v="0"/>
  </r>
  <r>
    <x v="2"/>
    <x v="3"/>
    <s v="000042"/>
    <s v="MARIPOSAS"/>
    <s v="01"/>
    <n v="80000"/>
    <s v="MIGRADO"/>
    <d v="2025-08-28T00:00:00"/>
    <n v="16"/>
    <s v="Jueves"/>
    <s v="02:00"/>
    <s v="Semanal"/>
    <n v="6080.05"/>
    <s v="06/11/2025"/>
    <n v="42515.85"/>
    <n v="97280.8"/>
    <n v="42560.35"/>
    <n v="35000"/>
    <n v="-44.5"/>
    <n v="0"/>
    <n v="0"/>
    <n v="0"/>
    <n v="0"/>
    <n v="0"/>
    <m/>
    <n v="16000"/>
    <n v="5"/>
    <n v="9"/>
    <n v="9.007327242374652"/>
    <n v="7"/>
    <n v="16"/>
    <n v="0"/>
    <n v="2692"/>
    <n v="4.9195501864476625E-2"/>
  </r>
  <r>
    <x v="0"/>
    <x v="5"/>
    <s v="000194"/>
    <s v="NUEVO RENACER"/>
    <s v="01"/>
    <n v="129000"/>
    <s v="MIGRADO"/>
    <d v="2025-10-29T00:00:00"/>
    <n v="16"/>
    <s v="Miércoles"/>
    <s v="15:00"/>
    <s v="Semanal"/>
    <n v="9804.09"/>
    <s v="05/11/2025"/>
    <n v="156865.38"/>
    <n v="156865.44"/>
    <n v="156865.44"/>
    <n v="129000"/>
    <n v="-5.9999999997671694E-2"/>
    <n v="0"/>
    <n v="0"/>
    <n v="0"/>
    <n v="0"/>
    <n v="0"/>
    <m/>
    <n v="21500"/>
    <n v="6"/>
    <n v="0"/>
    <n v="0"/>
    <n v="16"/>
    <n v="16"/>
    <n v="0"/>
    <n v="0"/>
    <n v="0"/>
  </r>
  <r>
    <x v="0"/>
    <x v="4"/>
    <s v="000137"/>
    <s v="LOS CAPIBARAS"/>
    <s v="01"/>
    <n v="113000"/>
    <s v="MIGRADO"/>
    <d v="2025-10-07T00:00:00"/>
    <n v="16"/>
    <s v="Martes"/>
    <s v="12:00"/>
    <s v="Semanal"/>
    <n v="8588.08"/>
    <s v="04/11/2025"/>
    <n v="111645.21"/>
    <n v="137409.28"/>
    <n v="111645.21"/>
    <n v="91812.72"/>
    <n v="0"/>
    <n v="0"/>
    <n v="0"/>
    <n v="0"/>
    <n v="0"/>
    <n v="0"/>
    <m/>
    <n v="14125"/>
    <n v="8"/>
    <n v="3"/>
    <n v="2.9999720542892008"/>
    <n v="13"/>
    <n v="16"/>
    <n v="0"/>
    <n v="2308"/>
    <n v="8.9581528506177552E-2"/>
  </r>
  <r>
    <x v="3"/>
    <x v="7"/>
    <s v="000077"/>
    <s v="LAS ESTRELLAS"/>
    <s v="01"/>
    <n v="198000"/>
    <s v="MIGRADO"/>
    <d v="2025-09-12T00:00:00"/>
    <n v="16"/>
    <s v="Viernes"/>
    <s v="16:00"/>
    <s v="Semanal"/>
    <n v="15048.130000000001"/>
    <s v="07/11/2025"/>
    <n v="134342.11000000002"/>
    <n v="240770.08000000002"/>
    <n v="135433.17000000001"/>
    <n v="111375"/>
    <n v="-1091.0599999999977"/>
    <n v="0"/>
    <n v="0"/>
    <n v="0"/>
    <n v="0"/>
    <n v="0"/>
    <m/>
    <n v="24750"/>
    <n v="8"/>
    <n v="7"/>
    <n v="7.0725066835547006"/>
    <n v="9"/>
    <n v="16"/>
    <n v="0"/>
    <n v="7586"/>
    <n v="7.2016541969951456E-2"/>
  </r>
  <r>
    <x v="2"/>
    <x v="10"/>
    <s v="000080"/>
    <s v="CATALEYA"/>
    <s v="01"/>
    <n v="100000"/>
    <s v="MIGRADO"/>
    <d v="2025-09-12T00:00:00"/>
    <n v="16"/>
    <s v="Viernes"/>
    <s v="10:00"/>
    <s v="Semanal"/>
    <n v="7600.07"/>
    <s v="07/11/2025"/>
    <n v="75980.070000000007"/>
    <n v="121601.12"/>
    <n v="75980.070000000007"/>
    <n v="62500"/>
    <n v="0"/>
    <n v="6250"/>
    <n v="0"/>
    <n v="6250"/>
    <n v="0.1"/>
    <n v="62500"/>
    <m/>
    <n v="16666.666666666668"/>
    <n v="6"/>
    <n v="7"/>
    <n v="6.0027078697959366"/>
    <n v="9"/>
    <n v="16"/>
    <n v="0"/>
    <n v="3789"/>
    <n v="7.1221148527015457E-2"/>
  </r>
  <r>
    <x v="3"/>
    <x v="6"/>
    <s v="000190"/>
    <s v="LAS AITANAS"/>
    <s v="01"/>
    <n v="54000"/>
    <s v="MIGRADO"/>
    <d v="2025-10-29T00:00:00"/>
    <n v="16"/>
    <s v="Miércoles"/>
    <s v="16:00"/>
    <s v="Semanal"/>
    <n v="4104.04"/>
    <s v="05/11/2025"/>
    <n v="65664.58"/>
    <n v="65664.639999999999"/>
    <n v="65664.639999999999"/>
    <n v="54000"/>
    <n v="-5.9999999997671694E-2"/>
    <n v="0"/>
    <n v="0"/>
    <n v="0"/>
    <n v="0"/>
    <n v="0"/>
    <m/>
    <n v="10800"/>
    <n v="5"/>
    <n v="0"/>
    <n v="0"/>
    <n v="16"/>
    <n v="16"/>
    <n v="0"/>
    <n v="0"/>
    <n v="0"/>
  </r>
  <r>
    <x v="2"/>
    <x v="9"/>
    <s v="000009"/>
    <s v="ESPERANZA"/>
    <s v="01"/>
    <n v="78000"/>
    <s v="MIGRADO"/>
    <d v="2025-08-12T00:00:00"/>
    <n v="16"/>
    <s v="Viernes"/>
    <s v="02:00"/>
    <s v="Semanal"/>
    <n v="5928.05"/>
    <s v="07/11/2025"/>
    <n v="35522.730000000003"/>
    <n v="94848.8"/>
    <n v="35522.730000000003"/>
    <n v="29250"/>
    <n v="0"/>
    <n v="4875"/>
    <n v="0"/>
    <n v="4875"/>
    <n v="0.16666666666666669"/>
    <n v="29250"/>
    <m/>
    <n v="11142.857142857143"/>
    <n v="7"/>
    <n v="11"/>
    <n v="10.007692242811716"/>
    <n v="5"/>
    <n v="16"/>
    <n v="0"/>
    <n v="1374.8999999999996"/>
    <n v="2.1084658376853947E-2"/>
  </r>
  <r>
    <x v="3"/>
    <x v="7"/>
    <s v="000125"/>
    <s v="LAS FLORECITAS"/>
    <s v="01"/>
    <n v="215000"/>
    <s v="MIGRADO"/>
    <d v="2025-09-30T00:00:00"/>
    <n v="16"/>
    <s v="Martes"/>
    <s v="10:00"/>
    <s v="Semanal"/>
    <n v="16340.140000000001"/>
    <s v="04/11/2025"/>
    <n v="196081.29"/>
    <n v="261442.24000000002"/>
    <n v="196081.68000000002"/>
    <n v="161250"/>
    <n v="-0.39000000001396984"/>
    <n v="0"/>
    <n v="0"/>
    <n v="0"/>
    <n v="0"/>
    <n v="0"/>
    <m/>
    <n v="43000"/>
    <n v="5"/>
    <n v="4"/>
    <n v="4.000026927553864"/>
    <n v="12"/>
    <n v="16"/>
    <n v="0"/>
    <n v="6535"/>
    <n v="9.9983843467681424E-2"/>
  </r>
  <r>
    <x v="3"/>
    <x v="8"/>
    <s v="000114"/>
    <s v="PIRAMIDE"/>
    <s v="01"/>
    <n v="60000"/>
    <s v="MIGRADO"/>
    <d v="2025-09-25T00:00:00"/>
    <n v="16"/>
    <s v="Jueves"/>
    <s v="14:00"/>
    <s v="Semanal"/>
    <n v="4560.04"/>
    <s v="06/11/2025"/>
    <n v="50160.6"/>
    <n v="72960.639999999999"/>
    <n v="50160.6"/>
    <n v="41250.14"/>
    <n v="0"/>
    <n v="0"/>
    <n v="0"/>
    <n v="0"/>
    <n v="0"/>
    <n v="0"/>
    <m/>
    <n v="10000"/>
    <n v="6"/>
    <n v="5"/>
    <n v="4.999964912588486"/>
    <n v="11"/>
    <n v="16"/>
    <n v="0"/>
    <n v="2280.96"/>
    <n v="0.10004122770852888"/>
  </r>
  <r>
    <x v="0"/>
    <x v="5"/>
    <s v="000154"/>
    <s v="INDESTRUCTIBLES"/>
    <s v="01"/>
    <n v="125000"/>
    <s v="MIGRADO"/>
    <d v="2025-10-15T00:00:00"/>
    <n v="16"/>
    <s v="Miércoles"/>
    <s v="10:00"/>
    <s v="Semanal"/>
    <n v="9500.08"/>
    <s v="05/11/2025"/>
    <n v="133001.33000000002"/>
    <n v="152001.28"/>
    <n v="133001.33000000002"/>
    <n v="109375.17"/>
    <n v="0"/>
    <n v="0"/>
    <n v="0"/>
    <n v="0"/>
    <n v="0"/>
    <n v="0"/>
    <m/>
    <n v="15625"/>
    <n v="8"/>
    <n v="2"/>
    <n v="1.9999831580365639"/>
    <n v="14"/>
    <n v="16"/>
    <n v="0"/>
    <n v="1000"/>
    <n v="5.2631135737804313E-2"/>
  </r>
  <r>
    <x v="3"/>
    <x v="11"/>
    <s v="000146"/>
    <s v="TEPIC"/>
    <s v="01"/>
    <n v="62000"/>
    <s v="MIGRADO"/>
    <d v="2025-10-15T00:00:00"/>
    <n v="16"/>
    <s v="Miércoles"/>
    <s v="12:00"/>
    <s v="Semanal"/>
    <n v="4712.04"/>
    <s v="05/11/2025"/>
    <n v="65963.66"/>
    <n v="75392.639999999999"/>
    <n v="65968.56"/>
    <n v="54250"/>
    <n v="-4.8999999999941792"/>
    <n v="0"/>
    <n v="0"/>
    <n v="0"/>
    <n v="0"/>
    <n v="0"/>
    <m/>
    <n v="12400"/>
    <n v="5"/>
    <n v="2"/>
    <n v="2.001044133750987"/>
    <n v="14"/>
    <n v="16"/>
    <n v="0"/>
    <n v="937"/>
    <n v="9.942615088157146E-2"/>
  </r>
  <r>
    <x v="2"/>
    <x v="9"/>
    <s v="000066"/>
    <s v="ALCATRAZ"/>
    <s v="01"/>
    <n v="147000"/>
    <s v="MIGRADO"/>
    <d v="2025-09-09T00:00:00"/>
    <n v="16"/>
    <s v="Martes"/>
    <s v="11:30"/>
    <s v="Semanal"/>
    <n v="11172.1"/>
    <s v="04/11/2025"/>
    <n v="100517.57"/>
    <n v="178753.6"/>
    <n v="100548.90000000001"/>
    <n v="82687.5"/>
    <n v="-31.330000000001746"/>
    <n v="0"/>
    <n v="0"/>
    <n v="0"/>
    <n v="0"/>
    <n v="0"/>
    <m/>
    <n v="24500"/>
    <n v="6"/>
    <n v="7"/>
    <n v="7.0028016218974045"/>
    <n v="9"/>
    <n v="16"/>
    <n v="0"/>
    <n v="4515"/>
    <n v="5.7733102997645926E-2"/>
  </r>
  <r>
    <x v="0"/>
    <x v="5"/>
    <s v="000101"/>
    <s v="MARAVILLA"/>
    <s v="01"/>
    <n v="90000"/>
    <s v="MIGRADO"/>
    <d v="2025-09-23T00:00:00"/>
    <n v="16"/>
    <s v="Martes"/>
    <s v="10:30"/>
    <s v="Semanal"/>
    <n v="6840.06"/>
    <s v="04/11/2025"/>
    <n v="75240.960000000006"/>
    <n v="109440.96000000001"/>
    <n v="75240.960000000006"/>
    <n v="61875.29"/>
    <n v="0"/>
    <n v="0"/>
    <n v="0"/>
    <n v="0"/>
    <n v="0"/>
    <n v="0"/>
    <m/>
    <n v="15000"/>
    <n v="6"/>
    <n v="5"/>
    <n v="4.9999561407356072"/>
    <n v="11"/>
    <n v="16"/>
    <n v="0"/>
    <n v="1817.42"/>
    <n v="5.3140469528045076E-2"/>
  </r>
  <r>
    <x v="2"/>
    <x v="3"/>
    <s v="000029"/>
    <s v="MOYSEN"/>
    <s v="01"/>
    <n v="150000"/>
    <s v="MIGRADO"/>
    <d v="2025-08-26T00:00:00"/>
    <n v="16"/>
    <s v="Martes"/>
    <s v="11:00"/>
    <s v="Semanal"/>
    <n v="11400.1"/>
    <s v="04/11/2025"/>
    <n v="79729.600000000006"/>
    <n v="182401.6"/>
    <n v="79800.7"/>
    <n v="65625"/>
    <n v="-71.099999999991269"/>
    <n v="0"/>
    <n v="0"/>
    <n v="0"/>
    <n v="0"/>
    <n v="0"/>
    <m/>
    <n v="18750"/>
    <n v="8"/>
    <n v="9"/>
    <n v="9.0062367873966007"/>
    <n v="7"/>
    <n v="16"/>
    <n v="0"/>
    <n v="6786"/>
    <n v="6.6139770703765755E-2"/>
  </r>
  <r>
    <x v="2"/>
    <x v="9"/>
    <s v="000204"/>
    <s v="ANGELES DE CHARLY"/>
    <s v="01"/>
    <n v="200000"/>
    <s v="MIGRADO"/>
    <d v="2025-10-31T00:00:00"/>
    <n v="16"/>
    <s v="Viernes"/>
    <s v="16:00"/>
    <s v="Semanal"/>
    <n v="15200.130000000001"/>
    <s v="07/11/2025"/>
    <n v="243202.13"/>
    <n v="243202.08000000002"/>
    <n v="243202.13"/>
    <n v="200000"/>
    <n v="0"/>
    <n v="0"/>
    <n v="0"/>
    <n v="0"/>
    <n v="0"/>
    <n v="0"/>
    <m/>
    <n v="25000"/>
    <n v="8"/>
    <n v="0"/>
    <n v="0"/>
    <n v="16"/>
    <n v="16"/>
    <n v="0"/>
    <n v="0"/>
    <n v="0"/>
  </r>
  <r>
    <x v="2"/>
    <x v="3"/>
    <s v="000184"/>
    <s v="LAS SOÑADORAS"/>
    <s v="01"/>
    <n v="173000"/>
    <s v="MIGRADO"/>
    <d v="2025-10-24T00:00:00"/>
    <n v="16"/>
    <s v="Viernes"/>
    <s v="14:00"/>
    <s v="Semanal"/>
    <n v="13148.12"/>
    <s v="07/11/2025"/>
    <n v="197219.85"/>
    <n v="210369.92000000001"/>
    <n v="197221.80000000002"/>
    <n v="162187.5"/>
    <n v="-1.9500000000116415"/>
    <n v="0"/>
    <n v="0"/>
    <n v="0"/>
    <n v="0"/>
    <n v="0"/>
    <m/>
    <n v="24714.285714285714"/>
    <n v="7"/>
    <n v="1"/>
    <n v="1.0001429862216042"/>
    <n v="15"/>
    <n v="16"/>
    <n v="0"/>
    <n v="527"/>
    <n v="4.0081775949717527E-2"/>
  </r>
  <r>
    <x v="1"/>
    <x v="2"/>
    <s v="000058"/>
    <s v="HERMOSAS FLORES"/>
    <s v="01"/>
    <n v="110000"/>
    <s v="MIGRADO"/>
    <d v="2025-09-04T00:00:00"/>
    <n v="16"/>
    <s v="Jueves"/>
    <s v="15:00"/>
    <s v="Semanal"/>
    <n v="8360.07"/>
    <s v="06/11/2025"/>
    <n v="66880.61"/>
    <n v="133761.12"/>
    <n v="66880.61"/>
    <n v="55000.020000000004"/>
    <n v="0"/>
    <n v="0"/>
    <n v="0"/>
    <n v="0"/>
    <n v="0"/>
    <n v="0"/>
    <m/>
    <n v="15714.285714285714"/>
    <n v="7"/>
    <n v="8"/>
    <n v="8"/>
    <n v="8"/>
    <n v="16"/>
    <n v="0"/>
    <n v="3343.4400000000023"/>
    <n v="4.9991208207586818E-2"/>
  </r>
  <r>
    <x v="0"/>
    <x v="5"/>
    <s v="000071"/>
    <s v="MUJERES IMPARABLES"/>
    <s v="01"/>
    <n v="101000"/>
    <s v="MIGRADO"/>
    <d v="2025-09-11T00:00:00"/>
    <n v="16"/>
    <s v="Jueves"/>
    <s v="11:00"/>
    <s v="Semanal"/>
    <n v="7676.07"/>
    <s v="06/11/2025"/>
    <n v="68994.080000000002"/>
    <n v="122817.12"/>
    <n v="69084.63"/>
    <n v="56812.5"/>
    <n v="-90.55000000000291"/>
    <n v="0"/>
    <n v="0"/>
    <n v="0"/>
    <n v="0"/>
    <n v="0"/>
    <m/>
    <n v="16833.333333333332"/>
    <n v="6"/>
    <n v="7"/>
    <n v="7.0117911900230201"/>
    <n v="9"/>
    <n v="16"/>
    <n v="0"/>
    <n v="2597"/>
    <n v="4.8332024069608535E-2"/>
  </r>
  <r>
    <x v="2"/>
    <x v="9"/>
    <s v="000076"/>
    <s v="VORTICE"/>
    <s v="01"/>
    <n v="61000"/>
    <s v="MIGRADO"/>
    <d v="2025-09-11T00:00:00"/>
    <n v="16"/>
    <s v="Jueves"/>
    <s v="12:00"/>
    <s v="Semanal"/>
    <n v="4636.04"/>
    <s v="06/11/2025"/>
    <n v="41719.65"/>
    <n v="74176.639999999999"/>
    <n v="41724.36"/>
    <n v="34312.5"/>
    <n v="-4.7099999999991269"/>
    <n v="0"/>
    <n v="0"/>
    <n v="0"/>
    <n v="0"/>
    <n v="0"/>
    <m/>
    <n v="12200"/>
    <n v="5"/>
    <n v="7"/>
    <n v="7.001018110283777"/>
    <n v="9"/>
    <n v="16"/>
    <n v="0"/>
    <n v="2354"/>
    <n v="7.2537276271497725E-2"/>
  </r>
  <r>
    <x v="2"/>
    <x v="10"/>
    <s v="000078"/>
    <s v="CANELA"/>
    <s v="01"/>
    <n v="76000"/>
    <s v="MIGRADO"/>
    <d v="2025-09-11T00:00:00"/>
    <n v="16"/>
    <s v="Jueves"/>
    <s v="10:00"/>
    <s v="Semanal"/>
    <n v="5776.05"/>
    <s v="06/11/2025"/>
    <n v="51943.81"/>
    <n v="92416.8"/>
    <n v="51984.450000000004"/>
    <n v="42750"/>
    <n v="-40.640000000006694"/>
    <n v="0"/>
    <n v="0"/>
    <n v="0"/>
    <n v="0"/>
    <n v="0"/>
    <m/>
    <n v="12666.666666666666"/>
    <n v="6"/>
    <n v="7"/>
    <n v="7.0070376814605133"/>
    <n v="9"/>
    <n v="16"/>
    <n v="0"/>
    <n v="2023"/>
    <n v="5.0034192917305077E-2"/>
  </r>
  <r>
    <x v="0"/>
    <x v="4"/>
    <s v="000130"/>
    <s v="LUPITA"/>
    <s v="01"/>
    <n v="59000"/>
    <s v="MIGRADO"/>
    <d v="2025-10-01T00:00:00"/>
    <n v="16"/>
    <s v="Miércoles"/>
    <s v="12:00"/>
    <s v="Semanal"/>
    <n v="4484.04"/>
    <s v="05/11/2025"/>
    <n v="53808.630000000005"/>
    <n v="71744.639999999999"/>
    <n v="53808.630000000005"/>
    <n v="44250.15"/>
    <n v="0"/>
    <n v="0"/>
    <n v="0"/>
    <n v="0"/>
    <n v="0"/>
    <n v="0"/>
    <m/>
    <n v="8428.5714285714294"/>
    <n v="7"/>
    <n v="4"/>
    <n v="3.9999643178919011"/>
    <n v="12"/>
    <n v="16"/>
    <n v="0"/>
    <n v="912"/>
    <n v="5.084700404099874E-2"/>
  </r>
  <r>
    <x v="2"/>
    <x v="9"/>
    <s v="000048"/>
    <s v="UNA LUZ EN MI CAMINO"/>
    <s v="01"/>
    <n v="140000"/>
    <s v="MIGRADO"/>
    <d v="2025-08-29T00:00:00"/>
    <n v="16"/>
    <s v="Viernes"/>
    <s v="10:00"/>
    <s v="Semanal"/>
    <n v="10640.09"/>
    <s v="07/11/2025"/>
    <n v="101633.49"/>
    <n v="170241.44"/>
    <n v="101633.49"/>
    <n v="84622.650000000009"/>
    <n v="0"/>
    <n v="15230"/>
    <n v="8142.6500000000015"/>
    <n v="23372.65"/>
    <n v="0.27619851186414041"/>
    <n v="84622.650000000009"/>
    <m/>
    <n v="20000"/>
    <n v="7"/>
    <n v="9"/>
    <n v="6.4480657588422652"/>
    <n v="7"/>
    <n v="16"/>
    <n v="14"/>
    <n v="1230"/>
    <n v="1.2844502881711213E-2"/>
  </r>
  <r>
    <x v="2"/>
    <x v="3"/>
    <s v="000196"/>
    <s v="ROOMIES DE VILLAS"/>
    <s v="01"/>
    <n v="101000"/>
    <s v="MIGRADO"/>
    <d v="2025-10-30T00:00:00"/>
    <n v="16"/>
    <s v="Jueves"/>
    <s v="16:00"/>
    <s v="Semanal"/>
    <n v="7676.07"/>
    <s v="06/11/2025"/>
    <n v="122817.08"/>
    <n v="122817.12"/>
    <n v="122817.12"/>
    <n v="101000"/>
    <n v="-3.9999999993597157E-2"/>
    <n v="0"/>
    <n v="0"/>
    <n v="0"/>
    <n v="0"/>
    <n v="0"/>
    <m/>
    <n v="12625"/>
    <n v="8"/>
    <n v="0"/>
    <n v="0"/>
    <n v="16"/>
    <n v="16"/>
    <n v="0"/>
    <n v="0"/>
    <n v="0"/>
  </r>
  <r>
    <x v="0"/>
    <x v="0"/>
    <s v="000124"/>
    <s v="ESTRELLAS"/>
    <s v="01"/>
    <n v="42000"/>
    <s v="MIGRADO"/>
    <d v="2025-09-30T00:00:00"/>
    <n v="16"/>
    <s v="Martes"/>
    <s v="10:00"/>
    <s v="Semanal"/>
    <n v="3192.03"/>
    <s v="04/11/2025"/>
    <n v="38304.450000000004"/>
    <n v="51072.480000000003"/>
    <n v="38304.450000000004"/>
    <n v="31500.12"/>
    <n v="0"/>
    <n v="0"/>
    <n v="0"/>
    <n v="0"/>
    <n v="0"/>
    <n v="0"/>
    <m/>
    <n v="7000"/>
    <n v="6"/>
    <n v="4"/>
    <n v="3.9999624063683608"/>
    <n v="12"/>
    <n v="16"/>
    <n v="0"/>
    <n v="816"/>
    <n v="6.3909173785960657E-2"/>
  </r>
  <r>
    <x v="3"/>
    <x v="6"/>
    <s v="000156"/>
    <s v="PANTERAS"/>
    <s v="01"/>
    <n v="87000"/>
    <s v="MIGRADO"/>
    <d v="2025-10-15T00:00:00"/>
    <n v="16"/>
    <s v="Miércoles"/>
    <s v="13:00"/>
    <s v="Semanal"/>
    <n v="6612.06"/>
    <s v="05/11/2025"/>
    <n v="92567.92"/>
    <n v="105792.96000000001"/>
    <n v="92568.840000000011"/>
    <n v="76125"/>
    <n v="-0.92000000001280569"/>
    <n v="0"/>
    <n v="0"/>
    <n v="0"/>
    <n v="0"/>
    <n v="0"/>
    <m/>
    <n v="17400"/>
    <n v="5"/>
    <n v="2"/>
    <n v="2.0001346025293176"/>
    <n v="14"/>
    <n v="16"/>
    <n v="0"/>
    <n v="660.98999999999978"/>
    <n v="4.9983666209925483E-2"/>
  </r>
  <r>
    <x v="0"/>
    <x v="4"/>
    <s v="000028"/>
    <s v="CAMPEONAS"/>
    <s v="01"/>
    <n v="76000"/>
    <s v="MIGRADO"/>
    <d v="2025-08-29T00:00:00"/>
    <n v="16"/>
    <s v="Viernes"/>
    <s v="10:00"/>
    <s v="Semanal"/>
    <n v="5776.05"/>
    <s v="07/11/2025"/>
    <n v="46152.81"/>
    <n v="92416.8"/>
    <n v="46152.81"/>
    <n v="38000"/>
    <n v="0"/>
    <n v="4750"/>
    <n v="0"/>
    <n v="4750"/>
    <n v="0.125"/>
    <n v="38000"/>
    <m/>
    <n v="10857.142857142857"/>
    <n v="7"/>
    <n v="9"/>
    <n v="8.0096259554539859"/>
    <n v="7"/>
    <n v="16"/>
    <n v="0"/>
    <n v="2964"/>
    <n v="5.7017050291000487E-2"/>
  </r>
  <r>
    <x v="3"/>
    <x v="6"/>
    <s v="000040"/>
    <s v="CACHU"/>
    <s v="01"/>
    <n v="95000"/>
    <s v="MIGRADO"/>
    <d v="2025-08-27T00:00:00"/>
    <n v="16"/>
    <s v="Miércoles"/>
    <s v="14:00"/>
    <s v="Semanal"/>
    <n v="7220.06"/>
    <s v="05/11/2025"/>
    <n v="50541.01"/>
    <n v="115520.96000000001"/>
    <n v="50541.01"/>
    <n v="41563.07"/>
    <n v="0"/>
    <n v="0"/>
    <n v="0"/>
    <n v="0"/>
    <n v="0"/>
    <n v="0"/>
    <m/>
    <n v="19000"/>
    <n v="5"/>
    <n v="9"/>
    <n v="8.9999252083777694"/>
    <n v="7"/>
    <n v="16"/>
    <n v="0"/>
    <n v="4160"/>
    <n v="6.4019166353495971E-2"/>
  </r>
  <r>
    <x v="1"/>
    <x v="2"/>
    <s v="000158"/>
    <s v="TULIPANES"/>
    <s v="01"/>
    <n v="65000"/>
    <s v="MIGRADO"/>
    <d v="2025-10-15T00:00:00"/>
    <n v="16"/>
    <s v="Miércoles"/>
    <s v="14:00"/>
    <s v="Semanal"/>
    <n v="4940.04"/>
    <s v="05/11/2025"/>
    <n v="69160.61"/>
    <n v="79040.639999999999"/>
    <n v="69160.61"/>
    <n v="56875"/>
    <n v="0"/>
    <n v="0"/>
    <n v="0"/>
    <n v="0"/>
    <n v="0"/>
    <n v="0"/>
    <m/>
    <n v="10833.333333333334"/>
    <n v="6"/>
    <n v="2"/>
    <n v="2"/>
    <n v="14"/>
    <n v="16"/>
    <n v="0"/>
    <n v="731.92000000000007"/>
    <n v="7.4080371818851673E-2"/>
  </r>
  <r>
    <x v="2"/>
    <x v="3"/>
    <s v="000003"/>
    <s v="ACEITUNAS DE COKTAIL"/>
    <s v="01"/>
    <n v="150000"/>
    <s v="MIGRADO"/>
    <d v="2025-08-08T00:00:00"/>
    <n v="16"/>
    <s v="Lunes"/>
    <s v="14:00"/>
    <s v="Semanal"/>
    <n v="11400.1"/>
    <s v="03/11/2025"/>
    <n v="57000.4"/>
    <n v="182401.6"/>
    <n v="57000.5"/>
    <n v="46875"/>
    <n v="-9.9999999998544808E-2"/>
    <n v="0"/>
    <n v="0"/>
    <n v="0"/>
    <n v="0"/>
    <n v="0"/>
    <m/>
    <n v="25000"/>
    <n v="6"/>
    <n v="11"/>
    <n v="11.000008771852878"/>
    <n v="5"/>
    <n v="16"/>
    <n v="0"/>
    <n v="5768.7999999999993"/>
    <n v="4.6002786259450666E-2"/>
  </r>
  <r>
    <x v="1"/>
    <x v="2"/>
    <s v="000056"/>
    <s v="PASTELITOS Y PANQUESITOS"/>
    <s v="01"/>
    <n v="68000"/>
    <s v="MIGRADO"/>
    <d v="2025-09-02T00:00:00"/>
    <n v="16"/>
    <s v="Martes"/>
    <s v="15:00"/>
    <s v="Semanal"/>
    <n v="5168.05"/>
    <s v="04/11/2025"/>
    <n v="41344.33"/>
    <n v="82688.800000000003"/>
    <n v="41344.400000000001"/>
    <n v="34000"/>
    <n v="-6.9999999999708962E-2"/>
    <n v="0"/>
    <n v="0"/>
    <n v="0"/>
    <n v="0"/>
    <n v="0"/>
    <m/>
    <n v="11333.333333333334"/>
    <n v="6"/>
    <n v="8"/>
    <n v="8"/>
    <n v="8"/>
    <n v="16"/>
    <n v="0"/>
    <n v="2629.6499999999987"/>
    <n v="6.3603535182515616E-2"/>
  </r>
  <r>
    <x v="3"/>
    <x v="8"/>
    <s v="000136"/>
    <s v="MARIPOSAS"/>
    <s v="01"/>
    <n v="116000"/>
    <s v="MIGRADO"/>
    <d v="2025-10-06T00:00:00"/>
    <n v="16"/>
    <s v="Lunes"/>
    <s v="10:00"/>
    <s v="Semanal"/>
    <n v="8816.08"/>
    <s v="03/11/2025"/>
    <n v="114609.24"/>
    <n v="141057.28"/>
    <n v="114609.24"/>
    <n v="94250.240000000005"/>
    <n v="0"/>
    <n v="0"/>
    <n v="0"/>
    <n v="0"/>
    <n v="0"/>
    <n v="0"/>
    <m/>
    <n v="23200"/>
    <n v="5"/>
    <n v="3"/>
    <n v="2.9999727770165423"/>
    <n v="13"/>
    <n v="16"/>
    <n v="0"/>
    <n v="2646"/>
    <n v="0.10004446420631391"/>
  </r>
  <r>
    <x v="0"/>
    <x v="4"/>
    <s v="000108"/>
    <s v="CORAZON PARTIDO"/>
    <s v="01"/>
    <n v="140000"/>
    <s v="MIGRADO"/>
    <d v="2025-09-25T00:00:00"/>
    <n v="16"/>
    <s v="Jueves"/>
    <s v="10:00"/>
    <s v="Semanal"/>
    <n v="10640.09"/>
    <s v="06/11/2025"/>
    <n v="117038.49"/>
    <n v="170241.44"/>
    <n v="117040.99"/>
    <n v="96250"/>
    <n v="-2.5"/>
    <n v="0"/>
    <n v="0"/>
    <n v="0"/>
    <n v="0"/>
    <n v="0"/>
    <m/>
    <n v="28000"/>
    <n v="5"/>
    <n v="5"/>
    <n v="5.0002396596269394"/>
    <n v="11"/>
    <n v="16"/>
    <n v="0"/>
    <n v="2912"/>
    <n v="5.4736379109575198E-2"/>
  </r>
  <r>
    <x v="3"/>
    <x v="7"/>
    <s v="000176"/>
    <s v="SAN RAFAEL"/>
    <s v="01"/>
    <n v="86000"/>
    <s v="MIGRADO"/>
    <d v="2025-10-28T00:00:00"/>
    <n v="16"/>
    <s v="Jueves"/>
    <s v="12:00"/>
    <s v="Semanal"/>
    <n v="6536.06"/>
    <s v="06/11/2025"/>
    <n v="104576.92"/>
    <n v="104576.96000000001"/>
    <n v="104576.96000000001"/>
    <n v="86000"/>
    <n v="-4.0000000008149073E-2"/>
    <n v="0"/>
    <n v="0"/>
    <n v="0"/>
    <n v="0"/>
    <n v="0"/>
    <m/>
    <n v="17200"/>
    <n v="5"/>
    <n v="0"/>
    <n v="0"/>
    <n v="16"/>
    <n v="16"/>
    <n v="0"/>
    <n v="0"/>
    <n v="0"/>
  </r>
  <r>
    <x v="1"/>
    <x v="2"/>
    <s v="000001"/>
    <s v="BRILLANTES"/>
    <s v="01"/>
    <n v="136000"/>
    <s v="MIGRADO"/>
    <d v="2025-08-06T00:00:00"/>
    <n v="16"/>
    <s v="Miércoles"/>
    <s v="15:00"/>
    <s v="Semanal"/>
    <n v="10336.09"/>
    <s v="05/11/2025"/>
    <n v="41344.370000000003"/>
    <n v="165377.44"/>
    <n v="41344.370000000003"/>
    <n v="34000.01"/>
    <n v="0"/>
    <n v="0"/>
    <n v="0"/>
    <n v="0"/>
    <n v="0"/>
    <n v="0"/>
    <m/>
    <n v="22666.666666666668"/>
    <n v="6"/>
    <n v="12"/>
    <n v="12"/>
    <n v="4"/>
    <n v="16"/>
    <n v="0"/>
    <n v="8608.9199999999983"/>
    <n v="6.9408257861531764E-2"/>
  </r>
  <r>
    <x v="3"/>
    <x v="6"/>
    <s v="000007"/>
    <s v="NUEVO COMIENZO"/>
    <s v="01"/>
    <n v="143000"/>
    <s v="MIGRADO"/>
    <d v="2025-08-11T00:00:00"/>
    <n v="16"/>
    <s v="Lunes"/>
    <s v="14:00"/>
    <s v="Semanal"/>
    <n v="10868.1"/>
    <s v="03/11/2025"/>
    <n v="54341.33"/>
    <n v="173889.6"/>
    <n v="54341.33"/>
    <n v="44688.340000000004"/>
    <n v="0"/>
    <n v="0"/>
    <n v="0"/>
    <n v="0"/>
    <n v="0"/>
    <n v="0"/>
    <m/>
    <n v="28600"/>
    <n v="5"/>
    <n v="11"/>
    <n v="10.999917188837056"/>
    <n v="5"/>
    <n v="16"/>
    <n v="0"/>
    <n v="11655.8"/>
    <n v="9.7498015459756684E-2"/>
  </r>
  <r>
    <x v="2"/>
    <x v="10"/>
    <s v="000110"/>
    <s v="MORITA"/>
    <s v="01"/>
    <n v="125000"/>
    <s v="MIGRADO"/>
    <d v="2025-09-24T00:00:00"/>
    <n v="16"/>
    <s v="Miércoles"/>
    <s v="10:00"/>
    <s v="Semanal"/>
    <n v="9500.08"/>
    <s v="05/11/2025"/>
    <n v="104475.33"/>
    <n v="152001.28"/>
    <n v="104500.88"/>
    <n v="85937.5"/>
    <n v="-25.55000000000291"/>
    <n v="0"/>
    <n v="0"/>
    <n v="0"/>
    <n v="0"/>
    <n v="0"/>
    <m/>
    <n v="15625"/>
    <n v="8"/>
    <n v="5"/>
    <n v="5.0026947141497757"/>
    <n v="11"/>
    <n v="16"/>
    <n v="0"/>
    <n v="2511"/>
    <n v="5.2862712735050651E-2"/>
  </r>
  <r>
    <x v="1"/>
    <x v="2"/>
    <s v="000030"/>
    <s v="FLORECITAS"/>
    <s v="01"/>
    <n v="134000"/>
    <s v="MIGRADO"/>
    <d v="2025-08-25T00:00:00"/>
    <n v="16"/>
    <s v="Lunes"/>
    <s v="1200"/>
    <s v="Semanal"/>
    <n v="10184.09"/>
    <s v="03/11/2025"/>
    <n v="71288.66"/>
    <n v="162945.44"/>
    <n v="71288.66"/>
    <n v="58625.03"/>
    <n v="0"/>
    <n v="0"/>
    <n v="0"/>
    <n v="0"/>
    <n v="0"/>
    <n v="0"/>
    <m/>
    <n v="19142.857142857141"/>
    <n v="7"/>
    <n v="9"/>
    <n v="8.9999960723049384"/>
    <n v="7"/>
    <n v="16"/>
    <n v="0"/>
    <n v="4580.1899999999987"/>
    <n v="4.9971082345108872E-2"/>
  </r>
  <r>
    <x v="3"/>
    <x v="6"/>
    <s v="000032"/>
    <s v="LOS EFECTIVOS"/>
    <s v="01"/>
    <n v="167000"/>
    <s v="MIGRADO"/>
    <d v="2025-08-22T00:00:00"/>
    <n v="16"/>
    <s v="Viernes"/>
    <s v="12:00"/>
    <s v="Semanal"/>
    <n v="12692.11"/>
    <s v="07/11/2025"/>
    <n v="88813.78"/>
    <n v="203073.76"/>
    <n v="88813.78"/>
    <n v="73062.5"/>
    <n v="0"/>
    <n v="10437.5"/>
    <n v="0"/>
    <n v="10437.5"/>
    <n v="0.14285714285714288"/>
    <n v="73062.5"/>
    <m/>
    <n v="27833.333333333332"/>
    <n v="6"/>
    <n v="10"/>
    <n v="9.0024432501766842"/>
    <n v="6"/>
    <n v="16"/>
    <n v="0"/>
    <n v="12452"/>
    <n v="9.8108194776124688E-2"/>
  </r>
  <r>
    <x v="2"/>
    <x v="10"/>
    <s v="000045"/>
    <s v="LEONIDAS 1"/>
    <s v="01"/>
    <n v="115000"/>
    <s v="MIGRADO"/>
    <d v="2025-08-27T00:00:00"/>
    <n v="16"/>
    <s v="Miércoles"/>
    <s v="1:00"/>
    <s v="Semanal"/>
    <n v="8740.08"/>
    <s v="05/11/2025"/>
    <n v="60999.23"/>
    <n v="139841.28"/>
    <n v="61180.56"/>
    <n v="50312.5"/>
    <n v="-181.32999999999447"/>
    <n v="0"/>
    <n v="0"/>
    <n v="0"/>
    <n v="0"/>
    <n v="0"/>
    <m/>
    <n v="12777.777777777777"/>
    <n v="9"/>
    <n v="9"/>
    <n v="9.020741228913236"/>
    <n v="7"/>
    <n v="16"/>
    <n v="0"/>
    <n v="4907"/>
    <n v="6.2381834287812264E-2"/>
  </r>
  <r>
    <x v="3"/>
    <x v="7"/>
    <s v="000086"/>
    <s v="VECINOS"/>
    <s v="01"/>
    <n v="60000"/>
    <s v="MIGRADO"/>
    <d v="2025-09-12T00:00:00"/>
    <n v="16"/>
    <s v="Viernes"/>
    <s v="12:00"/>
    <s v="Semanal"/>
    <n v="4560.04"/>
    <s v="07/11/2025"/>
    <n v="41037.64"/>
    <n v="72960.639999999999"/>
    <n v="41040.36"/>
    <n v="33750"/>
    <n v="-2.7200000000011642"/>
    <n v="0"/>
    <n v="0"/>
    <n v="0"/>
    <n v="0"/>
    <n v="0"/>
    <m/>
    <n v="10000"/>
    <n v="6"/>
    <n v="7"/>
    <n v="7.0005964859957368"/>
    <n v="9"/>
    <n v="16"/>
    <n v="0"/>
    <n v="612"/>
    <n v="1.9172764148685413E-2"/>
  </r>
  <r>
    <x v="2"/>
    <x v="10"/>
    <s v="000199"/>
    <s v="GENESIS"/>
    <s v="01"/>
    <n v="64000"/>
    <s v="MIGRADO"/>
    <d v="2025-10-30T00:00:00"/>
    <n v="16"/>
    <s v="Jueves"/>
    <s v="14:00"/>
    <s v="Semanal"/>
    <n v="4864.04"/>
    <s v="06/11/2025"/>
    <n v="77824.680000000008"/>
    <n v="77824.639999999999"/>
    <n v="77824.680000000008"/>
    <n v="64000"/>
    <n v="0"/>
    <n v="0"/>
    <n v="0"/>
    <n v="0"/>
    <n v="0"/>
    <n v="0"/>
    <m/>
    <n v="10666.666666666666"/>
    <n v="6"/>
    <n v="0"/>
    <n v="0"/>
    <n v="16"/>
    <n v="16"/>
    <n v="0"/>
    <n v="0"/>
    <n v="0"/>
  </r>
  <r>
    <x v="0"/>
    <x v="5"/>
    <s v="000169"/>
    <s v="LA GUADALUPANA"/>
    <s v="01"/>
    <n v="123500"/>
    <s v="MIGRADO"/>
    <d v="2025-10-21T00:00:00"/>
    <n v="16"/>
    <s v="Martes"/>
    <s v="13:30"/>
    <s v="Semanal"/>
    <n v="9386.08"/>
    <s v="04/11/2025"/>
    <n v="140791.32"/>
    <n v="150177.28"/>
    <n v="140791.32"/>
    <n v="115781.35"/>
    <n v="0"/>
    <n v="0"/>
    <n v="0"/>
    <n v="0"/>
    <n v="0"/>
    <n v="0"/>
    <m/>
    <n v="20583.333333333332"/>
    <n v="6"/>
    <n v="1"/>
    <n v="0.99999147674002353"/>
    <n v="15"/>
    <n v="16"/>
    <n v="0"/>
    <n v="470"/>
    <n v="5.007415236179534E-2"/>
  </r>
  <r>
    <x v="2"/>
    <x v="9"/>
    <s v="000163"/>
    <s v="GOYITA"/>
    <s v="01"/>
    <n v="109000"/>
    <s v="MIGRADO"/>
    <d v="2025-10-17T00:00:00"/>
    <n v="16"/>
    <s v="Viernes"/>
    <s v="11:00"/>
    <s v="Semanal"/>
    <n v="8284.07"/>
    <s v="07/11/2025"/>
    <n v="115975.16"/>
    <n v="132545.12"/>
    <n v="115976.98"/>
    <n v="95375"/>
    <n v="-1.819999999992433"/>
    <n v="0"/>
    <n v="0"/>
    <n v="0"/>
    <n v="0"/>
    <n v="0"/>
    <m/>
    <n v="21800"/>
    <n v="5"/>
    <n v="2"/>
    <n v="2.0002245273156793"/>
    <n v="14"/>
    <n v="16"/>
    <n v="0"/>
    <n v="872"/>
    <n v="5.2631134213013651E-2"/>
  </r>
  <r>
    <x v="1"/>
    <x v="1"/>
    <s v="000167"/>
    <s v="HORTENSIAS"/>
    <s v="01"/>
    <n v="85000"/>
    <s v="MIGRADO"/>
    <d v="2025-10-20T00:00:00"/>
    <n v="16"/>
    <s v="Lunes"/>
    <s v="11:00"/>
    <s v="Semanal"/>
    <n v="6460.06"/>
    <s v="03/11/2025"/>
    <n v="96895.91"/>
    <n v="103360.96000000001"/>
    <n v="96900.900000000009"/>
    <n v="79687.5"/>
    <n v="-4.9900000000052387"/>
    <n v="0"/>
    <n v="0"/>
    <n v="0"/>
    <n v="0"/>
    <n v="0"/>
    <m/>
    <n v="14166.666666666666"/>
    <n v="6"/>
    <n v="1"/>
    <n v="1.0007646987798875"/>
    <n v="15"/>
    <n v="16"/>
    <n v="0"/>
    <n v="464"/>
    <n v="7.1825958272833376E-2"/>
  </r>
  <r>
    <x v="0"/>
    <x v="4"/>
    <s v="000070"/>
    <s v="PINOS"/>
    <s v="01"/>
    <n v="116000"/>
    <s v="MIGRADO"/>
    <d v="2025-09-11T00:00:00"/>
    <n v="16"/>
    <s v="Jueves"/>
    <s v="09:30"/>
    <s v="Semanal"/>
    <n v="8816.08"/>
    <s v="06/11/2025"/>
    <n v="79339.240000000005"/>
    <n v="141057.28"/>
    <n v="79344.72"/>
    <n v="65250"/>
    <n v="-5.4799999999959255"/>
    <n v="0"/>
    <n v="0"/>
    <n v="0"/>
    <n v="0"/>
    <n v="0"/>
    <m/>
    <n v="19333.333333333332"/>
    <n v="6"/>
    <n v="7"/>
    <n v="7.0006170542917037"/>
    <n v="9"/>
    <n v="16"/>
    <n v="0"/>
    <n v="3392"/>
    <n v="5.4964499933238875E-2"/>
  </r>
  <r>
    <x v="0"/>
    <x v="4"/>
    <s v="000126"/>
    <s v="CENTENARIOS"/>
    <s v="01"/>
    <n v="40000"/>
    <s v="MIGRADO"/>
    <d v="2025-10-01T00:00:00"/>
    <n v="16"/>
    <s v="Miércoles"/>
    <s v="11:00"/>
    <s v="Semanal"/>
    <n v="3040.03"/>
    <s v="05/11/2025"/>
    <n v="36480.43"/>
    <n v="48640.480000000003"/>
    <n v="36480.43"/>
    <n v="30000.100000000002"/>
    <n v="0"/>
    <n v="0"/>
    <n v="0"/>
    <n v="0"/>
    <n v="0"/>
    <n v="0"/>
    <m/>
    <n v="8000"/>
    <n v="5"/>
    <n v="4"/>
    <n v="3.9999605267053284"/>
    <n v="12"/>
    <n v="16"/>
    <n v="0"/>
    <n v="614"/>
    <n v="5.0492922767209528E-2"/>
  </r>
  <r>
    <x v="3"/>
    <x v="6"/>
    <s v="000035"/>
    <s v="2 DE ABRIL"/>
    <s v="01"/>
    <n v="129000"/>
    <s v="MIGRADO"/>
    <d v="2025-08-26T00:00:00"/>
    <n v="16"/>
    <s v="Martes"/>
    <s v="16:30"/>
    <s v="Semanal"/>
    <n v="9804.09"/>
    <s v="04/11/2025"/>
    <n v="68629.38"/>
    <n v="156865.44"/>
    <n v="68629.38"/>
    <n v="56438.26"/>
    <n v="0"/>
    <n v="0"/>
    <n v="0"/>
    <n v="0"/>
    <n v="0"/>
    <n v="0"/>
    <m/>
    <n v="18428.571428571428"/>
    <n v="7"/>
    <n v="9"/>
    <n v="8.9999173814193867"/>
    <n v="7"/>
    <n v="16"/>
    <n v="0"/>
    <n v="5337"/>
    <n v="6.0484960868372281E-2"/>
  </r>
  <r>
    <x v="2"/>
    <x v="9"/>
    <s v="000192"/>
    <s v="PERLA"/>
    <s v="01"/>
    <n v="41000"/>
    <s v="MIGRADO"/>
    <d v="2025-10-29T00:00:00"/>
    <n v="16"/>
    <s v="Miércoles"/>
    <s v="13:00"/>
    <s v="Semanal"/>
    <n v="3116.03"/>
    <s v="05/11/2025"/>
    <n v="49856.44"/>
    <n v="49856.480000000003"/>
    <n v="49856.480000000003"/>
    <n v="41000"/>
    <n v="-4.0000000000873115E-2"/>
    <n v="0"/>
    <n v="0"/>
    <n v="0"/>
    <n v="0"/>
    <n v="0"/>
    <m/>
    <n v="8200"/>
    <n v="5"/>
    <n v="0"/>
    <n v="0"/>
    <n v="16"/>
    <n v="16"/>
    <n v="0"/>
    <n v="0"/>
    <n v="0"/>
  </r>
  <r>
    <x v="1"/>
    <x v="2"/>
    <s v="000133"/>
    <s v="ARRAYANES"/>
    <s v="01"/>
    <n v="83000"/>
    <s v="MIGRADO"/>
    <d v="2025-10-02T00:00:00"/>
    <n v="16"/>
    <s v="Jueves"/>
    <s v="11:00"/>
    <s v="Semanal"/>
    <n v="6308.06"/>
    <s v="06/11/2025"/>
    <n v="75696.650000000009"/>
    <n v="100928.96000000001"/>
    <n v="75696.72"/>
    <n v="62250"/>
    <n v="-6.9999999992433004E-2"/>
    <n v="0"/>
    <n v="0"/>
    <n v="0"/>
    <n v="0"/>
    <n v="0"/>
    <m/>
    <n v="13833.333333333334"/>
    <n v="6"/>
    <n v="4"/>
    <n v="3.9999999999999996"/>
    <n v="12"/>
    <n v="16"/>
    <n v="0"/>
    <n v="1835.7599999999984"/>
    <n v="7.2754539430506304E-2"/>
  </r>
  <r>
    <x v="2"/>
    <x v="10"/>
    <s v="000033"/>
    <s v="CUPIDO"/>
    <s v="01"/>
    <n v="70000"/>
    <s v="MIGRADO"/>
    <d v="2025-08-25T00:00:00"/>
    <n v="16"/>
    <s v="Lunes"/>
    <s v="11"/>
    <s v="Semanal"/>
    <n v="5320.05"/>
    <s v="03/11/2025"/>
    <n v="28850.639999999999"/>
    <n v="85120.8"/>
    <n v="37240.35"/>
    <n v="24375"/>
    <n v="-8389.7099999999991"/>
    <n v="0"/>
    <n v="0"/>
    <n v="0"/>
    <n v="0"/>
    <n v="0"/>
    <m/>
    <n v="14000"/>
    <n v="5"/>
    <n v="9"/>
    <n v="10.576988938073891"/>
    <n v="7"/>
    <n v="16"/>
    <n v="0"/>
    <n v="3219"/>
    <n v="6.7229944580721346E-2"/>
  </r>
  <r>
    <x v="1"/>
    <x v="1"/>
    <s v="000050"/>
    <s v="BUGAMBILIAS"/>
    <s v="01"/>
    <n v="79000"/>
    <s v="MIGRADO"/>
    <d v="2025-08-29T00:00:00"/>
    <n v="16"/>
    <s v="Viernes"/>
    <s v="14:00"/>
    <s v="Semanal"/>
    <n v="6004.05"/>
    <s v="07/11/2025"/>
    <n v="42028.39"/>
    <n v="96064.8"/>
    <n v="42028.39"/>
    <n v="34562.53"/>
    <n v="0"/>
    <n v="0"/>
    <n v="0"/>
    <n v="0"/>
    <n v="0"/>
    <n v="0"/>
    <m/>
    <n v="11285.714285714286"/>
    <n v="7"/>
    <n v="9"/>
    <n v="9"/>
    <n v="7"/>
    <n v="16"/>
    <n v="0"/>
    <n v="3031.5999999999985"/>
    <n v="5.6102871302611455E-2"/>
  </r>
  <r>
    <x v="2"/>
    <x v="3"/>
    <s v="000159"/>
    <s v="ORTIZ"/>
    <s v="01"/>
    <n v="54000"/>
    <s v="MIGRADO"/>
    <d v="2025-10-15T00:00:00"/>
    <n v="16"/>
    <s v="Miércoles"/>
    <s v="13:00"/>
    <s v="Semanal"/>
    <n v="4104.04"/>
    <s v="05/11/2025"/>
    <n v="57444.58"/>
    <n v="65664.639999999999"/>
    <n v="57456.56"/>
    <n v="47250"/>
    <n v="-11.979999999995925"/>
    <n v="0"/>
    <n v="0"/>
    <n v="0"/>
    <n v="0"/>
    <n v="0"/>
    <m/>
    <n v="9000"/>
    <n v="6"/>
    <n v="2"/>
    <n v="2.0029044551222697"/>
    <n v="14"/>
    <n v="16"/>
    <n v="0"/>
    <n v="456"/>
    <n v="5.5555014083683393E-2"/>
  </r>
  <r>
    <x v="1"/>
    <x v="2"/>
    <s v="000160"/>
    <s v="AZUCENAS"/>
    <s v="01"/>
    <n v="150000"/>
    <s v="MIGRADO"/>
    <d v="2025-10-15T00:00:00"/>
    <n v="16"/>
    <s v="Miércoles"/>
    <s v="16:00"/>
    <s v="Semanal"/>
    <n v="11400.1"/>
    <s v="05/11/2025"/>
    <n v="159601.4"/>
    <n v="182401.6"/>
    <n v="159601.4"/>
    <n v="131250"/>
    <n v="0"/>
    <n v="0"/>
    <n v="0"/>
    <n v="0"/>
    <n v="0"/>
    <n v="0"/>
    <m/>
    <n v="18750"/>
    <n v="8"/>
    <n v="2"/>
    <n v="2"/>
    <n v="14"/>
    <n v="16"/>
    <n v="0"/>
    <n v="1643.7999999999993"/>
    <n v="7.209585880825603E-2"/>
  </r>
  <r>
    <x v="1"/>
    <x v="1"/>
    <s v="000183"/>
    <s v="TULIPANES ECATEPEC"/>
    <s v="01"/>
    <n v="100000"/>
    <s v="MIGRADO"/>
    <d v="2025-10-24T00:00:00"/>
    <n v="16"/>
    <s v="Viernes"/>
    <s v="15:30"/>
    <s v="Semanal"/>
    <n v="7600.07"/>
    <s v="07/11/2025"/>
    <n v="114001"/>
    <n v="121601.12"/>
    <n v="114001.04999999999"/>
    <n v="93750"/>
    <n v="-4.9999999988358468E-2"/>
    <n v="0"/>
    <n v="0"/>
    <n v="0"/>
    <n v="0"/>
    <n v="0"/>
    <m/>
    <n v="20000"/>
    <n v="5"/>
    <n v="1"/>
    <n v="1"/>
    <n v="15"/>
    <n v="16"/>
    <n v="0"/>
    <n v="544.93000000000029"/>
    <n v="7.1700655388700407E-2"/>
  </r>
  <r>
    <x v="3"/>
    <x v="12"/>
    <s v="000189"/>
    <s v="LOS SOLIDARIOS DEL VALLE"/>
    <s v="01"/>
    <n v="510000"/>
    <s v="MIGRADO"/>
    <d v="2025-10-28T00:00:00"/>
    <n v="16"/>
    <s v="Martes"/>
    <s v="12:00"/>
    <s v="Semanal"/>
    <n v="38760.340000000004"/>
    <s v="04/11/2025"/>
    <n v="620165.44000000006"/>
    <n v="620165.44000000006"/>
    <n v="620165.44000000006"/>
    <n v="510000"/>
    <n v="0"/>
    <n v="0"/>
    <n v="0"/>
    <n v="0"/>
    <n v="0"/>
    <n v="0"/>
    <m/>
    <n v="85000"/>
    <n v="6"/>
    <n v="0"/>
    <n v="0"/>
    <n v="16"/>
    <n v="16"/>
    <n v="0"/>
    <n v="0"/>
    <n v="0"/>
  </r>
  <r>
    <x v="0"/>
    <x v="5"/>
    <s v="000013"/>
    <s v="SAN PEDRO"/>
    <s v="01"/>
    <n v="170000"/>
    <s v="MIGRADO"/>
    <d v="2025-08-14T00:00:00"/>
    <n v="16"/>
    <s v="Jueves"/>
    <s v="11:00"/>
    <s v="Semanal"/>
    <n v="12920.11"/>
    <s v="06/11/2025"/>
    <n v="64600.590000000004"/>
    <n v="206721.76"/>
    <n v="64600.590000000004"/>
    <n v="53125.04"/>
    <n v="0"/>
    <n v="0"/>
    <n v="0"/>
    <n v="0"/>
    <n v="0"/>
    <n v="0"/>
    <m/>
    <n v="28333.333333333332"/>
    <n v="6"/>
    <n v="11"/>
    <n v="11.000000773987217"/>
    <n v="5"/>
    <n v="16"/>
    <n v="0"/>
    <n v="9491.7799999999988"/>
    <n v="6.6786512723892508E-2"/>
  </r>
  <r>
    <x v="1"/>
    <x v="1"/>
    <s v="000011"/>
    <s v="ECHEGUREN"/>
    <s v="01"/>
    <n v="62000"/>
    <s v="MIGRADO"/>
    <d v="2025-08-14T00:00:00"/>
    <n v="16"/>
    <s v="Jueves"/>
    <s v="12:00"/>
    <s v="Semanal"/>
    <n v="4712.04"/>
    <s v="06/11/2025"/>
    <n v="23552.22"/>
    <n v="75392.639999999999"/>
    <n v="23560.199999999997"/>
    <n v="19375"/>
    <n v="-7.9799999999959255"/>
    <n v="0"/>
    <n v="0"/>
    <n v="0"/>
    <n v="0"/>
    <n v="0"/>
    <m/>
    <n v="12400"/>
    <n v="5"/>
    <n v="11"/>
    <n v="11.00169777845689"/>
    <n v="5"/>
    <n v="16"/>
    <n v="0"/>
    <n v="2668.5600000000004"/>
    <n v="5.1484359987683394E-2"/>
  </r>
  <r>
    <x v="3"/>
    <x v="6"/>
    <s v="000175"/>
    <s v="LIBELULAS"/>
    <s v="01"/>
    <n v="60000"/>
    <s v="MIGRADO"/>
    <d v="2025-10-24T00:00:00"/>
    <n v="16"/>
    <s v="Viernes"/>
    <s v="17:00"/>
    <s v="Semanal"/>
    <n v="4560.04"/>
    <s v="07/11/2025"/>
    <n v="72960.639999999999"/>
    <n v="72960.639999999999"/>
    <n v="72960.639999999999"/>
    <n v="60000"/>
    <n v="0"/>
    <n v="3750"/>
    <n v="0"/>
    <n v="3750"/>
    <n v="6.25E-2"/>
    <n v="60000"/>
    <m/>
    <n v="12000"/>
    <n v="5"/>
    <n v="1"/>
    <n v="0"/>
    <n v="15"/>
    <n v="16"/>
    <n v="0"/>
    <n v="0"/>
    <n v="0"/>
  </r>
  <r>
    <x v="3"/>
    <x v="7"/>
    <s v="000213"/>
    <s v="LAS REBELDES"/>
    <s v="01"/>
    <n v="64000"/>
    <s v="MIGRADO"/>
    <d v="2025-10-31T00:00:00"/>
    <n v="16"/>
    <s v="Viernes"/>
    <s v="12:00"/>
    <s v="Semanal"/>
    <n v="4864.04"/>
    <s v="07/11/2025"/>
    <n v="77824.680000000008"/>
    <n v="77824.639999999999"/>
    <n v="77824.680000000008"/>
    <n v="64000"/>
    <n v="0"/>
    <n v="0"/>
    <n v="0"/>
    <n v="0"/>
    <n v="0"/>
    <n v="0"/>
    <m/>
    <n v="10666.666666666666"/>
    <n v="6"/>
    <n v="0"/>
    <n v="0"/>
    <n v="16"/>
    <n v="16"/>
    <n v="0"/>
    <n v="0"/>
    <n v="0"/>
  </r>
  <r>
    <x v="3"/>
    <x v="6"/>
    <s v="000103"/>
    <s v="DUBAI"/>
    <s v="01"/>
    <n v="51000"/>
    <s v="MIGRADO"/>
    <d v="2025-09-24T00:00:00"/>
    <n v="16"/>
    <s v="Miércoles"/>
    <s v="11:00"/>
    <s v="Semanal"/>
    <n v="3876.03"/>
    <s v="05/11/2025"/>
    <n v="42635.42"/>
    <n v="62016.480000000003"/>
    <n v="42636.33"/>
    <n v="35062.5"/>
    <n v="-0.91000000000349246"/>
    <n v="0"/>
    <n v="0"/>
    <n v="0"/>
    <n v="0"/>
    <n v="0"/>
    <m/>
    <n v="10200"/>
    <n v="5"/>
    <n v="5"/>
    <n v="5.0002502560609692"/>
    <n v="11"/>
    <n v="16"/>
    <n v="0"/>
    <n v="4153.9399999999987"/>
    <n v="0.21433993028949719"/>
  </r>
  <r>
    <x v="1"/>
    <x v="1"/>
    <s v="000115"/>
    <s v="LA CRUZ"/>
    <s v="01"/>
    <n v="55000"/>
    <s v="MIGRADO"/>
    <d v="2025-09-26T00:00:00"/>
    <n v="16"/>
    <s v="Viernes"/>
    <s v="12:30"/>
    <s v="Semanal"/>
    <n v="4180.04"/>
    <s v="07/11/2025"/>
    <n v="45980.39"/>
    <n v="66880.639999999999"/>
    <n v="45980.44"/>
    <n v="37812.5"/>
    <n v="-5.0000000002910383E-2"/>
    <n v="0"/>
    <n v="0"/>
    <n v="0"/>
    <n v="0"/>
    <n v="0"/>
    <m/>
    <n v="11000"/>
    <n v="5"/>
    <n v="5"/>
    <n v="5"/>
    <n v="11"/>
    <n v="16"/>
    <n v="0"/>
    <n v="1524.8000000000002"/>
    <n v="7.2956239653209062E-2"/>
  </r>
  <r>
    <x v="3"/>
    <x v="6"/>
    <s v="000090"/>
    <s v="LOS MISMOS DE SIEMPRE"/>
    <s v="01"/>
    <n v="60000"/>
    <s v="MIGRADO"/>
    <d v="2025-09-22T00:00:00"/>
    <n v="16"/>
    <s v="Lunes"/>
    <s v="11:00"/>
    <s v="Semanal"/>
    <n v="4560.04"/>
    <s v="03/11/2025"/>
    <n v="50157.56"/>
    <n v="72960.639999999999"/>
    <n v="50160.44"/>
    <n v="41250"/>
    <n v="-2.8800000000046566"/>
    <n v="0"/>
    <n v="0"/>
    <n v="0"/>
    <n v="0"/>
    <n v="0"/>
    <m/>
    <n v="10000"/>
    <n v="6"/>
    <n v="5"/>
    <n v="5.0006315734072508"/>
    <n v="11"/>
    <n v="16"/>
    <n v="0"/>
    <n v="1516.92"/>
    <n v="6.6530995342146126E-2"/>
  </r>
  <r>
    <x v="1"/>
    <x v="1"/>
    <s v="000202"/>
    <s v="LUNA"/>
    <s v="01"/>
    <n v="71000"/>
    <s v="MIGRADO"/>
    <d v="2025-10-31T00:00:00"/>
    <n v="16"/>
    <s v="Viernes"/>
    <s v="10:30"/>
    <s v="Semanal"/>
    <n v="5396.05"/>
    <s v="07/11/2025"/>
    <n v="86336.76"/>
    <n v="86336.8"/>
    <n v="86336.8"/>
    <n v="71000"/>
    <n v="-4.0000000008149073E-2"/>
    <n v="0"/>
    <n v="0"/>
    <n v="0"/>
    <n v="0"/>
    <n v="0"/>
    <m/>
    <n v="11833.333333333334"/>
    <n v="6"/>
    <n v="0"/>
    <n v="0"/>
    <n v="16"/>
    <n v="16"/>
    <n v="0"/>
    <n v="0"/>
    <n v="0"/>
  </r>
  <r>
    <x v="2"/>
    <x v="10"/>
    <s v="000161"/>
    <s v="JOYAS DEL TRIUNFO"/>
    <s v="01"/>
    <n v="126000"/>
    <s v="MIGRADO"/>
    <d v="2025-10-16T00:00:00"/>
    <n v="16"/>
    <s v="Jueves"/>
    <s v="13:00"/>
    <s v="Semanal"/>
    <n v="9576.08"/>
    <s v="06/11/2025"/>
    <n v="134056.34"/>
    <n v="153217.28"/>
    <n v="134065.12"/>
    <n v="110250"/>
    <n v="-8.7799999999988358"/>
    <n v="0"/>
    <n v="0"/>
    <n v="0"/>
    <n v="0"/>
    <n v="0"/>
    <m/>
    <n v="15750"/>
    <n v="8"/>
    <n v="2"/>
    <n v="2.0009231334742399"/>
    <n v="14"/>
    <n v="16"/>
    <n v="0"/>
    <n v="965"/>
    <n v="5.038596168787228E-2"/>
  </r>
  <r>
    <x v="0"/>
    <x v="5"/>
    <s v="000062"/>
    <s v="TREBOL"/>
    <s v="01"/>
    <n v="85000"/>
    <s v="MIGRADO"/>
    <d v="2025-09-08T00:00:00"/>
    <n v="16"/>
    <s v="Lunes"/>
    <s v="11:00"/>
    <s v="Semanal"/>
    <n v="6460.06"/>
    <s v="03/11/2025"/>
    <n v="58140.91"/>
    <n v="103360.96000000001"/>
    <n v="58140.91"/>
    <n v="47812.91"/>
    <n v="0"/>
    <n v="0"/>
    <n v="0"/>
    <n v="0"/>
    <n v="0"/>
    <n v="0"/>
    <m/>
    <n v="14166.666666666666"/>
    <n v="6"/>
    <n v="7"/>
    <n v="6.9999349851239767"/>
    <n v="9"/>
    <n v="16"/>
    <n v="0"/>
    <n v="2339"/>
    <n v="5.1724420073940049E-2"/>
  </r>
  <r>
    <x v="2"/>
    <x v="3"/>
    <s v="000088"/>
    <s v="VALIENTES"/>
    <s v="01"/>
    <n v="69000"/>
    <s v="MIGRADO"/>
    <d v="2025-09-17T00:00:00"/>
    <n v="16"/>
    <s v="Miércoles"/>
    <s v="11:00"/>
    <s v="Semanal"/>
    <n v="5244.05"/>
    <s v="05/11/2025"/>
    <n v="52434.74"/>
    <n v="83904.8"/>
    <n v="52440.5"/>
    <n v="43125"/>
    <n v="-5.7600000000020373"/>
    <n v="0"/>
    <n v="0"/>
    <n v="0"/>
    <n v="0"/>
    <n v="0"/>
    <m/>
    <n v="9857.1428571428569"/>
    <n v="7"/>
    <n v="6"/>
    <n v="6.0010869461580265"/>
    <n v="10"/>
    <n v="16"/>
    <n v="0"/>
    <n v="1566"/>
    <n v="4.9770692499118051E-2"/>
  </r>
  <r>
    <x v="0"/>
    <x v="4"/>
    <s v="000168"/>
    <s v="COLIBRI"/>
    <s v="01"/>
    <n v="70000"/>
    <s v="MIGRADO"/>
    <d v="2025-10-20T00:00:00"/>
    <n v="16"/>
    <s v="Lunes"/>
    <s v="13:00"/>
    <s v="Semanal"/>
    <n v="5320.05"/>
    <s v="03/11/2025"/>
    <n v="79800.75"/>
    <n v="85120.8"/>
    <n v="79800.75"/>
    <n v="65625.05"/>
    <n v="0"/>
    <n v="0"/>
    <n v="0"/>
    <n v="0"/>
    <n v="0"/>
    <n v="0"/>
    <m/>
    <n v="11666.666666666666"/>
    <n v="6"/>
    <n v="1"/>
    <n v="0.9999906015920903"/>
    <n v="15"/>
    <n v="16"/>
    <n v="0"/>
    <n v="282"/>
    <n v="5.3007020610708541E-2"/>
  </r>
  <r>
    <x v="3"/>
    <x v="6"/>
    <s v="000008"/>
    <s v="LIDERES UNIDOS"/>
    <s v="01"/>
    <n v="125000"/>
    <s v="MIGRADO"/>
    <d v="2025-08-11T00:00:00"/>
    <n v="16"/>
    <s v="Lunes"/>
    <s v="10:00"/>
    <s v="Semanal"/>
    <n v="9500.08"/>
    <s v="03/11/2025"/>
    <n v="47501.17"/>
    <n v="152001.28"/>
    <n v="47501.17"/>
    <n v="39063.26"/>
    <n v="0"/>
    <n v="0"/>
    <n v="0"/>
    <n v="0"/>
    <n v="0"/>
    <n v="0"/>
    <m/>
    <n v="10416.666666666666"/>
    <n v="12"/>
    <n v="11"/>
    <n v="10.999924211164538"/>
    <n v="5"/>
    <n v="16"/>
    <n v="0"/>
    <n v="8069.84"/>
    <n v="7.7222698985884131E-2"/>
  </r>
  <r>
    <x v="2"/>
    <x v="3"/>
    <s v="000075"/>
    <s v="SERPENTINA"/>
    <s v="01"/>
    <n v="150000"/>
    <s v="MIGRADO"/>
    <d v="2025-09-11T00:00:00"/>
    <n v="16"/>
    <s v="Lunes"/>
    <s v="16:00"/>
    <s v="Semanal"/>
    <n v="11400.1"/>
    <s v="03/11/2025"/>
    <n v="102552.6"/>
    <n v="182401.6"/>
    <n v="114001"/>
    <n v="84375"/>
    <n v="-11448.399999999994"/>
    <n v="0"/>
    <n v="0"/>
    <n v="0"/>
    <n v="0"/>
    <n v="0"/>
    <m/>
    <n v="21428.571428571428"/>
    <n v="7"/>
    <n v="6"/>
    <n v="7.004236804940307"/>
    <n v="10"/>
    <n v="16"/>
    <n v="0"/>
    <n v="3941"/>
    <n v="5.7616453656839262E-2"/>
  </r>
  <r>
    <x v="2"/>
    <x v="9"/>
    <s v="000073"/>
    <s v="LENTEJUELAS"/>
    <s v="01"/>
    <n v="142000"/>
    <s v="MIGRADO"/>
    <d v="2025-09-12T00:00:00"/>
    <n v="16"/>
    <s v="Viernes"/>
    <s v="14:00"/>
    <s v="Semanal"/>
    <n v="10792.09"/>
    <s v="07/11/2025"/>
    <n v="97059.51"/>
    <n v="172673.44"/>
    <n v="97128.81"/>
    <n v="79875"/>
    <n v="-69.30000000000291"/>
    <n v="0"/>
    <n v="0"/>
    <n v="0"/>
    <n v="0"/>
    <n v="0"/>
    <m/>
    <n v="14200"/>
    <n v="10"/>
    <n v="7"/>
    <n v="7.0064278559574653"/>
    <n v="9"/>
    <n v="16"/>
    <n v="0"/>
    <n v="540"/>
    <n v="7.1480924587227438E-3"/>
  </r>
  <r>
    <x v="2"/>
    <x v="9"/>
    <s v="000102"/>
    <s v="PEONIAS"/>
    <s v="01"/>
    <n v="114000"/>
    <s v="MIGRADO"/>
    <d v="2025-09-23T00:00:00"/>
    <n v="16"/>
    <s v="Martes"/>
    <s v="13:00"/>
    <s v="Semanal"/>
    <n v="8664.08"/>
    <s v="04/11/2025"/>
    <n v="95072.74"/>
    <n v="138625.28"/>
    <n v="95304.88"/>
    <n v="78375"/>
    <n v="-232.13999999999942"/>
    <n v="0"/>
    <n v="0"/>
    <n v="0"/>
    <n v="0"/>
    <n v="0"/>
    <m/>
    <n v="12666.666666666666"/>
    <n v="9"/>
    <n v="5"/>
    <n v="5.026786456265409"/>
    <n v="11"/>
    <n v="16"/>
    <n v="0"/>
    <n v="2607.0299999999988"/>
    <n v="6.0180192241992204E-2"/>
  </r>
  <r>
    <x v="0"/>
    <x v="13"/>
    <s v="000198"/>
    <s v="ELOHIM"/>
    <s v="01"/>
    <n v="192000"/>
    <s v="MIGRADO"/>
    <d v="2025-10-29T00:00:00"/>
    <n v="16"/>
    <s v="Miércoles"/>
    <s v="10:00"/>
    <s v="Semanal"/>
    <n v="14592.130000000001"/>
    <s v="05/11/2025"/>
    <n v="233474.05000000002"/>
    <n v="233474.08000000002"/>
    <n v="233474.08000000002"/>
    <n v="192000"/>
    <n v="-2.9999999998835847E-2"/>
    <n v="0"/>
    <n v="0"/>
    <n v="0"/>
    <n v="0"/>
    <n v="0"/>
    <m/>
    <n v="32000"/>
    <n v="6"/>
    <n v="0"/>
    <n v="0"/>
    <n v="16"/>
    <n v="16"/>
    <n v="0"/>
    <n v="0"/>
    <n v="0"/>
  </r>
  <r>
    <x v="3"/>
    <x v="7"/>
    <s v="000057"/>
    <s v="TRIUNFADORAS"/>
    <s v="01"/>
    <n v="210000"/>
    <s v="MIGRADO"/>
    <d v="2025-09-03T00:00:00"/>
    <n v="16"/>
    <s v="Miércoles"/>
    <s v="11:00"/>
    <s v="Semanal"/>
    <n v="15960.140000000001"/>
    <s v="05/11/2025"/>
    <n v="127677.24"/>
    <n v="255362.24000000002"/>
    <n v="127681.12000000001"/>
    <n v="105000"/>
    <n v="-3.8800000000046566"/>
    <n v="0"/>
    <n v="0"/>
    <n v="0"/>
    <n v="0"/>
    <n v="0"/>
    <m/>
    <n v="30000"/>
    <n v="7"/>
    <n v="8"/>
    <n v="8.0002431056369172"/>
    <n v="8"/>
    <n v="16"/>
    <n v="0"/>
    <n v="7029"/>
    <n v="5.505120882398274E-2"/>
  </r>
  <r>
    <x v="1"/>
    <x v="1"/>
    <s v="000122"/>
    <s v="HOROSCOPOS"/>
    <s v="01"/>
    <n v="65000"/>
    <s v="MIGRADO"/>
    <d v="2025-09-30T00:00:00"/>
    <n v="16"/>
    <s v="Martes"/>
    <s v="14:00"/>
    <s v="Semanal"/>
    <n v="4940.04"/>
    <s v="04/11/2025"/>
    <n v="62860.65"/>
    <n v="79040.639999999999"/>
    <n v="62860.65"/>
    <n v="52330.130000000005"/>
    <n v="0"/>
    <n v="3580.13"/>
    <n v="0"/>
    <n v="3580.13"/>
    <n v="6.8414315041831542E-2"/>
    <n v="52330.130000000005"/>
    <m/>
    <n v="13000"/>
    <n v="5"/>
    <n v="4"/>
    <n v="3.2752852203625884"/>
    <n v="12"/>
    <n v="16"/>
    <n v="3"/>
    <n v="930.96"/>
    <n v="4.7112978842276582E-2"/>
  </r>
  <r>
    <x v="3"/>
    <x v="6"/>
    <s v="000121"/>
    <s v="ESPERANZA"/>
    <s v="01"/>
    <n v="57000"/>
    <s v="MIGRADO"/>
    <d v="2025-09-30T00:00:00"/>
    <n v="16"/>
    <s v="Martes"/>
    <s v="12:00"/>
    <s v="Semanal"/>
    <n v="4332.04"/>
    <s v="04/11/2025"/>
    <n v="51982.57"/>
    <n v="69312.639999999999"/>
    <n v="51984.479999999996"/>
    <n v="42750"/>
    <n v="-1.9099999999962165"/>
    <n v="0"/>
    <n v="0"/>
    <n v="0"/>
    <n v="0"/>
    <n v="0"/>
    <m/>
    <n v="11400"/>
    <n v="5"/>
    <n v="4"/>
    <n v="4.0004339756788951"/>
    <n v="12"/>
    <n v="16"/>
    <n v="0"/>
    <n v="1196.96"/>
    <n v="6.9076001144957114E-2"/>
  </r>
  <r>
    <x v="0"/>
    <x v="5"/>
    <s v="000047"/>
    <s v="KIRA"/>
    <s v="01"/>
    <n v="85000"/>
    <s v="MIGRADO"/>
    <d v="2025-08-28T00:00:00"/>
    <n v="16"/>
    <s v="Jueves"/>
    <s v="12:00"/>
    <s v="Semanal"/>
    <n v="6460.06"/>
    <s v="06/11/2025"/>
    <n v="39900.800000000003"/>
    <n v="103360.96000000001"/>
    <n v="45220.420000000006"/>
    <n v="32812.980000000003"/>
    <n v="-5319.6200000000026"/>
    <n v="0"/>
    <n v="0"/>
    <n v="0"/>
    <n v="0"/>
    <n v="0"/>
    <m/>
    <n v="10625"/>
    <n v="8"/>
    <n v="9"/>
    <n v="9.8234552001064994"/>
    <n v="7"/>
    <n v="16"/>
    <n v="0"/>
    <n v="2949"/>
    <n v="5.0721923119393109E-2"/>
  </r>
  <r>
    <x v="3"/>
    <x v="8"/>
    <s v="000049"/>
    <s v="LOS SOLTERONES"/>
    <s v="01"/>
    <n v="100000"/>
    <s v="MIGRADO"/>
    <d v="2025-08-29T00:00:00"/>
    <n v="16"/>
    <s v="Viernes"/>
    <s v="14:00"/>
    <s v="Semanal"/>
    <n v="7600.07"/>
    <s v="07/11/2025"/>
    <n v="53201.07"/>
    <n v="121601.12"/>
    <n v="53201.07"/>
    <n v="43750.61"/>
    <n v="0"/>
    <n v="0"/>
    <n v="0"/>
    <n v="0"/>
    <n v="0"/>
    <n v="0"/>
    <m/>
    <n v="16666.666666666668"/>
    <n v="6"/>
    <n v="9"/>
    <n v="8.9999171060266558"/>
    <n v="7"/>
    <n v="16"/>
    <n v="0"/>
    <n v="53900"/>
    <n v="0.78800443797081998"/>
  </r>
  <r>
    <x v="2"/>
    <x v="3"/>
    <s v="000179"/>
    <s v="TOVARCITO"/>
    <s v="01"/>
    <n v="50000"/>
    <s v="MIGRADO"/>
    <d v="2025-10-23T00:00:00"/>
    <n v="16"/>
    <s v="Jueves"/>
    <s v="13:00"/>
    <s v="Semanal"/>
    <n v="3800.03"/>
    <s v="06/11/2025"/>
    <n v="56995.53"/>
    <n v="60800.480000000003"/>
    <n v="57000.450000000004"/>
    <n v="46875"/>
    <n v="-4.9200000000055297"/>
    <n v="0"/>
    <n v="0"/>
    <n v="0"/>
    <n v="0"/>
    <n v="0"/>
    <m/>
    <n v="10000"/>
    <n v="5"/>
    <n v="1"/>
    <n v="1.0013078844114387"/>
    <n v="15"/>
    <n v="16"/>
    <n v="0"/>
    <n v="195"/>
    <n v="5.1315384352228793E-2"/>
  </r>
  <r>
    <x v="1"/>
    <x v="1"/>
    <s v="000180"/>
    <s v="GARITA"/>
    <s v="01"/>
    <n v="32000"/>
    <s v="MIGRADO"/>
    <d v="2025-10-24T00:00:00"/>
    <n v="16"/>
    <s v="Viernes"/>
    <s v="11:00"/>
    <s v="Semanal"/>
    <n v="2432.02"/>
    <s v="07/11/2025"/>
    <n v="36480.32"/>
    <n v="38912.32"/>
    <n v="36480.32"/>
    <n v="30000"/>
    <n v="0"/>
    <n v="0"/>
    <n v="0"/>
    <n v="0"/>
    <n v="0"/>
    <n v="0"/>
    <m/>
    <n v="6400"/>
    <n v="5"/>
    <n v="1"/>
    <n v="1"/>
    <n v="15"/>
    <n v="16"/>
    <n v="0"/>
    <n v="176.98000000000002"/>
    <n v="7.2770783135007122E-2"/>
  </r>
  <r>
    <x v="2"/>
    <x v="10"/>
    <s v="000181"/>
    <s v="ZULA"/>
    <s v="01"/>
    <n v="70000"/>
    <s v="MIGRADO"/>
    <d v="2025-10-23T00:00:00"/>
    <n v="16"/>
    <s v="Jueves"/>
    <s v="16:00"/>
    <s v="Semanal"/>
    <n v="5320.05"/>
    <s v="06/11/2025"/>
    <n v="79794.75"/>
    <n v="85120.8"/>
    <n v="79800.75"/>
    <n v="65625"/>
    <n v="-6"/>
    <n v="0"/>
    <n v="0"/>
    <n v="0"/>
    <n v="0"/>
    <n v="0"/>
    <m/>
    <n v="11666.666666666666"/>
    <n v="6"/>
    <n v="1"/>
    <n v="1.0011184105412543"/>
    <n v="15"/>
    <n v="16"/>
    <n v="0"/>
    <n v="266"/>
    <n v="4.9999530079604511E-2"/>
  </r>
  <r>
    <x v="1"/>
    <x v="2"/>
    <s v="000106"/>
    <s v="FLOR DE LIZ"/>
    <s v="01"/>
    <n v="80000"/>
    <s v="MIGRADO"/>
    <d v="2025-09-25T00:00:00"/>
    <n v="16"/>
    <s v="Jueves"/>
    <s v="11:30"/>
    <s v="Semanal"/>
    <n v="6080.05"/>
    <s v="06/11/2025"/>
    <n v="66880.600000000006"/>
    <n v="97280.8"/>
    <n v="66880.600000000006"/>
    <n v="55000"/>
    <n v="0"/>
    <n v="0"/>
    <n v="0"/>
    <n v="0"/>
    <n v="0"/>
    <n v="0"/>
    <m/>
    <n v="11428.571428571429"/>
    <n v="7"/>
    <n v="5"/>
    <n v="5"/>
    <n v="11"/>
    <n v="16"/>
    <n v="0"/>
    <n v="2219.7499999999991"/>
    <n v="7.3017491632470094E-2"/>
  </r>
  <r>
    <x v="1"/>
    <x v="2"/>
    <s v="000010"/>
    <s v="FRESITAS"/>
    <s v="01"/>
    <n v="98000"/>
    <s v="MIGRADO"/>
    <d v="2025-08-13T00:00:00"/>
    <n v="16"/>
    <s v="Miércoles"/>
    <s v="12:00"/>
    <s v="Semanal"/>
    <n v="7448.07"/>
    <s v="05/11/2025"/>
    <n v="37240.82"/>
    <n v="119169.12"/>
    <n v="37240.82"/>
    <n v="30625.49"/>
    <n v="0"/>
    <n v="0"/>
    <n v="0"/>
    <n v="0"/>
    <n v="0"/>
    <n v="0"/>
    <m/>
    <n v="14000"/>
    <n v="7"/>
    <n v="11"/>
    <n v="10.999927497996126"/>
    <n v="5"/>
    <n v="16"/>
    <n v="0"/>
    <n v="5092.7699999999986"/>
    <n v="6.2160947857510848E-2"/>
  </r>
  <r>
    <x v="3"/>
    <x v="8"/>
    <s v="000072"/>
    <s v="LOS GALINDO"/>
    <s v="01"/>
    <n v="44000"/>
    <s v="MIGRADO"/>
    <d v="2025-09-11T00:00:00"/>
    <n v="16"/>
    <s v="Jueves"/>
    <s v="16:00"/>
    <s v="Semanal"/>
    <n v="3344.03"/>
    <s v="06/11/2025"/>
    <n v="30096.47"/>
    <n v="53504.480000000003"/>
    <n v="30096.47"/>
    <n v="24750.2"/>
    <n v="0"/>
    <n v="0"/>
    <n v="0"/>
    <n v="0"/>
    <n v="0"/>
    <n v="0"/>
    <m/>
    <n v="7333.333333333333"/>
    <n v="6"/>
    <n v="7"/>
    <n v="6.9999372015203205"/>
    <n v="9"/>
    <n v="16"/>
    <n v="0"/>
    <n v="2350"/>
    <n v="0.10039212737753121"/>
  </r>
  <r>
    <x v="3"/>
    <x v="8"/>
    <s v="000129"/>
    <s v="LOS TRIUNFADORES"/>
    <s v="01"/>
    <n v="62000"/>
    <s v="MIGRADO"/>
    <d v="2025-10-02T00:00:00"/>
    <n v="16"/>
    <s v="Jueves"/>
    <s v="16:00"/>
    <s v="Semanal"/>
    <n v="4712.04"/>
    <s v="06/11/2025"/>
    <n v="56544.66"/>
    <n v="75392.639999999999"/>
    <n v="56544.66"/>
    <n v="46500.18"/>
    <n v="0"/>
    <n v="0"/>
    <n v="0"/>
    <n v="0"/>
    <n v="0"/>
    <n v="0"/>
    <m/>
    <n v="10333.333333333334"/>
    <n v="6"/>
    <n v="4"/>
    <n v="3.9999660444308622"/>
    <n v="12"/>
    <n v="16"/>
    <n v="0"/>
    <n v="9212"/>
    <n v="0.48874797327696712"/>
  </r>
  <r>
    <x v="3"/>
    <x v="7"/>
    <s v="000109"/>
    <s v="LAS MOSQUETERAS"/>
    <s v="01"/>
    <n v="108000"/>
    <s v="MIGRADO"/>
    <d v="2025-09-24T00:00:00"/>
    <n v="16"/>
    <s v="Miércoles"/>
    <s v="11:00"/>
    <s v="Semanal"/>
    <n v="8208.07"/>
    <s v="05/11/2025"/>
    <n v="90289.01"/>
    <n v="131329.12"/>
    <n v="90289.01"/>
    <n v="74250.210000000006"/>
    <n v="0"/>
    <n v="0"/>
    <n v="0"/>
    <n v="0"/>
    <n v="0"/>
    <n v="0"/>
    <m/>
    <n v="21600"/>
    <n v="5"/>
    <n v="5"/>
    <n v="4.9999744154228702"/>
    <n v="11"/>
    <n v="16"/>
    <n v="0"/>
    <n v="4285.1399999999994"/>
    <n v="0.10441285222957405"/>
  </r>
  <r>
    <x v="3"/>
    <x v="6"/>
    <s v="000094"/>
    <s v="BIENVENIDOS"/>
    <s v="01"/>
    <n v="170000"/>
    <s v="MIGRADO"/>
    <d v="2025-09-19T00:00:00"/>
    <n v="16"/>
    <s v="Viernes"/>
    <s v="11:00"/>
    <s v="Semanal"/>
    <n v="12920.11"/>
    <s v="07/11/2025"/>
    <n v="129199.37000000001"/>
    <n v="206721.76"/>
    <n v="129201.1"/>
    <n v="106250"/>
    <n v="-1.7299999999959255"/>
    <n v="0"/>
    <n v="0"/>
    <n v="0"/>
    <n v="0"/>
    <n v="0"/>
    <m/>
    <n v="34000"/>
    <n v="5"/>
    <n v="6"/>
    <n v="6.000137769724871"/>
    <n v="10"/>
    <n v="16"/>
    <n v="0"/>
    <n v="5171.5599999999977"/>
    <n v="6.6712022317663419E-2"/>
  </r>
  <r>
    <x v="2"/>
    <x v="9"/>
    <s v="000022"/>
    <s v="HACHI"/>
    <s v="01"/>
    <n v="122000"/>
    <s v="MIGRADO"/>
    <d v="2025-08-19T00:00:00"/>
    <n v="16"/>
    <s v="Martes"/>
    <s v="14:00"/>
    <s v="Semanal"/>
    <n v="9272.08"/>
    <s v="04/11/2025"/>
    <n v="79638.22"/>
    <n v="148353.28"/>
    <n v="79638.22"/>
    <n v="66461.540000000008"/>
    <n v="0"/>
    <n v="14737.92"/>
    <n v="5973.6200000000008"/>
    <n v="20711.54"/>
    <n v="0.31163196037888974"/>
    <n v="66461.540000000008"/>
    <m/>
    <n v="12200"/>
    <n v="10"/>
    <n v="10"/>
    <n v="7.4109671184890553"/>
    <n v="6"/>
    <n v="16"/>
    <n v="17"/>
    <n v="2537.92"/>
    <n v="2.7371636137738242E-2"/>
  </r>
  <r>
    <x v="1"/>
    <x v="1"/>
    <s v="000093"/>
    <s v="PALOMAS MENSAJERAS"/>
    <s v="01"/>
    <n v="51000"/>
    <s v="MIGRADO"/>
    <d v="2025-09-19T00:00:00"/>
    <n v="16"/>
    <s v="Viernes"/>
    <s v="15:00"/>
    <s v="Semanal"/>
    <n v="3876.03"/>
    <s v="07/11/2025"/>
    <n v="38760.36"/>
    <n v="62016.480000000003"/>
    <n v="38760.36"/>
    <n v="31875.02"/>
    <n v="0"/>
    <n v="0"/>
    <n v="0"/>
    <n v="0"/>
    <n v="0"/>
    <n v="0"/>
    <m/>
    <n v="10200"/>
    <n v="5"/>
    <n v="6"/>
    <n v="6"/>
    <n v="10"/>
    <n v="16"/>
    <n v="0"/>
    <n v="2996.8199999999988"/>
    <n v="0.1288612317242126"/>
  </r>
  <r>
    <x v="2"/>
    <x v="9"/>
    <s v="000067"/>
    <s v="LOS DEL VALLE"/>
    <s v="01"/>
    <n v="70000"/>
    <s v="MIGRADO"/>
    <d v="2025-09-08T00:00:00"/>
    <n v="16"/>
    <s v="Lunes"/>
    <s v="11:00"/>
    <s v="Semanal"/>
    <n v="5320.05"/>
    <s v="03/11/2025"/>
    <n v="42517.75"/>
    <n v="85120.8"/>
    <n v="47880.450000000004"/>
    <n v="35000"/>
    <n v="-5362.7000000000044"/>
    <n v="0"/>
    <n v="0"/>
    <n v="0"/>
    <n v="0"/>
    <n v="0"/>
    <m/>
    <n v="11666.666666666666"/>
    <n v="6"/>
    <n v="7"/>
    <n v="8.0080074435390642"/>
    <n v="9"/>
    <n v="16"/>
    <n v="0"/>
    <n v="2235"/>
    <n v="6.0015547651942044E-2"/>
  </r>
  <r>
    <x v="2"/>
    <x v="10"/>
    <s v="000034"/>
    <s v="SONRISA"/>
    <s v="01"/>
    <n v="93000"/>
    <s v="MIGRADO"/>
    <d v="2025-08-28T00:00:00"/>
    <n v="16"/>
    <s v="Jueves"/>
    <s v="11:00"/>
    <s v="Semanal"/>
    <n v="7068.06"/>
    <s v="06/11/2025"/>
    <n v="49425.99"/>
    <n v="113088.96000000001"/>
    <n v="49476.420000000006"/>
    <n v="40687.5"/>
    <n v="-50.430000000007567"/>
    <n v="0"/>
    <n v="0"/>
    <n v="0"/>
    <n v="0"/>
    <n v="0"/>
    <m/>
    <n v="10333.333333333334"/>
    <n v="9"/>
    <n v="9"/>
    <n v="9.0071391584112188"/>
    <n v="7"/>
    <n v="16"/>
    <n v="0"/>
    <n v="6473"/>
    <n v="0.10175666621706977"/>
  </r>
  <r>
    <x v="3"/>
    <x v="6"/>
    <s v="000148"/>
    <s v="EMPRENDEDORAS"/>
    <s v="01"/>
    <n v="58000"/>
    <s v="MIGRADO"/>
    <d v="2025-10-13T00:00:00"/>
    <n v="16"/>
    <s v="Lunes"/>
    <s v="11:00"/>
    <s v="Semanal"/>
    <n v="4408.04"/>
    <s v="03/11/2025"/>
    <n v="60910.62"/>
    <n v="70528.639999999999"/>
    <n v="61712.56"/>
    <n v="50731.12"/>
    <n v="-801.93999999999505"/>
    <n v="0"/>
    <n v="0"/>
    <n v="0"/>
    <n v="0"/>
    <n v="0"/>
    <m/>
    <n v="9666.6666666666661"/>
    <n v="6"/>
    <n v="2"/>
    <n v="2.1819221241186559"/>
    <n v="14"/>
    <n v="16"/>
    <n v="0"/>
    <n v="88.039999999999964"/>
    <n v="9.9862977649930549E-3"/>
  </r>
  <r>
    <x v="0"/>
    <x v="5"/>
    <s v="000044"/>
    <s v="ALAMOS DE LA MARISCAL"/>
    <s v="01"/>
    <n v="100000"/>
    <s v="MIGRADO"/>
    <d v="2025-08-28T00:00:00"/>
    <n v="16"/>
    <s v="Jueves"/>
    <s v="09:30"/>
    <s v="Semanal"/>
    <n v="7600.07"/>
    <s v="06/11/2025"/>
    <n v="50550.07"/>
    <n v="121601.12"/>
    <n v="53200.489999999991"/>
    <n v="42449.66"/>
    <n v="-2650.419999999991"/>
    <n v="0"/>
    <n v="0"/>
    <n v="0"/>
    <n v="0"/>
    <n v="0"/>
    <m/>
    <n v="20000"/>
    <n v="5"/>
    <n v="9"/>
    <n v="9.3487296827529232"/>
    <n v="7"/>
    <n v="16"/>
    <n v="0"/>
    <n v="3430"/>
    <n v="5.0145736961779451E-2"/>
  </r>
  <r>
    <x v="0"/>
    <x v="0"/>
    <s v="000191"/>
    <s v="COLIBRIS"/>
    <s v="01"/>
    <n v="50000"/>
    <s v="MIGRADO"/>
    <d v="2025-10-29T00:00:00"/>
    <n v="16"/>
    <s v="Miércoles"/>
    <s v="10:00"/>
    <s v="Semanal"/>
    <n v="3800.03"/>
    <s v="05/11/2025"/>
    <n v="60800.53"/>
    <n v="60800.480000000003"/>
    <n v="60800.53"/>
    <n v="50000"/>
    <n v="0"/>
    <n v="0"/>
    <n v="0"/>
    <n v="0"/>
    <n v="0"/>
    <n v="0"/>
    <m/>
    <n v="8333.3333333333339"/>
    <n v="6"/>
    <n v="0"/>
    <n v="0"/>
    <n v="16"/>
    <n v="16"/>
    <n v="0"/>
    <n v="0"/>
    <n v="0"/>
  </r>
  <r>
    <x v="0"/>
    <x v="5"/>
    <s v="000186"/>
    <s v="VENUS"/>
    <s v="01"/>
    <n v="118500"/>
    <s v="MIGRADO"/>
    <d v="2025-10-27T00:00:00"/>
    <n v="16"/>
    <s v="Lunes"/>
    <s v="13:00"/>
    <s v="Semanal"/>
    <n v="9006.08"/>
    <s v="03/11/2025"/>
    <n v="135090.26"/>
    <n v="144097.28"/>
    <n v="144097.28"/>
    <n v="111093.75"/>
    <n v="-9007.0199999999895"/>
    <n v="0"/>
    <n v="0"/>
    <n v="0"/>
    <n v="0"/>
    <n v="0"/>
    <m/>
    <n v="16928.571428571428"/>
    <n v="7"/>
    <n v="0"/>
    <n v="1.0001021532120522"/>
    <n v="16"/>
    <n v="16"/>
    <n v="0"/>
    <n v="450"/>
    <n v="0"/>
  </r>
  <r>
    <x v="0"/>
    <x v="5"/>
    <s v="000149"/>
    <s v="LA LOMA"/>
    <s v="01"/>
    <n v="158000"/>
    <s v="MIGRADO"/>
    <d v="2025-10-13T00:00:00"/>
    <n v="16"/>
    <s v="Lunes"/>
    <s v="10:00"/>
    <s v="Semanal"/>
    <n v="12008.11"/>
    <s v="03/11/2025"/>
    <n v="168113.69"/>
    <n v="192129.76"/>
    <n v="168113.69"/>
    <n v="138250.21"/>
    <n v="0"/>
    <n v="0"/>
    <n v="0"/>
    <n v="0"/>
    <n v="0"/>
    <n v="0"/>
    <m/>
    <n v="26333.333333333332"/>
    <n v="6"/>
    <n v="2"/>
    <n v="1.9999816790485763"/>
    <n v="14"/>
    <n v="16"/>
    <n v="0"/>
    <n v="1264"/>
    <n v="5.2631096817067798E-2"/>
  </r>
  <r>
    <x v="2"/>
    <x v="9"/>
    <s v="000065"/>
    <s v="APOYATE EN MI"/>
    <s v="01"/>
    <n v="97000"/>
    <s v="MIGRADO"/>
    <d v="2025-09-09T00:00:00"/>
    <n v="16"/>
    <s v="Martes"/>
    <s v="10:00"/>
    <s v="Semanal"/>
    <n v="7372.06"/>
    <s v="04/11/2025"/>
    <n v="66324.03"/>
    <n v="117952.96000000001"/>
    <n v="66348.540000000008"/>
    <n v="54562.5"/>
    <n v="-24.510000000009313"/>
    <n v="0"/>
    <n v="0"/>
    <n v="0"/>
    <n v="0"/>
    <n v="0"/>
    <m/>
    <n v="16166.666666666666"/>
    <n v="6"/>
    <n v="7"/>
    <n v="7.003334210519176"/>
    <n v="9"/>
    <n v="16"/>
    <n v="0"/>
    <n v="2817"/>
    <n v="5.4588347277229346E-2"/>
  </r>
  <r>
    <x v="2"/>
    <x v="9"/>
    <s v="000142"/>
    <s v="GRUPO GIRASOL"/>
    <s v="01"/>
    <n v="50000"/>
    <s v="MIGRADO"/>
    <d v="2025-10-09T00:00:00"/>
    <n v="16"/>
    <s v="Jueves"/>
    <s v="11:00"/>
    <s v="Semanal"/>
    <n v="3800.03"/>
    <s v="06/11/2025"/>
    <n v="49397.53"/>
    <n v="60800.480000000003"/>
    <n v="49400.39"/>
    <n v="40625"/>
    <n v="-2.8600000000005821"/>
    <n v="0"/>
    <n v="0"/>
    <n v="0"/>
    <n v="0"/>
    <n v="0"/>
    <m/>
    <n v="8333.3333333333339"/>
    <n v="6"/>
    <n v="3"/>
    <n v="3.0007657834280255"/>
    <n v="13"/>
    <n v="16"/>
    <n v="0"/>
    <n v="330"/>
    <n v="2.8947139891000857E-2"/>
  </r>
  <r>
    <x v="3"/>
    <x v="6"/>
    <s v="000165"/>
    <s v="MARAVILLAS"/>
    <s v="01"/>
    <n v="46000"/>
    <s v="MIGRADO"/>
    <d v="2025-10-17T00:00:00"/>
    <n v="16"/>
    <s v="Viernes"/>
    <s v="12:00"/>
    <s v="Semanal"/>
    <n v="3496.03"/>
    <s v="07/11/2025"/>
    <n v="48942.49"/>
    <n v="55936.480000000003"/>
    <n v="48944.420000000006"/>
    <n v="40250"/>
    <n v="-1.930000000007567"/>
    <n v="0"/>
    <n v="0"/>
    <n v="0"/>
    <n v="0"/>
    <n v="0"/>
    <m/>
    <n v="9200"/>
    <n v="5"/>
    <n v="2"/>
    <n v="2.0005549151466089"/>
    <n v="14"/>
    <n v="16"/>
    <n v="0"/>
    <n v="189"/>
    <n v="2.7030660492043831E-2"/>
  </r>
  <r>
    <x v="0"/>
    <x v="5"/>
    <s v="000055"/>
    <s v="MAGIA"/>
    <s v="01"/>
    <n v="119000"/>
    <s v="MIGRADO"/>
    <d v="2025-08-29T00:00:00"/>
    <n v="16"/>
    <s v="Viernes"/>
    <s v="16:00"/>
    <s v="Semanal"/>
    <n v="9044.08"/>
    <s v="07/11/2025"/>
    <n v="63300.270000000004"/>
    <n v="144705.28"/>
    <n v="63308.56"/>
    <n v="52062.5"/>
    <n v="-8.2899999999935972"/>
    <n v="0"/>
    <n v="0"/>
    <n v="0"/>
    <n v="0"/>
    <n v="0"/>
    <m/>
    <n v="19833.333333333332"/>
    <n v="6"/>
    <n v="9"/>
    <n v="9.0009155160060512"/>
    <n v="7"/>
    <n v="16"/>
    <n v="0"/>
    <n v="4588"/>
    <n v="5.6365907618881939E-2"/>
  </r>
  <r>
    <x v="0"/>
    <x v="0"/>
    <s v="000200"/>
    <s v="EL SUEÑO"/>
    <s v="01"/>
    <n v="29000"/>
    <s v="MIGRADO"/>
    <d v="2025-10-30T00:00:00"/>
    <n v="16"/>
    <s v="Jueves"/>
    <s v="15:00"/>
    <s v="Semanal"/>
    <n v="2204.02"/>
    <s v="06/11/2025"/>
    <n v="35264.31"/>
    <n v="35264.32"/>
    <n v="35264.32"/>
    <n v="29000"/>
    <n v="-1.0000000002037268E-2"/>
    <n v="0"/>
    <n v="0"/>
    <n v="0"/>
    <n v="0"/>
    <n v="0"/>
    <m/>
    <n v="5800"/>
    <n v="5"/>
    <n v="0"/>
    <n v="0"/>
    <n v="16"/>
    <n v="16"/>
    <n v="0"/>
    <n v="0"/>
    <n v="0"/>
  </r>
  <r>
    <x v="3"/>
    <x v="8"/>
    <s v="000117"/>
    <s v="GUERREROS DJ"/>
    <s v="01"/>
    <n v="114000"/>
    <s v="MIGRADO"/>
    <d v="2025-09-30T00:00:00"/>
    <n v="16"/>
    <s v="Martes"/>
    <s v="10:00"/>
    <s v="Semanal"/>
    <n v="8664.08"/>
    <s v="04/11/2025"/>
    <n v="103969.22"/>
    <n v="138625.28"/>
    <n v="103969.22"/>
    <n v="85500.32"/>
    <n v="0"/>
    <n v="0"/>
    <n v="0"/>
    <n v="0"/>
    <n v="0"/>
    <n v="0"/>
    <m/>
    <n v="16285.714285714286"/>
    <n v="7"/>
    <n v="4"/>
    <n v="3.9999630658996685"/>
    <n v="12"/>
    <n v="16"/>
    <n v="0"/>
    <n v="3484"/>
    <n v="0.10053000433975678"/>
  </r>
  <r>
    <x v="0"/>
    <x v="0"/>
    <s v="000139"/>
    <s v="LAS VENENOSAS"/>
    <s v="01"/>
    <n v="75000"/>
    <s v="MIGRADO"/>
    <d v="2025-10-08T00:00:00"/>
    <n v="16"/>
    <s v="Miércoles"/>
    <s v="10:00"/>
    <s v="Semanal"/>
    <n v="5700.05"/>
    <s v="05/11/2025"/>
    <n v="74100.800000000003"/>
    <n v="91200.8"/>
    <n v="74100.800000000003"/>
    <n v="60937.65"/>
    <n v="0"/>
    <n v="0"/>
    <n v="0"/>
    <n v="0"/>
    <n v="0"/>
    <n v="0"/>
    <m/>
    <n v="10714.285714285714"/>
    <n v="7"/>
    <n v="3"/>
    <n v="2.9999736844413643"/>
    <n v="13"/>
    <n v="16"/>
    <n v="0"/>
    <n v="900"/>
    <n v="5.2631117270901133E-2"/>
  </r>
  <r>
    <x v="2"/>
    <x v="14"/>
    <s v="000209"/>
    <s v="BOMBONES"/>
    <s v="01"/>
    <n v="110000"/>
    <s v="MIGRADO"/>
    <d v="2025-10-31T00:00:00"/>
    <n v="16"/>
    <s v="Viernes"/>
    <s v="14:00"/>
    <s v="Semanal"/>
    <n v="8360.07"/>
    <s v="07/11/2025"/>
    <n v="133761.17000000001"/>
    <n v="133761.12"/>
    <n v="133761.17000000001"/>
    <n v="110000"/>
    <n v="0"/>
    <n v="0"/>
    <n v="0"/>
    <n v="0"/>
    <n v="0"/>
    <n v="0"/>
    <m/>
    <n v="22000"/>
    <n v="5"/>
    <n v="0"/>
    <n v="0"/>
    <n v="16"/>
    <n v="16"/>
    <n v="0"/>
    <n v="0"/>
    <n v="0"/>
  </r>
  <r>
    <x v="1"/>
    <x v="2"/>
    <s v="000214"/>
    <s v="EUROPEOS"/>
    <s v="01"/>
    <n v="75000"/>
    <s v="MIGRADO"/>
    <d v="2025-10-31T00:00:00"/>
    <n v="16"/>
    <s v="Viernes"/>
    <s v="14:30"/>
    <s v="Semanal"/>
    <n v="5700.05"/>
    <s v="07/11/2025"/>
    <n v="91200.8"/>
    <n v="91200.8"/>
    <n v="91200.8"/>
    <n v="75000"/>
    <n v="0"/>
    <n v="0"/>
    <n v="0"/>
    <n v="0"/>
    <n v="0"/>
    <n v="0"/>
    <m/>
    <n v="12500"/>
    <n v="6"/>
    <n v="0"/>
    <n v="0"/>
    <n v="16"/>
    <n v="16"/>
    <n v="0"/>
    <n v="0"/>
    <n v="0"/>
  </r>
  <r>
    <x v="1"/>
    <x v="1"/>
    <s v="000025"/>
    <s v="EXITOSAS DE SAN JUAN"/>
    <s v="01"/>
    <n v="51000"/>
    <s v="MIGRADO"/>
    <d v="2025-08-22T00:00:00"/>
    <n v="16"/>
    <s v="Viernes"/>
    <s v="12:00"/>
    <s v="Semanal"/>
    <n v="3876.03"/>
    <s v="07/11/2025"/>
    <n v="23256.240000000002"/>
    <n v="62016.480000000003"/>
    <n v="23256.240000000002"/>
    <n v="19125.03"/>
    <n v="0"/>
    <n v="0"/>
    <n v="0"/>
    <n v="0"/>
    <n v="0"/>
    <n v="0"/>
    <m/>
    <n v="10200"/>
    <n v="5"/>
    <n v="10"/>
    <n v="10"/>
    <n v="6"/>
    <n v="16"/>
    <n v="0"/>
    <n v="3239.699999999998"/>
    <n v="8.3582944404455017E-2"/>
  </r>
  <r>
    <x v="3"/>
    <x v="6"/>
    <s v="000012"/>
    <s v="ESTRELLA"/>
    <s v="01"/>
    <n v="51000"/>
    <s v="MIGRADO"/>
    <d v="2025-08-19T00:00:00"/>
    <n v="16"/>
    <s v="Miércoles"/>
    <s v="16:00"/>
    <s v="Semanal"/>
    <n v="3882.1800000000003"/>
    <s v="05/11/2025"/>
    <n v="23294.720000000001"/>
    <n v="62114.880000000005"/>
    <n v="23294.720000000001"/>
    <n v="19126.64"/>
    <n v="0"/>
    <n v="0"/>
    <n v="0"/>
    <n v="0"/>
    <n v="0"/>
    <n v="0"/>
    <m/>
    <n v="10200"/>
    <n v="5"/>
    <n v="10"/>
    <n v="9.9995827086842954"/>
    <n v="6"/>
    <n v="16"/>
    <n v="0"/>
    <n v="7511.82"/>
    <n v="0.19349489204519107"/>
  </r>
  <r>
    <x v="3"/>
    <x v="8"/>
    <s v="000105"/>
    <s v="CASCADA DE LUZ"/>
    <s v="01"/>
    <n v="102000"/>
    <s v="MIGRADO"/>
    <d v="2025-09-24T00:00:00"/>
    <n v="16"/>
    <s v="Miércoles"/>
    <s v="12:00"/>
    <s v="Semanal"/>
    <n v="7752.07"/>
    <s v="05/11/2025"/>
    <n v="85263.09"/>
    <n v="124033.12"/>
    <n v="85272.76999999999"/>
    <n v="70125"/>
    <n v="-9.6799999999930151"/>
    <n v="0"/>
    <n v="0"/>
    <n v="0"/>
    <n v="0"/>
    <n v="0"/>
    <m/>
    <n v="17000"/>
    <n v="6"/>
    <n v="5"/>
    <n v="5.0012448288005658"/>
    <n v="11"/>
    <n v="16"/>
    <n v="0"/>
    <n v="2670"/>
    <n v="6.8884826891398049E-2"/>
  </r>
  <r>
    <x v="3"/>
    <x v="6"/>
    <s v="000097"/>
    <s v="LAS BELLAS"/>
    <s v="01"/>
    <n v="51000"/>
    <s v="MIGRADO"/>
    <d v="2025-09-29T00:00:00"/>
    <n v="16"/>
    <s v="Lunes"/>
    <s v="11:00"/>
    <s v="Semanal"/>
    <n v="3876.03"/>
    <s v="03/11/2025"/>
    <n v="42640.54"/>
    <n v="62016.480000000003"/>
    <n v="46512.36"/>
    <n v="35066.67"/>
    <n v="-3871.8199999999997"/>
    <n v="0"/>
    <n v="0"/>
    <n v="0"/>
    <n v="0"/>
    <n v="0"/>
    <m/>
    <n v="10200"/>
    <n v="5"/>
    <n v="4"/>
    <n v="4.9989293168525526"/>
    <n v="12"/>
    <n v="16"/>
    <n v="0"/>
    <n v="1949"/>
    <n v="0.12570852134787397"/>
  </r>
  <r>
    <x v="1"/>
    <x v="2"/>
    <s v="000150"/>
    <s v="ESTRELLITAS"/>
    <s v="01"/>
    <n v="150000"/>
    <s v="MIGRADO"/>
    <d v="2025-10-14T00:00:00"/>
    <n v="16"/>
    <s v="Martes"/>
    <s v="13:00"/>
    <s v="Semanal"/>
    <n v="11400.1"/>
    <s v="04/11/2025"/>
    <n v="159601.4"/>
    <n v="182401.6"/>
    <n v="159601.4"/>
    <n v="131250"/>
    <n v="0"/>
    <n v="0"/>
    <n v="0"/>
    <n v="0"/>
    <n v="0"/>
    <n v="0"/>
    <m/>
    <n v="25000"/>
    <n v="6"/>
    <n v="2"/>
    <n v="2"/>
    <n v="14"/>
    <n v="16"/>
    <n v="0"/>
    <n v="1643.7999999999993"/>
    <n v="7.209585880825603E-2"/>
  </r>
  <r>
    <x v="3"/>
    <x v="7"/>
    <s v="000147"/>
    <s v="CHERRY"/>
    <s v="01"/>
    <n v="52000"/>
    <s v="MIGRADO"/>
    <d v="2025-10-13T00:00:00"/>
    <n v="16"/>
    <s v="Lunes"/>
    <s v="11:00"/>
    <s v="Semanal"/>
    <n v="3952.03"/>
    <s v="03/11/2025"/>
    <n v="55328.55"/>
    <n v="63232.480000000003"/>
    <n v="55328.55"/>
    <n v="45500.05"/>
    <n v="0"/>
    <n v="0"/>
    <n v="0"/>
    <n v="0"/>
    <n v="0"/>
    <n v="0"/>
    <m/>
    <n v="10400"/>
    <n v="5"/>
    <n v="2"/>
    <n v="1.9999848179290136"/>
    <n v="14"/>
    <n v="16"/>
    <n v="0"/>
    <n v="480"/>
    <n v="6.0728283945212964E-2"/>
  </r>
  <r>
    <x v="3"/>
    <x v="6"/>
    <s v="000085"/>
    <s v="METATRON"/>
    <s v="01"/>
    <n v="120000"/>
    <s v="MIGRADO"/>
    <d v="2025-09-12T00:00:00"/>
    <n v="16"/>
    <s v="Viernes"/>
    <s v="12:00"/>
    <s v="Semanal"/>
    <n v="9120.08"/>
    <s v="07/11/2025"/>
    <n v="82077.040000000008"/>
    <n v="145921.28"/>
    <n v="82080.72"/>
    <n v="67500"/>
    <n v="-3.6799999999930151"/>
    <n v="0"/>
    <n v="0"/>
    <n v="0"/>
    <n v="0"/>
    <n v="0"/>
    <m/>
    <n v="24000"/>
    <n v="5"/>
    <n v="7"/>
    <n v="7.0004035052324101"/>
    <n v="9"/>
    <n v="16"/>
    <n v="0"/>
    <n v="6379.76"/>
    <n v="9.9932707357203637E-2"/>
  </r>
  <r>
    <x v="1"/>
    <x v="2"/>
    <s v="000087"/>
    <s v="NUEVO AMANECER"/>
    <s v="01"/>
    <n v="155000"/>
    <s v="MIGRADO"/>
    <d v="2025-09-15T00:00:00"/>
    <n v="16"/>
    <s v="Lunes"/>
    <s v="12:00"/>
    <s v="Semanal"/>
    <n v="11780.1"/>
    <s v="03/11/2025"/>
    <n v="117801.05"/>
    <n v="188481.6"/>
    <n v="117801.05"/>
    <n v="96875.02"/>
    <n v="0"/>
    <n v="0"/>
    <n v="0"/>
    <n v="0"/>
    <n v="0"/>
    <n v="0"/>
    <m/>
    <n v="25833.333333333332"/>
    <n v="6"/>
    <n v="6"/>
    <n v="6"/>
    <n v="10"/>
    <n v="16"/>
    <n v="0"/>
    <n v="3541.3999999999978"/>
    <n v="5.0104271893560572E-2"/>
  </r>
  <r>
    <x v="3"/>
    <x v="6"/>
    <s v="000197"/>
    <s v="SOL"/>
    <s v="01"/>
    <n v="57000"/>
    <s v="MIGRADO"/>
    <d v="2025-10-30T00:00:00"/>
    <n v="16"/>
    <s v="Jueves"/>
    <s v="16:00"/>
    <s v="Semanal"/>
    <n v="4332.04"/>
    <s v="06/11/2025"/>
    <n v="69312.61"/>
    <n v="69312.639999999999"/>
    <n v="69312.639999999999"/>
    <n v="57000"/>
    <n v="-2.9999999998835847E-2"/>
    <n v="0"/>
    <n v="0"/>
    <n v="0"/>
    <n v="0"/>
    <n v="0"/>
    <m/>
    <n v="9500"/>
    <n v="6"/>
    <n v="0"/>
    <n v="0"/>
    <n v="16"/>
    <n v="16"/>
    <n v="0"/>
    <n v="0"/>
    <n v="0"/>
  </r>
  <r>
    <x v="1"/>
    <x v="1"/>
    <s v="000162"/>
    <s v="MARAGARITAS"/>
    <s v="01"/>
    <n v="107000"/>
    <s v="MIGRADO"/>
    <d v="2025-10-17T00:00:00"/>
    <n v="16"/>
    <s v="Viernes"/>
    <s v="10:00"/>
    <s v="Semanal"/>
    <n v="8132.0700000000006"/>
    <s v="07/11/2025"/>
    <n v="113841.14"/>
    <n v="130113.12000000001"/>
    <n v="113848.98000000001"/>
    <n v="93625"/>
    <n v="-7.8400000000110595"/>
    <n v="0"/>
    <n v="0"/>
    <n v="0"/>
    <n v="0"/>
    <n v="0"/>
    <m/>
    <n v="17833.333333333332"/>
    <n v="6"/>
    <n v="2"/>
    <n v="2.0009665435737762"/>
    <n v="14"/>
    <n v="16"/>
    <n v="0"/>
    <n v="1168"/>
    <n v="7.1814433471428546E-2"/>
  </r>
  <r>
    <x v="1"/>
    <x v="1"/>
    <s v="000059"/>
    <s v="GABANNA"/>
    <s v="01"/>
    <n v="114000"/>
    <s v="MIGRADO"/>
    <d v="2025-09-04T00:00:00"/>
    <n v="16"/>
    <s v="Jueves"/>
    <s v="16:00"/>
    <s v="Semanal"/>
    <n v="8664.08"/>
    <s v="06/11/2025"/>
    <n v="77976.66"/>
    <n v="138625.28"/>
    <n v="77976.66"/>
    <n v="64125"/>
    <n v="0"/>
    <n v="7125"/>
    <n v="0"/>
    <n v="7125"/>
    <n v="0.1111111111111111"/>
    <n v="64125"/>
    <m/>
    <n v="16285.714285714286"/>
    <n v="7"/>
    <n v="8"/>
    <n v="7"/>
    <n v="8"/>
    <n v="16"/>
    <n v="1"/>
    <n v="4788.4400000000005"/>
    <n v="6.9084657574722305E-2"/>
  </r>
  <r>
    <x v="2"/>
    <x v="3"/>
    <s v="000063"/>
    <s v="FATY"/>
    <s v="01"/>
    <n v="85000"/>
    <s v="MIGRADO"/>
    <d v="2025-09-05T00:00:00"/>
    <n v="16"/>
    <s v="Viernes"/>
    <s v="11:00"/>
    <s v="Semanal"/>
    <n v="6460.06"/>
    <s v="07/11/2025"/>
    <n v="51640.91"/>
    <n v="103360.96000000001"/>
    <n v="51680.480000000003"/>
    <n v="42500"/>
    <n v="-39.569999999999709"/>
    <n v="0"/>
    <n v="0"/>
    <n v="0"/>
    <n v="0"/>
    <n v="0"/>
    <m/>
    <n v="14166.666666666666"/>
    <n v="6"/>
    <n v="8"/>
    <n v="8.0061175902391"/>
    <n v="8"/>
    <n v="16"/>
    <n v="0"/>
    <n v="3222"/>
    <n v="6.2344622186171643E-2"/>
  </r>
  <r>
    <x v="0"/>
    <x v="5"/>
    <s v="000187"/>
    <s v="LA ANTORCHA"/>
    <s v="01"/>
    <n v="58000"/>
    <s v="MIGRADO"/>
    <d v="2025-10-27T00:00:00"/>
    <n v="16"/>
    <s v="Lunes"/>
    <s v="15:00"/>
    <s v="Semanal"/>
    <n v="4408.04"/>
    <s v="03/11/2025"/>
    <n v="66119.62"/>
    <n v="70528.639999999999"/>
    <n v="70528.639999999999"/>
    <n v="54375"/>
    <n v="-4409.0200000000041"/>
    <n v="0"/>
    <n v="0"/>
    <n v="0"/>
    <n v="0"/>
    <n v="0"/>
    <m/>
    <n v="9666.6666666666661"/>
    <n v="6"/>
    <n v="0"/>
    <n v="1.00021778386766"/>
    <n v="16"/>
    <n v="16"/>
    <n v="0"/>
    <n v="391"/>
    <n v="0"/>
  </r>
  <r>
    <x v="3"/>
    <x v="8"/>
    <s v="000153"/>
    <s v="TULIPANES"/>
    <s v="01"/>
    <n v="42000"/>
    <s v="MIGRADO"/>
    <d v="2025-10-17T00:00:00"/>
    <n v="16"/>
    <s v="Viernes"/>
    <s v="15:00"/>
    <s v="Semanal"/>
    <n v="3192.03"/>
    <s v="07/11/2025"/>
    <n v="44688.450000000004"/>
    <n v="51072.480000000003"/>
    <n v="44688.450000000004"/>
    <n v="36750.050000000003"/>
    <n v="0"/>
    <n v="0"/>
    <n v="0"/>
    <n v="0"/>
    <n v="0"/>
    <n v="0"/>
    <m/>
    <n v="8400"/>
    <n v="5"/>
    <n v="2"/>
    <n v="1.9999812031841804"/>
    <n v="14"/>
    <n v="16"/>
    <n v="0"/>
    <n v="640"/>
    <n v="0.10024968437013436"/>
  </r>
  <r>
    <x v="3"/>
    <x v="6"/>
    <s v="000182"/>
    <s v="GRUPO ANGEL"/>
    <s v="01"/>
    <n v="57000"/>
    <s v="MIGRADO"/>
    <d v="2025-10-24T00:00:00"/>
    <n v="16"/>
    <s v="Viernes"/>
    <s v="14:00"/>
    <s v="Semanal"/>
    <n v="4332.04"/>
    <s v="07/11/2025"/>
    <n v="64979.61"/>
    <n v="69312.639999999999"/>
    <n v="64980.6"/>
    <n v="53437.5"/>
    <n v="-0.98999999999796273"/>
    <n v="0"/>
    <n v="0"/>
    <n v="0"/>
    <n v="0"/>
    <n v="0"/>
    <m/>
    <n v="11400"/>
    <n v="5"/>
    <n v="1"/>
    <n v="1.0002216046019889"/>
    <n v="15"/>
    <n v="16"/>
    <n v="0"/>
    <n v="546"/>
    <n v="0.12603761738118763"/>
  </r>
  <r>
    <x v="2"/>
    <x v="3"/>
    <s v="000131"/>
    <s v="REENCUENTRO"/>
    <s v="01"/>
    <n v="67000"/>
    <s v="MIGRADO"/>
    <d v="2025-10-02T00:00:00"/>
    <n v="16"/>
    <s v="Jueves"/>
    <s v="11:00"/>
    <s v="Semanal"/>
    <n v="5092.04"/>
    <s v="06/11/2025"/>
    <n v="61085.71"/>
    <n v="81472.639999999999"/>
    <n v="61104.479999999996"/>
    <n v="50250"/>
    <n v="-18.769999999996799"/>
    <n v="0"/>
    <n v="0"/>
    <n v="0"/>
    <n v="0"/>
    <n v="0"/>
    <m/>
    <n v="11166.666666666666"/>
    <n v="6"/>
    <n v="4"/>
    <n v="4.0036998923810501"/>
    <n v="12"/>
    <n v="16"/>
    <n v="0"/>
    <n v="1055"/>
    <n v="5.1796529485235783E-2"/>
  </r>
  <r>
    <x v="2"/>
    <x v="9"/>
    <s v="000127"/>
    <s v="LUNA"/>
    <s v="01"/>
    <n v="70000"/>
    <s v="MIGRADO"/>
    <d v="2025-10-02T00:00:00"/>
    <n v="16"/>
    <s v="Jueves"/>
    <s v="15:00"/>
    <s v="Semanal"/>
    <n v="5320.05"/>
    <s v="06/11/2025"/>
    <n v="63819.75"/>
    <n v="85120.8"/>
    <n v="63840.600000000006"/>
    <n v="52500"/>
    <n v="-20.850000000005821"/>
    <n v="0"/>
    <n v="0"/>
    <n v="0"/>
    <n v="0"/>
    <n v="0"/>
    <m/>
    <n v="11666.666666666666"/>
    <n v="6"/>
    <n v="4"/>
    <n v="4.0039097376904351"/>
    <n v="12"/>
    <n v="16"/>
    <n v="0"/>
    <n v="1043"/>
    <n v="4.9012697249086003E-2"/>
  </r>
  <r>
    <x v="0"/>
    <x v="4"/>
    <s v="000006"/>
    <s v="LINDAS"/>
    <s v="01"/>
    <n v="184000"/>
    <s v="MIGRADO"/>
    <d v="2025-08-12T00:00:00"/>
    <n v="16"/>
    <s v="Martes"/>
    <s v="16:00"/>
    <s v="Semanal"/>
    <n v="13984.12"/>
    <s v="04/11/2025"/>
    <n v="69921.72"/>
    <n v="223745.92000000001"/>
    <n v="69921.72"/>
    <n v="57501.1"/>
    <n v="0"/>
    <n v="0"/>
    <n v="0"/>
    <n v="0"/>
    <n v="0"/>
    <n v="0"/>
    <m/>
    <n v="30666.666666666668"/>
    <n v="6"/>
    <n v="11"/>
    <n v="10.999922769541453"/>
    <n v="5"/>
    <n v="16"/>
    <n v="0"/>
    <n v="7897.7599999999984"/>
    <n v="5.1342392786831177E-2"/>
  </r>
  <r>
    <x v="1"/>
    <x v="1"/>
    <s v="000083"/>
    <s v="INDEPENDENCIA"/>
    <s v="01"/>
    <n v="44000"/>
    <s v="MIGRADO"/>
    <d v="2025-09-12T00:00:00"/>
    <n v="16"/>
    <s v="Viernes"/>
    <s v="13:30"/>
    <s v="Semanal"/>
    <n v="3344.03"/>
    <s v="07/11/2025"/>
    <n v="30096.260000000002"/>
    <n v="53504.480000000003"/>
    <n v="30096.27"/>
    <n v="24750.010000000002"/>
    <n v="-9.9999999983992893E-3"/>
    <n v="0"/>
    <n v="0"/>
    <n v="0"/>
    <n v="0"/>
    <n v="0"/>
    <m/>
    <n v="8800"/>
    <n v="5"/>
    <n v="7"/>
    <n v="7"/>
    <n v="9"/>
    <n v="16"/>
    <n v="0"/>
    <n v="1383.7899999999986"/>
    <n v="5.9115583805852669E-2"/>
  </r>
  <r>
    <x v="3"/>
    <x v="8"/>
    <s v="000046"/>
    <s v="LOS PEQUES"/>
    <s v="01"/>
    <n v="140000"/>
    <s v="MIGRADO"/>
    <d v="2025-08-28T00:00:00"/>
    <n v="16"/>
    <s v="Jueves"/>
    <s v="15:00"/>
    <s v="Semanal"/>
    <n v="10640.09"/>
    <s v="06/11/2025"/>
    <n v="74481.490000000005"/>
    <n v="170241.44"/>
    <n v="74481.490000000005"/>
    <n v="61250.840000000004"/>
    <n v="0"/>
    <n v="0"/>
    <n v="0"/>
    <n v="0"/>
    <n v="0"/>
    <n v="0"/>
    <m/>
    <n v="20000"/>
    <n v="7"/>
    <n v="9"/>
    <n v="8.9999238728243842"/>
    <n v="7"/>
    <n v="16"/>
    <n v="0"/>
    <n v="9576"/>
    <n v="9.9999154142493149E-2"/>
  </r>
  <r>
    <x v="1"/>
    <x v="1"/>
    <s v="000037"/>
    <s v="FANTASTICAS"/>
    <s v="01"/>
    <n v="57000"/>
    <s v="MIGRADO"/>
    <d v="2025-08-27T00:00:00"/>
    <n v="16"/>
    <s v="Miércoles"/>
    <s v="12:00"/>
    <s v="Semanal"/>
    <n v="4332.04"/>
    <s v="05/11/2025"/>
    <n v="30324.25"/>
    <n v="69312.639999999999"/>
    <n v="30324.28"/>
    <n v="24937.5"/>
    <n v="-2.9999999998835847E-2"/>
    <n v="0"/>
    <n v="0"/>
    <n v="0"/>
    <n v="0"/>
    <n v="0"/>
    <m/>
    <n v="9500"/>
    <n v="6"/>
    <n v="9"/>
    <n v="9"/>
    <n v="7"/>
    <n v="16"/>
    <n v="0"/>
    <n v="2042.6400000000003"/>
    <n v="5.2391021320209424E-2"/>
  </r>
  <r>
    <x v="0"/>
    <x v="13"/>
    <s v="000172"/>
    <s v="TROYA"/>
    <s v="01"/>
    <n v="74000"/>
    <s v="MIGRADO"/>
    <d v="2025-10-21T00:00:00"/>
    <n v="16"/>
    <s v="Martes"/>
    <s v="10:00"/>
    <s v="Semanal"/>
    <n v="5624.05"/>
    <s v="04/11/2025"/>
    <n v="84360.790000000008"/>
    <n v="89984.8"/>
    <n v="84360.790000000008"/>
    <n v="69375.06"/>
    <n v="0"/>
    <n v="0"/>
    <n v="0"/>
    <n v="0"/>
    <n v="0"/>
    <n v="0"/>
    <m/>
    <n v="14800"/>
    <n v="5"/>
    <n v="1"/>
    <n v="0.99999110960962312"/>
    <n v="15"/>
    <n v="16"/>
    <n v="0"/>
    <n v="282"/>
    <n v="5.0141801726513807E-2"/>
  </r>
  <r>
    <x v="2"/>
    <x v="10"/>
    <s v="000174"/>
    <s v="ARBOLEDAS"/>
    <s v="01"/>
    <n v="52000"/>
    <s v="MIGRADO"/>
    <d v="2025-10-22T00:00:00"/>
    <n v="16"/>
    <s v="Miércoles"/>
    <s v="14:00"/>
    <s v="Semanal"/>
    <n v="3952.03"/>
    <s v="05/11/2025"/>
    <n v="59277.55"/>
    <n v="63232.480000000003"/>
    <n v="59280.450000000004"/>
    <n v="48750"/>
    <n v="-2.9000000000014552"/>
    <n v="0"/>
    <n v="0"/>
    <n v="0"/>
    <n v="0"/>
    <n v="0"/>
    <m/>
    <n v="10400"/>
    <n v="5"/>
    <n v="1"/>
    <n v="1.000751512513822"/>
    <n v="15"/>
    <n v="16"/>
    <n v="0"/>
    <n v="195"/>
    <n v="4.9341730705485531E-2"/>
  </r>
  <r>
    <x v="2"/>
    <x v="3"/>
    <s v="000138"/>
    <s v="XIMENA"/>
    <s v="01"/>
    <n v="107000"/>
    <s v="MIGRADO"/>
    <d v="2025-10-07T00:00:00"/>
    <n v="16"/>
    <s v="Martes"/>
    <s v="13:00"/>
    <s v="Semanal"/>
    <n v="8132.0700000000006"/>
    <s v="04/11/2025"/>
    <n v="105702.14"/>
    <n v="130113.12000000001"/>
    <n v="105716.91"/>
    <n v="86937.5"/>
    <n v="-14.770000000004075"/>
    <n v="0"/>
    <n v="0"/>
    <n v="0"/>
    <n v="0"/>
    <n v="0"/>
    <m/>
    <n v="21400"/>
    <n v="5"/>
    <n v="3"/>
    <n v="3.0018187251216477"/>
    <n v="13"/>
    <n v="16"/>
    <n v="0"/>
    <n v="1256"/>
    <n v="5.1483406643900831E-2"/>
  </r>
  <r>
    <x v="3"/>
    <x v="8"/>
    <s v="000074"/>
    <s v="GALERIAS"/>
    <s v="01"/>
    <n v="101000"/>
    <s v="MIGRADO"/>
    <d v="2025-09-11T00:00:00"/>
    <n v="16"/>
    <s v="Jueves"/>
    <s v="16:00"/>
    <s v="Semanal"/>
    <n v="7676.07"/>
    <s v="06/11/2025"/>
    <n v="69085.08"/>
    <n v="122817.12"/>
    <n v="69085.08"/>
    <n v="56812.959999999999"/>
    <n v="0"/>
    <n v="0"/>
    <n v="0"/>
    <n v="0"/>
    <n v="0"/>
    <n v="0"/>
    <m/>
    <n v="14428.571428571429"/>
    <n v="7"/>
    <n v="7"/>
    <n v="6.9999361652512295"/>
    <n v="9"/>
    <n v="16"/>
    <n v="0"/>
    <n v="4200"/>
    <n v="7.8164998495323781E-2"/>
  </r>
  <r>
    <x v="3"/>
    <x v="6"/>
    <s v="000203"/>
    <s v="CONSTRUYENDO EL FUTURO"/>
    <s v="01"/>
    <n v="88000"/>
    <s v="MIGRADO"/>
    <d v="2025-10-31T00:00:00"/>
    <n v="16"/>
    <s v="Viernes"/>
    <s v="11:00"/>
    <s v="Semanal"/>
    <n v="6688.06"/>
    <s v="07/11/2025"/>
    <n v="107008.94"/>
    <n v="107008.96000000001"/>
    <n v="107008.96000000001"/>
    <n v="88000"/>
    <n v="-2.0000000004074536E-2"/>
    <n v="0"/>
    <n v="0"/>
    <n v="0"/>
    <n v="0"/>
    <n v="0"/>
    <m/>
    <n v="17600"/>
    <n v="5"/>
    <n v="0"/>
    <n v="0"/>
    <n v="16"/>
    <n v="16"/>
    <n v="0"/>
    <n v="0"/>
    <n v="0"/>
  </r>
  <r>
    <x v="2"/>
    <x v="3"/>
    <s v="000206"/>
    <s v="PALMITAS"/>
    <s v="01"/>
    <n v="51000"/>
    <s v="MIGRADO"/>
    <d v="2025-10-31T00:00:00"/>
    <n v="16"/>
    <s v="Viernes"/>
    <s v="11:00"/>
    <s v="Semanal"/>
    <n v="3876.03"/>
    <s v="07/11/2025"/>
    <n v="62016.54"/>
    <n v="62016.480000000003"/>
    <n v="62016.54"/>
    <n v="51000"/>
    <n v="0"/>
    <n v="0"/>
    <n v="0"/>
    <n v="0"/>
    <n v="0"/>
    <n v="0"/>
    <m/>
    <n v="8500"/>
    <n v="6"/>
    <n v="0"/>
    <n v="0"/>
    <n v="16"/>
    <n v="16"/>
    <n v="0"/>
    <n v="0"/>
    <n v="0"/>
  </r>
  <r>
    <x v="0"/>
    <x v="5"/>
    <s v="000112"/>
    <s v="HALCONES"/>
    <s v="01"/>
    <n v="43000"/>
    <s v="MIGRADO"/>
    <d v="2025-09-25T00:00:00"/>
    <n v="16"/>
    <s v="Viernes"/>
    <s v="13:00"/>
    <s v="Semanal"/>
    <n v="3268.03"/>
    <s v="07/11/2025"/>
    <n v="35947.46"/>
    <n v="52288.480000000003"/>
    <n v="35948.33"/>
    <n v="29562.5"/>
    <n v="-0.87000000000261934"/>
    <n v="0"/>
    <n v="0"/>
    <n v="0"/>
    <n v="0"/>
    <n v="0"/>
    <m/>
    <n v="8600"/>
    <n v="5"/>
    <n v="5"/>
    <n v="5.0002600955315586"/>
    <n v="11"/>
    <n v="16"/>
    <n v="0"/>
    <n v="902"/>
    <n v="5.5201451639060838E-2"/>
  </r>
  <r>
    <x v="1"/>
    <x v="2"/>
    <s v="000020"/>
    <s v="CERECITAS"/>
    <s v="01"/>
    <n v="180000"/>
    <s v="MIGRADO"/>
    <d v="2025-08-20T00:00:00"/>
    <n v="16"/>
    <s v="Miércoles"/>
    <s v="05:00"/>
    <s v="Semanal"/>
    <n v="13680.12"/>
    <s v="05/11/2025"/>
    <n v="82080.72"/>
    <n v="218881.92000000001"/>
    <n v="82080.72"/>
    <n v="67500.009999999995"/>
    <n v="0"/>
    <n v="0"/>
    <n v="0"/>
    <n v="0"/>
    <n v="0"/>
    <n v="0"/>
    <m/>
    <n v="30000"/>
    <n v="6"/>
    <n v="10"/>
    <n v="10"/>
    <n v="6"/>
    <n v="16"/>
    <n v="0"/>
    <n v="6938.799999999992"/>
    <n v="5.0721777294351157E-2"/>
  </r>
  <r>
    <x v="2"/>
    <x v="9"/>
    <s v="000004"/>
    <s v="ORQUIDEAS"/>
    <s v="01"/>
    <n v="147000"/>
    <s v="MIGRADO"/>
    <d v="2025-08-08T00:00:00"/>
    <n v="16"/>
    <s v="Martes"/>
    <s v="14:00"/>
    <s v="Semanal"/>
    <n v="11172.1"/>
    <s v=""/>
    <n v="0"/>
    <n v="178753.6"/>
    <n v="44688.399999999994"/>
    <n v="0"/>
    <n v="-44688.399999999994"/>
    <n v="0"/>
    <n v="0"/>
    <n v="0"/>
    <n v="0"/>
    <n v="0"/>
    <m/>
    <n v="24500"/>
    <n v="6"/>
    <n v="12"/>
    <n v="0"/>
    <n v="0"/>
    <n v="16"/>
    <n v="0"/>
    <n v="0"/>
    <n v="0"/>
  </r>
  <r>
    <x v="2"/>
    <x v="9"/>
    <s v="000015"/>
    <s v="GLADIOLAS"/>
    <s v="01"/>
    <n v="60000"/>
    <s v="MIGRADO"/>
    <d v="2025-08-14T00:00:00"/>
    <n v="16"/>
    <s v="Jueves"/>
    <s v="09:00"/>
    <s v="Semanal"/>
    <n v="4560.04"/>
    <s v="06/11/2025"/>
    <n v="22797.600000000002"/>
    <n v="72960.639999999999"/>
    <n v="22800.199999999997"/>
    <n v="18750"/>
    <n v="-2.5999999999949068"/>
    <n v="0"/>
    <n v="0"/>
    <n v="0"/>
    <n v="0"/>
    <n v="0"/>
    <m/>
    <n v="10000"/>
    <n v="6"/>
    <n v="11"/>
    <n v="11.000570170437102"/>
    <n v="5"/>
    <n v="16"/>
    <n v="0"/>
    <n v="2724.96"/>
    <n v="5.4324882317619227E-2"/>
  </r>
  <r>
    <x v="0"/>
    <x v="4"/>
    <s v="000207"/>
    <s v="SAN RAFAEL"/>
    <s v="01"/>
    <n v="80000"/>
    <s v="NUEVO"/>
    <d v="2025-10-31T00:00:00"/>
    <n v="16"/>
    <s v="Viernes"/>
    <s v="15:00"/>
    <s v="Semanal"/>
    <n v="6400"/>
    <s v="07/11/2025"/>
    <n v="102400"/>
    <n v="102400"/>
    <n v="102400"/>
    <n v="80000"/>
    <n v="0"/>
    <n v="0"/>
    <n v="0"/>
    <n v="0"/>
    <n v="0"/>
    <n v="0"/>
    <m/>
    <n v="10000"/>
    <n v="8"/>
    <n v="0"/>
    <n v="0"/>
    <n v="16"/>
    <n v="16"/>
    <n v="0"/>
    <n v="0"/>
    <n v="0"/>
  </r>
  <r>
    <x v="0"/>
    <x v="13"/>
    <s v="000185"/>
    <s v="JOB"/>
    <s v="01"/>
    <n v="252000"/>
    <s v="MIGRADO"/>
    <d v="2025-10-24T00:00:00"/>
    <n v="16"/>
    <s v="Viernes"/>
    <s v="10:00"/>
    <s v="Semanal"/>
    <n v="19152.170000000002"/>
    <s v="07/11/2025"/>
    <n v="306434.69"/>
    <n v="306434.72000000003"/>
    <n v="306434.69"/>
    <n v="252000"/>
    <n v="0"/>
    <n v="15750"/>
    <n v="0"/>
    <n v="15750"/>
    <n v="6.25E-2"/>
    <n v="252000"/>
    <m/>
    <n v="50400"/>
    <n v="5"/>
    <n v="1"/>
    <n v="0"/>
    <n v="15"/>
    <n v="16"/>
    <n v="0"/>
    <n v="962"/>
    <n v="5.0229295166030787E-2"/>
  </r>
  <r>
    <x v="3"/>
    <x v="8"/>
    <s v="000096"/>
    <s v="INVICTUS"/>
    <s v="01"/>
    <n v="97000"/>
    <s v="MIGRADO"/>
    <d v="2025-09-22T00:00:00"/>
    <n v="16"/>
    <s v="Lunes"/>
    <s v="11:00"/>
    <s v="Semanal"/>
    <n v="7372.06"/>
    <s v="03/11/2025"/>
    <n v="81093.03"/>
    <n v="117952.96000000001"/>
    <n v="81093.03"/>
    <n v="66687.81"/>
    <n v="0"/>
    <n v="0"/>
    <n v="0"/>
    <n v="0"/>
    <n v="0"/>
    <n v="0"/>
    <m/>
    <n v="16166.666666666666"/>
    <n v="6"/>
    <n v="5"/>
    <n v="4.9999593058114016"/>
    <n v="11"/>
    <n v="16"/>
    <n v="0"/>
    <n v="3660"/>
    <n v="9.929382018051941E-2"/>
  </r>
  <r>
    <x v="3"/>
    <x v="8"/>
    <s v="000152"/>
    <s v="ANGELES"/>
    <s v="01"/>
    <n v="58000"/>
    <s v="MIGRADO"/>
    <d v="2025-10-17T00:00:00"/>
    <n v="16"/>
    <s v="Viernes"/>
    <s v="16:00"/>
    <s v="Semanal"/>
    <n v="4408.04"/>
    <s v="07/11/2025"/>
    <n v="61712.520000000004"/>
    <n v="70528.639999999999"/>
    <n v="61712.56"/>
    <n v="50750"/>
    <n v="-3.9999999993597157E-2"/>
    <n v="0"/>
    <n v="0"/>
    <n v="0"/>
    <n v="0"/>
    <n v="0"/>
    <m/>
    <n v="11600"/>
    <n v="5"/>
    <n v="2"/>
    <n v="2.0000045371639095"/>
    <n v="14"/>
    <n v="16"/>
    <n v="0"/>
    <n v="881.89999999999964"/>
    <n v="0.10003312129653992"/>
  </r>
  <r>
    <x v="3"/>
    <x v="7"/>
    <s v="000171"/>
    <s v="02 ORO"/>
    <s v="01"/>
    <n v="134000"/>
    <s v="MIGRADO"/>
    <d v="2025-10-21T00:00:00"/>
    <n v="16"/>
    <s v="Martes"/>
    <s v="11:00"/>
    <s v="Semanal"/>
    <n v="10184.09"/>
    <s v="04/11/2025"/>
    <n v="152761.43"/>
    <n v="162945.44"/>
    <n v="152761.43"/>
    <n v="125625.1"/>
    <n v="0"/>
    <n v="0"/>
    <n v="0"/>
    <n v="0"/>
    <n v="0"/>
    <n v="0"/>
    <m/>
    <n v="26800"/>
    <n v="5"/>
    <n v="1"/>
    <n v="0.99999116268611132"/>
    <n v="15"/>
    <n v="16"/>
    <n v="0"/>
    <n v="1018"/>
    <n v="9.9959839317995028E-2"/>
  </r>
  <r>
    <x v="3"/>
    <x v="8"/>
    <s v="000164"/>
    <s v="AURORA"/>
    <s v="01"/>
    <n v="115000"/>
    <s v="MIGRADO"/>
    <d v="2025-10-17T00:00:00"/>
    <n v="16"/>
    <s v="Viernes"/>
    <s v="12:00"/>
    <s v="Semanal"/>
    <n v="8740.08"/>
    <s v="07/11/2025"/>
    <n v="122359.23"/>
    <n v="139841.28"/>
    <n v="122361.12"/>
    <n v="100625"/>
    <n v="-1.8899999999994179"/>
    <n v="0"/>
    <n v="0"/>
    <n v="0"/>
    <n v="0"/>
    <n v="0"/>
    <m/>
    <n v="14375"/>
    <n v="8"/>
    <n v="2"/>
    <n v="2.0002105243887929"/>
    <n v="14"/>
    <n v="16"/>
    <n v="0"/>
    <n v="939"/>
    <n v="5.3718043770766402E-2"/>
  </r>
  <r>
    <x v="3"/>
    <x v="11"/>
    <s v="000157"/>
    <s v="YUGOSLAVIA"/>
    <s v="01"/>
    <n v="56000"/>
    <s v="MIGRADO"/>
    <d v="2025-10-20T00:00:00"/>
    <n v="16"/>
    <s v="Lunes"/>
    <s v="12:00"/>
    <s v="Semanal"/>
    <n v="4256.04"/>
    <s v="03/11/2025"/>
    <n v="63836.6"/>
    <n v="68096.639999999999"/>
    <n v="63840.6"/>
    <n v="52500"/>
    <n v="-4"/>
    <n v="0"/>
    <n v="0"/>
    <n v="0"/>
    <n v="0"/>
    <n v="0"/>
    <m/>
    <n v="11200"/>
    <n v="5"/>
    <n v="1"/>
    <n v="1.0009304423830603"/>
    <n v="15"/>
    <n v="16"/>
    <n v="0"/>
    <n v="506"/>
    <n v="0.11888986005770623"/>
  </r>
  <r>
    <x v="3"/>
    <x v="11"/>
    <s v="000178"/>
    <s v="MICTLAN"/>
    <s v="01"/>
    <n v="142000"/>
    <s v="MIGRADO"/>
    <d v="2025-10-27T00:00:00"/>
    <n v="16"/>
    <s v="Lunes"/>
    <s v="12:00"/>
    <s v="Semanal"/>
    <n v="10792.09"/>
    <s v="03/11/2025"/>
    <n v="172673.51"/>
    <n v="172673.44"/>
    <n v="172673.51"/>
    <n v="142000"/>
    <n v="0"/>
    <n v="0"/>
    <n v="0"/>
    <n v="0"/>
    <n v="0"/>
    <n v="0"/>
    <m/>
    <n v="23666.666666666668"/>
    <n v="6"/>
    <n v="0"/>
    <n v="0"/>
    <n v="16"/>
    <n v="16"/>
    <n v="0"/>
    <n v="0"/>
    <n v="0"/>
  </r>
  <r>
    <x v="0"/>
    <x v="4"/>
    <s v="000193"/>
    <s v="LOS EXITOSOS"/>
    <s v="01"/>
    <n v="138000"/>
    <s v="MIGRADO"/>
    <d v="2025-10-29T00:00:00"/>
    <n v="16"/>
    <s v="Miércoles"/>
    <s v="14:00"/>
    <s v="Semanal"/>
    <n v="10488.09"/>
    <s v="05/11/2025"/>
    <n v="167809.47"/>
    <n v="167809.44"/>
    <n v="167809.47"/>
    <n v="138000"/>
    <n v="0"/>
    <n v="0"/>
    <n v="0"/>
    <n v="0"/>
    <n v="0"/>
    <n v="0"/>
    <m/>
    <n v="17250"/>
    <n v="8"/>
    <n v="0"/>
    <n v="0"/>
    <n v="16"/>
    <n v="16"/>
    <n v="0"/>
    <n v="0"/>
    <n v="0"/>
  </r>
  <r>
    <x v="3"/>
    <x v="7"/>
    <s v="000113"/>
    <s v="DIAMANTINA"/>
    <s v="01"/>
    <n v="55000"/>
    <s v="MIGRADO"/>
    <d v="2025-09-30T00:00:00"/>
    <n v="16"/>
    <s v="Martes"/>
    <s v="10:00"/>
    <s v="Semanal"/>
    <n v="4180.04"/>
    <s v="04/11/2025"/>
    <n v="50158.590000000004"/>
    <n v="66880.639999999999"/>
    <n v="50160.479999999996"/>
    <n v="41250"/>
    <n v="-1.889999999992142"/>
    <n v="0"/>
    <n v="0"/>
    <n v="0"/>
    <n v="0"/>
    <n v="0"/>
    <m/>
    <n v="11000"/>
    <n v="5"/>
    <n v="4"/>
    <n v="4.0004401871752426"/>
    <n v="12"/>
    <n v="16"/>
    <n v="0"/>
    <n v="796"/>
    <n v="4.7607199931101137E-2"/>
  </r>
  <r>
    <x v="3"/>
    <x v="8"/>
    <s v="000054"/>
    <s v="VALIENTES"/>
    <s v="01"/>
    <n v="40000"/>
    <s v="MIGRADO"/>
    <d v="2025-08-29T00:00:00"/>
    <n v="16"/>
    <s v="Viernes"/>
    <s v="16:00"/>
    <s v="Semanal"/>
    <n v="3040.03"/>
    <s v="07/11/2025"/>
    <n v="21279.98"/>
    <n v="48640.480000000003"/>
    <n v="21280.210000000003"/>
    <n v="17500"/>
    <n v="-0.23000000000320142"/>
    <n v="0"/>
    <n v="0"/>
    <n v="0"/>
    <n v="0"/>
    <n v="0"/>
    <m/>
    <n v="8000"/>
    <n v="5"/>
    <n v="9"/>
    <n v="9.0000592099420071"/>
    <n v="7"/>
    <n v="16"/>
    <n v="0"/>
    <n v="3989.5499999999984"/>
    <n v="0.14581544699668528"/>
  </r>
  <r>
    <x v="2"/>
    <x v="10"/>
    <s v="000135"/>
    <s v="ARANDANOS"/>
    <s v="01"/>
    <n v="109000"/>
    <s v="MIGRADO"/>
    <d v="2025-10-07T00:00:00"/>
    <n v="16"/>
    <s v="Martes"/>
    <s v="12:00"/>
    <s v="Semanal"/>
    <n v="8284.07"/>
    <s v="04/11/2025"/>
    <n v="107665.16"/>
    <n v="132545.12"/>
    <n v="107692.91"/>
    <n v="88562.5"/>
    <n v="-27.75"/>
    <n v="0"/>
    <n v="0"/>
    <n v="0"/>
    <n v="0"/>
    <n v="0"/>
    <m/>
    <n v="12111.111111111111"/>
    <n v="9"/>
    <n v="3"/>
    <n v="3.003354631238027"/>
    <n v="13"/>
    <n v="16"/>
    <n v="0"/>
    <n v="1312"/>
    <n v="5.2792085693787398E-2"/>
  </r>
  <r>
    <x v="0"/>
    <x v="4"/>
    <s v="000188"/>
    <s v="SAN FRANCISCO"/>
    <s v="01"/>
    <n v="68000"/>
    <s v="MIGRADO"/>
    <d v="2025-10-27T00:00:00"/>
    <n v="16"/>
    <s v="Lunes"/>
    <s v="13:00"/>
    <s v="Semanal"/>
    <n v="5168.05"/>
    <s v="03/11/2025"/>
    <n v="82688.73"/>
    <n v="82688.800000000003"/>
    <n v="82688.800000000003"/>
    <n v="68000"/>
    <n v="-7.0000000006984919E-2"/>
    <n v="0"/>
    <n v="0"/>
    <n v="0"/>
    <n v="0"/>
    <n v="0"/>
    <m/>
    <n v="13600"/>
    <n v="5"/>
    <n v="0"/>
    <n v="0"/>
    <n v="16"/>
    <n v="16"/>
    <n v="0"/>
    <n v="0"/>
    <n v="0"/>
  </r>
  <r>
    <x v="2"/>
    <x v="10"/>
    <s v="000140"/>
    <s v="TRIBU"/>
    <s v="01"/>
    <n v="150000"/>
    <s v="MIGRADO"/>
    <d v="2025-10-08T00:00:00"/>
    <n v="16"/>
    <s v="Miércoles"/>
    <s v="10:00"/>
    <s v="Semanal"/>
    <n v="11400.1"/>
    <s v="05/11/2025"/>
    <n v="148171.6"/>
    <n v="182401.6"/>
    <n v="148201.29999999999"/>
    <n v="121875"/>
    <n v="-29.699999999982538"/>
    <n v="0"/>
    <n v="0"/>
    <n v="0"/>
    <n v="0"/>
    <n v="0"/>
    <m/>
    <n v="15000"/>
    <n v="10"/>
    <n v="3"/>
    <n v="3.0026052403049097"/>
    <n v="13"/>
    <n v="16"/>
    <n v="0"/>
    <n v="1710"/>
    <n v="4.999956140735607E-2"/>
  </r>
  <r>
    <x v="1"/>
    <x v="1"/>
    <s v="000107"/>
    <s v="SAN PABLO"/>
    <s v="01"/>
    <n v="130000"/>
    <s v="MIGRADO"/>
    <d v="2025-09-25T00:00:00"/>
    <n v="16"/>
    <s v="Jueves"/>
    <d v="1899-12-30T00:00:00"/>
    <s v="Semanal"/>
    <n v="9880.09"/>
    <s v="06/11/2025"/>
    <n v="108680.94"/>
    <n v="158081.44"/>
    <n v="108680.99"/>
    <n v="89375"/>
    <n v="-5.0000000002910383E-2"/>
    <n v="0"/>
    <n v="0"/>
    <n v="0"/>
    <n v="0"/>
    <n v="0"/>
    <m/>
    <n v="26000"/>
    <n v="5"/>
    <n v="5"/>
    <n v="5"/>
    <n v="11"/>
    <n v="16"/>
    <n v="0"/>
    <n v="3564.5499999999993"/>
    <n v="7.2156225297542814E-2"/>
  </r>
  <r>
    <x v="2"/>
    <x v="9"/>
    <s v="000016"/>
    <s v="MARGARITAS"/>
    <s v="01"/>
    <n v="103000"/>
    <s v="MIGRADO"/>
    <d v="2025-08-14T00:00:00"/>
    <n v="16"/>
    <s v="Miércoles"/>
    <s v="14:00"/>
    <s v="Semanal"/>
    <n v="7828.07"/>
    <s v="05/11/2025"/>
    <n v="46881.96"/>
    <n v="125249.12"/>
    <n v="46968.42"/>
    <n v="38625"/>
    <n v="-86.459999999999127"/>
    <n v="0"/>
    <n v="0"/>
    <n v="0"/>
    <n v="0"/>
    <n v="0"/>
    <m/>
    <n v="20600"/>
    <n v="5"/>
    <n v="10"/>
    <n v="10.011042313111661"/>
    <n v="6"/>
    <n v="16"/>
    <n v="0"/>
    <n v="2611.9300000000003"/>
    <n v="3.3366206485123409E-2"/>
  </r>
  <r>
    <x v="3"/>
    <x v="8"/>
    <s v="000205"/>
    <s v="AGUILAS"/>
    <s v="01"/>
    <n v="135000"/>
    <s v="MIGRADO"/>
    <d v="2025-10-31T00:00:00"/>
    <n v="16"/>
    <s v="Viernes"/>
    <s v="13:00"/>
    <s v="Semanal"/>
    <n v="10260.09"/>
    <s v="07/11/2025"/>
    <n v="164161.44"/>
    <n v="164161.44"/>
    <n v="164161.44"/>
    <n v="135000"/>
    <n v="0"/>
    <n v="0"/>
    <n v="0"/>
    <n v="0"/>
    <n v="0"/>
    <n v="0"/>
    <m/>
    <n v="27000"/>
    <n v="5"/>
    <n v="0"/>
    <n v="0"/>
    <n v="16"/>
    <n v="16"/>
    <n v="0"/>
    <n v="0"/>
    <n v="0"/>
  </r>
  <r>
    <x v="0"/>
    <x v="0"/>
    <s v="000116"/>
    <s v="SANDIA"/>
    <s v="01"/>
    <n v="112000"/>
    <s v="MIGRADO"/>
    <d v="2025-09-26T00:00:00"/>
    <n v="16"/>
    <s v="Viernes"/>
    <s v="13:00"/>
    <s v="Semanal"/>
    <n v="8512.07"/>
    <s v="07/11/2025"/>
    <n v="93633.19"/>
    <n v="136193.12"/>
    <n v="93633.19"/>
    <n v="77000.38"/>
    <n v="0"/>
    <n v="0"/>
    <n v="0"/>
    <n v="0"/>
    <n v="0"/>
    <n v="0"/>
    <m/>
    <n v="16000"/>
    <n v="7"/>
    <n v="5"/>
    <n v="4.9999588819170899"/>
    <n v="11"/>
    <n v="16"/>
    <n v="0"/>
    <n v="3272"/>
    <n v="7.6879067018950739E-2"/>
  </r>
  <r>
    <x v="3"/>
    <x v="8"/>
    <s v="000091"/>
    <s v="CHICAS TEZOMPA"/>
    <s v="01"/>
    <n v="100000"/>
    <s v="MIGRADO"/>
    <d v="2025-09-19T00:00:00"/>
    <n v="16"/>
    <s v="Viernes"/>
    <s v="11:00"/>
    <s v="Semanal"/>
    <n v="7600.07"/>
    <s v="07/11/2025"/>
    <n v="76001.070000000007"/>
    <n v="121601.12"/>
    <n v="76001.070000000007"/>
    <n v="62500.4"/>
    <n v="0"/>
    <n v="0"/>
    <n v="0"/>
    <n v="0"/>
    <n v="0"/>
    <n v="0"/>
    <m/>
    <n v="12500"/>
    <n v="8"/>
    <n v="6"/>
    <n v="5.9999447373511039"/>
    <n v="10"/>
    <n v="16"/>
    <n v="0"/>
    <n v="4304"/>
    <n v="9.4385095575874087E-2"/>
  </r>
  <r>
    <x v="2"/>
    <x v="3"/>
    <s v="000151"/>
    <s v="PLATINO"/>
    <s v="01"/>
    <n v="68000"/>
    <s v="MIGRADO"/>
    <d v="2025-10-15T00:00:00"/>
    <n v="16"/>
    <s v="Miércoles"/>
    <s v="09:00"/>
    <s v="Semanal"/>
    <n v="5168.05"/>
    <s v="05/11/2025"/>
    <n v="72342.73"/>
    <n v="82688.800000000003"/>
    <n v="72352.7"/>
    <n v="59500"/>
    <n v="-9.9700000000011642"/>
    <n v="0"/>
    <n v="0"/>
    <n v="0"/>
    <n v="0"/>
    <n v="0"/>
    <m/>
    <n v="11333.333333333334"/>
    <n v="6"/>
    <n v="2"/>
    <n v="2.0019156161414848"/>
    <n v="14"/>
    <n v="16"/>
    <n v="0"/>
    <n v="587"/>
    <n v="5.6791246214723153E-2"/>
  </r>
  <r>
    <x v="2"/>
    <x v="3"/>
    <s v="000043"/>
    <s v="ADELITA"/>
    <s v="01"/>
    <n v="85000"/>
    <s v="MIGRADO"/>
    <d v="2025-08-28T00:00:00"/>
    <n v="16"/>
    <s v="Jueves"/>
    <d v="1899-12-30T00:00:00"/>
    <s v="Semanal"/>
    <n v="6460.06"/>
    <s v="06/11/2025"/>
    <n v="45157.91"/>
    <n v="103360.96000000001"/>
    <n v="45220.420000000006"/>
    <n v="37187.5"/>
    <n v="-62.510000000002037"/>
    <n v="0"/>
    <n v="0"/>
    <n v="0"/>
    <n v="0"/>
    <n v="0"/>
    <m/>
    <n v="12142.857142857143"/>
    <n v="7"/>
    <n v="9"/>
    <n v="9.0096686408485365"/>
    <n v="7"/>
    <n v="16"/>
    <n v="0"/>
    <n v="2654"/>
    <n v="4.5648010837188641E-2"/>
  </r>
  <r>
    <x v="2"/>
    <x v="10"/>
    <s v="000128"/>
    <s v="MAGIA"/>
    <s v="01"/>
    <n v="92000"/>
    <s v="MIGRADO"/>
    <d v="2025-10-01T00:00:00"/>
    <n v="16"/>
    <s v="Miércoles"/>
    <s v="12:00"/>
    <s v="Semanal"/>
    <n v="6992.06"/>
    <s v="05/11/2025"/>
    <n v="83885.98"/>
    <n v="111872.96000000001"/>
    <n v="83904.72"/>
    <n v="69000"/>
    <n v="-18.740000000005239"/>
    <n v="0"/>
    <n v="0"/>
    <n v="0"/>
    <n v="0"/>
    <n v="0"/>
    <m/>
    <n v="15333.333333333334"/>
    <n v="6"/>
    <n v="4"/>
    <n v="4.0026830433377283"/>
    <n v="12"/>
    <n v="16"/>
    <n v="0"/>
    <n v="1399"/>
    <n v="5.0021023847049366E-2"/>
  </r>
  <r>
    <x v="2"/>
    <x v="3"/>
    <s v="000018"/>
    <s v="CRISTAL"/>
    <s v="01"/>
    <n v="150000"/>
    <s v="MIGRADO"/>
    <d v="2025-08-27T00:00:00"/>
    <n v="16"/>
    <s v="Miércoles"/>
    <s v="12:00"/>
    <s v="Semanal"/>
    <n v="11400.1"/>
    <s v="05/11/2025"/>
    <n v="79792.600000000006"/>
    <n v="182401.6"/>
    <n v="79800.7"/>
    <n v="65625"/>
    <n v="-8.0999999999912689"/>
    <n v="0"/>
    <n v="0"/>
    <n v="0"/>
    <n v="0"/>
    <n v="0"/>
    <m/>
    <n v="21428.571428571428"/>
    <n v="7"/>
    <n v="9"/>
    <n v="9.0007105200831568"/>
    <n v="7"/>
    <n v="16"/>
    <n v="0"/>
    <n v="0"/>
    <n v="0"/>
  </r>
  <r>
    <x v="1"/>
    <x v="1"/>
    <s v="000041"/>
    <s v="PUERTA DE ORO"/>
    <s v="01"/>
    <n v="625000"/>
    <s v="MIGRADO"/>
    <d v="2025-08-27T00:00:00"/>
    <n v="16"/>
    <s v="Miércoles"/>
    <d v="1899-12-30T00:00:00"/>
    <s v="Semanal"/>
    <n v="47500.42"/>
    <s v="05/11/2025"/>
    <n v="332502.89"/>
    <n v="760006.72"/>
    <n v="332502.94"/>
    <n v="273437.5"/>
    <n v="-4.9999999988358468E-2"/>
    <n v="0"/>
    <n v="0"/>
    <n v="0"/>
    <n v="0"/>
    <n v="0"/>
    <m/>
    <n v="56818.181818181816"/>
    <n v="11"/>
    <n v="9"/>
    <n v="9.0000000000000018"/>
    <n v="7"/>
    <n v="16"/>
    <n v="0"/>
    <n v="42327.220000000016"/>
    <n v="9.9010165477367282E-2"/>
  </r>
  <r>
    <x v="3"/>
    <x v="7"/>
    <s v="000084"/>
    <s v="SWEET CANDY"/>
    <s v="01"/>
    <n v="39000"/>
    <s v="MIGRADO"/>
    <d v="2025-09-12T00:00:00"/>
    <n v="16"/>
    <s v="Viernes"/>
    <s v="16:00"/>
    <s v="Semanal"/>
    <n v="2964.03"/>
    <s v="07/11/2025"/>
    <n v="26665.420000000002"/>
    <n v="47424.480000000003"/>
    <n v="26676.27"/>
    <n v="21937.5"/>
    <n v="-10.849999999998545"/>
    <n v="0"/>
    <n v="0"/>
    <n v="0"/>
    <n v="0"/>
    <n v="0"/>
    <m/>
    <n v="7800"/>
    <n v="5"/>
    <n v="7"/>
    <n v="7.0036403140319088"/>
    <n v="9"/>
    <n v="16"/>
    <n v="0"/>
    <n v="1788"/>
    <n v="8.6176108686002312E-2"/>
  </r>
  <r>
    <x v="1"/>
    <x v="2"/>
    <s v="000170"/>
    <s v="FORTALEZA TECAMAC"/>
    <s v="01"/>
    <n v="155000"/>
    <s v="MIGRADO"/>
    <d v="2025-10-21T00:00:00"/>
    <n v="16"/>
    <s v="Martes"/>
    <s v="14:00"/>
    <s v="Semanal"/>
    <n v="11780.1"/>
    <s v="04/11/2025"/>
    <n v="176694.65"/>
    <n v="188481.6"/>
    <n v="176701.5"/>
    <n v="145312.5"/>
    <n v="-6.8500000000058208"/>
    <n v="0"/>
    <n v="0"/>
    <n v="0"/>
    <n v="0"/>
    <n v="0"/>
    <m/>
    <n v="22142.857142857141"/>
    <n v="7"/>
    <n v="1"/>
    <n v="1.0005857335676267"/>
    <n v="15"/>
    <n v="16"/>
    <n v="0"/>
    <n v="842"/>
    <n v="7.1476473035033655E-2"/>
  </r>
  <r>
    <x v="0"/>
    <x v="0"/>
    <s v="000118"/>
    <s v="COLIBRI"/>
    <s v="01"/>
    <n v="54000"/>
    <s v="MIGRADO"/>
    <d v="2025-10-13T00:00:00"/>
    <n v="16"/>
    <s v="Lunes"/>
    <s v="13:00"/>
    <s v="Semanal"/>
    <n v="4104.04"/>
    <s v="03/11/2025"/>
    <n v="57456.58"/>
    <n v="65664.639999999999"/>
    <n v="57456.58"/>
    <n v="47250.080000000002"/>
    <n v="0"/>
    <n v="0"/>
    <n v="0"/>
    <n v="0"/>
    <n v="0"/>
    <n v="0"/>
    <m/>
    <n v="9000"/>
    <n v="6"/>
    <n v="2"/>
    <n v="1.9999805070126022"/>
    <n v="14"/>
    <n v="16"/>
    <n v="0"/>
    <n v="615"/>
    <n v="7.4926170310230897E-2"/>
  </r>
  <r>
    <x v="4"/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B4116-48E8-4CAC-9E89-C5B62A2206F5}" name="TablaDinámica1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B3:O20" firstHeaderRow="0" firstDataRow="1" firstDataCol="2"/>
  <pivotFields count="34">
    <pivotField axis="axisRow" compact="0" outline="0" subtotalTop="0" showAll="0" defaultSubtotal="0">
      <items count="8">
        <item x="2"/>
        <item x="0"/>
        <item x="1"/>
        <item x="3"/>
        <item x="4"/>
        <item m="1" x="7"/>
        <item m="1" x="6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8"/>
        <item x="6"/>
        <item x="9"/>
        <item x="4"/>
        <item x="10"/>
        <item x="3"/>
        <item x="0"/>
        <item x="2"/>
        <item x="5"/>
        <item x="7"/>
        <item x="1"/>
        <item x="15"/>
        <item x="11"/>
        <item m="1" x="16"/>
        <item x="13"/>
        <item x="12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7">
    <i>
      <x/>
      <x v="2"/>
    </i>
    <i r="1">
      <x v="4"/>
    </i>
    <i r="1">
      <x v="5"/>
    </i>
    <i r="1">
      <x v="16"/>
    </i>
    <i>
      <x v="1"/>
      <x v="3"/>
    </i>
    <i r="1">
      <x v="6"/>
    </i>
    <i r="1">
      <x v="8"/>
    </i>
    <i r="1">
      <x v="14"/>
    </i>
    <i>
      <x v="2"/>
      <x v="7"/>
    </i>
    <i r="1">
      <x v="10"/>
    </i>
    <i>
      <x v="3"/>
      <x/>
    </i>
    <i r="1">
      <x v="1"/>
    </i>
    <i r="1">
      <x v="9"/>
    </i>
    <i r="1">
      <x v="12"/>
    </i>
    <i r="1">
      <x v="15"/>
    </i>
    <i>
      <x v="4"/>
      <x v="11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Cuenta de ID de grupo" fld="2" subtotal="count" baseField="0" baseItem="0"/>
    <dataField name="Suma de Número de Integrantes" fld="26" baseField="0" baseItem="0"/>
    <dataField name="Suma de Monto del crédito" fld="5" baseField="0" baseItem="0"/>
    <dataField name="Suma de Pago Semanal" fld="12" baseField="0" baseItem="0"/>
    <dataField name="Suma de Cartera vigente sistema" fld="14" baseField="0" baseItem="0"/>
    <dataField name="Suma de Carera vigente inicial" fld="15" baseField="0" baseItem="0"/>
    <dataField name="Suma de Cartera vigente calculada" fld="16" baseField="0" baseItem="0"/>
    <dataField name="Suma de Cartera Insoluta" fld="17" baseField="0" baseItem="0"/>
    <dataField name="Suma de Ahorro Consumido" fld="19" baseField="0" baseItem="0"/>
    <dataField name="Suma de Cartera Vencida Estadistica" fld="20" baseField="0" baseItem="0"/>
    <dataField name="Suma de Cartera vencida Total" fld="21" baseField="0" baseItem="0"/>
    <dataField name="Suma de Saldo en riesgo" fld="23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6AED3A-AE1F-41B9-93DB-B4CEF85E8A3F}" name="TablaDinámica1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B3:O9" firstHeaderRow="0" firstDataRow="1" firstDataCol="1"/>
  <pivotFields count="34">
    <pivotField axis="axisRow" compact="0" outline="0" subtotalTop="0" showAll="0" defaultSubtotal="0">
      <items count="8">
        <item x="2"/>
        <item x="0"/>
        <item x="1"/>
        <item x="3"/>
        <item x="4"/>
        <item m="1" x="7"/>
        <item m="1" x="6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Cuenta de Nombre promotor" fld="1" subtotal="count" baseField="0" baseItem="0"/>
    <dataField name="Cuenta de ID de grupo" fld="2" subtotal="count" baseField="0" baseItem="0"/>
    <dataField name="Suma de Número de Integrantes" fld="26" baseField="0" baseItem="0"/>
    <dataField name="Suma de Monto del crédito" fld="5" baseField="0" baseItem="0"/>
    <dataField name="Suma de Pago Semanal" fld="12" baseField="0" baseItem="0"/>
    <dataField name="Suma de Cartera vigente sistema" fld="14" baseField="0" baseItem="0"/>
    <dataField name="Suma de Carera vigente inicial" fld="15" baseField="0" baseItem="0"/>
    <dataField name="Suma de Cartera vigente calculada" fld="16" baseField="0" baseItem="0"/>
    <dataField name="Suma de Cartera Insoluta" fld="17" baseField="0" baseItem="0"/>
    <dataField name="Suma de Ahorro Consumido" fld="19" baseField="0" baseItem="0"/>
    <dataField name="Suma de Cartera Vencida Estadistica" fld="20" baseField="0" baseItem="0"/>
    <dataField name="Suma de Cartera vencida Total" fld="21" baseField="0" baseItem="0"/>
    <dataField name="Suma de Saldo en riesgo" fld="23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CFBE8-281F-4447-A3D2-04D477F94FCF}" name="TablaDiná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342" firstHeaderRow="1" firstDataRow="1" firstDataCol="1"/>
  <pivotFields count="3">
    <pivotField axis="axisRow" showAll="0">
      <items count="173">
        <item x="0"/>
        <item x="1"/>
        <item x="2"/>
        <item m="1" x="17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169"/>
        <item x="71"/>
        <item x="72"/>
        <item x="73"/>
        <item x="74"/>
        <item x="75"/>
        <item x="76"/>
        <item x="77"/>
        <item x="78"/>
        <item x="79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80"/>
        <item x="86"/>
        <item x="100"/>
        <item x="101"/>
        <item x="102"/>
        <item x="103"/>
        <item x="104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68"/>
        <item x="122"/>
        <item x="123"/>
        <item x="121"/>
        <item x="124"/>
        <item x="125"/>
        <item x="126"/>
        <item x="127"/>
        <item x="128"/>
        <item x="129"/>
        <item m="1" x="171"/>
        <item x="130"/>
        <item x="105"/>
        <item x="131"/>
        <item x="132"/>
        <item x="133"/>
        <item x="134"/>
        <item x="135"/>
        <item x="136"/>
        <item x="139"/>
        <item x="143"/>
        <item x="137"/>
        <item x="138"/>
        <item x="140"/>
        <item x="141"/>
        <item x="142"/>
        <item x="144"/>
        <item x="145"/>
        <item x="150"/>
        <item x="146"/>
        <item x="147"/>
        <item x="148"/>
        <item x="149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70"/>
        <item t="default"/>
      </items>
    </pivotField>
    <pivotField axis="axisRow" showAll="0">
      <items count="163">
        <item x="27"/>
        <item x="2"/>
        <item x="34"/>
        <item x="35"/>
        <item x="57"/>
        <item x="19"/>
        <item x="56"/>
        <item x="81"/>
        <item x="0"/>
        <item x="41"/>
        <item x="31"/>
        <item x="20"/>
        <item x="68"/>
        <item x="90"/>
        <item x="70"/>
        <item x="16"/>
        <item x="79"/>
        <item x="30"/>
        <item x="93"/>
        <item x="15"/>
        <item x="25"/>
        <item x="51"/>
        <item x="88"/>
        <item x="9"/>
        <item x="7"/>
        <item x="10"/>
        <item x="18"/>
        <item x="29"/>
        <item x="54"/>
        <item x="91"/>
        <item x="22"/>
        <item x="85"/>
        <item x="8"/>
        <item x="50"/>
        <item x="64"/>
        <item x="28"/>
        <item x="12"/>
        <item x="52"/>
        <item x="17"/>
        <item x="97"/>
        <item x="49"/>
        <item x="72"/>
        <item x="83"/>
        <item x="71"/>
        <item x="82"/>
        <item x="38"/>
        <item x="59"/>
        <item x="67"/>
        <item x="94"/>
        <item x="43"/>
        <item x="63"/>
        <item x="36"/>
        <item x="6"/>
        <item x="4"/>
        <item x="58"/>
        <item x="24"/>
        <item x="62"/>
        <item x="37"/>
        <item x="40"/>
        <item x="77"/>
        <item x="46"/>
        <item x="86"/>
        <item x="13"/>
        <item x="33"/>
        <item x="74"/>
        <item x="42"/>
        <item x="95"/>
        <item x="1"/>
        <item x="21"/>
        <item x="61"/>
        <item x="23"/>
        <item x="76"/>
        <item x="5"/>
        <item m="1" x="161"/>
        <item x="80"/>
        <item x="47"/>
        <item x="44"/>
        <item x="87"/>
        <item x="60"/>
        <item x="89"/>
        <item x="32"/>
        <item x="69"/>
        <item x="92"/>
        <item x="11"/>
        <item x="96"/>
        <item x="65"/>
        <item x="26"/>
        <item x="73"/>
        <item x="53"/>
        <item x="55"/>
        <item x="48"/>
        <item x="3"/>
        <item x="39"/>
        <item x="45"/>
        <item x="75"/>
        <item x="66"/>
        <item x="14"/>
        <item x="78"/>
        <item x="84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60"/>
        <item x="117"/>
        <item x="116"/>
        <item x="118"/>
        <item x="119"/>
        <item x="120"/>
        <item x="121"/>
        <item x="122"/>
        <item x="123"/>
        <item x="127"/>
        <item x="124"/>
        <item x="103"/>
        <item x="125"/>
        <item x="126"/>
        <item x="128"/>
        <item x="129"/>
        <item x="130"/>
        <item x="133"/>
        <item x="136"/>
        <item x="131"/>
        <item x="132"/>
        <item x="134"/>
        <item x="135"/>
        <item x="137"/>
        <item x="138"/>
        <item x="143"/>
        <item x="139"/>
        <item x="140"/>
        <item x="141"/>
        <item x="142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dataField="1" numFmtId="44" showAll="0"/>
  </pivotFields>
  <rowFields count="2">
    <field x="0"/>
    <field x="1"/>
  </rowFields>
  <rowItems count="339">
    <i>
      <x/>
    </i>
    <i r="1">
      <x v="8"/>
    </i>
    <i>
      <x v="1"/>
    </i>
    <i r="1">
      <x v="67"/>
    </i>
    <i>
      <x v="2"/>
    </i>
    <i r="1">
      <x v="1"/>
    </i>
    <i>
      <x v="4"/>
    </i>
    <i r="1">
      <x v="91"/>
    </i>
    <i>
      <x v="5"/>
    </i>
    <i r="1">
      <x v="53"/>
    </i>
    <i>
      <x v="6"/>
    </i>
    <i r="1">
      <x v="72"/>
    </i>
    <i>
      <x v="7"/>
    </i>
    <i r="1">
      <x v="52"/>
    </i>
    <i>
      <x v="8"/>
    </i>
    <i r="1">
      <x v="24"/>
    </i>
    <i>
      <x v="9"/>
    </i>
    <i r="1">
      <x v="32"/>
    </i>
    <i>
      <x v="10"/>
    </i>
    <i r="1">
      <x v="23"/>
    </i>
    <i>
      <x v="11"/>
    </i>
    <i r="1">
      <x v="25"/>
    </i>
    <i>
      <x v="12"/>
    </i>
    <i r="1">
      <x v="83"/>
    </i>
    <i>
      <x v="13"/>
    </i>
    <i r="1">
      <x v="36"/>
    </i>
    <i>
      <x v="14"/>
    </i>
    <i r="1">
      <x v="62"/>
    </i>
    <i>
      <x v="15"/>
    </i>
    <i r="1">
      <x v="96"/>
    </i>
    <i>
      <x v="16"/>
    </i>
    <i r="1">
      <x v="19"/>
    </i>
    <i>
      <x v="17"/>
    </i>
    <i r="1">
      <x v="15"/>
    </i>
    <i>
      <x v="18"/>
    </i>
    <i r="1">
      <x v="38"/>
    </i>
    <i>
      <x v="19"/>
    </i>
    <i r="1">
      <x v="26"/>
    </i>
    <i>
      <x v="20"/>
    </i>
    <i r="1">
      <x v="5"/>
    </i>
    <i>
      <x v="21"/>
    </i>
    <i r="1">
      <x v="11"/>
    </i>
    <i>
      <x v="22"/>
    </i>
    <i r="1">
      <x v="68"/>
    </i>
    <i>
      <x v="23"/>
    </i>
    <i r="1">
      <x v="30"/>
    </i>
    <i>
      <x v="24"/>
    </i>
    <i r="1">
      <x v="70"/>
    </i>
    <i>
      <x v="25"/>
    </i>
    <i r="1">
      <x v="55"/>
    </i>
    <i>
      <x v="26"/>
    </i>
    <i r="1">
      <x v="20"/>
    </i>
    <i>
      <x v="27"/>
    </i>
    <i r="1">
      <x v="86"/>
    </i>
    <i>
      <x v="28"/>
    </i>
    <i r="1">
      <x/>
    </i>
    <i>
      <x v="29"/>
    </i>
    <i r="1">
      <x v="35"/>
    </i>
    <i>
      <x v="30"/>
    </i>
    <i r="1">
      <x v="27"/>
    </i>
    <i>
      <x v="31"/>
    </i>
    <i r="1">
      <x v="17"/>
    </i>
    <i>
      <x v="32"/>
    </i>
    <i r="1">
      <x v="10"/>
    </i>
    <i>
      <x v="33"/>
    </i>
    <i r="1">
      <x v="80"/>
    </i>
    <i>
      <x v="34"/>
    </i>
    <i r="1">
      <x v="63"/>
    </i>
    <i>
      <x v="35"/>
    </i>
    <i r="1">
      <x v="2"/>
    </i>
    <i>
      <x v="36"/>
    </i>
    <i r="1">
      <x v="3"/>
    </i>
    <i>
      <x v="37"/>
    </i>
    <i r="1">
      <x v="51"/>
    </i>
    <i>
      <x v="38"/>
    </i>
    <i r="1">
      <x v="57"/>
    </i>
    <i>
      <x v="39"/>
    </i>
    <i r="1">
      <x v="45"/>
    </i>
    <i>
      <x v="40"/>
    </i>
    <i r="1">
      <x v="92"/>
    </i>
    <i>
      <x v="41"/>
    </i>
    <i r="1">
      <x v="58"/>
    </i>
    <i>
      <x v="42"/>
    </i>
    <i r="1">
      <x v="9"/>
    </i>
    <i>
      <x v="43"/>
    </i>
    <i r="1">
      <x v="65"/>
    </i>
    <i>
      <x v="44"/>
    </i>
    <i r="1">
      <x v="49"/>
    </i>
    <i>
      <x v="45"/>
    </i>
    <i r="1">
      <x v="76"/>
    </i>
    <i>
      <x v="46"/>
    </i>
    <i r="1">
      <x v="93"/>
    </i>
    <i>
      <x v="47"/>
    </i>
    <i r="1">
      <x v="60"/>
    </i>
    <i>
      <x v="48"/>
    </i>
    <i r="1">
      <x v="75"/>
    </i>
    <i>
      <x v="49"/>
    </i>
    <i r="1">
      <x v="90"/>
    </i>
    <i>
      <x v="50"/>
    </i>
    <i r="1">
      <x v="40"/>
    </i>
    <i>
      <x v="51"/>
    </i>
    <i r="1">
      <x v="33"/>
    </i>
    <i>
      <x v="52"/>
    </i>
    <i r="1">
      <x v="21"/>
    </i>
    <i>
      <x v="53"/>
    </i>
    <i r="1">
      <x v="37"/>
    </i>
    <i>
      <x v="54"/>
    </i>
    <i r="1">
      <x v="88"/>
    </i>
    <i>
      <x v="55"/>
    </i>
    <i r="1">
      <x v="28"/>
    </i>
    <i>
      <x v="56"/>
    </i>
    <i r="1">
      <x v="89"/>
    </i>
    <i>
      <x v="57"/>
    </i>
    <i r="1">
      <x v="6"/>
    </i>
    <i>
      <x v="58"/>
    </i>
    <i r="1">
      <x v="4"/>
    </i>
    <i>
      <x v="59"/>
    </i>
    <i r="1">
      <x v="54"/>
    </i>
    <i>
      <x v="60"/>
    </i>
    <i r="1">
      <x v="46"/>
    </i>
    <i>
      <x v="61"/>
    </i>
    <i r="1">
      <x v="78"/>
    </i>
    <i>
      <x v="62"/>
    </i>
    <i r="1">
      <x v="69"/>
    </i>
    <i>
      <x v="63"/>
    </i>
    <i r="1">
      <x v="56"/>
    </i>
    <i>
      <x v="64"/>
    </i>
    <i r="1">
      <x v="50"/>
    </i>
    <i>
      <x v="65"/>
    </i>
    <i r="1">
      <x v="34"/>
    </i>
    <i>
      <x v="66"/>
    </i>
    <i r="1">
      <x v="85"/>
    </i>
    <i>
      <x v="67"/>
    </i>
    <i r="1">
      <x v="95"/>
    </i>
    <i>
      <x v="68"/>
    </i>
    <i r="1">
      <x v="47"/>
    </i>
    <i>
      <x v="69"/>
    </i>
    <i r="1">
      <x v="12"/>
    </i>
    <i>
      <x v="70"/>
    </i>
    <i r="1">
      <x v="81"/>
    </i>
    <i>
      <x v="72"/>
    </i>
    <i r="1">
      <x v="43"/>
    </i>
    <i>
      <x v="73"/>
    </i>
    <i r="1">
      <x v="21"/>
    </i>
    <i>
      <x v="74"/>
    </i>
    <i r="1">
      <x v="41"/>
    </i>
    <i>
      <x v="75"/>
    </i>
    <i r="1">
      <x v="87"/>
    </i>
    <i>
      <x v="76"/>
    </i>
    <i r="1">
      <x v="64"/>
    </i>
    <i>
      <x v="77"/>
    </i>
    <i r="1">
      <x v="94"/>
    </i>
    <i>
      <x v="78"/>
    </i>
    <i r="1">
      <x v="71"/>
    </i>
    <i>
      <x v="79"/>
    </i>
    <i r="1">
      <x v="93"/>
    </i>
    <i>
      <x v="80"/>
    </i>
    <i r="1">
      <x v="59"/>
    </i>
    <i>
      <x v="81"/>
    </i>
    <i r="1">
      <x v="16"/>
    </i>
    <i>
      <x v="82"/>
    </i>
    <i r="1">
      <x v="74"/>
    </i>
    <i>
      <x v="83"/>
    </i>
    <i r="1">
      <x v="7"/>
    </i>
    <i>
      <x v="84"/>
    </i>
    <i r="1">
      <x v="44"/>
    </i>
    <i>
      <x v="85"/>
    </i>
    <i r="1">
      <x v="42"/>
    </i>
    <i>
      <x v="86"/>
    </i>
    <i r="1">
      <x v="31"/>
    </i>
    <i>
      <x v="87"/>
    </i>
    <i r="1">
      <x v="61"/>
    </i>
    <i>
      <x v="88"/>
    </i>
    <i r="1">
      <x v="77"/>
    </i>
    <i>
      <x v="89"/>
    </i>
    <i r="1">
      <x v="22"/>
    </i>
    <i>
      <x v="90"/>
    </i>
    <i r="1">
      <x v="79"/>
    </i>
    <i>
      <x v="91"/>
    </i>
    <i r="1">
      <x v="13"/>
    </i>
    <i>
      <x v="92"/>
    </i>
    <i r="1">
      <x v="29"/>
    </i>
    <i>
      <x v="93"/>
    </i>
    <i r="1">
      <x v="82"/>
    </i>
    <i>
      <x v="94"/>
    </i>
    <i r="1">
      <x v="18"/>
    </i>
    <i>
      <x v="95"/>
    </i>
    <i r="1">
      <x v="48"/>
    </i>
    <i>
      <x v="96"/>
    </i>
    <i r="1">
      <x v="66"/>
    </i>
    <i>
      <x v="97"/>
    </i>
    <i r="1">
      <x v="84"/>
    </i>
    <i>
      <x v="98"/>
    </i>
    <i r="1">
      <x v="39"/>
    </i>
    <i>
      <x v="99"/>
    </i>
    <i r="1">
      <x v="97"/>
    </i>
    <i>
      <x v="100"/>
    </i>
    <i r="1">
      <x v="98"/>
    </i>
    <i>
      <x v="101"/>
    </i>
    <i r="1">
      <x v="99"/>
    </i>
    <i>
      <x v="102"/>
    </i>
    <i r="1">
      <x v="100"/>
    </i>
    <i>
      <x v="103"/>
    </i>
    <i r="1">
      <x v="101"/>
    </i>
    <i>
      <x v="104"/>
    </i>
    <i r="1">
      <x v="102"/>
    </i>
    <i>
      <x v="105"/>
    </i>
    <i r="1">
      <x v="103"/>
    </i>
    <i>
      <x v="106"/>
    </i>
    <i r="1">
      <x v="104"/>
    </i>
    <i>
      <x v="107"/>
    </i>
    <i r="1">
      <x v="105"/>
    </i>
    <i>
      <x v="108"/>
    </i>
    <i r="1">
      <x v="24"/>
    </i>
    <i>
      <x v="109"/>
    </i>
    <i r="1">
      <x v="106"/>
    </i>
    <i>
      <x v="110"/>
    </i>
    <i r="1">
      <x v="107"/>
    </i>
    <i>
      <x v="111"/>
    </i>
    <i r="1">
      <x v="108"/>
    </i>
    <i>
      <x v="112"/>
    </i>
    <i r="1">
      <x v="109"/>
    </i>
    <i>
      <x v="113"/>
    </i>
    <i r="1">
      <x v="110"/>
    </i>
    <i>
      <x v="114"/>
    </i>
    <i r="1">
      <x v="59"/>
    </i>
    <i>
      <x v="115"/>
    </i>
    <i r="1">
      <x v="60"/>
    </i>
    <i>
      <x v="116"/>
    </i>
    <i r="1">
      <x v="111"/>
    </i>
    <i>
      <x v="117"/>
    </i>
    <i r="1">
      <x v="112"/>
    </i>
    <i>
      <x v="118"/>
    </i>
    <i r="1">
      <x v="113"/>
    </i>
    <i>
      <x v="119"/>
    </i>
    <i r="1">
      <x v="114"/>
    </i>
    <i>
      <x v="120"/>
    </i>
    <i r="1">
      <x v="115"/>
    </i>
    <i>
      <x v="121"/>
    </i>
    <i r="1">
      <x v="116"/>
    </i>
    <i>
      <x v="122"/>
    </i>
    <i r="1">
      <x v="63"/>
    </i>
    <i>
      <x v="123"/>
    </i>
    <i r="1">
      <x v="117"/>
    </i>
    <i>
      <x v="124"/>
    </i>
    <i r="1">
      <x v="118"/>
    </i>
    <i>
      <x v="125"/>
    </i>
    <i r="1">
      <x v="119"/>
    </i>
    <i>
      <x v="126"/>
    </i>
    <i r="1">
      <x v="120"/>
    </i>
    <i>
      <x v="127"/>
    </i>
    <i r="1">
      <x v="121"/>
    </i>
    <i>
      <x v="128"/>
    </i>
    <i r="1">
      <x v="122"/>
    </i>
    <i>
      <x v="129"/>
    </i>
    <i r="1">
      <x v="123"/>
    </i>
    <i>
      <x v="130"/>
    </i>
    <i r="1">
      <x v="124"/>
    </i>
    <i>
      <x v="132"/>
    </i>
    <i r="1">
      <x v="126"/>
    </i>
    <i>
      <x v="133"/>
    </i>
    <i r="1">
      <x v="127"/>
    </i>
    <i>
      <x v="134"/>
    </i>
    <i r="1">
      <x v="128"/>
    </i>
    <i>
      <x v="135"/>
    </i>
    <i r="1">
      <x v="129"/>
    </i>
    <i>
      <x v="136"/>
    </i>
    <i r="1">
      <x v="125"/>
    </i>
    <i>
      <x v="137"/>
    </i>
    <i r="1">
      <x v="130"/>
    </i>
    <i>
      <x v="138"/>
    </i>
    <i r="1">
      <x v="131"/>
    </i>
    <i>
      <x v="139"/>
    </i>
    <i r="1">
      <x v="132"/>
    </i>
    <i>
      <x v="140"/>
    </i>
    <i r="1">
      <x v="133"/>
    </i>
    <i>
      <x v="141"/>
    </i>
    <i r="1">
      <x v="134"/>
    </i>
    <i>
      <x v="142"/>
    </i>
    <i r="1">
      <x v="135"/>
    </i>
    <i>
      <x v="143"/>
    </i>
    <i r="1">
      <x v="136"/>
    </i>
    <i>
      <x v="144"/>
    </i>
    <i r="1">
      <x v="137"/>
    </i>
    <i>
      <x v="145"/>
    </i>
    <i r="1">
      <x v="138"/>
    </i>
    <i>
      <x v="146"/>
    </i>
    <i r="1">
      <x v="136"/>
    </i>
    <i>
      <x v="147"/>
    </i>
    <i r="1">
      <x v="139"/>
    </i>
    <i>
      <x v="148"/>
    </i>
    <i r="1">
      <x v="140"/>
    </i>
    <i>
      <x v="149"/>
    </i>
    <i r="1">
      <x v="141"/>
    </i>
    <i>
      <x v="150"/>
    </i>
    <i r="1">
      <x v="142"/>
    </i>
    <i>
      <x v="151"/>
    </i>
    <i r="1">
      <x v="143"/>
    </i>
    <i>
      <x v="152"/>
    </i>
    <i r="1">
      <x v="144"/>
    </i>
    <i>
      <x v="153"/>
    </i>
    <i r="1">
      <x v="145"/>
    </i>
    <i>
      <x v="154"/>
    </i>
    <i r="1">
      <x v="146"/>
    </i>
    <i>
      <x v="155"/>
    </i>
    <i r="1">
      <x v="127"/>
    </i>
    <i>
      <x v="156"/>
    </i>
    <i r="1">
      <x v="147"/>
    </i>
    <i>
      <x v="157"/>
    </i>
    <i r="1">
      <x v="148"/>
    </i>
    <i>
      <x v="158"/>
    </i>
    <i r="1">
      <x v="149"/>
    </i>
    <i>
      <x v="159"/>
    </i>
    <i r="1">
      <x v="150"/>
    </i>
    <i>
      <x v="160"/>
    </i>
    <i r="1">
      <x v="151"/>
    </i>
    <i>
      <x v="161"/>
    </i>
    <i r="1">
      <x v="152"/>
    </i>
    <i>
      <x v="162"/>
    </i>
    <i r="1">
      <x v="153"/>
    </i>
    <i>
      <x v="163"/>
    </i>
    <i r="1">
      <x v="154"/>
    </i>
    <i>
      <x v="164"/>
    </i>
    <i r="1">
      <x v="155"/>
    </i>
    <i>
      <x v="165"/>
    </i>
    <i r="1">
      <x v="156"/>
    </i>
    <i>
      <x v="166"/>
    </i>
    <i r="1">
      <x v="157"/>
    </i>
    <i>
      <x v="167"/>
    </i>
    <i r="1">
      <x v="158"/>
    </i>
    <i>
      <x v="168"/>
    </i>
    <i r="1">
      <x v="159"/>
    </i>
    <i>
      <x v="169"/>
    </i>
    <i r="1">
      <x v="160"/>
    </i>
    <i>
      <x v="170"/>
    </i>
    <i r="1">
      <x v="161"/>
    </i>
    <i>
      <x v="171"/>
    </i>
    <i r="1">
      <x v="14"/>
    </i>
    <i t="grand">
      <x/>
    </i>
  </rowItems>
  <colItems count="1">
    <i/>
  </colItems>
  <dataFields count="1">
    <dataField name="Suma de AHORRO ACUMULADO" fld="2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D58E3-928D-464C-BBB8-6BB47C49A8F6}">
  <sheetPr codeName="Hoja1"/>
  <dimension ref="A1:S30"/>
  <sheetViews>
    <sheetView showGridLines="0" tabSelected="1" zoomScaleNormal="100" workbookViewId="0">
      <pane xSplit="6" ySplit="9" topLeftCell="G22" activePane="bottomRight" state="frozen"/>
      <selection activeCell="E22" sqref="E22"/>
      <selection pane="topRight" activeCell="E22" sqref="E22"/>
      <selection pane="bottomLeft" activeCell="E22" sqref="E22"/>
      <selection pane="bottomRight" activeCell="A31" sqref="A31"/>
    </sheetView>
  </sheetViews>
  <sheetFormatPr baseColWidth="10" defaultRowHeight="14.4" x14ac:dyDescent="0.3"/>
  <cols>
    <col min="1" max="3" width="11.44140625" customWidth="1"/>
    <col min="5" max="5" width="33.5546875" bestFit="1" customWidth="1"/>
    <col min="6" max="6" width="30.44140625" bestFit="1" customWidth="1"/>
    <col min="9" max="9" width="15.33203125" bestFit="1" customWidth="1"/>
    <col min="10" max="12" width="14.88671875" bestFit="1" customWidth="1"/>
    <col min="13" max="13" width="15.88671875" bestFit="1" customWidth="1"/>
    <col min="14" max="14" width="15.88671875" customWidth="1"/>
    <col min="15" max="15" width="15.88671875" bestFit="1" customWidth="1"/>
    <col min="16" max="17" width="15.88671875" customWidth="1"/>
    <col min="19" max="19" width="13.109375" bestFit="1" customWidth="1"/>
  </cols>
  <sheetData>
    <row r="1" spans="1:19" x14ac:dyDescent="0.3">
      <c r="D1" t="s">
        <v>1562</v>
      </c>
    </row>
    <row r="2" spans="1:19" x14ac:dyDescent="0.3">
      <c r="D2">
        <v>1</v>
      </c>
      <c r="E2">
        <f>D2+1</f>
        <v>2</v>
      </c>
      <c r="F2">
        <f t="shared" ref="F2:S2" si="0">E2+1</f>
        <v>3</v>
      </c>
      <c r="G2">
        <f t="shared" si="0"/>
        <v>4</v>
      </c>
      <c r="H2">
        <f t="shared" si="0"/>
        <v>5</v>
      </c>
      <c r="I2">
        <f t="shared" si="0"/>
        <v>6</v>
      </c>
      <c r="J2">
        <f t="shared" si="0"/>
        <v>7</v>
      </c>
      <c r="K2">
        <f t="shared" si="0"/>
        <v>8</v>
      </c>
      <c r="L2">
        <f t="shared" si="0"/>
        <v>9</v>
      </c>
      <c r="M2">
        <f t="shared" si="0"/>
        <v>10</v>
      </c>
      <c r="N2">
        <f t="shared" ref="N2" si="1">M2+1</f>
        <v>11</v>
      </c>
      <c r="O2">
        <f t="shared" ref="O2" si="2">N2+1</f>
        <v>12</v>
      </c>
      <c r="P2">
        <f t="shared" ref="P2" si="3">O2+1</f>
        <v>13</v>
      </c>
      <c r="Q2">
        <f t="shared" ref="Q2" si="4">P2+1</f>
        <v>14</v>
      </c>
      <c r="R2">
        <v>14</v>
      </c>
      <c r="S2">
        <f t="shared" si="0"/>
        <v>15</v>
      </c>
    </row>
    <row r="7" spans="1:19" ht="15" thickBot="1" x14ac:dyDescent="0.35"/>
    <row r="8" spans="1:19" ht="15" thickBot="1" x14ac:dyDescent="0.35">
      <c r="G8" s="137" t="s">
        <v>1511</v>
      </c>
      <c r="H8" s="138"/>
      <c r="K8" s="137" t="s">
        <v>2073</v>
      </c>
      <c r="L8" s="139"/>
      <c r="M8" s="139"/>
      <c r="N8" s="139"/>
      <c r="O8" s="137" t="s">
        <v>2069</v>
      </c>
      <c r="P8" s="139"/>
      <c r="Q8" s="139"/>
      <c r="R8" s="138"/>
    </row>
    <row r="9" spans="1:19" ht="53.25" customHeight="1" thickBot="1" x14ac:dyDescent="0.35">
      <c r="C9" t="str">
        <f>IF(A9&lt;MAX('promotores td'!A:A),"X Prom","X Gerente")</f>
        <v>X Prom</v>
      </c>
      <c r="D9" s="53" t="s">
        <v>1507</v>
      </c>
      <c r="E9" s="53" t="s">
        <v>1381</v>
      </c>
      <c r="F9" s="53" t="s">
        <v>1380</v>
      </c>
      <c r="G9" s="57" t="s">
        <v>1509</v>
      </c>
      <c r="H9" s="59" t="s">
        <v>1510</v>
      </c>
      <c r="I9" s="65" t="s">
        <v>175</v>
      </c>
      <c r="J9" s="65" t="s">
        <v>1512</v>
      </c>
      <c r="K9" s="65" t="s">
        <v>1168</v>
      </c>
      <c r="L9" s="65" t="s">
        <v>1166</v>
      </c>
      <c r="M9" s="65" t="s">
        <v>1167</v>
      </c>
      <c r="N9" s="65" t="s">
        <v>2072</v>
      </c>
      <c r="O9" s="60" t="s">
        <v>2023</v>
      </c>
      <c r="P9" s="60" t="s">
        <v>2024</v>
      </c>
      <c r="Q9" s="60" t="s">
        <v>2025</v>
      </c>
      <c r="R9" s="60" t="s">
        <v>1513</v>
      </c>
      <c r="S9" s="66" t="s">
        <v>8</v>
      </c>
    </row>
    <row r="10" spans="1:19" x14ac:dyDescent="0.3">
      <c r="A10">
        <f t="shared" ref="A10:A28" si="5">A9+1</f>
        <v>1</v>
      </c>
      <c r="B10">
        <f t="shared" ref="B10:B20" si="6">IF(C9=C10,B9+1,1)</f>
        <v>1</v>
      </c>
      <c r="C10" t="str">
        <f>IF(A10&lt;=MAX('promotores td'!A:A),"X Prom","X Gerente")</f>
        <v>X Prom</v>
      </c>
      <c r="D10" t="str">
        <f t="shared" ref="D10:D20" si="7">C10</f>
        <v>X Prom</v>
      </c>
      <c r="E10" s="45" t="str">
        <f>IF($C10="X Prom",VLOOKUP($B10,'promotores td'!$A:$M,E$2,0),VLOOKUP($B10,'Gerentes td'!$A:$A,E$2,0))</f>
        <v>ADRIANA ALEJALDRE GUZMAN</v>
      </c>
      <c r="F10" s="45" t="str">
        <f>IF($C10="X Prom",VLOOKUP($B10,'promotores td'!$A:$M,F$2,0),"")</f>
        <v>Contreras Martinez Jose Luis</v>
      </c>
      <c r="G10" s="58">
        <f>IF($C10="X Prom",VLOOKUP($B10,'promotores td'!$A:$M,G$2,0),VLOOKUP($B10,'Gerentes td'!$A:$Z,G$2,0))</f>
        <v>20</v>
      </c>
      <c r="H10" s="58">
        <f>IF($C10="X Prom",VLOOKUP($B10,'promotores td'!$A:$M,H$2,0),VLOOKUP($B10,'Gerentes td'!$A:$Z,H$2,0))</f>
        <v>131</v>
      </c>
      <c r="I10" s="129">
        <f>IF($C10="X Prom",VLOOKUP($B10,'promotores td'!$A:$M,I$2,0),VLOOKUP($B10,'Gerentes td'!$A:$Z,I$2,0))</f>
        <v>2102000</v>
      </c>
      <c r="J10" s="130">
        <f>IF($C10="X Prom",VLOOKUP($B10,'promotores td'!$A:$M,J$2,0),VLOOKUP($B10,'Gerentes td'!$A:$Z,J$2,0))</f>
        <v>159753.39000000001</v>
      </c>
      <c r="K10" s="130">
        <f>IF($C10="X Prom",VLOOKUP($B10,'promotores td'!$A:$M,K$2,0),VLOOKUP($B10,'Gerentes td'!$A:$Z,K$2,0))</f>
        <v>1519817.05</v>
      </c>
      <c r="L10" s="130">
        <f>IF($C10="X Prom",VLOOKUP($B10,'promotores td'!$A:$M,L$2,0),VLOOKUP($B10,'Gerentes td'!$A:$Z,L$2,0))</f>
        <v>2556054.2400000002</v>
      </c>
      <c r="M10" s="130">
        <f>IF($C10="X Prom",VLOOKUP($B10,'promotores td'!$A:$M,M$2,0),VLOOKUP($B10,'Gerentes td'!$A:$Z,M$2,0))</f>
        <v>1570366.3099999996</v>
      </c>
      <c r="N10" s="130">
        <f>IF($C10="X Prom",VLOOKUP($B10,'promotores td'!$A:$M,N$2,0),VLOOKUP($B10,'Gerentes td'!$A:$Z,N$2,0))</f>
        <v>1252334.19</v>
      </c>
      <c r="O10" s="130">
        <f>IF($C10="X Prom",VLOOKUP($B10,'promotores td'!$A:$M,O$2,0),VLOOKUP($B10,'Gerentes td'!$A:$Z,O$2,0))</f>
        <v>34842.92</v>
      </c>
      <c r="P10" s="130">
        <f>IF($C10="X Prom",VLOOKUP($B10,'promotores td'!$A:$M,P$2,0),VLOOKUP($B10,'Gerentes td'!$A:$Z,P$2,0))</f>
        <v>14116.270000000002</v>
      </c>
      <c r="Q10" s="130">
        <f>IF($C10="X Prom",VLOOKUP($B10,'promotores td'!$A:$AB,Q$2,0),VLOOKUP($B10,'Gerentes td'!$A:$AB,Q$2,0))</f>
        <v>48959.19</v>
      </c>
      <c r="R10" s="131">
        <f t="shared" ref="R10:R28" si="8">Q10/M10</f>
        <v>3.1176923300143912E-2</v>
      </c>
      <c r="S10" s="130">
        <f>IF($C10="X Prom",VLOOKUP($B10,'promotores td'!$A:$Z,S$2,0),VLOOKUP($B10,'Gerentes td'!$A:$Z,S$2,0))</f>
        <v>180334.19</v>
      </c>
    </row>
    <row r="11" spans="1:19" x14ac:dyDescent="0.3">
      <c r="A11">
        <f t="shared" si="5"/>
        <v>2</v>
      </c>
      <c r="B11">
        <f t="shared" si="6"/>
        <v>2</v>
      </c>
      <c r="C11" t="str">
        <f>IF(A11&lt;=MAX('promotores td'!A:A),"X Prom","X Gerente")</f>
        <v>X Prom</v>
      </c>
      <c r="D11" t="str">
        <f t="shared" si="7"/>
        <v>X Prom</v>
      </c>
      <c r="E11" s="45" t="str">
        <f>IF($C11="X Prom",VLOOKUP($B11,'promotores td'!$A:$M,E$2,0),VLOOKUP($B11,'Gerentes td'!$A:$A,E$2,0))</f>
        <v>ADRIANA ALEJALDRE GUZMAN</v>
      </c>
      <c r="F11" s="45" t="str">
        <f>IF($C11="X Prom",VLOOKUP($B11,'promotores td'!$A:$M,F$2,0),"")</f>
        <v>Juarez Palma Ma Ines</v>
      </c>
      <c r="G11" s="58">
        <f>IF($C11="X Prom",VLOOKUP($B11,'promotores td'!$A:$M,G$2,0),VLOOKUP($B11,'Gerentes td'!$A:$Z,G$2,0))</f>
        <v>14</v>
      </c>
      <c r="H11" s="58">
        <f>IF($C11="X Prom",VLOOKUP($B11,'promotores td'!$A:$M,H$2,0),VLOOKUP($B11,'Gerentes td'!$A:$Z,H$2,0))</f>
        <v>100</v>
      </c>
      <c r="I11" s="128">
        <f>IF($C11="X Prom",VLOOKUP($B11,'promotores td'!$A:$M,I$2,0),VLOOKUP($B11,'Gerentes td'!$A:$Z,I$2,0))</f>
        <v>1394000</v>
      </c>
      <c r="J11" s="132">
        <f>IF($C11="X Prom",VLOOKUP($B11,'promotores td'!$A:$M,J$2,0),VLOOKUP($B11,'Gerentes td'!$A:$Z,J$2,0))</f>
        <v>105944.92000000001</v>
      </c>
      <c r="K11" s="132">
        <f>IF($C11="X Prom",VLOOKUP($B11,'promotores td'!$A:$M,K$2,0),VLOOKUP($B11,'Gerentes td'!$A:$Z,K$2,0))</f>
        <v>1166312.75</v>
      </c>
      <c r="L11" s="132">
        <f>IF($C11="X Prom",VLOOKUP($B11,'promotores td'!$A:$M,L$2,0),VLOOKUP($B11,'Gerentes td'!$A:$Z,L$2,0))</f>
        <v>1695118.7200000002</v>
      </c>
      <c r="M11" s="132">
        <f>IF($C11="X Prom",VLOOKUP($B11,'promotores td'!$A:$M,M$2,0),VLOOKUP($B11,'Gerentes td'!$A:$Z,M$2,0))</f>
        <v>1175101.56</v>
      </c>
      <c r="N11" s="132">
        <f>IF($C11="X Prom",VLOOKUP($B11,'promotores td'!$A:$M,N$2,0),VLOOKUP($B11,'Gerentes td'!$A:$Z,N$2,0))</f>
        <v>960125</v>
      </c>
      <c r="O11" s="132">
        <f>IF($C11="X Prom",VLOOKUP($B11,'promotores td'!$A:$M,O$2,0),VLOOKUP($B11,'Gerentes td'!$A:$Z,O$2,0))</f>
        <v>6250</v>
      </c>
      <c r="P11" s="132">
        <f>IF($C11="X Prom",VLOOKUP($B11,'promotores td'!$A:$M,P$2,0),VLOOKUP($B11,'Gerentes td'!$A:$Z,P$2,0))</f>
        <v>0</v>
      </c>
      <c r="Q11" s="132">
        <f>IF($C11="X Prom",VLOOKUP($B11,'promotores td'!$A:$AB,Q$2,0),VLOOKUP($B11,'Gerentes td'!$A:$AB,Q$2,0))</f>
        <v>6250</v>
      </c>
      <c r="R11" s="133">
        <f t="shared" si="8"/>
        <v>5.3186892203598126E-3</v>
      </c>
      <c r="S11" s="132">
        <f>IF($C11="X Prom",VLOOKUP($B11,'promotores td'!$A:$Z,S$2,0),VLOOKUP($B11,'Gerentes td'!$A:$Z,S$2,0))</f>
        <v>62500</v>
      </c>
    </row>
    <row r="12" spans="1:19" x14ac:dyDescent="0.3">
      <c r="A12">
        <f t="shared" si="5"/>
        <v>3</v>
      </c>
      <c r="B12">
        <f t="shared" si="6"/>
        <v>3</v>
      </c>
      <c r="C12" t="str">
        <f>IF(A12&lt;=MAX('promotores td'!A:A),"X Prom","X Gerente")</f>
        <v>X Prom</v>
      </c>
      <c r="D12" t="str">
        <f t="shared" si="7"/>
        <v>X Prom</v>
      </c>
      <c r="E12" s="45" t="str">
        <f>IF($C12="X Prom",VLOOKUP($B12,'promotores td'!$A:$M,E$2,0),VLOOKUP($B12,'Gerentes td'!$A:$A,E$2,0))</f>
        <v>ADRIANA ALEJALDRE GUZMAN</v>
      </c>
      <c r="F12" s="45" t="str">
        <f>IF($C12="X Prom",VLOOKUP($B12,'promotores td'!$A:$M,F$2,0),"")</f>
        <v>Lopez Cabrera Edith Alejandra</v>
      </c>
      <c r="G12" s="58">
        <f>IF($C12="X Prom",VLOOKUP($B12,'promotores td'!$A:$M,G$2,0),VLOOKUP($B12,'Gerentes td'!$A:$Z,G$2,0))</f>
        <v>19</v>
      </c>
      <c r="H12" s="58">
        <f>IF($C12="X Prom",VLOOKUP($B12,'promotores td'!$A:$M,H$2,0),VLOOKUP($B12,'Gerentes td'!$A:$Z,H$2,0))</f>
        <v>120</v>
      </c>
      <c r="I12" s="128">
        <f>IF($C12="X Prom",VLOOKUP($B12,'promotores td'!$A:$M,I$2,0),VLOOKUP($B12,'Gerentes td'!$A:$Z,I$2,0))</f>
        <v>1793000</v>
      </c>
      <c r="J12" s="132">
        <f>IF($C12="X Prom",VLOOKUP($B12,'promotores td'!$A:$M,J$2,0),VLOOKUP($B12,'Gerentes td'!$A:$Z,J$2,0))</f>
        <v>136269.20000000001</v>
      </c>
      <c r="K12" s="132">
        <f>IF($C12="X Prom",VLOOKUP($B12,'promotores td'!$A:$M,K$2,0),VLOOKUP($B12,'Gerentes td'!$A:$Z,K$2,0))</f>
        <v>1424956.88</v>
      </c>
      <c r="L12" s="132">
        <f>IF($C12="X Prom",VLOOKUP($B12,'promotores td'!$A:$M,L$2,0),VLOOKUP($B12,'Gerentes td'!$A:$Z,L$2,0))</f>
        <v>2180307.2000000002</v>
      </c>
      <c r="M12" s="132">
        <f>IF($C12="X Prom",VLOOKUP($B12,'promotores td'!$A:$M,M$2,0),VLOOKUP($B12,'Gerentes td'!$A:$Z,M$2,0))</f>
        <v>1438616.7299999997</v>
      </c>
      <c r="N12" s="132">
        <f>IF($C12="X Prom",VLOOKUP($B12,'promotores td'!$A:$M,N$2,0),VLOOKUP($B12,'Gerentes td'!$A:$Z,N$2,0))</f>
        <v>1172701.21</v>
      </c>
      <c r="O12" s="132">
        <f>IF($C12="X Prom",VLOOKUP($B12,'promotores td'!$A:$M,O$2,0),VLOOKUP($B12,'Gerentes td'!$A:$Z,O$2,0))</f>
        <v>0</v>
      </c>
      <c r="P12" s="132">
        <f>IF($C12="X Prom",VLOOKUP($B12,'promotores td'!$A:$M,P$2,0),VLOOKUP($B12,'Gerentes td'!$A:$Z,P$2,0))</f>
        <v>0</v>
      </c>
      <c r="Q12" s="132">
        <f>IF($C12="X Prom",VLOOKUP($B12,'promotores td'!$A:$AB,Q$2,0),VLOOKUP($B12,'Gerentes td'!$A:$AB,Q$2,0))</f>
        <v>0</v>
      </c>
      <c r="R12" s="133">
        <f t="shared" si="8"/>
        <v>0</v>
      </c>
      <c r="S12" s="132">
        <f>IF($C12="X Prom",VLOOKUP($B12,'promotores td'!$A:$Z,S$2,0),VLOOKUP($B12,'Gerentes td'!$A:$Z,S$2,0))</f>
        <v>0</v>
      </c>
    </row>
    <row r="13" spans="1:19" x14ac:dyDescent="0.3">
      <c r="A13">
        <f t="shared" si="5"/>
        <v>4</v>
      </c>
      <c r="B13">
        <f t="shared" si="6"/>
        <v>4</v>
      </c>
      <c r="C13" t="str">
        <f>IF(A13&lt;=MAX('promotores td'!A:A),"X Prom","X Gerente")</f>
        <v>X Prom</v>
      </c>
      <c r="D13" t="str">
        <f t="shared" si="7"/>
        <v>X Prom</v>
      </c>
      <c r="E13" s="45" t="str">
        <f>IF($C13="X Prom",VLOOKUP($B13,'promotores td'!$A:$M,E$2,0),VLOOKUP($B13,'Gerentes td'!$A:$A,E$2,0))</f>
        <v>ADRIANA ALEJALDRE GUZMAN</v>
      </c>
      <c r="F13" s="45" t="str">
        <f>IF($C13="X Prom",VLOOKUP($B13,'promotores td'!$A:$M,F$2,0),"")</f>
        <v>Garcia Herrera Jonathan</v>
      </c>
      <c r="G13" s="58">
        <f>IF($C13="X Prom",VLOOKUP($B13,'promotores td'!$A:$M,G$2,0),VLOOKUP($B13,'Gerentes td'!$A:$Z,G$2,0))</f>
        <v>1</v>
      </c>
      <c r="H13" s="58">
        <f>IF($C13="X Prom",VLOOKUP($B13,'promotores td'!$A:$M,H$2,0),VLOOKUP($B13,'Gerentes td'!$A:$Z,H$2,0))</f>
        <v>5</v>
      </c>
      <c r="I13" s="128">
        <f>IF($C13="X Prom",VLOOKUP($B13,'promotores td'!$A:$M,I$2,0),VLOOKUP($B13,'Gerentes td'!$A:$Z,I$2,0))</f>
        <v>110000</v>
      </c>
      <c r="J13" s="132">
        <f>IF($C13="X Prom",VLOOKUP($B13,'promotores td'!$A:$M,J$2,0),VLOOKUP($B13,'Gerentes td'!$A:$Z,J$2,0))</f>
        <v>8360.07</v>
      </c>
      <c r="K13" s="132">
        <f>IF($C13="X Prom",VLOOKUP($B13,'promotores td'!$A:$M,K$2,0),VLOOKUP($B13,'Gerentes td'!$A:$Z,K$2,0))</f>
        <v>133761.17000000001</v>
      </c>
      <c r="L13" s="132">
        <f>IF($C13="X Prom",VLOOKUP($B13,'promotores td'!$A:$M,L$2,0),VLOOKUP($B13,'Gerentes td'!$A:$Z,L$2,0))</f>
        <v>133761.12</v>
      </c>
      <c r="M13" s="132">
        <f>IF($C13="X Prom",VLOOKUP($B13,'promotores td'!$A:$M,M$2,0),VLOOKUP($B13,'Gerentes td'!$A:$Z,M$2,0))</f>
        <v>133761.17000000001</v>
      </c>
      <c r="N13" s="132">
        <f>IF($C13="X Prom",VLOOKUP($B13,'promotores td'!$A:$M,N$2,0),VLOOKUP($B13,'Gerentes td'!$A:$Z,N$2,0))</f>
        <v>110000</v>
      </c>
      <c r="O13" s="132">
        <f>IF($C13="X Prom",VLOOKUP($B13,'promotores td'!$A:$M,O$2,0),VLOOKUP($B13,'Gerentes td'!$A:$Z,O$2,0))</f>
        <v>0</v>
      </c>
      <c r="P13" s="132">
        <f>IF($C13="X Prom",VLOOKUP($B13,'promotores td'!$A:$M,P$2,0),VLOOKUP($B13,'Gerentes td'!$A:$Z,P$2,0))</f>
        <v>0</v>
      </c>
      <c r="Q13" s="132">
        <f>IF($C13="X Prom",VLOOKUP($B13,'promotores td'!$A:$AB,Q$2,0),VLOOKUP($B13,'Gerentes td'!$A:$AB,Q$2,0))</f>
        <v>0</v>
      </c>
      <c r="R13" s="133">
        <f t="shared" si="8"/>
        <v>0</v>
      </c>
      <c r="S13" s="132">
        <f>IF($C13="X Prom",VLOOKUP($B13,'promotores td'!$A:$Z,S$2,0),VLOOKUP($B13,'Gerentes td'!$A:$Z,S$2,0))</f>
        <v>0</v>
      </c>
    </row>
    <row r="14" spans="1:19" x14ac:dyDescent="0.3">
      <c r="A14">
        <f t="shared" si="5"/>
        <v>5</v>
      </c>
      <c r="B14">
        <f t="shared" si="6"/>
        <v>5</v>
      </c>
      <c r="C14" t="str">
        <f>IF(A14&lt;=MAX('promotores td'!A:A),"X Prom","X Gerente")</f>
        <v>X Prom</v>
      </c>
      <c r="D14" t="str">
        <f t="shared" si="7"/>
        <v>X Prom</v>
      </c>
      <c r="E14" s="45" t="str">
        <f>IF($C14="X Prom",VLOOKUP($B14,'promotores td'!$A:$M,E$2,0),VLOOKUP($B14,'Gerentes td'!$A:$A,E$2,0))</f>
        <v>IRVIN URIEL MORA VELAZCO</v>
      </c>
      <c r="F14" s="45" t="str">
        <f>IF($C14="X Prom",VLOOKUP($B14,'promotores td'!$A:$M,F$2,0),"")</f>
        <v>Flores Mendez Veronica</v>
      </c>
      <c r="G14" s="58">
        <f>IF($C14="X Prom",VLOOKUP($B14,'promotores td'!$A:$M,G$2,0),VLOOKUP($B14,'Gerentes td'!$A:$Z,G$2,0))</f>
        <v>16</v>
      </c>
      <c r="H14" s="58">
        <f>IF($C14="X Prom",VLOOKUP($B14,'promotores td'!$A:$M,H$2,0),VLOOKUP($B14,'Gerentes td'!$A:$Z,H$2,0))</f>
        <v>100</v>
      </c>
      <c r="I14" s="128">
        <f>IF($C14="X Prom",VLOOKUP($B14,'promotores td'!$A:$M,I$2,0),VLOOKUP($B14,'Gerentes td'!$A:$Z,I$2,0))</f>
        <v>1655000</v>
      </c>
      <c r="J14" s="132">
        <f>IF($C14="X Prom",VLOOKUP($B14,'promotores td'!$A:$M,J$2,0),VLOOKUP($B14,'Gerentes td'!$A:$Z,J$2,0))</f>
        <v>126101.07</v>
      </c>
      <c r="K14" s="132">
        <f>IF($C14="X Prom",VLOOKUP($B14,'promotores td'!$A:$M,K$2,0),VLOOKUP($B14,'Gerentes td'!$A:$Z,K$2,0))</f>
        <v>1348673.53</v>
      </c>
      <c r="L14" s="132">
        <f>IF($C14="X Prom",VLOOKUP($B14,'promotores td'!$A:$M,L$2,0),VLOOKUP($B14,'Gerentes td'!$A:$Z,L$2,0))</f>
        <v>2017617.12</v>
      </c>
      <c r="M14" s="132">
        <f>IF($C14="X Prom",VLOOKUP($B14,'promotores td'!$A:$M,M$2,0),VLOOKUP($B14,'Gerentes td'!$A:$Z,M$2,0))</f>
        <v>1348682.7400000002</v>
      </c>
      <c r="N14" s="132">
        <f>IF($C14="X Prom",VLOOKUP($B14,'promotores td'!$A:$M,N$2,0),VLOOKUP($B14,'Gerentes td'!$A:$Z,N$2,0))</f>
        <v>1104940.76</v>
      </c>
      <c r="O14" s="132">
        <f>IF($C14="X Prom",VLOOKUP($B14,'promotores td'!$A:$M,O$2,0),VLOOKUP($B14,'Gerentes td'!$A:$Z,O$2,0))</f>
        <v>4750</v>
      </c>
      <c r="P14" s="132">
        <f>IF($C14="X Prom",VLOOKUP($B14,'promotores td'!$A:$M,P$2,0),VLOOKUP($B14,'Gerentes td'!$A:$Z,P$2,0))</f>
        <v>0</v>
      </c>
      <c r="Q14" s="132">
        <f>IF($C14="X Prom",VLOOKUP($B14,'promotores td'!$A:$AB,Q$2,0),VLOOKUP($B14,'Gerentes td'!$A:$AB,Q$2,0))</f>
        <v>4750</v>
      </c>
      <c r="R14" s="133">
        <f t="shared" si="8"/>
        <v>3.5219550596458284E-3</v>
      </c>
      <c r="S14" s="132">
        <f>IF($C14="X Prom",VLOOKUP($B14,'promotores td'!$A:$Z,S$2,0),VLOOKUP($B14,'Gerentes td'!$A:$Z,S$2,0))</f>
        <v>38000</v>
      </c>
    </row>
    <row r="15" spans="1:19" x14ac:dyDescent="0.3">
      <c r="A15">
        <f t="shared" si="5"/>
        <v>6</v>
      </c>
      <c r="B15">
        <f t="shared" si="6"/>
        <v>6</v>
      </c>
      <c r="C15" t="str">
        <f>IF(A15&lt;=MAX('promotores td'!A:A),"X Prom","X Gerente")</f>
        <v>X Prom</v>
      </c>
      <c r="D15" t="str">
        <f t="shared" si="7"/>
        <v>X Prom</v>
      </c>
      <c r="E15" s="45" t="str">
        <f>IF($C15="X Prom",VLOOKUP($B15,'promotores td'!$A:$M,E$2,0),VLOOKUP($B15,'Gerentes td'!$A:$A,E$2,0))</f>
        <v>IRVIN URIEL MORA VELAZCO</v>
      </c>
      <c r="F15" s="45" t="str">
        <f>IF($C15="X Prom",VLOOKUP($B15,'promotores td'!$A:$M,F$2,0),"")</f>
        <v>Lopez Garcia Nahum Antonio</v>
      </c>
      <c r="G15" s="58">
        <f>IF($C15="X Prom",VLOOKUP($B15,'promotores td'!$A:$M,G$2,0),VLOOKUP($B15,'Gerentes td'!$A:$Z,G$2,0))</f>
        <v>10</v>
      </c>
      <c r="H15" s="58">
        <f>IF($C15="X Prom",VLOOKUP($B15,'promotores td'!$A:$M,H$2,0),VLOOKUP($B15,'Gerentes td'!$A:$Z,H$2,0))</f>
        <v>58</v>
      </c>
      <c r="I15" s="128">
        <f>IF($C15="X Prom",VLOOKUP($B15,'promotores td'!$A:$M,I$2,0),VLOOKUP($B15,'Gerentes td'!$A:$Z,I$2,0))</f>
        <v>718000</v>
      </c>
      <c r="J15" s="132">
        <f>IF($C15="X Prom",VLOOKUP($B15,'promotores td'!$A:$M,J$2,0),VLOOKUP($B15,'Gerentes td'!$A:$Z,J$2,0))</f>
        <v>54568.47</v>
      </c>
      <c r="K15" s="132">
        <f>IF($C15="X Prom",VLOOKUP($B15,'promotores td'!$A:$M,K$2,0),VLOOKUP($B15,'Gerentes td'!$A:$Z,K$2,0))</f>
        <v>585987.65</v>
      </c>
      <c r="L15" s="132">
        <f>IF($C15="X Prom",VLOOKUP($B15,'promotores td'!$A:$M,L$2,0),VLOOKUP($B15,'Gerentes td'!$A:$Z,L$2,0))</f>
        <v>873095.52</v>
      </c>
      <c r="M15" s="132">
        <f>IF($C15="X Prom",VLOOKUP($B15,'promotores td'!$A:$M,M$2,0),VLOOKUP($B15,'Gerentes td'!$A:$Z,M$2,0))</f>
        <v>585987.66</v>
      </c>
      <c r="N15" s="132">
        <f>IF($C15="X Prom",VLOOKUP($B15,'promotores td'!$A:$M,N$2,0),VLOOKUP($B15,'Gerentes td'!$A:$Z,N$2,0))</f>
        <v>481897.53</v>
      </c>
      <c r="O15" s="132">
        <f>IF($C15="X Prom",VLOOKUP($B15,'promotores td'!$A:$M,O$2,0),VLOOKUP($B15,'Gerentes td'!$A:$Z,O$2,0))</f>
        <v>20.51</v>
      </c>
      <c r="P15" s="132">
        <f>IF($C15="X Prom",VLOOKUP($B15,'promotores td'!$A:$M,P$2,0),VLOOKUP($B15,'Gerentes td'!$A:$Z,P$2,0))</f>
        <v>0</v>
      </c>
      <c r="Q15" s="132">
        <f>IF($C15="X Prom",VLOOKUP($B15,'promotores td'!$A:$AB,Q$2,0),VLOOKUP($B15,'Gerentes td'!$A:$AB,Q$2,0))</f>
        <v>20.51</v>
      </c>
      <c r="R15" s="133">
        <f t="shared" si="8"/>
        <v>3.5000737046237462E-5</v>
      </c>
      <c r="S15" s="132">
        <f>IF($C15="X Prom",VLOOKUP($B15,'promotores td'!$A:$Z,S$2,0),VLOOKUP($B15,'Gerentes td'!$A:$Z,S$2,0))</f>
        <v>28895.510000000002</v>
      </c>
    </row>
    <row r="16" spans="1:19" x14ac:dyDescent="0.3">
      <c r="A16">
        <f t="shared" si="5"/>
        <v>7</v>
      </c>
      <c r="B16">
        <f t="shared" si="6"/>
        <v>7</v>
      </c>
      <c r="C16" t="str">
        <f>IF(A16&lt;=MAX('promotores td'!A:A),"X Prom","X Gerente")</f>
        <v>X Prom</v>
      </c>
      <c r="D16" t="str">
        <f t="shared" si="7"/>
        <v>X Prom</v>
      </c>
      <c r="E16" s="45" t="str">
        <f>IF($C16="X Prom",VLOOKUP($B16,'promotores td'!$A:$M,E$2,0),VLOOKUP($B16,'Gerentes td'!$A:$A,E$2,0))</f>
        <v>IRVIN URIEL MORA VELAZCO</v>
      </c>
      <c r="F16" s="45" t="str">
        <f>IF($C16="X Prom",VLOOKUP($B16,'promotores td'!$A:$M,F$2,0),"")</f>
        <v>Olivares Morales Josue Edgar</v>
      </c>
      <c r="G16" s="58">
        <f>IF($C16="X Prom",VLOOKUP($B16,'promotores td'!$A:$M,G$2,0),VLOOKUP($B16,'Gerentes td'!$A:$Z,G$2,0))</f>
        <v>18</v>
      </c>
      <c r="H16" s="58">
        <f>IF($C16="X Prom",VLOOKUP($B16,'promotores td'!$A:$M,H$2,0),VLOOKUP($B16,'Gerentes td'!$A:$Z,H$2,0))</f>
        <v>113</v>
      </c>
      <c r="I16" s="128">
        <f>IF($C16="X Prom",VLOOKUP($B16,'promotores td'!$A:$M,I$2,0),VLOOKUP($B16,'Gerentes td'!$A:$Z,I$2,0))</f>
        <v>1884000</v>
      </c>
      <c r="J16" s="132">
        <f>IF($C16="X Prom",VLOOKUP($B16,'promotores td'!$A:$M,J$2,0),VLOOKUP($B16,'Gerentes td'!$A:$Z,J$2,0))</f>
        <v>143185.26999999999</v>
      </c>
      <c r="K16" s="132">
        <f>IF($C16="X Prom",VLOOKUP($B16,'promotores td'!$A:$M,K$2,0),VLOOKUP($B16,'Gerentes td'!$A:$Z,K$2,0))</f>
        <v>1527517.73</v>
      </c>
      <c r="L16" s="132">
        <f>IF($C16="X Prom",VLOOKUP($B16,'promotores td'!$A:$M,L$2,0),VLOOKUP($B16,'Gerentes td'!$A:$Z,L$2,0))</f>
        <v>2290964.3199999998</v>
      </c>
      <c r="M16" s="132">
        <f>IF($C16="X Prom",VLOOKUP($B16,'promotores td'!$A:$M,M$2,0),VLOOKUP($B16,'Gerentes td'!$A:$Z,M$2,0))</f>
        <v>1549009.3399999999</v>
      </c>
      <c r="N16" s="132">
        <f>IF($C16="X Prom",VLOOKUP($B16,'promotores td'!$A:$M,N$2,0),VLOOKUP($B16,'Gerentes td'!$A:$Z,N$2,0))</f>
        <v>1257139.29</v>
      </c>
      <c r="O16" s="132">
        <f>IF($C16="X Prom",VLOOKUP($B16,'promotores td'!$A:$M,O$2,0),VLOOKUP($B16,'Gerentes td'!$A:$Z,O$2,0))</f>
        <v>0</v>
      </c>
      <c r="P16" s="132">
        <f>IF($C16="X Prom",VLOOKUP($B16,'promotores td'!$A:$M,P$2,0),VLOOKUP($B16,'Gerentes td'!$A:$Z,P$2,0))</f>
        <v>0</v>
      </c>
      <c r="Q16" s="132">
        <f>IF($C16="X Prom",VLOOKUP($B16,'promotores td'!$A:$AB,Q$2,0),VLOOKUP($B16,'Gerentes td'!$A:$AB,Q$2,0))</f>
        <v>0</v>
      </c>
      <c r="R16" s="133">
        <f t="shared" si="8"/>
        <v>0</v>
      </c>
      <c r="S16" s="132">
        <f>IF($C16="X Prom",VLOOKUP($B16,'promotores td'!$A:$Z,S$2,0),VLOOKUP($B16,'Gerentes td'!$A:$Z,S$2,0))</f>
        <v>0</v>
      </c>
    </row>
    <row r="17" spans="1:19" x14ac:dyDescent="0.3">
      <c r="A17">
        <f t="shared" si="5"/>
        <v>8</v>
      </c>
      <c r="B17">
        <f t="shared" si="6"/>
        <v>8</v>
      </c>
      <c r="C17" t="str">
        <f>IF(A17&lt;=MAX('promotores td'!A:A),"X Prom","X Gerente")</f>
        <v>X Prom</v>
      </c>
      <c r="D17" t="str">
        <f t="shared" si="7"/>
        <v>X Prom</v>
      </c>
      <c r="E17" s="45" t="str">
        <f>IF($C17="X Prom",VLOOKUP($B17,'promotores td'!$A:$M,E$2,0),VLOOKUP($B17,'Gerentes td'!$A:$A,E$2,0))</f>
        <v>IRVIN URIEL MORA VELAZCO</v>
      </c>
      <c r="F17" s="45" t="str">
        <f>IF($C17="X Prom",VLOOKUP($B17,'promotores td'!$A:$M,F$2,0),"")</f>
        <v>Cuautle Pacheco Jheimy</v>
      </c>
      <c r="G17" s="58">
        <f>IF($C17="X Prom",VLOOKUP($B17,'promotores td'!$A:$M,G$2,0),VLOOKUP($B17,'Gerentes td'!$A:$Z,G$2,0))</f>
        <v>3</v>
      </c>
      <c r="H17" s="58">
        <f>IF($C17="X Prom",VLOOKUP($B17,'promotores td'!$A:$M,H$2,0),VLOOKUP($B17,'Gerentes td'!$A:$Z,H$2,0))</f>
        <v>16</v>
      </c>
      <c r="I17" s="128">
        <f>IF($C17="X Prom",VLOOKUP($B17,'promotores td'!$A:$M,I$2,0),VLOOKUP($B17,'Gerentes td'!$A:$Z,I$2,0))</f>
        <v>518000</v>
      </c>
      <c r="J17" s="132">
        <f>IF($C17="X Prom",VLOOKUP($B17,'promotores td'!$A:$M,J$2,0),VLOOKUP($B17,'Gerentes td'!$A:$Z,J$2,0))</f>
        <v>39368.350000000006</v>
      </c>
      <c r="K17" s="132">
        <f>IF($C17="X Prom",VLOOKUP($B17,'promotores td'!$A:$M,K$2,0),VLOOKUP($B17,'Gerentes td'!$A:$Z,K$2,0))</f>
        <v>624269.53</v>
      </c>
      <c r="L17" s="132">
        <f>IF($C17="X Prom",VLOOKUP($B17,'promotores td'!$A:$M,L$2,0),VLOOKUP($B17,'Gerentes td'!$A:$Z,L$2,0))</f>
        <v>629893.60000000009</v>
      </c>
      <c r="M17" s="132">
        <f>IF($C17="X Prom",VLOOKUP($B17,'promotores td'!$A:$M,M$2,0),VLOOKUP($B17,'Gerentes td'!$A:$Z,M$2,0))</f>
        <v>624269.56000000006</v>
      </c>
      <c r="N17" s="132">
        <f>IF($C17="X Prom",VLOOKUP($B17,'promotores td'!$A:$M,N$2,0),VLOOKUP($B17,'Gerentes td'!$A:$Z,N$2,0))</f>
        <v>513375.06</v>
      </c>
      <c r="O17" s="132">
        <f>IF($C17="X Prom",VLOOKUP($B17,'promotores td'!$A:$M,O$2,0),VLOOKUP($B17,'Gerentes td'!$A:$Z,O$2,0))</f>
        <v>15750</v>
      </c>
      <c r="P17" s="132">
        <f>IF($C17="X Prom",VLOOKUP($B17,'promotores td'!$A:$M,P$2,0),VLOOKUP($B17,'Gerentes td'!$A:$Z,P$2,0))</f>
        <v>0</v>
      </c>
      <c r="Q17" s="132">
        <f>IF($C17="X Prom",VLOOKUP($B17,'promotores td'!$A:$AB,Q$2,0),VLOOKUP($B17,'Gerentes td'!$A:$AB,Q$2,0))</f>
        <v>15750</v>
      </c>
      <c r="R17" s="133">
        <f t="shared" si="8"/>
        <v>2.522948580097354E-2</v>
      </c>
      <c r="S17" s="132">
        <f>IF($C17="X Prom",VLOOKUP($B17,'promotores td'!$A:$Z,S$2,0),VLOOKUP($B17,'Gerentes td'!$A:$Z,S$2,0))</f>
        <v>252000</v>
      </c>
    </row>
    <row r="18" spans="1:19" x14ac:dyDescent="0.3">
      <c r="A18">
        <f t="shared" si="5"/>
        <v>9</v>
      </c>
      <c r="B18">
        <f t="shared" si="6"/>
        <v>9</v>
      </c>
      <c r="C18" t="str">
        <f>IF(A18&lt;=MAX('promotores td'!A:A),"X Prom","X Gerente")</f>
        <v>X Prom</v>
      </c>
      <c r="D18" t="str">
        <f t="shared" si="7"/>
        <v>X Prom</v>
      </c>
      <c r="E18" s="45" t="str">
        <f>IF($C18="X Prom",VLOOKUP($B18,'promotores td'!$A:$M,E$2,0),VLOOKUP($B18,'Gerentes td'!$A:$A,E$2,0))</f>
        <v>JUAN EDMUNDO LUNA AGUILLON</v>
      </c>
      <c r="F18" s="45" t="str">
        <f>IF($C18="X Prom",VLOOKUP($B18,'promotores td'!$A:$M,F$2,0),"")</f>
        <v>Martinez Bañuelos Nallely Sarahi</v>
      </c>
      <c r="G18" s="58">
        <f>IF($C18="X Prom",VLOOKUP($B18,'promotores td'!$A:$M,G$2,0),VLOOKUP($B18,'Gerentes td'!$A:$Z,G$2,0))</f>
        <v>19</v>
      </c>
      <c r="H18" s="58">
        <f>IF($C18="X Prom",VLOOKUP($B18,'promotores td'!$A:$M,H$2,0),VLOOKUP($B18,'Gerentes td'!$A:$Z,H$2,0))</f>
        <v>126</v>
      </c>
      <c r="I18" s="128">
        <f>IF($C18="X Prom",VLOOKUP($B18,'promotores td'!$A:$M,I$2,0),VLOOKUP($B18,'Gerentes td'!$A:$Z,I$2,0))</f>
        <v>2205000</v>
      </c>
      <c r="J18" s="132">
        <f>IF($C18="X Prom",VLOOKUP($B18,'promotores td'!$A:$M,J$2,0),VLOOKUP($B18,'Gerentes td'!$A:$Z,J$2,0))</f>
        <v>167581.47</v>
      </c>
      <c r="K18" s="132">
        <f>IF($C18="X Prom",VLOOKUP($B18,'promotores td'!$A:$M,K$2,0),VLOOKUP($B18,'Gerentes td'!$A:$Z,K$2,0))</f>
        <v>1613715.7899999998</v>
      </c>
      <c r="L18" s="132">
        <f>IF($C18="X Prom",VLOOKUP($B18,'promotores td'!$A:$M,L$2,0),VLOOKUP($B18,'Gerentes td'!$A:$Z,L$2,0))</f>
        <v>2681303.52</v>
      </c>
      <c r="M18" s="132">
        <f>IF($C18="X Prom",VLOOKUP($B18,'promotores td'!$A:$M,M$2,0),VLOOKUP($B18,'Gerentes td'!$A:$Z,M$2,0))</f>
        <v>1613722.9</v>
      </c>
      <c r="N18" s="132">
        <f>IF($C18="X Prom",VLOOKUP($B18,'promotores td'!$A:$M,N$2,0),VLOOKUP($B18,'Gerentes td'!$A:$Z,N$2,0))</f>
        <v>1327063.1100000001</v>
      </c>
      <c r="O18" s="132">
        <f>IF($C18="X Prom",VLOOKUP($B18,'promotores td'!$A:$M,O$2,0),VLOOKUP($B18,'Gerentes td'!$A:$Z,O$2,0))</f>
        <v>0</v>
      </c>
      <c r="P18" s="132">
        <f>IF($C18="X Prom",VLOOKUP($B18,'promotores td'!$A:$M,P$2,0),VLOOKUP($B18,'Gerentes td'!$A:$Z,P$2,0))</f>
        <v>0</v>
      </c>
      <c r="Q18" s="132">
        <f>IF($C18="X Prom",VLOOKUP($B18,'promotores td'!$A:$AB,Q$2,0),VLOOKUP($B18,'Gerentes td'!$A:$AB,Q$2,0))</f>
        <v>0</v>
      </c>
      <c r="R18" s="133">
        <f t="shared" si="8"/>
        <v>0</v>
      </c>
      <c r="S18" s="132">
        <f>IF($C18="X Prom",VLOOKUP($B18,'promotores td'!$A:$Z,S$2,0),VLOOKUP($B18,'Gerentes td'!$A:$Z,S$2,0))</f>
        <v>0</v>
      </c>
    </row>
    <row r="19" spans="1:19" x14ac:dyDescent="0.3">
      <c r="A19">
        <f t="shared" si="5"/>
        <v>10</v>
      </c>
      <c r="B19">
        <f t="shared" si="6"/>
        <v>10</v>
      </c>
      <c r="C19" t="str">
        <f>IF(A19&lt;=MAX('promotores td'!A:A),"X Prom","X Gerente")</f>
        <v>X Prom</v>
      </c>
      <c r="D19" t="str">
        <f t="shared" si="7"/>
        <v>X Prom</v>
      </c>
      <c r="E19" s="45" t="str">
        <f>IF($C19="X Prom",VLOOKUP($B19,'promotores td'!$A:$M,E$2,0),VLOOKUP($B19,'Gerentes td'!$A:$A,E$2,0))</f>
        <v>JUAN EDMUNDO LUNA AGUILLON</v>
      </c>
      <c r="F19" s="45" t="str">
        <f>IF($C19="X Prom",VLOOKUP($B19,'promotores td'!$A:$M,F$2,0),"")</f>
        <v>Sanchez Posada Jose Olimpo</v>
      </c>
      <c r="G19" s="58">
        <f>IF($C19="X Prom",VLOOKUP($B19,'promotores td'!$A:$M,G$2,0),VLOOKUP($B19,'Gerentes td'!$A:$Z,G$2,0))</f>
        <v>18</v>
      </c>
      <c r="H19" s="58">
        <f>IF($C19="X Prom",VLOOKUP($B19,'promotores td'!$A:$M,H$2,0),VLOOKUP($B19,'Gerentes td'!$A:$Z,H$2,0))</f>
        <v>107</v>
      </c>
      <c r="I19" s="128">
        <f>IF($C19="X Prom",VLOOKUP($B19,'promotores td'!$A:$M,I$2,0),VLOOKUP($B19,'Gerentes td'!$A:$Z,I$2,0))</f>
        <v>1901000</v>
      </c>
      <c r="J19" s="132">
        <f>IF($C19="X Prom",VLOOKUP($B19,'promotores td'!$A:$M,J$2,0),VLOOKUP($B19,'Gerentes td'!$A:$Z,J$2,0))</f>
        <v>144477.28</v>
      </c>
      <c r="K19" s="132">
        <f>IF($C19="X Prom",VLOOKUP($B19,'promotores td'!$A:$M,K$2,0),VLOOKUP($B19,'Gerentes td'!$A:$Z,K$2,0))</f>
        <v>1421935.9900000002</v>
      </c>
      <c r="L19" s="132">
        <f>IF($C19="X Prom",VLOOKUP($B19,'promotores td'!$A:$M,L$2,0),VLOOKUP($B19,'Gerentes td'!$A:$Z,L$2,0))</f>
        <v>2311636.48</v>
      </c>
      <c r="M19" s="132">
        <f>IF($C19="X Prom",VLOOKUP($B19,'promotores td'!$A:$M,M$2,0),VLOOKUP($B19,'Gerentes td'!$A:$Z,M$2,0))</f>
        <v>1421980.9100000001</v>
      </c>
      <c r="N19" s="132">
        <f>IF($C19="X Prom",VLOOKUP($B19,'promotores td'!$A:$M,N$2,0),VLOOKUP($B19,'Gerentes td'!$A:$Z,N$2,0))</f>
        <v>1170017.73</v>
      </c>
      <c r="O19" s="132">
        <f>IF($C19="X Prom",VLOOKUP($B19,'promotores td'!$A:$M,O$2,0),VLOOKUP($B19,'Gerentes td'!$A:$Z,O$2,0))</f>
        <v>10705.130000000001</v>
      </c>
      <c r="P19" s="132">
        <f>IF($C19="X Prom",VLOOKUP($B19,'promotores td'!$A:$M,P$2,0),VLOOKUP($B19,'Gerentes td'!$A:$Z,P$2,0))</f>
        <v>0</v>
      </c>
      <c r="Q19" s="132">
        <f>IF($C19="X Prom",VLOOKUP($B19,'promotores td'!$A:$AB,Q$2,0),VLOOKUP($B19,'Gerentes td'!$A:$AB,Q$2,0))</f>
        <v>10705.130000000001</v>
      </c>
      <c r="R19" s="133">
        <f t="shared" si="8"/>
        <v>7.5283218816207592E-3</v>
      </c>
      <c r="S19" s="132">
        <f>IF($C19="X Prom",VLOOKUP($B19,'promotores td'!$A:$Z,S$2,0),VLOOKUP($B19,'Gerentes td'!$A:$Z,S$2,0))</f>
        <v>116455.13</v>
      </c>
    </row>
    <row r="20" spans="1:19" x14ac:dyDescent="0.3">
      <c r="A20">
        <f t="shared" si="5"/>
        <v>11</v>
      </c>
      <c r="B20">
        <f t="shared" si="6"/>
        <v>11</v>
      </c>
      <c r="C20" t="str">
        <f>IF(A20&lt;=MAX('promotores td'!A:A),"X Prom","X Gerente")</f>
        <v>X Prom</v>
      </c>
      <c r="D20" t="str">
        <f t="shared" si="7"/>
        <v>X Prom</v>
      </c>
      <c r="E20" s="45" t="str">
        <f>IF($C20="X Prom",VLOOKUP($B20,'promotores td'!$A:$M,E$2,0),VLOOKUP($B20,'Gerentes td'!$A:$A,E$2,0))</f>
        <v>JUDITH PATRICIA SERRANO HERRER</v>
      </c>
      <c r="F20" s="45" t="str">
        <f>IF($C20="X Prom",VLOOKUP($B20,'promotores td'!$A:$M,F$2,0),"")</f>
        <v>Becerril Aguirre Jonathan</v>
      </c>
      <c r="G20" s="58">
        <f>IF($C20="X Prom",VLOOKUP($B20,'promotores td'!$A:$M,G$2,0),VLOOKUP($B20,'Gerentes td'!$A:$Z,G$2,0))</f>
        <v>17</v>
      </c>
      <c r="H20" s="58">
        <f>IF($C20="X Prom",VLOOKUP($B20,'promotores td'!$A:$M,H$2,0),VLOOKUP($B20,'Gerentes td'!$A:$Z,H$2,0))</f>
        <v>104</v>
      </c>
      <c r="I20" s="128">
        <f>IF($C20="X Prom",VLOOKUP($B20,'promotores td'!$A:$M,I$2,0),VLOOKUP($B20,'Gerentes td'!$A:$Z,I$2,0))</f>
        <v>1492000</v>
      </c>
      <c r="J20" s="132">
        <f>IF($C20="X Prom",VLOOKUP($B20,'promotores td'!$A:$M,J$2,0),VLOOKUP($B20,'Gerentes td'!$A:$Z,J$2,0))</f>
        <v>113393.00999999998</v>
      </c>
      <c r="K20" s="132">
        <f>IF($C20="X Prom",VLOOKUP($B20,'promotores td'!$A:$M,K$2,0),VLOOKUP($B20,'Gerentes td'!$A:$Z,K$2,0))</f>
        <v>1263883.3399999999</v>
      </c>
      <c r="L20" s="132">
        <f>IF($C20="X Prom",VLOOKUP($B20,'promotores td'!$A:$M,L$2,0),VLOOKUP($B20,'Gerentes td'!$A:$Z,L$2,0))</f>
        <v>1814288.1599999997</v>
      </c>
      <c r="M20" s="132">
        <f>IF($C20="X Prom",VLOOKUP($B20,'promotores td'!$A:$M,M$2,0),VLOOKUP($B20,'Gerentes td'!$A:$Z,M$2,0))</f>
        <v>1263895.18</v>
      </c>
      <c r="N20" s="132">
        <f>IF($C20="X Prom",VLOOKUP($B20,'promotores td'!$A:$M,N$2,0),VLOOKUP($B20,'Gerentes td'!$A:$Z,N$2,0))</f>
        <v>1039378.9600000001</v>
      </c>
      <c r="O20" s="132">
        <f>IF($C20="X Prom",VLOOKUP($B20,'promotores td'!$A:$M,O$2,0),VLOOKUP($B20,'Gerentes td'!$A:$Z,O$2,0))</f>
        <v>0</v>
      </c>
      <c r="P20" s="132">
        <f>IF($C20="X Prom",VLOOKUP($B20,'promotores td'!$A:$M,P$2,0),VLOOKUP($B20,'Gerentes td'!$A:$Z,P$2,0))</f>
        <v>0</v>
      </c>
      <c r="Q20" s="132">
        <f>IF($C20="X Prom",VLOOKUP($B20,'promotores td'!$A:$AB,Q$2,0),VLOOKUP($B20,'Gerentes td'!$A:$AB,Q$2,0))</f>
        <v>0</v>
      </c>
      <c r="R20" s="133">
        <f t="shared" si="8"/>
        <v>0</v>
      </c>
      <c r="S20" s="132">
        <f>IF($C20="X Prom",VLOOKUP($B20,'promotores td'!$A:$Z,S$2,0),VLOOKUP($B20,'Gerentes td'!$A:$Z,S$2,0))</f>
        <v>0</v>
      </c>
    </row>
    <row r="21" spans="1:19" x14ac:dyDescent="0.3">
      <c r="A21">
        <f t="shared" si="5"/>
        <v>12</v>
      </c>
      <c r="B21">
        <f t="shared" ref="B21" si="9">IF(C20=C21,B20+1,1)</f>
        <v>12</v>
      </c>
      <c r="C21" t="str">
        <f>IF(A21&lt;=MAX('promotores td'!A:A),"X Prom","X Gerente")</f>
        <v>X Prom</v>
      </c>
      <c r="D21" t="str">
        <f t="shared" ref="D21" si="10">C21</f>
        <v>X Prom</v>
      </c>
      <c r="E21" s="45" t="str">
        <f>IF($C21="X Prom",VLOOKUP($B21,'promotores td'!$A:$M,E$2,0),VLOOKUP($B21,'Gerentes td'!$A:$A,E$2,0))</f>
        <v>JUDITH PATRICIA SERRANO HERRER</v>
      </c>
      <c r="F21" s="45" t="str">
        <f>IF($C21="X Prom",VLOOKUP($B21,'promotores td'!$A:$M,F$2,0),"")</f>
        <v>Cabrera Flores Viridiana</v>
      </c>
      <c r="G21" s="58">
        <f>IF($C21="X Prom",VLOOKUP($B21,'promotores td'!$A:$M,G$2,0),VLOOKUP($B21,'Gerentes td'!$A:$Z,G$2,0))</f>
        <v>23</v>
      </c>
      <c r="H21" s="58">
        <f>IF($C21="X Prom",VLOOKUP($B21,'promotores td'!$A:$M,H$2,0),VLOOKUP($B21,'Gerentes td'!$A:$Z,H$2,0))</f>
        <v>129</v>
      </c>
      <c r="I21" s="128">
        <f>IF($C21="X Prom",VLOOKUP($B21,'promotores td'!$A:$M,I$2,0),VLOOKUP($B21,'Gerentes td'!$A:$Z,I$2,0))</f>
        <v>1981000</v>
      </c>
      <c r="J21" s="132">
        <f>IF($C21="X Prom",VLOOKUP($B21,'promotores td'!$A:$M,J$2,0),VLOOKUP($B21,'Gerentes td'!$A:$Z,J$2,0))</f>
        <v>150563.45999999996</v>
      </c>
      <c r="K21" s="132">
        <f>IF($C21="X Prom",VLOOKUP($B21,'promotores td'!$A:$M,K$2,0),VLOOKUP($B21,'Gerentes td'!$A:$Z,K$2,0))</f>
        <v>1430170.7900000003</v>
      </c>
      <c r="L21" s="132">
        <f>IF($C21="X Prom",VLOOKUP($B21,'promotores td'!$A:$M,L$2,0),VLOOKUP($B21,'Gerentes td'!$A:$Z,L$2,0))</f>
        <v>2409015.3599999994</v>
      </c>
      <c r="M21" s="132">
        <f>IF($C21="X Prom",VLOOKUP($B21,'promotores td'!$A:$M,M$2,0),VLOOKUP($B21,'Gerentes td'!$A:$Z,M$2,0))</f>
        <v>1434903.0700000003</v>
      </c>
      <c r="N21" s="132">
        <f>IF($C21="X Prom",VLOOKUP($B21,'promotores td'!$A:$M,N$2,0),VLOOKUP($B21,'Gerentes td'!$A:$Z,N$2,0))</f>
        <v>1176802.3600000001</v>
      </c>
      <c r="O21" s="132">
        <f>IF($C21="X Prom",VLOOKUP($B21,'promotores td'!$A:$M,O$2,0),VLOOKUP($B21,'Gerentes td'!$A:$Z,O$2,0))</f>
        <v>14187.5</v>
      </c>
      <c r="P21" s="132">
        <f>IF($C21="X Prom",VLOOKUP($B21,'promotores td'!$A:$M,P$2,0),VLOOKUP($B21,'Gerentes td'!$A:$Z,P$2,0))</f>
        <v>0</v>
      </c>
      <c r="Q21" s="132">
        <f>IF($C21="X Prom",VLOOKUP($B21,'promotores td'!$A:$AB,Q$2,0),VLOOKUP($B21,'Gerentes td'!$A:$AB,Q$2,0))</f>
        <v>14187.5</v>
      </c>
      <c r="R21" s="133">
        <f t="shared" si="8"/>
        <v>9.8874274483223435E-3</v>
      </c>
      <c r="S21" s="132">
        <f>IF($C21="X Prom",VLOOKUP($B21,'promotores td'!$A:$Z,S$2,0),VLOOKUP($B21,'Gerentes td'!$A:$Z,S$2,0))</f>
        <v>133062.5</v>
      </c>
    </row>
    <row r="22" spans="1:19" x14ac:dyDescent="0.3">
      <c r="A22">
        <f t="shared" si="5"/>
        <v>13</v>
      </c>
      <c r="B22">
        <f t="shared" ref="B22:B24" si="11">IF(C21=C22,B21+1,1)</f>
        <v>13</v>
      </c>
      <c r="C22" t="str">
        <f>IF(A22&lt;=MAX('promotores td'!A:A),"X Prom","X Gerente")</f>
        <v>X Prom</v>
      </c>
      <c r="D22" t="str">
        <f t="shared" ref="D22:D24" si="12">C22</f>
        <v>X Prom</v>
      </c>
      <c r="E22" s="45" t="str">
        <f>IF($C22="X Prom",VLOOKUP($B22,'promotores td'!$A:$M,E$2,0),VLOOKUP($B22,'Gerentes td'!$A:$A,E$2,0))</f>
        <v>JUDITH PATRICIA SERRANO HERRER</v>
      </c>
      <c r="F22" s="45" t="str">
        <f>IF($C22="X Prom",VLOOKUP($B22,'promotores td'!$A:$M,F$2,0),"")</f>
        <v>ORTEGA FORTANEL GABRIELA</v>
      </c>
      <c r="G22" s="58">
        <f>IF($C22="X Prom",VLOOKUP($B22,'promotores td'!$A:$M,G$2,0),VLOOKUP($B22,'Gerentes td'!$A:$Z,G$2,0))</f>
        <v>12</v>
      </c>
      <c r="H22" s="58">
        <f>IF($C22="X Prom",VLOOKUP($B22,'promotores td'!$A:$M,H$2,0),VLOOKUP($B22,'Gerentes td'!$A:$Z,H$2,0))</f>
        <v>67</v>
      </c>
      <c r="I22" s="128">
        <f>IF($C22="X Prom",VLOOKUP($B22,'promotores td'!$A:$M,I$2,0),VLOOKUP($B22,'Gerentes td'!$A:$Z,I$2,0))</f>
        <v>1355000</v>
      </c>
      <c r="J22" s="132">
        <f>IF($C22="X Prom",VLOOKUP($B22,'promotores td'!$A:$M,J$2,0),VLOOKUP($B22,'Gerentes td'!$A:$Z,J$2,0))</f>
        <v>102980.89999999998</v>
      </c>
      <c r="K22" s="132">
        <f>IF($C22="X Prom",VLOOKUP($B22,'promotores td'!$A:$M,K$2,0),VLOOKUP($B22,'Gerentes td'!$A:$Z,K$2,0))</f>
        <v>1178951.3100000003</v>
      </c>
      <c r="L22" s="132">
        <f>IF($C22="X Prom",VLOOKUP($B22,'promotores td'!$A:$M,L$2,0),VLOOKUP($B22,'Gerentes td'!$A:$Z,L$2,0))</f>
        <v>1647694.3999999997</v>
      </c>
      <c r="M22" s="132">
        <f>IF($C22="X Prom",VLOOKUP($B22,'promotores td'!$A:$M,M$2,0),VLOOKUP($B22,'Gerentes td'!$A:$Z,M$2,0))</f>
        <v>1180062.79</v>
      </c>
      <c r="N22" s="132">
        <f>IF($C22="X Prom",VLOOKUP($B22,'promotores td'!$A:$M,N$2,0),VLOOKUP($B22,'Gerentes td'!$A:$Z,N$2,0))</f>
        <v>970437.86</v>
      </c>
      <c r="O22" s="132">
        <f>IF($C22="X Prom",VLOOKUP($B22,'promotores td'!$A:$M,O$2,0),VLOOKUP($B22,'Gerentes td'!$A:$Z,O$2,0))</f>
        <v>0</v>
      </c>
      <c r="P22" s="132">
        <f>IF($C22="X Prom",VLOOKUP($B22,'promotores td'!$A:$M,P$2,0),VLOOKUP($B22,'Gerentes td'!$A:$Z,P$2,0))</f>
        <v>0</v>
      </c>
      <c r="Q22" s="132">
        <f>IF($C22="X Prom",VLOOKUP($B22,'promotores td'!$A:$AB,Q$2,0),VLOOKUP($B22,'Gerentes td'!$A:$AB,Q$2,0))</f>
        <v>0</v>
      </c>
      <c r="R22" s="133">
        <f t="shared" si="8"/>
        <v>0</v>
      </c>
      <c r="S22" s="132">
        <f>IF($C22="X Prom",VLOOKUP($B22,'promotores td'!$A:$Z,S$2,0),VLOOKUP($B22,'Gerentes td'!$A:$Z,S$2,0))</f>
        <v>0</v>
      </c>
    </row>
    <row r="23" spans="1:19" x14ac:dyDescent="0.3">
      <c r="A23">
        <f t="shared" si="5"/>
        <v>14</v>
      </c>
      <c r="B23">
        <f t="shared" si="11"/>
        <v>14</v>
      </c>
      <c r="C23" t="str">
        <f>IF(A23&lt;=MAX('promotores td'!A:A),"X Prom","X Gerente")</f>
        <v>X Prom</v>
      </c>
      <c r="D23" t="str">
        <f t="shared" si="12"/>
        <v>X Prom</v>
      </c>
      <c r="E23" s="45" t="str">
        <f>IF($C23="X Prom",VLOOKUP($B23,'promotores td'!$A:$M,E$2,0),VLOOKUP($B23,'Gerentes td'!$A:$A,E$2,0))</f>
        <v>JUDITH PATRICIA SERRANO HERRER</v>
      </c>
      <c r="F23" s="45" t="str">
        <f>IF($C23="X Prom",VLOOKUP($B23,'promotores td'!$A:$M,F$2,0),"")</f>
        <v>Roldan Cruz Hector Enrique</v>
      </c>
      <c r="G23" s="58">
        <f>IF($C23="X Prom",VLOOKUP($B23,'promotores td'!$A:$M,G$2,0),VLOOKUP($B23,'Gerentes td'!$A:$Z,G$2,0))</f>
        <v>3</v>
      </c>
      <c r="H23" s="58">
        <f>IF($C23="X Prom",VLOOKUP($B23,'promotores td'!$A:$M,H$2,0),VLOOKUP($B23,'Gerentes td'!$A:$Z,H$2,0))</f>
        <v>16</v>
      </c>
      <c r="I23" s="128">
        <f>IF($C23="X Prom",VLOOKUP($B23,'promotores td'!$A:$M,I$2,0),VLOOKUP($B23,'Gerentes td'!$A:$Z,I$2,0))</f>
        <v>260000</v>
      </c>
      <c r="J23" s="132">
        <f>IF($C23="X Prom",VLOOKUP($B23,'promotores td'!$A:$M,J$2,0),VLOOKUP($B23,'Gerentes td'!$A:$Z,J$2,0))</f>
        <v>19760.169999999998</v>
      </c>
      <c r="K23" s="132">
        <f>IF($C23="X Prom",VLOOKUP($B23,'promotores td'!$A:$M,K$2,0),VLOOKUP($B23,'Gerentes td'!$A:$Z,K$2,0))</f>
        <v>302473.77</v>
      </c>
      <c r="L23" s="132">
        <f>IF($C23="X Prom",VLOOKUP($B23,'promotores td'!$A:$M,L$2,0),VLOOKUP($B23,'Gerentes td'!$A:$Z,L$2,0))</f>
        <v>316162.71999999997</v>
      </c>
      <c r="M23" s="132">
        <f>IF($C23="X Prom",VLOOKUP($B23,'promotores td'!$A:$M,M$2,0),VLOOKUP($B23,'Gerentes td'!$A:$Z,M$2,0))</f>
        <v>302482.67000000004</v>
      </c>
      <c r="N23" s="132">
        <f>IF($C23="X Prom",VLOOKUP($B23,'promotores td'!$A:$M,N$2,0),VLOOKUP($B23,'Gerentes td'!$A:$Z,N$2,0))</f>
        <v>248750</v>
      </c>
      <c r="O23" s="132">
        <f>IF($C23="X Prom",VLOOKUP($B23,'promotores td'!$A:$M,O$2,0),VLOOKUP($B23,'Gerentes td'!$A:$Z,O$2,0))</f>
        <v>0</v>
      </c>
      <c r="P23" s="132">
        <f>IF($C23="X Prom",VLOOKUP($B23,'promotores td'!$A:$M,P$2,0),VLOOKUP($B23,'Gerentes td'!$A:$Z,P$2,0))</f>
        <v>0</v>
      </c>
      <c r="Q23" s="132">
        <f>IF($C23="X Prom",VLOOKUP($B23,'promotores td'!$A:$AB,Q$2,0),VLOOKUP($B23,'Gerentes td'!$A:$AB,Q$2,0))</f>
        <v>0</v>
      </c>
      <c r="R23" s="133">
        <f t="shared" si="8"/>
        <v>0</v>
      </c>
      <c r="S23" s="132">
        <f>IF($C23="X Prom",VLOOKUP($B23,'promotores td'!$A:$Z,S$2,0),VLOOKUP($B23,'Gerentes td'!$A:$Z,S$2,0))</f>
        <v>0</v>
      </c>
    </row>
    <row r="24" spans="1:19" x14ac:dyDescent="0.3">
      <c r="A24">
        <f t="shared" si="5"/>
        <v>15</v>
      </c>
      <c r="B24">
        <f t="shared" si="11"/>
        <v>15</v>
      </c>
      <c r="C24" t="str">
        <f>IF(A24&lt;=MAX('promotores td'!A:A),"X Prom","X Gerente")</f>
        <v>X Prom</v>
      </c>
      <c r="D24" t="str">
        <f t="shared" si="12"/>
        <v>X Prom</v>
      </c>
      <c r="E24" s="45" t="str">
        <f>IF($C24="X Prom",VLOOKUP($B24,'promotores td'!$A:$M,E$2,0),VLOOKUP($B24,'Gerentes td'!$A:$Z,E$2,0))</f>
        <v>JUDITH PATRICIA SERRANO HERRER</v>
      </c>
      <c r="F24" s="45" t="str">
        <f>IF($C24="X Prom",VLOOKUP($B24,'promotores td'!$A:$M,F$2,0),"")</f>
        <v>Betancourt Rojas Jacqueline</v>
      </c>
      <c r="G24" s="58">
        <f>IF($C24="X Prom",VLOOKUP($B24,'promotores td'!$A:$M,G$2,0),VLOOKUP($B24,'Gerentes td'!$A:$Z,G$2,0))</f>
        <v>1</v>
      </c>
      <c r="H24" s="58">
        <f>IF($C24="X Prom",VLOOKUP($B24,'promotores td'!$A:$M,H$2,0),VLOOKUP($B24,'Gerentes td'!$A:$Z,H$2,0))</f>
        <v>6</v>
      </c>
      <c r="I24" s="128">
        <f>IF($C24="X Prom",VLOOKUP($B24,'promotores td'!$A:$M,I$2,0),VLOOKUP($B24,'Gerentes td'!$A:$Z,I$2,0))</f>
        <v>510000</v>
      </c>
      <c r="J24" s="132">
        <f>IF($C24="X Prom",VLOOKUP($B24,'promotores td'!$A:$M,J$2,0),VLOOKUP($B24,'Gerentes td'!$A:$Z,J$2,0))</f>
        <v>38760.340000000004</v>
      </c>
      <c r="K24" s="132">
        <f>IF($C24="X Prom",VLOOKUP($B24,'promotores td'!$A:$M,K$2,0),VLOOKUP($B24,'Gerentes td'!$A:$Z,K$2,0))</f>
        <v>620165.44000000006</v>
      </c>
      <c r="L24" s="132">
        <f>IF($C24="X Prom",VLOOKUP($B24,'promotores td'!$A:$M,L$2,0),VLOOKUP($B24,'Gerentes td'!$A:$Z,L$2,0))</f>
        <v>620165.44000000006</v>
      </c>
      <c r="M24" s="132">
        <f>IF($C24="X Prom",VLOOKUP($B24,'promotores td'!$A:$M,M$2,0),VLOOKUP($B24,'Gerentes td'!$A:$Z,M$2,0))</f>
        <v>620165.44000000006</v>
      </c>
      <c r="N24" s="132">
        <f>IF($C24="X Prom",VLOOKUP($B24,'promotores td'!$A:$M,N$2,0),VLOOKUP($B24,'Gerentes td'!$A:$Z,N$2,0))</f>
        <v>510000</v>
      </c>
      <c r="O24" s="132">
        <f>IF($C24="X Prom",VLOOKUP($B24,'promotores td'!$A:$M,O$2,0),VLOOKUP($B24,'Gerentes td'!$A:$Z,O$2,0))</f>
        <v>0</v>
      </c>
      <c r="P24" s="132">
        <f>IF($C24="X Prom",VLOOKUP($B24,'promotores td'!$A:$M,P$2,0),VLOOKUP($B24,'Gerentes td'!$A:$Z,P$2,0))</f>
        <v>0</v>
      </c>
      <c r="Q24" s="132">
        <f>IF($C24="X Prom",VLOOKUP($B24,'promotores td'!$A:$AB,Q$2,0),VLOOKUP($B24,'Gerentes td'!$A:$AB,Q$2,0))</f>
        <v>0</v>
      </c>
      <c r="R24" s="133">
        <f t="shared" si="8"/>
        <v>0</v>
      </c>
      <c r="S24" s="132">
        <f>IF($C24="X Prom",VLOOKUP($B24,'promotores td'!$A:$Z,S$2,0),VLOOKUP($B24,'Gerentes td'!$A:$Z,S$2,0))</f>
        <v>0</v>
      </c>
    </row>
    <row r="25" spans="1:19" x14ac:dyDescent="0.3">
      <c r="A25">
        <f t="shared" si="5"/>
        <v>16</v>
      </c>
      <c r="B25">
        <f t="shared" ref="B25" si="13">IF(C24=C25,B24+1,1)</f>
        <v>1</v>
      </c>
      <c r="C25" t="str">
        <f>IF(A25&lt;=MAX('promotores td'!A:A),"X Prom","X Gerente")</f>
        <v>X Gerente</v>
      </c>
      <c r="D25" t="str">
        <f t="shared" ref="D25" si="14">C25</f>
        <v>X Gerente</v>
      </c>
      <c r="E25" s="45" t="str">
        <f>IF($C25="X Prom",VLOOKUP($B25,'promotores td'!$A:$M,E$2,0),VLOOKUP($B25,'Gerentes td'!$A:$Z,E$2,0))</f>
        <v>ADRIANA ALEJALDRE GUZMAN</v>
      </c>
      <c r="F25" s="45" t="str">
        <f>IF($C25="X Prom",VLOOKUP($B25,'promotores td'!$A:$M,F$2,0),"")</f>
        <v/>
      </c>
      <c r="G25" s="58">
        <f>IF($C25="X Prom",VLOOKUP($B25,'promotores td'!$A:$M,G$2,0),VLOOKUP($B25,'Gerentes td'!$A:$Z,G$2,0))</f>
        <v>54</v>
      </c>
      <c r="H25" s="58">
        <f>IF($C25="X Prom",VLOOKUP($B25,'promotores td'!$A:$M,H$2,0),VLOOKUP($B25,'Gerentes td'!$A:$Z,H$2,0))</f>
        <v>356</v>
      </c>
      <c r="I25" s="128">
        <f>IF($C25="X Prom",VLOOKUP($B25,'promotores td'!$A:$M,I$2,0),VLOOKUP($B25,'Gerentes td'!$A:$Z,I$2,0))</f>
        <v>5399000</v>
      </c>
      <c r="J25" s="132">
        <f>IF($C25="X Prom",VLOOKUP($B25,'promotores td'!$A:$M,J$2,0),VLOOKUP($B25,'Gerentes td'!$A:$Z,J$2,0))</f>
        <v>410327.57999999996</v>
      </c>
      <c r="K25" s="132">
        <f>IF($C25="X Prom",VLOOKUP($B25,'promotores td'!$A:$M,K$2,0),VLOOKUP($B25,'Gerentes td'!$A:$Z,K$2,0))</f>
        <v>4244847.8500000006</v>
      </c>
      <c r="L25" s="132">
        <f>IF($C25="X Prom",VLOOKUP($B25,'promotores td'!$A:$M,L$2,0),VLOOKUP($B25,'Gerentes td'!$A:$Z,L$2,0))</f>
        <v>6565241.2799999993</v>
      </c>
      <c r="M25" s="132">
        <f>IF($C25="X Prom",VLOOKUP($B25,'promotores td'!$A:$M,M$2,0),VLOOKUP($B25,'Gerentes td'!$A:$Z,M$2,0))</f>
        <v>4317845.7700000014</v>
      </c>
      <c r="N25" s="132">
        <f>IF($C25="X Prom",VLOOKUP($B25,'promotores td'!$A:$M,N$2,0),VLOOKUP($B25,'Gerentes td'!$A:$Z,N$2,0))</f>
        <v>3495160.4</v>
      </c>
      <c r="O25" s="132">
        <f>IF($C25="X Prom",VLOOKUP($B25,'promotores td'!$A:$M,O$2,0),VLOOKUP($B25,'Gerentes td'!$A:$Z,O$2,0))</f>
        <v>41092.92</v>
      </c>
      <c r="P25" s="132">
        <f>IF($C25="X Prom",VLOOKUP($B25,'promotores td'!$A:$M,P$2,0),VLOOKUP($B25,'Gerentes td'!$A:$Z,P$2,0))</f>
        <v>14116.270000000002</v>
      </c>
      <c r="Q25" s="132">
        <f>IF($C25="X Prom",VLOOKUP($B25,'promotores td'!$A:$AB,Q$2,0),VLOOKUP($B25,'Gerentes td'!$A:$AB,Q$2,0))</f>
        <v>55209.19</v>
      </c>
      <c r="R25" s="133">
        <f t="shared" si="8"/>
        <v>1.2786281155197442E-2</v>
      </c>
      <c r="S25" s="132">
        <f>IF($C25="X Prom",VLOOKUP($B25,'promotores td'!$A:$Z,S$2,0),VLOOKUP($B25,'Gerentes td'!$A:$Z,S$2,0))</f>
        <v>242834.19000000003</v>
      </c>
    </row>
    <row r="26" spans="1:19" x14ac:dyDescent="0.3">
      <c r="A26">
        <f t="shared" si="5"/>
        <v>17</v>
      </c>
      <c r="B26">
        <f t="shared" ref="B26:B28" si="15">IF(C25=C26,B25+1,1)</f>
        <v>2</v>
      </c>
      <c r="C26" t="str">
        <f>IF(A26&lt;=MAX('promotores td'!A:A),"X Prom","X Gerente")</f>
        <v>X Gerente</v>
      </c>
      <c r="D26" t="str">
        <f t="shared" ref="D26:D28" si="16">C26</f>
        <v>X Gerente</v>
      </c>
      <c r="E26" s="45" t="str">
        <f>IF($C26="X Prom",VLOOKUP($B26,'promotores td'!$A:$M,E$2,0),VLOOKUP($B26,'Gerentes td'!$A:$Z,E$2,0))</f>
        <v>IRVIN URIEL MORA VELAZCO</v>
      </c>
      <c r="F26" s="45" t="str">
        <f>IF($C26="X Prom",VLOOKUP($B26,'promotores td'!$A:$M,F$2,0),"")</f>
        <v/>
      </c>
      <c r="G26" s="58">
        <f>IF($C26="X Prom",VLOOKUP($B26,'promotores td'!$A:$M,G$2,0),VLOOKUP($B26,'Gerentes td'!$A:$Z,G$2,0))</f>
        <v>47</v>
      </c>
      <c r="H26" s="58">
        <f>IF($C26="X Prom",VLOOKUP($B26,'promotores td'!$A:$M,H$2,0),VLOOKUP($B26,'Gerentes td'!$A:$Z,H$2,0))</f>
        <v>287</v>
      </c>
      <c r="I26" s="128">
        <f>IF($C26="X Prom",VLOOKUP($B26,'promotores td'!$A:$M,I$2,0),VLOOKUP($B26,'Gerentes td'!$A:$Z,I$2,0))</f>
        <v>4775000</v>
      </c>
      <c r="J26" s="132">
        <f>IF($C26="X Prom",VLOOKUP($B26,'promotores td'!$A:$M,J$2,0),VLOOKUP($B26,'Gerentes td'!$A:$Z,J$2,0))</f>
        <v>363223.16</v>
      </c>
      <c r="K26" s="132">
        <f>IF($C26="X Prom",VLOOKUP($B26,'promotores td'!$A:$M,K$2,0),VLOOKUP($B26,'Gerentes td'!$A:$Z,K$2,0))</f>
        <v>4086448.4399999995</v>
      </c>
      <c r="L26" s="132">
        <f>IF($C26="X Prom",VLOOKUP($B26,'promotores td'!$A:$M,L$2,0),VLOOKUP($B26,'Gerentes td'!$A:$Z,L$2,0))</f>
        <v>5811570.5599999996</v>
      </c>
      <c r="M26" s="132">
        <f>IF($C26="X Prom",VLOOKUP($B26,'promotores td'!$A:$M,M$2,0),VLOOKUP($B26,'Gerentes td'!$A:$Z,M$2,0))</f>
        <v>4107949.3</v>
      </c>
      <c r="N26" s="132">
        <f>IF($C26="X Prom",VLOOKUP($B26,'promotores td'!$A:$M,N$2,0),VLOOKUP($B26,'Gerentes td'!$A:$Z,N$2,0))</f>
        <v>3357352.64</v>
      </c>
      <c r="O26" s="132">
        <f>IF($C26="X Prom",VLOOKUP($B26,'promotores td'!$A:$M,O$2,0),VLOOKUP($B26,'Gerentes td'!$A:$Z,O$2,0))</f>
        <v>20520.510000000002</v>
      </c>
      <c r="P26" s="132">
        <f>IF($C26="X Prom",VLOOKUP($B26,'promotores td'!$A:$M,P$2,0),VLOOKUP($B26,'Gerentes td'!$A:$Z,P$2,0))</f>
        <v>0</v>
      </c>
      <c r="Q26" s="132">
        <f>IF($C26="X Prom",VLOOKUP($B26,'promotores td'!$A:$AB,Q$2,0),VLOOKUP($B26,'Gerentes td'!$A:$AB,Q$2,0))</f>
        <v>20520.510000000002</v>
      </c>
      <c r="R26" s="133">
        <f t="shared" ref="R26:R28" si="17">Q26/M26</f>
        <v>4.9953172498988733E-3</v>
      </c>
      <c r="S26" s="132">
        <f>IF($C26="X Prom",VLOOKUP($B26,'promotores td'!$A:$Z,S$2,0),VLOOKUP($B26,'Gerentes td'!$A:$Z,S$2,0))</f>
        <v>318895.51</v>
      </c>
    </row>
    <row r="27" spans="1:19" x14ac:dyDescent="0.3">
      <c r="A27">
        <f t="shared" si="5"/>
        <v>18</v>
      </c>
      <c r="B27">
        <f t="shared" si="15"/>
        <v>3</v>
      </c>
      <c r="C27" t="str">
        <f>IF(A27&lt;=MAX('promotores td'!A:A),"X Prom","X Gerente")</f>
        <v>X Gerente</v>
      </c>
      <c r="D27" t="str">
        <f t="shared" si="16"/>
        <v>X Gerente</v>
      </c>
      <c r="E27" s="45" t="str">
        <f>IF($C27="X Prom",VLOOKUP($B27,'promotores td'!$A:$M,E$2,0),VLOOKUP($B27,'Gerentes td'!$A:$Z,E$2,0))</f>
        <v>JUAN EDMUNDO LUNA AGUILLON</v>
      </c>
      <c r="F27" s="45" t="str">
        <f>IF($C27="X Prom",VLOOKUP($B27,'promotores td'!$A:$M,F$2,0),"")</f>
        <v/>
      </c>
      <c r="G27" s="58">
        <f>IF($C27="X Prom",VLOOKUP($B27,'promotores td'!$A:$M,G$2,0),VLOOKUP($B27,'Gerentes td'!$A:$Z,G$2,0))</f>
        <v>37</v>
      </c>
      <c r="H27" s="58">
        <f>IF($C27="X Prom",VLOOKUP($B27,'promotores td'!$A:$M,H$2,0),VLOOKUP($B27,'Gerentes td'!$A:$Z,H$2,0))</f>
        <v>233</v>
      </c>
      <c r="I27" s="128">
        <f>IF($C27="X Prom",VLOOKUP($B27,'promotores td'!$A:$M,I$2,0),VLOOKUP($B27,'Gerentes td'!$A:$Z,I$2,0))</f>
        <v>4106000</v>
      </c>
      <c r="J27" s="132">
        <f>IF($C27="X Prom",VLOOKUP($B27,'promotores td'!$A:$M,J$2,0),VLOOKUP($B27,'Gerentes td'!$A:$Z,J$2,0))</f>
        <v>312058.74999999994</v>
      </c>
      <c r="K27" s="132">
        <f>IF($C27="X Prom",VLOOKUP($B27,'promotores td'!$A:$M,K$2,0),VLOOKUP($B27,'Gerentes td'!$A:$Z,K$2,0))</f>
        <v>3035651.7800000003</v>
      </c>
      <c r="L27" s="132">
        <f>IF($C27="X Prom",VLOOKUP($B27,'promotores td'!$A:$M,L$2,0),VLOOKUP($B27,'Gerentes td'!$A:$Z,L$2,0))</f>
        <v>4992939.9999999991</v>
      </c>
      <c r="M27" s="132">
        <f>IF($C27="X Prom",VLOOKUP($B27,'promotores td'!$A:$M,M$2,0),VLOOKUP($B27,'Gerentes td'!$A:$Z,M$2,0))</f>
        <v>3035703.8100000005</v>
      </c>
      <c r="N27" s="132">
        <f>IF($C27="X Prom",VLOOKUP($B27,'promotores td'!$A:$M,N$2,0),VLOOKUP($B27,'Gerentes td'!$A:$Z,N$2,0))</f>
        <v>2497080.8400000003</v>
      </c>
      <c r="O27" s="132">
        <f>IF($C27="X Prom",VLOOKUP($B27,'promotores td'!$A:$M,O$2,0),VLOOKUP($B27,'Gerentes td'!$A:$Z,O$2,0))</f>
        <v>10705.130000000001</v>
      </c>
      <c r="P27" s="132">
        <f>IF($C27="X Prom",VLOOKUP($B27,'promotores td'!$A:$M,P$2,0),VLOOKUP($B27,'Gerentes td'!$A:$Z,P$2,0))</f>
        <v>0</v>
      </c>
      <c r="Q27" s="132">
        <f>IF($C27="X Prom",VLOOKUP($B27,'promotores td'!$A:$AB,Q$2,0),VLOOKUP($B27,'Gerentes td'!$A:$AB,Q$2,0))</f>
        <v>10705.130000000001</v>
      </c>
      <c r="R27" s="133">
        <f t="shared" si="17"/>
        <v>3.5264079337173539E-3</v>
      </c>
      <c r="S27" s="132">
        <f>IF($C27="X Prom",VLOOKUP($B27,'promotores td'!$A:$Z,S$2,0),VLOOKUP($B27,'Gerentes td'!$A:$Z,S$2,0))</f>
        <v>116455.13</v>
      </c>
    </row>
    <row r="28" spans="1:19" x14ac:dyDescent="0.3">
      <c r="A28">
        <f t="shared" si="5"/>
        <v>19</v>
      </c>
      <c r="B28">
        <f t="shared" si="15"/>
        <v>4</v>
      </c>
      <c r="C28" t="str">
        <f>IF(A28&lt;=MAX('promotores td'!A:A),"X Prom","X Gerente")</f>
        <v>X Gerente</v>
      </c>
      <c r="D28" t="str">
        <f t="shared" si="16"/>
        <v>X Gerente</v>
      </c>
      <c r="E28" s="45" t="str">
        <f>IF($C28="X Prom",VLOOKUP($B28,'promotores td'!$A:$M,E$2,0),VLOOKUP($B28,'Gerentes td'!$A:$Z,E$2,0))</f>
        <v>JUDITH PATRICIA SERRANO HERRER</v>
      </c>
      <c r="F28" s="45" t="str">
        <f>IF($C28="X Prom",VLOOKUP($B28,'promotores td'!$A:$M,F$2,0),"")</f>
        <v/>
      </c>
      <c r="G28" s="58">
        <f>IF($C28="X Prom",VLOOKUP($B28,'promotores td'!$A:$M,G$2,0),VLOOKUP($B28,'Gerentes td'!$A:$Z,G$2,0))</f>
        <v>56</v>
      </c>
      <c r="H28" s="58">
        <f>IF($C28="X Prom",VLOOKUP($B28,'promotores td'!$A:$M,H$2,0),VLOOKUP($B28,'Gerentes td'!$A:$Z,H$2,0))</f>
        <v>322</v>
      </c>
      <c r="I28" s="128">
        <f>IF($C28="X Prom",VLOOKUP($B28,'promotores td'!$A:$M,I$2,0),VLOOKUP($B28,'Gerentes td'!$A:$Z,I$2,0))</f>
        <v>5598000</v>
      </c>
      <c r="J28" s="132">
        <f>IF($C28="X Prom",VLOOKUP($B28,'promotores td'!$A:$M,J$2,0),VLOOKUP($B28,'Gerentes td'!$A:$Z,J$2,0))</f>
        <v>425457.88000000024</v>
      </c>
      <c r="K28" s="132">
        <f>IF($C28="X Prom",VLOOKUP($B28,'promotores td'!$A:$M,K$2,0),VLOOKUP($B28,'Gerentes td'!$A:$Z,K$2,0))</f>
        <v>4795644.6500000013</v>
      </c>
      <c r="L28" s="132">
        <f>IF($C28="X Prom",VLOOKUP($B28,'promotores td'!$A:$M,L$2,0),VLOOKUP($B28,'Gerentes td'!$A:$Z,L$2,0))</f>
        <v>6807326.0800000038</v>
      </c>
      <c r="M28" s="132">
        <f>IF($C28="X Prom",VLOOKUP($B28,'promotores td'!$A:$M,M$2,0),VLOOKUP($B28,'Gerentes td'!$A:$Z,M$2,0))</f>
        <v>4801509.1500000013</v>
      </c>
      <c r="N28" s="132">
        <f>IF($C28="X Prom",VLOOKUP($B28,'promotores td'!$A:$M,N$2,0),VLOOKUP($B28,'Gerentes td'!$A:$Z,N$2,0))</f>
        <v>3945369.1799999997</v>
      </c>
      <c r="O28" s="132">
        <f>IF($C28="X Prom",VLOOKUP($B28,'promotores td'!$A:$M,O$2,0),VLOOKUP($B28,'Gerentes td'!$A:$Z,O$2,0))</f>
        <v>14187.5</v>
      </c>
      <c r="P28" s="132">
        <f>IF($C28="X Prom",VLOOKUP($B28,'promotores td'!$A:$M,P$2,0),VLOOKUP($B28,'Gerentes td'!$A:$Z,P$2,0))</f>
        <v>0</v>
      </c>
      <c r="Q28" s="132">
        <f>IF($C28="X Prom",VLOOKUP($B28,'promotores td'!$A:$AB,Q$2,0),VLOOKUP($B28,'Gerentes td'!$A:$AB,Q$2,0))</f>
        <v>14187.5</v>
      </c>
      <c r="R28" s="133">
        <f t="shared" si="17"/>
        <v>2.9548001590291662E-3</v>
      </c>
      <c r="S28" s="132">
        <f>IF($C28="X Prom",VLOOKUP($B28,'promotores td'!$A:$Z,S$2,0),VLOOKUP($B28,'Gerentes td'!$A:$Z,S$2,0))</f>
        <v>133062.5</v>
      </c>
    </row>
    <row r="29" spans="1:19" ht="15" thickBot="1" x14ac:dyDescent="0.35"/>
    <row r="30" spans="1:19" ht="15" thickBot="1" x14ac:dyDescent="0.35">
      <c r="D30" s="62"/>
      <c r="E30" s="61"/>
      <c r="F30" s="61"/>
      <c r="G30" s="97">
        <f t="shared" ref="G30:N30" si="18">SUBTOTAL(9,G10:G28)/2</f>
        <v>194</v>
      </c>
      <c r="H30" s="97">
        <f t="shared" si="18"/>
        <v>1198</v>
      </c>
      <c r="I30" s="63">
        <f t="shared" si="18"/>
        <v>19878000</v>
      </c>
      <c r="J30" s="63">
        <f t="shared" si="18"/>
        <v>1511067.37</v>
      </c>
      <c r="K30" s="63">
        <f t="shared" si="18"/>
        <v>16162592.720000001</v>
      </c>
      <c r="L30" s="63">
        <f t="shared" si="18"/>
        <v>24177077.920000002</v>
      </c>
      <c r="M30" s="63">
        <f t="shared" si="18"/>
        <v>16263008.030000003</v>
      </c>
      <c r="N30" s="63">
        <f t="shared" si="18"/>
        <v>13294963.060000001</v>
      </c>
      <c r="O30" s="64">
        <f>SUBTOTAL(9,O$10:O28)/2</f>
        <v>86506.06</v>
      </c>
      <c r="P30" s="64">
        <f>SUBTOTAL(9,P$10:P28)/2</f>
        <v>14116.270000000002</v>
      </c>
      <c r="Q30" s="64">
        <f>SUBTOTAL(9,Q$10:Q28)/2</f>
        <v>100622.33000000002</v>
      </c>
      <c r="R30" s="127">
        <f>IFERROR(ROUND(O30/M30,3),0)</f>
        <v>5.0000000000000001E-3</v>
      </c>
      <c r="S30" s="63">
        <f>SUBTOTAL(9,S$10:S28)</f>
        <v>1622494.6600000001</v>
      </c>
    </row>
  </sheetData>
  <autoFilter ref="D9:S28" xr:uid="{62CD58E3-928D-464C-BBB8-6BB47C49A8F6}"/>
  <mergeCells count="3">
    <mergeCell ref="G8:H8"/>
    <mergeCell ref="O8:R8"/>
    <mergeCell ref="K8:N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AJ205"/>
  <sheetViews>
    <sheetView showGridLines="0" topLeftCell="M1" workbookViewId="0">
      <pane ySplit="6" topLeftCell="A190" activePane="bottomLeft" state="frozen"/>
      <selection activeCell="K31" sqref="K31"/>
      <selection pane="bottomLeft" activeCell="V6" sqref="V6"/>
    </sheetView>
  </sheetViews>
  <sheetFormatPr baseColWidth="10" defaultColWidth="8.88671875" defaultRowHeight="14.4" x14ac:dyDescent="0.3"/>
  <cols>
    <col min="1" max="1" width="31.44140625" style="19" bestFit="1" customWidth="1"/>
    <col min="2" max="2" width="27.88671875" style="19" bestFit="1" customWidth="1"/>
    <col min="3" max="3" width="12.33203125" customWidth="1"/>
    <col min="4" max="4" width="35.5546875" style="19" bestFit="1" customWidth="1"/>
    <col min="5" max="5" width="5.88671875" style="19" bestFit="1" customWidth="1"/>
    <col min="6" max="6" width="18.109375" style="19" bestFit="1" customWidth="1"/>
    <col min="7" max="7" width="11.5546875" style="19" customWidth="1"/>
    <col min="8" max="8" width="16.109375" style="19" customWidth="1"/>
    <col min="9" max="9" width="7.88671875" style="19" bestFit="1" customWidth="1"/>
    <col min="10" max="10" width="16.88671875" style="19" customWidth="1"/>
    <col min="11" max="11" width="11.5546875" style="19" customWidth="1"/>
    <col min="12" max="12" width="12.44140625" style="19" customWidth="1"/>
    <col min="13" max="13" width="16.109375" style="19" customWidth="1"/>
    <col min="14" max="14" width="12.6640625" style="19" customWidth="1"/>
    <col min="15" max="15" width="16.33203125" style="19" bestFit="1" customWidth="1"/>
    <col min="16" max="21" width="16.33203125" style="19" customWidth="1"/>
    <col min="22" max="22" width="16.6640625" style="19" bestFit="1" customWidth="1"/>
    <col min="23" max="23" width="11.6640625" style="47" bestFit="1" customWidth="1"/>
    <col min="24" max="24" width="16.44140625" style="19" bestFit="1" customWidth="1"/>
    <col min="25" max="25" width="18.5546875" style="19" hidden="1" customWidth="1"/>
    <col min="26" max="26" width="16.33203125" style="19" customWidth="1"/>
    <col min="27" max="29" width="14.33203125" style="19" customWidth="1"/>
    <col min="30" max="30" width="10.5546875" style="19" bestFit="1" customWidth="1"/>
    <col min="31" max="31" width="9.109375" style="19" bestFit="1" customWidth="1"/>
    <col min="32" max="32" width="13.6640625" style="19" bestFit="1" customWidth="1"/>
    <col min="33" max="33" width="12.44140625" style="19" bestFit="1" customWidth="1"/>
    <col min="34" max="34" width="12.33203125" style="19" customWidth="1"/>
    <col min="35" max="35" width="11.33203125" style="19" bestFit="1" customWidth="1"/>
    <col min="36" max="36" width="12.44140625" style="19" bestFit="1" customWidth="1"/>
    <col min="37" max="16384" width="8.88671875" style="19"/>
  </cols>
  <sheetData>
    <row r="2" spans="1:36" x14ac:dyDescent="0.3">
      <c r="N2" s="37"/>
    </row>
    <row r="3" spans="1:36" ht="25.8" x14ac:dyDescent="0.5">
      <c r="C3" s="79" t="s">
        <v>1444</v>
      </c>
      <c r="D3" s="79"/>
      <c r="O3" s="37"/>
      <c r="P3" s="37"/>
      <c r="Q3" s="37"/>
      <c r="R3" s="37"/>
      <c r="S3" s="37"/>
      <c r="T3" s="37"/>
      <c r="U3" s="37"/>
      <c r="V3" s="37"/>
    </row>
    <row r="4" spans="1:36" ht="15" thickBot="1" x14ac:dyDescent="0.35">
      <c r="B4" s="95"/>
    </row>
    <row r="5" spans="1:36" ht="15" thickBot="1" x14ac:dyDescent="0.35">
      <c r="F5" s="26"/>
      <c r="G5" s="26"/>
      <c r="O5" s="137" t="s">
        <v>2073</v>
      </c>
      <c r="P5" s="139"/>
      <c r="Q5" s="139"/>
      <c r="R5" s="138"/>
      <c r="T5" s="137" t="s">
        <v>2069</v>
      </c>
      <c r="U5" s="139"/>
      <c r="V5" s="138"/>
      <c r="X5" s="27"/>
      <c r="AC5" s="31"/>
      <c r="AD5" s="86"/>
    </row>
    <row r="6" spans="1:36" s="28" customFormat="1" ht="69" customHeight="1" thickBot="1" x14ac:dyDescent="0.35">
      <c r="A6" s="53" t="s">
        <v>1627</v>
      </c>
      <c r="B6" s="54" t="s">
        <v>1626</v>
      </c>
      <c r="C6" s="54" t="s">
        <v>0</v>
      </c>
      <c r="D6" s="54" t="s">
        <v>1</v>
      </c>
      <c r="E6" s="54" t="s">
        <v>6</v>
      </c>
      <c r="F6" s="65" t="s">
        <v>1750</v>
      </c>
      <c r="G6" s="65" t="s">
        <v>1751</v>
      </c>
      <c r="H6" s="65" t="s">
        <v>1752</v>
      </c>
      <c r="I6" s="65" t="s">
        <v>7</v>
      </c>
      <c r="J6" s="65" t="s">
        <v>1753</v>
      </c>
      <c r="K6" s="65" t="s">
        <v>1754</v>
      </c>
      <c r="L6" s="65" t="s">
        <v>9</v>
      </c>
      <c r="M6" s="65" t="s">
        <v>1623</v>
      </c>
      <c r="N6" s="65" t="s">
        <v>1755</v>
      </c>
      <c r="O6" s="65" t="s">
        <v>1756</v>
      </c>
      <c r="P6" s="65" t="s">
        <v>1757</v>
      </c>
      <c r="Q6" s="65" t="s">
        <v>1758</v>
      </c>
      <c r="R6" s="65" t="s">
        <v>2072</v>
      </c>
      <c r="S6" s="65" t="s">
        <v>1759</v>
      </c>
      <c r="T6" s="65" t="s">
        <v>2023</v>
      </c>
      <c r="U6" s="65" t="s">
        <v>2024</v>
      </c>
      <c r="V6" s="65" t="s">
        <v>2025</v>
      </c>
      <c r="W6" s="60" t="s">
        <v>1513</v>
      </c>
      <c r="X6" s="65" t="s">
        <v>8</v>
      </c>
      <c r="Y6" s="65" t="s">
        <v>178</v>
      </c>
      <c r="Z6" s="65" t="s">
        <v>1760</v>
      </c>
      <c r="AA6" s="65" t="s">
        <v>1761</v>
      </c>
      <c r="AB6" s="65" t="s">
        <v>576</v>
      </c>
      <c r="AC6" s="65" t="s">
        <v>1762</v>
      </c>
      <c r="AD6" s="65" t="s">
        <v>1763</v>
      </c>
      <c r="AE6" s="65" t="s">
        <v>1764</v>
      </c>
      <c r="AF6" s="55" t="s">
        <v>64</v>
      </c>
      <c r="AG6" s="65" t="s">
        <v>1624</v>
      </c>
      <c r="AH6" s="65" t="s">
        <v>1625</v>
      </c>
      <c r="AI6" s="55" t="s">
        <v>1683</v>
      </c>
      <c r="AJ6" s="65" t="s">
        <v>1964</v>
      </c>
    </row>
    <row r="7" spans="1:36" x14ac:dyDescent="0.3">
      <c r="A7" s="19" t="str">
        <f>VLOOKUP(C7,ANTIGÜEDAD!A:BJ,4,FALSE)</f>
        <v>IRVIN URIEL MORA VELAZCO</v>
      </c>
      <c r="B7" s="19" t="str">
        <f>IFERROR(VLOOKUP(ANTIGÜEDAD!F6,'Parche Promotores'!A:B,2,0),ANTIGÜEDAD!F6)</f>
        <v>Lopez Garcia Nahum Antonio</v>
      </c>
      <c r="C7" s="6" t="str">
        <f>TEXT(ANTIGÜEDAD!I6,"000000")</f>
        <v>000089</v>
      </c>
      <c r="D7" s="6" t="str">
        <f>ANTIGÜEDAD!K6</f>
        <v>LUNA</v>
      </c>
      <c r="E7" s="29" t="str">
        <f>IFERROR(VLOOKUP(C7,'SITUACIÓN DE CARTERA'!A:AR,12,FALSE),VLOOKUP(C7,ANTIGÜEDAD!A:J,10,0))</f>
        <v>01</v>
      </c>
      <c r="F7" s="30">
        <f>VLOOKUP(C7,ANTIGÜEDAD!A:BE,17,FALSE)</f>
        <v>48000</v>
      </c>
      <c r="G7" s="30" t="str">
        <f>VLOOKUP(C7,ANTIGÜEDAD!A:BE,12,FALSE)</f>
        <v>MIGRADO</v>
      </c>
      <c r="H7" s="31">
        <f>VLOOKUP(C7,ANTIGÜEDAD!A:BE,14,FALSE)</f>
        <v>45918</v>
      </c>
      <c r="I7" s="19">
        <f>VLOOKUP(C7,ANTIGÜEDAD!A:BE,19,FALSE)</f>
        <v>16</v>
      </c>
      <c r="J7" s="31" t="str">
        <f>VLOOKUP(C7,ANTIGÜEDAD!A:BE,56,FALSE)</f>
        <v>Jueves</v>
      </c>
      <c r="K7" s="32" t="str">
        <f>VLOOKUP(C7,ANTIGÜEDAD!A:BE,57,FALSE)</f>
        <v>09:30</v>
      </c>
      <c r="L7" s="19" t="str">
        <f>VLOOKUP(C7,ANTIGÜEDAD!A:BE,20,FALSE)</f>
        <v>Semanal</v>
      </c>
      <c r="M7" s="30">
        <f>VLOOKUP(C7,ANTIGÜEDAD!A:BE,21,FALSE)</f>
        <v>3648.03</v>
      </c>
      <c r="N7" s="33" t="str">
        <f>IFERROR(VLOOKUP(C7,'Reporte de cobranza'!G:BL,34,FALSE),"")</f>
        <v>06/11/2025</v>
      </c>
      <c r="O7" s="30">
        <f>IF(AI7="Desertor sin mora",0,VLOOKUP(C7,ANTIGÜEDAD!A:BJ,44,FALSE))</f>
        <v>36480.51</v>
      </c>
      <c r="P7" s="30">
        <f t="shared" ref="P7" si="0">M7*16</f>
        <v>58368.480000000003</v>
      </c>
      <c r="Q7" s="30">
        <f t="shared" ref="Q7:Q70" ca="1" si="1">MAX(-((AB7*M7)-P7),O7)</f>
        <v>36480.51</v>
      </c>
      <c r="R7" s="30">
        <f>IF(AI7="Desertor sin mora",0,VLOOKUP(C7,ANTIGÜEDAD!A:BJ,26,FALSE))</f>
        <v>30000.18</v>
      </c>
      <c r="S7" s="30">
        <f ca="1">O7-Q7</f>
        <v>0</v>
      </c>
      <c r="T7" s="30">
        <f>IF(V7&gt;0,IF(VLOOKUP(TEXT(C7,"000000"),Ahorros_concentrado!B:D,3,0)+F7*0.1&gt;V7,V7,VLOOKUP(TEXT(C7,"000000"),Ahorros_concentrado!B:D,3,0)+F7*0.1),0)</f>
        <v>0</v>
      </c>
      <c r="U7" s="30">
        <f>V7-T7</f>
        <v>0</v>
      </c>
      <c r="V7" s="30">
        <f>IF(AI7="Desertor sin mora",0,VLOOKUP(C7,'SITUACIÓN DE CARTERA'!A:AR,26,FALSE))</f>
        <v>0</v>
      </c>
      <c r="W7" s="134">
        <f>IF(AI7="Desertor sin mora",0,VLOOKUP(C7,'SITUACIÓN DE CARTERA'!A:AR,27,FALSE))/100</f>
        <v>0</v>
      </c>
      <c r="X7" s="30">
        <f>IF(V7&gt;0,VLOOKUP(C7,ANTIGÜEDAD!A:BE,26,FALSE),0)</f>
        <v>0</v>
      </c>
      <c r="Z7" s="34">
        <f>IF(AI7="Desertor sin mora",VLOOKUP(C7,ANTIGÜEDAD!A:Q,17,0)/AA7,F7/AA7)</f>
        <v>8000</v>
      </c>
      <c r="AA7" s="19">
        <f>IF(AI7="Desertor sin mora",VLOOKUP(C7,ANTIGÜEDAD!A:M,13,0),VLOOKUP(C7,'SITUACIÓN DE CARTERA'!A:AR,43,FALSE))</f>
        <v>6</v>
      </c>
      <c r="AB7" s="19">
        <f t="shared" ref="AB7:AB38" ca="1" si="2">IF(AI7="Desertor sin mora",INT((TODAY()-H7)/7),AE7-AD7)</f>
        <v>6</v>
      </c>
      <c r="AC7" s="42">
        <f>IF(AI7="Desertor sin mora",0,(VLOOKUP(C7,'SITUACIÓN DE CARTERA'!A:AS,45,FALSE))/M7)</f>
        <v>5.9999506583005067</v>
      </c>
      <c r="AD7" s="19">
        <f>IF(AI7="Desertor sin mora",0,VLOOKUP(C7,'Reporte de cobranza'!G:BL,35,FALSE))</f>
        <v>10</v>
      </c>
      <c r="AE7" s="19">
        <f>IF(AI7="Desertor sin mora",I7,VLOOKUP(C7,'Reporte de cobranza'!G:BL,36,FALSE))</f>
        <v>16</v>
      </c>
      <c r="AF7" s="19">
        <f>VLOOKUP(C7,ANTIGÜEDAD!A:BE,18,FALSE)</f>
        <v>0</v>
      </c>
      <c r="AG7" s="30">
        <f>IFERROR(VLOOKUP(C7,Ahorros_concentrado!B:D,3,FALSE),0)</f>
        <v>1117</v>
      </c>
      <c r="AH7" s="43">
        <f t="shared" ref="AH7:AH38" ca="1" si="3">IFERROR((AG7/M7)/AB7,0)</f>
        <v>5.10321095678124E-2</v>
      </c>
      <c r="AI7" s="19" t="str">
        <f>IF(VLOOKUP(C7,ANTIGÜEDAD!A:AG,33,0)="Entregado","Vigente",IF(VLOOKUP(C7,ANTIGÜEDAD!A:AG,33,0)="Liquidado","Desertor sin mora",""))</f>
        <v>Vigente</v>
      </c>
      <c r="AJ7" s="98" t="str">
        <f t="shared" ref="AJ7:AJ38" si="4">"0"&amp;TEXT(C7,"000000")&amp;TEXT(E7,"00")</f>
        <v>000008901</v>
      </c>
    </row>
    <row r="8" spans="1:36" x14ac:dyDescent="0.3">
      <c r="A8" s="19" t="str">
        <f>VLOOKUP(C8,ANTIGÜEDAD!A:BJ,4,FALSE)</f>
        <v>JUAN EDMUNDO LUNA AGUILLON</v>
      </c>
      <c r="B8" s="19" t="str">
        <f>IFERROR(VLOOKUP(ANTIGÜEDAD!F7,'Parche Promotores'!A:B,2,0),ANTIGÜEDAD!F7)</f>
        <v>Sanchez Posada Jose Olimpo</v>
      </c>
      <c r="C8" s="6" t="str">
        <f>TEXT(ANTIGÜEDAD!I7,"000000")</f>
        <v>000145</v>
      </c>
      <c r="D8" s="6" t="str">
        <f>ANTIGÜEDAD!K7</f>
        <v>COACALCO</v>
      </c>
      <c r="E8" s="29" t="str">
        <f>IFERROR(VLOOKUP(C8,'SITUACIÓN DE CARTERA'!A:AR,12,FALSE),VLOOKUP(C8,ANTIGÜEDAD!A:J,10,0))</f>
        <v>01</v>
      </c>
      <c r="F8" s="30">
        <f>VLOOKUP(C8,ANTIGÜEDAD!A:BE,17,FALSE)</f>
        <v>118000</v>
      </c>
      <c r="G8" s="30" t="str">
        <f>VLOOKUP(C8,ANTIGÜEDAD!A:BE,12,FALSE)</f>
        <v>MIGRADO</v>
      </c>
      <c r="H8" s="31">
        <f>VLOOKUP(C8,ANTIGÜEDAD!A:BE,14,FALSE)</f>
        <v>45940</v>
      </c>
      <c r="I8" s="19">
        <f>VLOOKUP(C8,ANTIGÜEDAD!A:BE,19,FALSE)</f>
        <v>16</v>
      </c>
      <c r="J8" s="31" t="str">
        <f>VLOOKUP(C8,ANTIGÜEDAD!A:BE,56,FALSE)</f>
        <v>Viernes</v>
      </c>
      <c r="K8" s="32" t="str">
        <f>VLOOKUP(C8,ANTIGÜEDAD!A:BE,57,FALSE)</f>
        <v>9:00</v>
      </c>
      <c r="L8" s="19" t="str">
        <f>VLOOKUP(C8,ANTIGÜEDAD!A:BE,20,FALSE)</f>
        <v>Semanal</v>
      </c>
      <c r="M8" s="30">
        <f>VLOOKUP(C8,ANTIGÜEDAD!A:BE,21,FALSE)</f>
        <v>8968.08</v>
      </c>
      <c r="N8" s="33" t="str">
        <f>IFERROR(VLOOKUP(C8,'Reporte de cobranza'!G:BL,34,FALSE),"")</f>
        <v>07/11/2025</v>
      </c>
      <c r="O8" s="30">
        <f>IF(AI8="Desertor sin mora",0,VLOOKUP(C8,ANTIGÜEDAD!A:BJ,44,FALSE))</f>
        <v>116561.26000000001</v>
      </c>
      <c r="P8" s="30">
        <f t="shared" ref="P8:P71" si="5">M8*16</f>
        <v>143489.28</v>
      </c>
      <c r="Q8" s="30">
        <f t="shared" ca="1" si="1"/>
        <v>116585.04000000001</v>
      </c>
      <c r="R8" s="30">
        <f>IF(AI8="Desertor sin mora",0,VLOOKUP(C8,ANTIGÜEDAD!A:BJ,26,FALSE))</f>
        <v>95875</v>
      </c>
      <c r="S8" s="30">
        <f t="shared" ref="S8:S71" ca="1" si="6">O8-Q8</f>
        <v>-23.779999999998836</v>
      </c>
      <c r="T8" s="30">
        <f>IF(V8&gt;0,IF(VLOOKUP(TEXT(C8,"000000"),Ahorros_concentrado!B:D,3,0)+F8*0.1&gt;V8,V8,VLOOKUP(TEXT(C8,"000000"),Ahorros_concentrado!B:D,3,0)+F8*0.1),0)</f>
        <v>0</v>
      </c>
      <c r="U8" s="30">
        <f t="shared" ref="U8:U71" si="7">V8-T8</f>
        <v>0</v>
      </c>
      <c r="V8" s="30">
        <f>IF(AI8="Desertor sin mora",0,VLOOKUP(C8,'SITUACIÓN DE CARTERA'!A:AR,26,FALSE))</f>
        <v>0</v>
      </c>
      <c r="W8" s="134">
        <f>IF(AI8="Desertor sin mora",0,VLOOKUP(C8,'SITUACIÓN DE CARTERA'!A:AR,27,FALSE))/100</f>
        <v>0</v>
      </c>
      <c r="X8" s="30">
        <f>IF(V8&gt;0,VLOOKUP(C8,ANTIGÜEDAD!A:BE,26,FALSE),0)</f>
        <v>0</v>
      </c>
      <c r="Z8" s="34">
        <f>IF(AI8="Desertor sin mora",VLOOKUP(C8,ANTIGÜEDAD!A:Q,17,0)/AA8,F8/AA8)</f>
        <v>14750</v>
      </c>
      <c r="AA8" s="19">
        <f>IF(AI8="Desertor sin mora",VLOOKUP(C8,ANTIGÜEDAD!A:M,13,0),VLOOKUP(C8,'SITUACIÓN DE CARTERA'!A:AR,43,FALSE))</f>
        <v>8</v>
      </c>
      <c r="AB8" s="19">
        <f t="shared" ca="1" si="2"/>
        <v>3</v>
      </c>
      <c r="AC8" s="42">
        <f>IF(AI8="Desertor sin mora",0,(VLOOKUP(C8,'SITUACIÓN DE CARTERA'!A:AS,45,FALSE))/M8)</f>
        <v>3.0026493965263468</v>
      </c>
      <c r="AD8" s="19">
        <f>IF(AI8="Desertor sin mora",0,VLOOKUP(C8,'Reporte de cobranza'!G:BL,35,FALSE))</f>
        <v>13</v>
      </c>
      <c r="AE8" s="19">
        <f>IF(AI8="Desertor sin mora",I8,VLOOKUP(C8,'Reporte de cobranza'!G:BL,36,FALSE))</f>
        <v>16</v>
      </c>
      <c r="AF8" s="19">
        <f>VLOOKUP(C8,ANTIGÜEDAD!A:BE,18,FALSE)</f>
        <v>0</v>
      </c>
      <c r="AG8" s="30">
        <f>IFERROR(VLOOKUP(C8,Ahorros_concentrado!B:D,3,FALSE),0)</f>
        <v>4600</v>
      </c>
      <c r="AH8" s="43">
        <f t="shared" ca="1" si="3"/>
        <v>0.17097676797411857</v>
      </c>
      <c r="AI8" s="19" t="str">
        <f>IF(VLOOKUP(C8,ANTIGÜEDAD!A:AG,33,0)="Entregado","Vigente",IF(VLOOKUP(C8,ANTIGÜEDAD!A:AG,33,0)="Liquidado","Desertor sin mora",""))</f>
        <v>Vigente</v>
      </c>
      <c r="AJ8" s="98" t="str">
        <f t="shared" si="4"/>
        <v>000014501</v>
      </c>
    </row>
    <row r="9" spans="1:36" x14ac:dyDescent="0.3">
      <c r="A9" s="19" t="str">
        <f>VLOOKUP(C9,ANTIGÜEDAD!A:BJ,4,FALSE)</f>
        <v>JUAN EDMUNDO LUNA AGUILLON</v>
      </c>
      <c r="B9" s="19" t="str">
        <f>IFERROR(VLOOKUP(ANTIGÜEDAD!F8,'Parche Promotores'!A:B,2,0),ANTIGÜEDAD!F8)</f>
        <v>Martinez Bañuelos Nallely Sarahi</v>
      </c>
      <c r="C9" s="6" t="str">
        <f>TEXT(ANTIGÜEDAD!I8,"000000")</f>
        <v>000069</v>
      </c>
      <c r="D9" s="6" t="str">
        <f>ANTIGÜEDAD!K8</f>
        <v>LAS DIVINAS</v>
      </c>
      <c r="E9" s="29" t="str">
        <f>IFERROR(VLOOKUP(C9,'SITUACIÓN DE CARTERA'!A:AR,12,FALSE),VLOOKUP(C9,ANTIGÜEDAD!A:J,10,0))</f>
        <v>01</v>
      </c>
      <c r="F9" s="30">
        <f>VLOOKUP(C9,ANTIGÜEDAD!A:BE,17,FALSE)</f>
        <v>108000</v>
      </c>
      <c r="G9" s="30" t="str">
        <f>VLOOKUP(C9,ANTIGÜEDAD!A:BE,12,FALSE)</f>
        <v>MIGRADO</v>
      </c>
      <c r="H9" s="31">
        <f>VLOOKUP(C9,ANTIGÜEDAD!A:BE,14,FALSE)</f>
        <v>45912</v>
      </c>
      <c r="I9" s="19">
        <f>VLOOKUP(C9,ANTIGÜEDAD!A:BE,19,FALSE)</f>
        <v>16</v>
      </c>
      <c r="J9" s="31" t="str">
        <f>VLOOKUP(C9,ANTIGÜEDAD!A:BE,56,FALSE)</f>
        <v>Viernes</v>
      </c>
      <c r="K9" s="32" t="str">
        <f>VLOOKUP(C9,ANTIGÜEDAD!A:BE,57,FALSE)</f>
        <v>14:00</v>
      </c>
      <c r="L9" s="19" t="str">
        <f>VLOOKUP(C9,ANTIGÜEDAD!A:BE,20,FALSE)</f>
        <v>Semanal</v>
      </c>
      <c r="M9" s="30">
        <f>VLOOKUP(C9,ANTIGÜEDAD!A:BE,21,FALSE)</f>
        <v>8208.07</v>
      </c>
      <c r="N9" s="33" t="str">
        <f>IFERROR(VLOOKUP(C9,'Reporte de cobranza'!G:BL,34,FALSE),"")</f>
        <v>07/11/2025</v>
      </c>
      <c r="O9" s="30">
        <f>IF(AI9="Desertor sin mora",0,VLOOKUP(C9,ANTIGÜEDAD!A:BJ,44,FALSE))</f>
        <v>73872.66</v>
      </c>
      <c r="P9" s="30">
        <f t="shared" si="5"/>
        <v>131329.12</v>
      </c>
      <c r="Q9" s="30">
        <f t="shared" ca="1" si="1"/>
        <v>73872.66</v>
      </c>
      <c r="R9" s="30">
        <f>IF(AI9="Desertor sin mora",0,VLOOKUP(C9,ANTIGÜEDAD!A:BJ,26,FALSE))</f>
        <v>60750.01</v>
      </c>
      <c r="S9" s="30">
        <f t="shared" ca="1" si="6"/>
        <v>0</v>
      </c>
      <c r="T9" s="30">
        <f>IF(V9&gt;0,IF(VLOOKUP(TEXT(C9,"000000"),Ahorros_concentrado!B:D,3,0)+F9*0.1&gt;V9,V9,VLOOKUP(TEXT(C9,"000000"),Ahorros_concentrado!B:D,3,0)+F9*0.1),0)</f>
        <v>0</v>
      </c>
      <c r="U9" s="30">
        <f t="shared" si="7"/>
        <v>0</v>
      </c>
      <c r="V9" s="30">
        <f>IF(AI9="Desertor sin mora",0,VLOOKUP(C9,'SITUACIÓN DE CARTERA'!A:AR,26,FALSE))</f>
        <v>0</v>
      </c>
      <c r="W9" s="134">
        <f>IF(AI9="Desertor sin mora",0,VLOOKUP(C9,'SITUACIÓN DE CARTERA'!A:AR,27,FALSE))/100</f>
        <v>0</v>
      </c>
      <c r="X9" s="30">
        <f>IF(V9&gt;0,VLOOKUP(C9,ANTIGÜEDAD!A:BE,26,FALSE),0)</f>
        <v>0</v>
      </c>
      <c r="Z9" s="34">
        <f>IF(AI9="Desertor sin mora",VLOOKUP(C9,ANTIGÜEDAD!A:Q,17,0)/AA9,F9/AA9)</f>
        <v>13500</v>
      </c>
      <c r="AA9" s="19">
        <f>IF(AI9="Desertor sin mora",VLOOKUP(C9,ANTIGÜEDAD!A:M,13,0),VLOOKUP(C9,'SITUACIÓN DE CARTERA'!A:AR,43,FALSE))</f>
        <v>8</v>
      </c>
      <c r="AB9" s="19">
        <f t="shared" ca="1" si="2"/>
        <v>7</v>
      </c>
      <c r="AC9" s="42">
        <f>IF(AI9="Desertor sin mora",0,(VLOOKUP(C9,'SITUACIÓN DE CARTERA'!A:AS,45,FALSE))/M9)</f>
        <v>7</v>
      </c>
      <c r="AD9" s="19">
        <f>IF(AI9="Desertor sin mora",0,VLOOKUP(C9,'Reporte de cobranza'!G:BL,35,FALSE))</f>
        <v>9</v>
      </c>
      <c r="AE9" s="19">
        <f>IF(AI9="Desertor sin mora",I9,VLOOKUP(C9,'Reporte de cobranza'!G:BL,36,FALSE))</f>
        <v>16</v>
      </c>
      <c r="AF9" s="19">
        <f>VLOOKUP(C9,ANTIGÜEDAD!A:BE,18,FALSE)</f>
        <v>0</v>
      </c>
      <c r="AG9" s="30">
        <f>IFERROR(VLOOKUP(C9,Ahorros_concentrado!B:D,3,FALSE),0)</f>
        <v>2899.5800000000017</v>
      </c>
      <c r="AH9" s="43">
        <f t="shared" ca="1" si="3"/>
        <v>5.0465665410469762E-2</v>
      </c>
      <c r="AI9" s="19" t="str">
        <f>IF(VLOOKUP(C9,ANTIGÜEDAD!A:AG,33,0)="Entregado","Vigente",IF(VLOOKUP(C9,ANTIGÜEDAD!A:AG,33,0)="Liquidado","Desertor sin mora",""))</f>
        <v>Vigente</v>
      </c>
      <c r="AJ9" s="98" t="str">
        <f t="shared" si="4"/>
        <v>000006901</v>
      </c>
    </row>
    <row r="10" spans="1:36" x14ac:dyDescent="0.3">
      <c r="A10" s="19" t="str">
        <f>VLOOKUP(C10,ANTIGÜEDAD!A:BJ,4,FALSE)</f>
        <v>JUAN EDMUNDO LUNA AGUILLON</v>
      </c>
      <c r="B10" s="19" t="str">
        <f>IFERROR(VLOOKUP(ANTIGÜEDAD!F9,'Parche Promotores'!A:B,2,0),ANTIGÜEDAD!F9)</f>
        <v>Martinez Bañuelos Nallely Sarahi</v>
      </c>
      <c r="C10" s="6" t="str">
        <f>TEXT(ANTIGÜEDAD!I9,"000000")</f>
        <v>000079</v>
      </c>
      <c r="D10" s="6" t="str">
        <f>ANTIGÜEDAD!K9</f>
        <v>REYNAS</v>
      </c>
      <c r="E10" s="29" t="str">
        <f>IFERROR(VLOOKUP(C10,'SITUACIÓN DE CARTERA'!A:AR,12,FALSE),VLOOKUP(C10,ANTIGÜEDAD!A:J,10,0))</f>
        <v>01</v>
      </c>
      <c r="F10" s="30">
        <f>VLOOKUP(C10,ANTIGÜEDAD!A:BE,17,FALSE)</f>
        <v>91000</v>
      </c>
      <c r="G10" s="30" t="str">
        <f>VLOOKUP(C10,ANTIGÜEDAD!A:BE,12,FALSE)</f>
        <v>MIGRADO</v>
      </c>
      <c r="H10" s="31">
        <f>VLOOKUP(C10,ANTIGÜEDAD!A:BE,14,FALSE)</f>
        <v>45912</v>
      </c>
      <c r="I10" s="19">
        <f>VLOOKUP(C10,ANTIGÜEDAD!A:BE,19,FALSE)</f>
        <v>16</v>
      </c>
      <c r="J10" s="31" t="str">
        <f>VLOOKUP(C10,ANTIGÜEDAD!A:BE,56,FALSE)</f>
        <v>Viernes</v>
      </c>
      <c r="K10" s="32" t="str">
        <f>VLOOKUP(C10,ANTIGÜEDAD!A:BE,57,FALSE)</f>
        <v>12:30</v>
      </c>
      <c r="L10" s="19" t="str">
        <f>VLOOKUP(C10,ANTIGÜEDAD!A:BE,20,FALSE)</f>
        <v>Semanal</v>
      </c>
      <c r="M10" s="30">
        <f>VLOOKUP(C10,ANTIGÜEDAD!A:BE,21,FALSE)</f>
        <v>6916.06</v>
      </c>
      <c r="N10" s="33" t="str">
        <f>IFERROR(VLOOKUP(C10,'Reporte de cobranza'!G:BL,34,FALSE),"")</f>
        <v>07/11/2025</v>
      </c>
      <c r="O10" s="30">
        <f>IF(AI10="Desertor sin mora",0,VLOOKUP(C10,ANTIGÜEDAD!A:BJ,44,FALSE))</f>
        <v>62244.55</v>
      </c>
      <c r="P10" s="30">
        <f t="shared" si="5"/>
        <v>110656.96000000001</v>
      </c>
      <c r="Q10" s="30">
        <f t="shared" ca="1" si="1"/>
        <v>62244.55</v>
      </c>
      <c r="R10" s="30">
        <f>IF(AI10="Desertor sin mora",0,VLOOKUP(C10,ANTIGÜEDAD!A:BJ,26,FALSE))</f>
        <v>51187.5</v>
      </c>
      <c r="S10" s="30">
        <f t="shared" ca="1" si="6"/>
        <v>0</v>
      </c>
      <c r="T10" s="30">
        <f>IF(V10&gt;0,IF(VLOOKUP(TEXT(C10,"000000"),Ahorros_concentrado!B:D,3,0)+F10*0.1&gt;V10,V10,VLOOKUP(TEXT(C10,"000000"),Ahorros_concentrado!B:D,3,0)+F10*0.1),0)</f>
        <v>0</v>
      </c>
      <c r="U10" s="30">
        <f t="shared" si="7"/>
        <v>0</v>
      </c>
      <c r="V10" s="30">
        <f>IF(AI10="Desertor sin mora",0,VLOOKUP(C10,'SITUACIÓN DE CARTERA'!A:AR,26,FALSE))</f>
        <v>0</v>
      </c>
      <c r="W10" s="134">
        <f>IF(AI10="Desertor sin mora",0,VLOOKUP(C10,'SITUACIÓN DE CARTERA'!A:AR,27,FALSE))/100</f>
        <v>0</v>
      </c>
      <c r="X10" s="30">
        <f>IF(V10&gt;0,VLOOKUP(C10,ANTIGÜEDAD!A:BE,26,FALSE),0)</f>
        <v>0</v>
      </c>
      <c r="Z10" s="34">
        <f>IF(AI10="Desertor sin mora",VLOOKUP(C10,ANTIGÜEDAD!A:Q,17,0)/AA10,F10/AA10)</f>
        <v>18200</v>
      </c>
      <c r="AA10" s="19">
        <f>IF(AI10="Desertor sin mora",VLOOKUP(C10,ANTIGÜEDAD!A:M,13,0),VLOOKUP(C10,'SITUACIÓN DE CARTERA'!A:AR,43,FALSE))</f>
        <v>5</v>
      </c>
      <c r="AB10" s="19">
        <f t="shared" ca="1" si="2"/>
        <v>7</v>
      </c>
      <c r="AC10" s="42">
        <f>IF(AI10="Desertor sin mora",0,(VLOOKUP(C10,'SITUACIÓN DE CARTERA'!A:AS,45,FALSE))/M10)</f>
        <v>6.9999999999999991</v>
      </c>
      <c r="AD10" s="19">
        <f>IF(AI10="Desertor sin mora",0,VLOOKUP(C10,'Reporte de cobranza'!G:BL,35,FALSE))</f>
        <v>9</v>
      </c>
      <c r="AE10" s="19">
        <f>IF(AI10="Desertor sin mora",I10,VLOOKUP(C10,'Reporte de cobranza'!G:BL,36,FALSE))</f>
        <v>16</v>
      </c>
      <c r="AF10" s="19">
        <f>VLOOKUP(C10,ANTIGÜEDAD!A:BE,18,FALSE)</f>
        <v>0</v>
      </c>
      <c r="AG10" s="30">
        <f>IFERROR(VLOOKUP(C10,Ahorros_concentrado!B:D,3,FALSE),0)</f>
        <v>3413.7899999999954</v>
      </c>
      <c r="AH10" s="43">
        <f t="shared" ca="1" si="3"/>
        <v>7.0514756337319948E-2</v>
      </c>
      <c r="AI10" s="19" t="str">
        <f>IF(VLOOKUP(C10,ANTIGÜEDAD!A:AG,33,0)="Entregado","Vigente",IF(VLOOKUP(C10,ANTIGÜEDAD!A:AG,33,0)="Liquidado","Desertor sin mora",""))</f>
        <v>Vigente</v>
      </c>
      <c r="AJ10" s="98" t="str">
        <f t="shared" si="4"/>
        <v>000007901</v>
      </c>
    </row>
    <row r="11" spans="1:36" x14ac:dyDescent="0.3">
      <c r="A11" s="19" t="str">
        <f>VLOOKUP(C11,ANTIGÜEDAD!A:BJ,4,FALSE)</f>
        <v>ADRIANA ALEJALDRE GUZMAN</v>
      </c>
      <c r="B11" s="19" t="str">
        <f>IFERROR(VLOOKUP(ANTIGÜEDAD!F10,'Parche Promotores'!A:B,2,0),ANTIGÜEDAD!F10)</f>
        <v>Lopez Cabrera Edith Alejandra</v>
      </c>
      <c r="C11" s="6" t="str">
        <f>TEXT(ANTIGÜEDAD!I10,"000000")</f>
        <v>000104</v>
      </c>
      <c r="D11" s="6" t="str">
        <f>ANTIGÜEDAD!K10</f>
        <v>PRECIOSAS</v>
      </c>
      <c r="E11" s="29" t="str">
        <f>IFERROR(VLOOKUP(C11,'SITUACIÓN DE CARTERA'!A:AR,12,FALSE),VLOOKUP(C11,ANTIGÜEDAD!A:J,10,0))</f>
        <v>01</v>
      </c>
      <c r="F11" s="30">
        <f>VLOOKUP(C11,ANTIGÜEDAD!A:BE,17,FALSE)</f>
        <v>62000</v>
      </c>
      <c r="G11" s="30" t="str">
        <f>VLOOKUP(C11,ANTIGÜEDAD!A:BE,12,FALSE)</f>
        <v>MIGRADO</v>
      </c>
      <c r="H11" s="31">
        <f>VLOOKUP(C11,ANTIGÜEDAD!A:BE,14,FALSE)</f>
        <v>45924</v>
      </c>
      <c r="I11" s="19">
        <f>VLOOKUP(C11,ANTIGÜEDAD!A:BE,19,FALSE)</f>
        <v>16</v>
      </c>
      <c r="J11" s="31" t="str">
        <f>VLOOKUP(C11,ANTIGÜEDAD!A:BE,56,FALSE)</f>
        <v>Miércoles</v>
      </c>
      <c r="K11" s="32" t="str">
        <f>VLOOKUP(C11,ANTIGÜEDAD!A:BE,57,FALSE)</f>
        <v>16:00</v>
      </c>
      <c r="L11" s="19" t="str">
        <f>VLOOKUP(C11,ANTIGÜEDAD!A:BE,20,FALSE)</f>
        <v>Semanal</v>
      </c>
      <c r="M11" s="30">
        <f>VLOOKUP(C11,ANTIGÜEDAD!A:BE,21,FALSE)</f>
        <v>4712.04</v>
      </c>
      <c r="N11" s="33" t="str">
        <f>IFERROR(VLOOKUP(C11,'Reporte de cobranza'!G:BL,34,FALSE),"")</f>
        <v>05/11/2025</v>
      </c>
      <c r="O11" s="30">
        <f>IF(AI11="Desertor sin mora",0,VLOOKUP(C11,ANTIGÜEDAD!A:BJ,44,FALSE))</f>
        <v>51802.66</v>
      </c>
      <c r="P11" s="30">
        <f t="shared" si="5"/>
        <v>75392.639999999999</v>
      </c>
      <c r="Q11" s="30">
        <f t="shared" ca="1" si="1"/>
        <v>51832.44</v>
      </c>
      <c r="R11" s="30">
        <f>IF(AI11="Desertor sin mora",0,VLOOKUP(C11,ANTIGÜEDAD!A:BJ,26,FALSE))</f>
        <v>42625</v>
      </c>
      <c r="S11" s="30">
        <f t="shared" ca="1" si="6"/>
        <v>-29.779999999998836</v>
      </c>
      <c r="T11" s="30">
        <f>IF(V11&gt;0,IF(VLOOKUP(TEXT(C11,"000000"),Ahorros_concentrado!B:D,3,0)+F11*0.1&gt;V11,V11,VLOOKUP(TEXT(C11,"000000"),Ahorros_concentrado!B:D,3,0)+F11*0.1),0)</f>
        <v>0</v>
      </c>
      <c r="U11" s="30">
        <f t="shared" si="7"/>
        <v>0</v>
      </c>
      <c r="V11" s="30">
        <f>IF(AI11="Desertor sin mora",0,VLOOKUP(C11,'SITUACIÓN DE CARTERA'!A:AR,26,FALSE))</f>
        <v>0</v>
      </c>
      <c r="W11" s="134">
        <f>IF(AI11="Desertor sin mora",0,VLOOKUP(C11,'SITUACIÓN DE CARTERA'!A:AR,27,FALSE))/100</f>
        <v>0</v>
      </c>
      <c r="X11" s="30">
        <f>IF(V11&gt;0,VLOOKUP(C11,ANTIGÜEDAD!A:BE,26,FALSE),0)</f>
        <v>0</v>
      </c>
      <c r="Z11" s="34">
        <f>IF(AI11="Desertor sin mora",VLOOKUP(C11,ANTIGÜEDAD!A:Q,17,0)/AA11,F11/AA11)</f>
        <v>10333.333333333334</v>
      </c>
      <c r="AA11" s="19">
        <f>IF(AI11="Desertor sin mora",VLOOKUP(C11,ANTIGÜEDAD!A:M,13,0),VLOOKUP(C11,'SITUACIÓN DE CARTERA'!A:AR,43,FALSE))</f>
        <v>6</v>
      </c>
      <c r="AB11" s="19">
        <f t="shared" ca="1" si="2"/>
        <v>5</v>
      </c>
      <c r="AC11" s="42">
        <f>IF(AI11="Desertor sin mora",0,(VLOOKUP(C11,'SITUACIÓN DE CARTERA'!A:AS,45,FALSE))/M11)</f>
        <v>5.0063242247519124</v>
      </c>
      <c r="AD11" s="19">
        <f>IF(AI11="Desertor sin mora",0,VLOOKUP(C11,'Reporte de cobranza'!G:BL,35,FALSE))</f>
        <v>11</v>
      </c>
      <c r="AE11" s="19">
        <f>IF(AI11="Desertor sin mora",I11,VLOOKUP(C11,'Reporte de cobranza'!G:BL,36,FALSE))</f>
        <v>16</v>
      </c>
      <c r="AF11" s="19">
        <f>VLOOKUP(C11,ANTIGÜEDAD!A:BE,18,FALSE)</f>
        <v>0</v>
      </c>
      <c r="AG11" s="30">
        <f>IFERROR(VLOOKUP(C11,Ahorros_concentrado!B:D,3,FALSE),0)</f>
        <v>1210</v>
      </c>
      <c r="AH11" s="43">
        <f t="shared" ca="1" si="3"/>
        <v>5.1357798320897111E-2</v>
      </c>
      <c r="AI11" s="19" t="str">
        <f>IF(VLOOKUP(C11,ANTIGÜEDAD!A:AG,33,0)="Entregado","Vigente",IF(VLOOKUP(C11,ANTIGÜEDAD!A:AG,33,0)="Liquidado","Desertor sin mora",""))</f>
        <v>Vigente</v>
      </c>
      <c r="AJ11" s="98" t="str">
        <f t="shared" si="4"/>
        <v>000010401</v>
      </c>
    </row>
    <row r="12" spans="1:36" x14ac:dyDescent="0.3">
      <c r="A12" s="19" t="str">
        <f>VLOOKUP(C12,ANTIGÜEDAD!A:BJ,4,FALSE)</f>
        <v>IRVIN URIEL MORA VELAZCO</v>
      </c>
      <c r="B12" s="19" t="str">
        <f>IFERROR(VLOOKUP(ANTIGÜEDAD!F11,'Parche Promotores'!A:B,2,0),ANTIGÜEDAD!F11)</f>
        <v>Flores Mendez Veronica</v>
      </c>
      <c r="C12" s="6" t="str">
        <f>TEXT(ANTIGÜEDAD!I11,"000000")</f>
        <v>000120</v>
      </c>
      <c r="D12" s="6" t="str">
        <f>ANTIGÜEDAD!K11</f>
        <v>LAS COMADRES</v>
      </c>
      <c r="E12" s="29" t="str">
        <f>IFERROR(VLOOKUP(C12,'SITUACIÓN DE CARTERA'!A:AR,12,FALSE),VLOOKUP(C12,ANTIGÜEDAD!A:J,10,0))</f>
        <v>01</v>
      </c>
      <c r="F12" s="30">
        <f>VLOOKUP(C12,ANTIGÜEDAD!A:BE,17,FALSE)</f>
        <v>160000</v>
      </c>
      <c r="G12" s="30" t="str">
        <f>VLOOKUP(C12,ANTIGÜEDAD!A:BE,12,FALSE)</f>
        <v>MIGRADO</v>
      </c>
      <c r="H12" s="31">
        <f>VLOOKUP(C12,ANTIGÜEDAD!A:BE,14,FALSE)</f>
        <v>45929</v>
      </c>
      <c r="I12" s="19">
        <f>VLOOKUP(C12,ANTIGÜEDAD!A:BE,19,FALSE)</f>
        <v>16</v>
      </c>
      <c r="J12" s="31" t="str">
        <f>VLOOKUP(C12,ANTIGÜEDAD!A:BE,56,FALSE)</f>
        <v>Lunes</v>
      </c>
      <c r="K12" s="32" t="str">
        <f>VLOOKUP(C12,ANTIGÜEDAD!A:BE,57,FALSE)</f>
        <v>10:00</v>
      </c>
      <c r="L12" s="19" t="str">
        <f>VLOOKUP(C12,ANTIGÜEDAD!A:BE,20,FALSE)</f>
        <v>Semanal</v>
      </c>
      <c r="M12" s="30">
        <f>VLOOKUP(C12,ANTIGÜEDAD!A:BE,21,FALSE)</f>
        <v>12160.11</v>
      </c>
      <c r="N12" s="33" t="str">
        <f>IFERROR(VLOOKUP(C12,'Reporte de cobranza'!G:BL,34,FALSE),"")</f>
        <v>03/11/2025</v>
      </c>
      <c r="O12" s="30">
        <f>IF(AI12="Desertor sin mora",0,VLOOKUP(C12,ANTIGÜEDAD!A:BJ,44,FALSE))</f>
        <v>145921.71</v>
      </c>
      <c r="P12" s="30">
        <f t="shared" si="5"/>
        <v>194561.76</v>
      </c>
      <c r="Q12" s="30">
        <f t="shared" ca="1" si="1"/>
        <v>145921.71</v>
      </c>
      <c r="R12" s="30">
        <f>IF(AI12="Desertor sin mora",0,VLOOKUP(C12,ANTIGÜEDAD!A:BJ,26,FALSE))</f>
        <v>120000.44</v>
      </c>
      <c r="S12" s="30">
        <f t="shared" ca="1" si="6"/>
        <v>0</v>
      </c>
      <c r="T12" s="30">
        <f>IF(V12&gt;0,IF(VLOOKUP(TEXT(C12,"000000"),Ahorros_concentrado!B:D,3,0)+F12*0.1&gt;V12,V12,VLOOKUP(TEXT(C12,"000000"),Ahorros_concentrado!B:D,3,0)+F12*0.1),0)</f>
        <v>0</v>
      </c>
      <c r="U12" s="30">
        <f t="shared" si="7"/>
        <v>0</v>
      </c>
      <c r="V12" s="30">
        <f>IF(AI12="Desertor sin mora",0,VLOOKUP(C12,'SITUACIÓN DE CARTERA'!A:AR,26,FALSE))</f>
        <v>0</v>
      </c>
      <c r="W12" s="134">
        <f>IF(AI12="Desertor sin mora",0,VLOOKUP(C12,'SITUACIÓN DE CARTERA'!A:AR,27,FALSE))/100</f>
        <v>0</v>
      </c>
      <c r="X12" s="30">
        <f>IF(V12&gt;0,VLOOKUP(C12,ANTIGÜEDAD!A:BE,26,FALSE),0)</f>
        <v>0</v>
      </c>
      <c r="Z12" s="34">
        <f>IF(AI12="Desertor sin mora",VLOOKUP(C12,ANTIGÜEDAD!A:Q,17,0)/AA12,F12/AA12)</f>
        <v>32000</v>
      </c>
      <c r="AA12" s="19">
        <f>IF(AI12="Desertor sin mora",VLOOKUP(C12,ANTIGÜEDAD!A:M,13,0),VLOOKUP(C12,'SITUACIÓN DE CARTERA'!A:AR,43,FALSE))</f>
        <v>5</v>
      </c>
      <c r="AB12" s="19">
        <f t="shared" ca="1" si="2"/>
        <v>4</v>
      </c>
      <c r="AC12" s="42">
        <f>IF(AI12="Desertor sin mora",0,(VLOOKUP(C12,'SITUACIÓN DE CARTERA'!A:AS,45,FALSE))/M12)</f>
        <v>3.9999638161167947</v>
      </c>
      <c r="AD12" s="19">
        <f>IF(AI12="Desertor sin mora",0,VLOOKUP(C12,'Reporte de cobranza'!G:BL,35,FALSE))</f>
        <v>12</v>
      </c>
      <c r="AE12" s="19">
        <f>IF(AI12="Desertor sin mora",I12,VLOOKUP(C12,'Reporte de cobranza'!G:BL,36,FALSE))</f>
        <v>16</v>
      </c>
      <c r="AF12" s="19">
        <f>VLOOKUP(C12,ANTIGÜEDAD!A:BE,18,FALSE)</f>
        <v>0</v>
      </c>
      <c r="AG12" s="30">
        <f>IFERROR(VLOOKUP(C12,Ahorros_concentrado!B:D,3,FALSE),0)</f>
        <v>2560</v>
      </c>
      <c r="AH12" s="43">
        <f t="shared" ca="1" si="3"/>
        <v>5.2631102843642037E-2</v>
      </c>
      <c r="AI12" s="19" t="str">
        <f>IF(VLOOKUP(C12,ANTIGÜEDAD!A:AG,33,0)="Entregado","Vigente",IF(VLOOKUP(C12,ANTIGÜEDAD!A:AG,33,0)="Liquidado","Desertor sin mora",""))</f>
        <v>Vigente</v>
      </c>
      <c r="AJ12" s="98" t="str">
        <f t="shared" si="4"/>
        <v>000012001</v>
      </c>
    </row>
    <row r="13" spans="1:36" x14ac:dyDescent="0.3">
      <c r="A13" s="19" t="str">
        <f>VLOOKUP(C13,ANTIGÜEDAD!A:BJ,4,FALSE)</f>
        <v>ADRIANA ALEJALDRE GUZMAN</v>
      </c>
      <c r="B13" s="19" t="str">
        <f>IFERROR(VLOOKUP(ANTIGÜEDAD!F12,'Parche Promotores'!A:B,2,0),ANTIGÜEDAD!F12)</f>
        <v>Lopez Cabrera Edith Alejandra</v>
      </c>
      <c r="C13" s="6" t="str">
        <f>TEXT(ANTIGÜEDAD!I12,"000000")</f>
        <v>000119</v>
      </c>
      <c r="D13" s="6" t="str">
        <f>ANTIGÜEDAD!K12</f>
        <v>ALIADAS</v>
      </c>
      <c r="E13" s="29" t="str">
        <f>IFERROR(VLOOKUP(C13,'SITUACIÓN DE CARTERA'!A:AR,12,FALSE),VLOOKUP(C13,ANTIGÜEDAD!A:J,10,0))</f>
        <v>01</v>
      </c>
      <c r="F13" s="30">
        <f>VLOOKUP(C13,ANTIGÜEDAD!A:BE,17,FALSE)</f>
        <v>76000</v>
      </c>
      <c r="G13" s="30" t="str">
        <f>VLOOKUP(C13,ANTIGÜEDAD!A:BE,12,FALSE)</f>
        <v>MIGRADO</v>
      </c>
      <c r="H13" s="31">
        <f>VLOOKUP(C13,ANTIGÜEDAD!A:BE,14,FALSE)</f>
        <v>45930</v>
      </c>
      <c r="I13" s="19">
        <f>VLOOKUP(C13,ANTIGÜEDAD!A:BE,19,FALSE)</f>
        <v>16</v>
      </c>
      <c r="J13" s="31" t="str">
        <f>VLOOKUP(C13,ANTIGÜEDAD!A:BE,56,FALSE)</f>
        <v>Martes</v>
      </c>
      <c r="K13" s="32" t="str">
        <f>VLOOKUP(C13,ANTIGÜEDAD!A:BE,57,FALSE)</f>
        <v>11:00</v>
      </c>
      <c r="L13" s="19" t="str">
        <f>VLOOKUP(C13,ANTIGÜEDAD!A:BE,20,FALSE)</f>
        <v>Semanal</v>
      </c>
      <c r="M13" s="30">
        <f>VLOOKUP(C13,ANTIGÜEDAD!A:BE,21,FALSE)</f>
        <v>5776.05</v>
      </c>
      <c r="N13" s="33" t="str">
        <f>IFERROR(VLOOKUP(C13,'Reporte de cobranza'!G:BL,34,FALSE),"")</f>
        <v>04/11/2025</v>
      </c>
      <c r="O13" s="30">
        <f>IF(AI13="Desertor sin mora",0,VLOOKUP(C13,ANTIGÜEDAD!A:BJ,44,FALSE))</f>
        <v>69288.759999999995</v>
      </c>
      <c r="P13" s="30">
        <f t="shared" si="5"/>
        <v>92416.8</v>
      </c>
      <c r="Q13" s="30">
        <f t="shared" ca="1" si="1"/>
        <v>69312.600000000006</v>
      </c>
      <c r="R13" s="30">
        <f>IF(AI13="Desertor sin mora",0,VLOOKUP(C13,ANTIGÜEDAD!A:BJ,26,FALSE))</f>
        <v>57000</v>
      </c>
      <c r="S13" s="30">
        <f t="shared" ca="1" si="6"/>
        <v>-23.840000000011059</v>
      </c>
      <c r="T13" s="30">
        <f>IF(V13&gt;0,IF(VLOOKUP(TEXT(C13,"000000"),Ahorros_concentrado!B:D,3,0)+F13*0.1&gt;V13,V13,VLOOKUP(TEXT(C13,"000000"),Ahorros_concentrado!B:D,3,0)+F13*0.1),0)</f>
        <v>0</v>
      </c>
      <c r="U13" s="30">
        <f t="shared" si="7"/>
        <v>0</v>
      </c>
      <c r="V13" s="30">
        <f>IF(AI13="Desertor sin mora",0,VLOOKUP(C13,'SITUACIÓN DE CARTERA'!A:AR,26,FALSE))</f>
        <v>0</v>
      </c>
      <c r="W13" s="134">
        <f>IF(AI13="Desertor sin mora",0,VLOOKUP(C13,'SITUACIÓN DE CARTERA'!A:AR,27,FALSE))/100</f>
        <v>0</v>
      </c>
      <c r="X13" s="30">
        <f>IF(V13&gt;0,VLOOKUP(C13,ANTIGÜEDAD!A:BE,26,FALSE),0)</f>
        <v>0</v>
      </c>
      <c r="Z13" s="34">
        <f>IF(AI13="Desertor sin mora",VLOOKUP(C13,ANTIGÜEDAD!A:Q,17,0)/AA13,F13/AA13)</f>
        <v>12666.666666666666</v>
      </c>
      <c r="AA13" s="19">
        <f>IF(AI13="Desertor sin mora",VLOOKUP(C13,ANTIGÜEDAD!A:M,13,0),VLOOKUP(C13,'SITUACIÓN DE CARTERA'!A:AR,43,FALSE))</f>
        <v>6</v>
      </c>
      <c r="AB13" s="19">
        <f t="shared" ca="1" si="2"/>
        <v>4</v>
      </c>
      <c r="AC13" s="42">
        <f>IF(AI13="Desertor sin mora",0,(VLOOKUP(C13,'SITUACIÓN DE CARTERA'!A:AS,45,FALSE))/M13)</f>
        <v>4.0041291193808917</v>
      </c>
      <c r="AD13" s="19">
        <f>IF(AI13="Desertor sin mora",0,VLOOKUP(C13,'Reporte de cobranza'!G:BL,35,FALSE))</f>
        <v>12</v>
      </c>
      <c r="AE13" s="19">
        <f>IF(AI13="Desertor sin mora",I13,VLOOKUP(C13,'Reporte de cobranza'!G:BL,36,FALSE))</f>
        <v>16</v>
      </c>
      <c r="AF13" s="19">
        <f>VLOOKUP(C13,ANTIGÜEDAD!A:BE,18,FALSE)</f>
        <v>0</v>
      </c>
      <c r="AG13" s="30">
        <f>IFERROR(VLOOKUP(C13,Ahorros_concentrado!B:D,3,FALSE),0)</f>
        <v>1168</v>
      </c>
      <c r="AH13" s="43">
        <f t="shared" ca="1" si="3"/>
        <v>5.0553579002951841E-2</v>
      </c>
      <c r="AI13" s="19" t="str">
        <f>IF(VLOOKUP(C13,ANTIGÜEDAD!A:AG,33,0)="Entregado","Vigente",IF(VLOOKUP(C13,ANTIGÜEDAD!A:AG,33,0)="Liquidado","Desertor sin mora",""))</f>
        <v>Vigente</v>
      </c>
      <c r="AJ13" s="98" t="str">
        <f t="shared" si="4"/>
        <v>000011901</v>
      </c>
    </row>
    <row r="14" spans="1:36" x14ac:dyDescent="0.3">
      <c r="A14" s="19" t="str">
        <f>VLOOKUP(C14,ANTIGÜEDAD!A:BJ,4,FALSE)</f>
        <v>IRVIN URIEL MORA VELAZCO</v>
      </c>
      <c r="B14" s="19" t="str">
        <f>IFERROR(VLOOKUP(ANTIGÜEDAD!F13,'Parche Promotores'!A:B,2,0),ANTIGÜEDAD!F13)</f>
        <v>Flores Mendez Veronica</v>
      </c>
      <c r="C14" s="6" t="str">
        <f>TEXT(ANTIGÜEDAD!I13,"000000")</f>
        <v>000039</v>
      </c>
      <c r="D14" s="6" t="str">
        <f>ANTIGÜEDAD!K13</f>
        <v>COMETAS</v>
      </c>
      <c r="E14" s="29" t="str">
        <f>IFERROR(VLOOKUP(C14,'SITUACIÓN DE CARTERA'!A:AR,12,FALSE),VLOOKUP(C14,ANTIGÜEDAD!A:J,10,0))</f>
        <v>01</v>
      </c>
      <c r="F14" s="30">
        <f>VLOOKUP(C14,ANTIGÜEDAD!A:BE,17,FALSE)</f>
        <v>120000</v>
      </c>
      <c r="G14" s="30" t="str">
        <f>VLOOKUP(C14,ANTIGÜEDAD!A:BE,12,FALSE)</f>
        <v>MIGRADO</v>
      </c>
      <c r="H14" s="31">
        <f>VLOOKUP(C14,ANTIGÜEDAD!A:BE,14,FALSE)</f>
        <v>45896</v>
      </c>
      <c r="I14" s="19">
        <f>VLOOKUP(C14,ANTIGÜEDAD!A:BE,19,FALSE)</f>
        <v>16</v>
      </c>
      <c r="J14" s="31" t="str">
        <f>VLOOKUP(C14,ANTIGÜEDAD!A:BE,56,FALSE)</f>
        <v>Miércoles</v>
      </c>
      <c r="K14" s="32" t="str">
        <f>VLOOKUP(C14,ANTIGÜEDAD!A:BE,57,FALSE)</f>
        <v>10:00</v>
      </c>
      <c r="L14" s="19" t="str">
        <f>VLOOKUP(C14,ANTIGÜEDAD!A:BE,20,FALSE)</f>
        <v>Semanal</v>
      </c>
      <c r="M14" s="30">
        <f>VLOOKUP(C14,ANTIGÜEDAD!A:BE,21,FALSE)</f>
        <v>9120.08</v>
      </c>
      <c r="N14" s="33" t="str">
        <f>IFERROR(VLOOKUP(C14,'Reporte de cobranza'!G:BL,34,FALSE),"")</f>
        <v>05/11/2025</v>
      </c>
      <c r="O14" s="30">
        <f>IF(AI14="Desertor sin mora",0,VLOOKUP(C14,ANTIGÜEDAD!A:BJ,44,FALSE))</f>
        <v>63841.279999999999</v>
      </c>
      <c r="P14" s="30">
        <f t="shared" si="5"/>
        <v>145921.28</v>
      </c>
      <c r="Q14" s="30">
        <f t="shared" ca="1" si="1"/>
        <v>63841.279999999999</v>
      </c>
      <c r="R14" s="30">
        <f>IF(AI14="Desertor sin mora",0,VLOOKUP(C14,ANTIGÜEDAD!A:BJ,26,FALSE))</f>
        <v>52500.72</v>
      </c>
      <c r="S14" s="30">
        <f t="shared" ca="1" si="6"/>
        <v>0</v>
      </c>
      <c r="T14" s="30">
        <f>IF(V14&gt;0,IF(VLOOKUP(TEXT(C14,"000000"),Ahorros_concentrado!B:D,3,0)+F14*0.1&gt;V14,V14,VLOOKUP(TEXT(C14,"000000"),Ahorros_concentrado!B:D,3,0)+F14*0.1),0)</f>
        <v>0</v>
      </c>
      <c r="U14" s="30">
        <f t="shared" si="7"/>
        <v>0</v>
      </c>
      <c r="V14" s="30">
        <f>IF(AI14="Desertor sin mora",0,VLOOKUP(C14,'SITUACIÓN DE CARTERA'!A:AR,26,FALSE))</f>
        <v>0</v>
      </c>
      <c r="W14" s="134">
        <f>IF(AI14="Desertor sin mora",0,VLOOKUP(C14,'SITUACIÓN DE CARTERA'!A:AR,27,FALSE))/100</f>
        <v>0</v>
      </c>
      <c r="X14" s="30">
        <f>IF(V14&gt;0,VLOOKUP(C14,ANTIGÜEDAD!A:BE,26,FALSE),0)</f>
        <v>0</v>
      </c>
      <c r="Z14" s="34">
        <f>IF(AI14="Desertor sin mora",VLOOKUP(C14,ANTIGÜEDAD!A:Q,17,0)/AA14,F14/AA14)</f>
        <v>15000</v>
      </c>
      <c r="AA14" s="19">
        <f>IF(AI14="Desertor sin mora",VLOOKUP(C14,ANTIGÜEDAD!A:M,13,0),VLOOKUP(C14,'SITUACIÓN DE CARTERA'!A:AR,43,FALSE))</f>
        <v>8</v>
      </c>
      <c r="AB14" s="19">
        <f t="shared" ca="1" si="2"/>
        <v>9</v>
      </c>
      <c r="AC14" s="42">
        <f>IF(AI14="Desertor sin mora",0,(VLOOKUP(C14,'SITUACIÓN DE CARTERA'!A:AS,45,FALSE))/M14)</f>
        <v>8.9999210533240941</v>
      </c>
      <c r="AD14" s="19">
        <f>IF(AI14="Desertor sin mora",0,VLOOKUP(C14,'Reporte de cobranza'!G:BL,35,FALSE))</f>
        <v>7</v>
      </c>
      <c r="AE14" s="19">
        <f>IF(AI14="Desertor sin mora",I14,VLOOKUP(C14,'Reporte de cobranza'!G:BL,36,FALSE))</f>
        <v>16</v>
      </c>
      <c r="AF14" s="19">
        <f>VLOOKUP(C14,ANTIGÜEDAD!A:BE,18,FALSE)</f>
        <v>0</v>
      </c>
      <c r="AG14" s="30">
        <f>IFERROR(VLOOKUP(C14,Ahorros_concentrado!B:D,3,FALSE),0)</f>
        <v>4221</v>
      </c>
      <c r="AH14" s="43">
        <f t="shared" ca="1" si="3"/>
        <v>5.1424987500109647E-2</v>
      </c>
      <c r="AI14" s="19" t="str">
        <f>IF(VLOOKUP(C14,ANTIGÜEDAD!A:AG,33,0)="Entregado","Vigente",IF(VLOOKUP(C14,ANTIGÜEDAD!A:AG,33,0)="Liquidado","Desertor sin mora",""))</f>
        <v>Vigente</v>
      </c>
      <c r="AJ14" s="98" t="str">
        <f t="shared" si="4"/>
        <v>000003901</v>
      </c>
    </row>
    <row r="15" spans="1:36" x14ac:dyDescent="0.3">
      <c r="A15" s="19" t="str">
        <f>VLOOKUP(C15,ANTIGÜEDAD!A:BJ,4,FALSE)</f>
        <v>IRVIN URIEL MORA VELAZCO</v>
      </c>
      <c r="B15" s="19" t="str">
        <f>IFERROR(VLOOKUP(ANTIGÜEDAD!F14,'Parche Promotores'!A:B,2,0),ANTIGÜEDAD!F14)</f>
        <v>Lopez Garcia Nahum Antonio</v>
      </c>
      <c r="C15" s="6" t="str">
        <f>TEXT(ANTIGÜEDAD!I14,"000000")</f>
        <v>000053</v>
      </c>
      <c r="D15" s="6" t="str">
        <f>ANTIGÜEDAD!K14</f>
        <v>PATRICIA</v>
      </c>
      <c r="E15" s="29" t="str">
        <f>IFERROR(VLOOKUP(C15,'SITUACIÓN DE CARTERA'!A:AR,12,FALSE),VLOOKUP(C15,ANTIGÜEDAD!A:J,10,0))</f>
        <v>01</v>
      </c>
      <c r="F15" s="30">
        <f>VLOOKUP(C15,ANTIGÜEDAD!A:BE,17,FALSE)</f>
        <v>171000</v>
      </c>
      <c r="G15" s="30" t="str">
        <f>VLOOKUP(C15,ANTIGÜEDAD!A:BE,12,FALSE)</f>
        <v>MIGRADO</v>
      </c>
      <c r="H15" s="31">
        <f>VLOOKUP(C15,ANTIGÜEDAD!A:BE,14,FALSE)</f>
        <v>45898</v>
      </c>
      <c r="I15" s="19">
        <f>VLOOKUP(C15,ANTIGÜEDAD!A:BE,19,FALSE)</f>
        <v>16</v>
      </c>
      <c r="J15" s="31" t="str">
        <f>VLOOKUP(C15,ANTIGÜEDAD!A:BE,56,FALSE)</f>
        <v>Viernes</v>
      </c>
      <c r="K15" s="32" t="str">
        <f>VLOOKUP(C15,ANTIGÜEDAD!A:BE,57,FALSE)</f>
        <v>10:00</v>
      </c>
      <c r="L15" s="19" t="str">
        <f>VLOOKUP(C15,ANTIGÜEDAD!A:BE,20,FALSE)</f>
        <v>Semanal</v>
      </c>
      <c r="M15" s="30">
        <f>VLOOKUP(C15,ANTIGÜEDAD!A:BE,21,FALSE)</f>
        <v>12996.11</v>
      </c>
      <c r="N15" s="33" t="str">
        <f>IFERROR(VLOOKUP(C15,'Reporte de cobranza'!G:BL,34,FALSE),"")</f>
        <v>07/11/2025</v>
      </c>
      <c r="O15" s="30">
        <f>IF(AI15="Desertor sin mora",0,VLOOKUP(C15,ANTIGÜEDAD!A:BJ,44,FALSE))</f>
        <v>90973.82</v>
      </c>
      <c r="P15" s="30">
        <f t="shared" si="5"/>
        <v>207937.76</v>
      </c>
      <c r="Q15" s="30">
        <f t="shared" ca="1" si="1"/>
        <v>90973.82</v>
      </c>
      <c r="R15" s="30">
        <f>IF(AI15="Desertor sin mora",0,VLOOKUP(C15,ANTIGÜEDAD!A:BJ,26,FALSE))</f>
        <v>74813.53</v>
      </c>
      <c r="S15" s="30">
        <f t="shared" ca="1" si="6"/>
        <v>0</v>
      </c>
      <c r="T15" s="30">
        <f>IF(V15&gt;0,IF(VLOOKUP(TEXT(C15,"000000"),Ahorros_concentrado!B:D,3,0)+F15*0.1&gt;V15,V15,VLOOKUP(TEXT(C15,"000000"),Ahorros_concentrado!B:D,3,0)+F15*0.1),0)</f>
        <v>0</v>
      </c>
      <c r="U15" s="30">
        <f t="shared" si="7"/>
        <v>0</v>
      </c>
      <c r="V15" s="30">
        <f>IF(AI15="Desertor sin mora",0,VLOOKUP(C15,'SITUACIÓN DE CARTERA'!A:AR,26,FALSE))</f>
        <v>0</v>
      </c>
      <c r="W15" s="134">
        <f>IF(AI15="Desertor sin mora",0,VLOOKUP(C15,'SITUACIÓN DE CARTERA'!A:AR,27,FALSE))/100</f>
        <v>0</v>
      </c>
      <c r="X15" s="30">
        <f>IF(V15&gt;0,VLOOKUP(C15,ANTIGÜEDAD!A:BE,26,FALSE),0)</f>
        <v>0</v>
      </c>
      <c r="Z15" s="34">
        <f>IF(AI15="Desertor sin mora",VLOOKUP(C15,ANTIGÜEDAD!A:Q,17,0)/AA15,F15/AA15)</f>
        <v>34200</v>
      </c>
      <c r="AA15" s="19">
        <f>IF(AI15="Desertor sin mora",VLOOKUP(C15,ANTIGÜEDAD!A:M,13,0),VLOOKUP(C15,'SITUACIÓN DE CARTERA'!A:AR,43,FALSE))</f>
        <v>5</v>
      </c>
      <c r="AB15" s="19">
        <f t="shared" ca="1" si="2"/>
        <v>9</v>
      </c>
      <c r="AC15" s="42">
        <f>IF(AI15="Desertor sin mora",0,(VLOOKUP(C15,'SITUACIÓN DE CARTERA'!A:AS,45,FALSE))/M15)</f>
        <v>8.9999238233594507</v>
      </c>
      <c r="AD15" s="19">
        <f>IF(AI15="Desertor sin mora",0,VLOOKUP(C15,'Reporte de cobranza'!G:BL,35,FALSE))</f>
        <v>7</v>
      </c>
      <c r="AE15" s="19">
        <f>IF(AI15="Desertor sin mora",I15,VLOOKUP(C15,'Reporte de cobranza'!G:BL,36,FALSE))</f>
        <v>16</v>
      </c>
      <c r="AF15" s="19">
        <f>VLOOKUP(C15,ANTIGÜEDAD!A:BE,18,FALSE)</f>
        <v>0</v>
      </c>
      <c r="AG15" s="30">
        <f>IFERROR(VLOOKUP(C15,Ahorros_concentrado!B:D,3,FALSE),0)</f>
        <v>6432</v>
      </c>
      <c r="AH15" s="43">
        <f t="shared" ca="1" si="3"/>
        <v>5.4990813917908249E-2</v>
      </c>
      <c r="AI15" s="19" t="str">
        <f>IF(VLOOKUP(C15,ANTIGÜEDAD!A:AG,33,0)="Entregado","Vigente",IF(VLOOKUP(C15,ANTIGÜEDAD!A:AG,33,0)="Liquidado","Desertor sin mora",""))</f>
        <v>Vigente</v>
      </c>
      <c r="AJ15" s="98" t="str">
        <f t="shared" si="4"/>
        <v>000005301</v>
      </c>
    </row>
    <row r="16" spans="1:36" x14ac:dyDescent="0.3">
      <c r="A16" s="19" t="str">
        <f>VLOOKUP(C16,ANTIGÜEDAD!A:BJ,4,FALSE)</f>
        <v>JUAN EDMUNDO LUNA AGUILLON</v>
      </c>
      <c r="B16" s="19" t="str">
        <f>IFERROR(VLOOKUP(ANTIGÜEDAD!F15,'Parche Promotores'!A:B,2,0),ANTIGÜEDAD!F15)</f>
        <v>Martinez Bañuelos Nallely Sarahi</v>
      </c>
      <c r="C16" s="6" t="str">
        <f>TEXT(ANTIGÜEDAD!I15,"000000")</f>
        <v>000195</v>
      </c>
      <c r="D16" s="6" t="str">
        <f>ANTIGÜEDAD!K15</f>
        <v>COLIBRI</v>
      </c>
      <c r="E16" s="29" t="str">
        <f>IFERROR(VLOOKUP(C16,'SITUACIÓN DE CARTERA'!A:AR,12,FALSE),VLOOKUP(C16,ANTIGÜEDAD!A:J,10,0))</f>
        <v>01</v>
      </c>
      <c r="F16" s="30">
        <f>VLOOKUP(C16,ANTIGÜEDAD!A:BE,17,FALSE)</f>
        <v>100000</v>
      </c>
      <c r="G16" s="30" t="str">
        <f>VLOOKUP(C16,ANTIGÜEDAD!A:BE,12,FALSE)</f>
        <v>MIGRADO</v>
      </c>
      <c r="H16" s="31">
        <f>VLOOKUP(C16,ANTIGÜEDAD!A:BE,14,FALSE)</f>
        <v>45959</v>
      </c>
      <c r="I16" s="19">
        <f>VLOOKUP(C16,ANTIGÜEDAD!A:BE,19,FALSE)</f>
        <v>16</v>
      </c>
      <c r="J16" s="31" t="str">
        <f>VLOOKUP(C16,ANTIGÜEDAD!A:BE,56,FALSE)</f>
        <v>Miércoles</v>
      </c>
      <c r="K16" s="32" t="str">
        <f>VLOOKUP(C16,ANTIGÜEDAD!A:BE,57,FALSE)</f>
        <v>13:30</v>
      </c>
      <c r="L16" s="19" t="str">
        <f>VLOOKUP(C16,ANTIGÜEDAD!A:BE,20,FALSE)</f>
        <v>Semanal</v>
      </c>
      <c r="M16" s="30">
        <f>VLOOKUP(C16,ANTIGÜEDAD!A:BE,21,FALSE)</f>
        <v>7600.07</v>
      </c>
      <c r="N16" s="33" t="str">
        <f>IFERROR(VLOOKUP(C16,'Reporte de cobranza'!G:BL,34,FALSE),"")</f>
        <v>05/11/2025</v>
      </c>
      <c r="O16" s="30">
        <f>IF(AI16="Desertor sin mora",0,VLOOKUP(C16,ANTIGÜEDAD!A:BJ,44,FALSE))</f>
        <v>121601.07</v>
      </c>
      <c r="P16" s="30">
        <f t="shared" si="5"/>
        <v>121601.12</v>
      </c>
      <c r="Q16" s="30">
        <f t="shared" ca="1" si="1"/>
        <v>121601.12</v>
      </c>
      <c r="R16" s="30">
        <f>IF(AI16="Desertor sin mora",0,VLOOKUP(C16,ANTIGÜEDAD!A:BJ,26,FALSE))</f>
        <v>100000</v>
      </c>
      <c r="S16" s="30">
        <f t="shared" ca="1" si="6"/>
        <v>-4.9999999988358468E-2</v>
      </c>
      <c r="T16" s="30">
        <f>IF(V16&gt;0,IF(VLOOKUP(TEXT(C16,"000000"),Ahorros_concentrado!B:D,3,0)+F16*0.1&gt;V16,V16,VLOOKUP(TEXT(C16,"000000"),Ahorros_concentrado!B:D,3,0)+F16*0.1),0)</f>
        <v>0</v>
      </c>
      <c r="U16" s="30">
        <f t="shared" si="7"/>
        <v>0</v>
      </c>
      <c r="V16" s="30">
        <f>IF(AI16="Desertor sin mora",0,VLOOKUP(C16,'SITUACIÓN DE CARTERA'!A:AR,26,FALSE))</f>
        <v>0</v>
      </c>
      <c r="W16" s="134">
        <f>IF(AI16="Desertor sin mora",0,VLOOKUP(C16,'SITUACIÓN DE CARTERA'!A:AR,27,FALSE))/100</f>
        <v>0</v>
      </c>
      <c r="X16" s="30">
        <f>IF(V16&gt;0,VLOOKUP(C16,ANTIGÜEDAD!A:BE,26,FALSE),0)</f>
        <v>0</v>
      </c>
      <c r="Z16" s="34">
        <f>IF(AI16="Desertor sin mora",VLOOKUP(C16,ANTIGÜEDAD!A:Q,17,0)/AA16,F16/AA16)</f>
        <v>11111.111111111111</v>
      </c>
      <c r="AA16" s="19">
        <f>IF(AI16="Desertor sin mora",VLOOKUP(C16,ANTIGÜEDAD!A:M,13,0),VLOOKUP(C16,'SITUACIÓN DE CARTERA'!A:AR,43,FALSE))</f>
        <v>9</v>
      </c>
      <c r="AB16" s="19">
        <f t="shared" ca="1" si="2"/>
        <v>0</v>
      </c>
      <c r="AC16" s="42">
        <f>IF(AI16="Desertor sin mora",0,(VLOOKUP(C16,'SITUACIÓN DE CARTERA'!A:AS,45,FALSE))/M16)</f>
        <v>0</v>
      </c>
      <c r="AD16" s="19">
        <f>IF(AI16="Desertor sin mora",0,VLOOKUP(C16,'Reporte de cobranza'!G:BL,35,FALSE))</f>
        <v>16</v>
      </c>
      <c r="AE16" s="19">
        <f>IF(AI16="Desertor sin mora",I16,VLOOKUP(C16,'Reporte de cobranza'!G:BL,36,FALSE))</f>
        <v>16</v>
      </c>
      <c r="AF16" s="19">
        <f>VLOOKUP(C16,ANTIGÜEDAD!A:BE,18,FALSE)</f>
        <v>0</v>
      </c>
      <c r="AG16" s="30">
        <f>IFERROR(VLOOKUP(C16,Ahorros_concentrado!B:D,3,FALSE),0)</f>
        <v>0</v>
      </c>
      <c r="AH16" s="43">
        <f t="shared" ca="1" si="3"/>
        <v>0</v>
      </c>
      <c r="AI16" s="19" t="str">
        <f>IF(VLOOKUP(C16,ANTIGÜEDAD!A:AG,33,0)="Entregado","Vigente",IF(VLOOKUP(C16,ANTIGÜEDAD!A:AG,33,0)="Liquidado","Desertor sin mora",""))</f>
        <v>Vigente</v>
      </c>
      <c r="AJ16" s="98" t="str">
        <f t="shared" si="4"/>
        <v>000019501</v>
      </c>
    </row>
    <row r="17" spans="1:36" x14ac:dyDescent="0.3">
      <c r="A17" s="19" t="str">
        <f>VLOOKUP(C17,ANTIGÜEDAD!A:BJ,4,FALSE)</f>
        <v>IRVIN URIEL MORA VELAZCO</v>
      </c>
      <c r="B17" s="19" t="str">
        <f>IFERROR(VLOOKUP(ANTIGÜEDAD!F16,'Parche Promotores'!A:B,2,0),ANTIGÜEDAD!F16)</f>
        <v>Olivares Morales Josue Edgar</v>
      </c>
      <c r="C17" s="6" t="str">
        <f>TEXT(ANTIGÜEDAD!I16,"000000")</f>
        <v>000141</v>
      </c>
      <c r="D17" s="6" t="str">
        <f>ANTIGÜEDAD!K16</f>
        <v>IZORA</v>
      </c>
      <c r="E17" s="29" t="str">
        <f>IFERROR(VLOOKUP(C17,'SITUACIÓN DE CARTERA'!A:AR,12,FALSE),VLOOKUP(C17,ANTIGÜEDAD!A:J,10,0))</f>
        <v>01</v>
      </c>
      <c r="F17" s="30">
        <f>VLOOKUP(C17,ANTIGÜEDAD!A:BE,17,FALSE)</f>
        <v>60000</v>
      </c>
      <c r="G17" s="30" t="str">
        <f>VLOOKUP(C17,ANTIGÜEDAD!A:BE,12,FALSE)</f>
        <v>MIGRADO</v>
      </c>
      <c r="H17" s="31">
        <f>VLOOKUP(C17,ANTIGÜEDAD!A:BE,14,FALSE)</f>
        <v>45939</v>
      </c>
      <c r="I17" s="19">
        <f>VLOOKUP(C17,ANTIGÜEDAD!A:BE,19,FALSE)</f>
        <v>16</v>
      </c>
      <c r="J17" s="31" t="str">
        <f>VLOOKUP(C17,ANTIGÜEDAD!A:BE,56,FALSE)</f>
        <v>Jueves</v>
      </c>
      <c r="K17" s="32" t="str">
        <f>VLOOKUP(C17,ANTIGÜEDAD!A:BE,57,FALSE)</f>
        <v>13:00</v>
      </c>
      <c r="L17" s="19" t="str">
        <f>VLOOKUP(C17,ANTIGÜEDAD!A:BE,20,FALSE)</f>
        <v>Semanal</v>
      </c>
      <c r="M17" s="30">
        <f>VLOOKUP(C17,ANTIGÜEDAD!A:BE,21,FALSE)</f>
        <v>4560.04</v>
      </c>
      <c r="N17" s="33" t="str">
        <f>IFERROR(VLOOKUP(C17,'Reporte de cobranza'!G:BL,34,FALSE),"")</f>
        <v>06/11/2025</v>
      </c>
      <c r="O17" s="30">
        <f>IF(AI17="Desertor sin mora",0,VLOOKUP(C17,ANTIGÜEDAD!A:BJ,44,FALSE))</f>
        <v>59279.64</v>
      </c>
      <c r="P17" s="30">
        <f t="shared" si="5"/>
        <v>72960.639999999999</v>
      </c>
      <c r="Q17" s="30">
        <f t="shared" ca="1" si="1"/>
        <v>59280.520000000004</v>
      </c>
      <c r="R17" s="30">
        <f>IF(AI17="Desertor sin mora",0,VLOOKUP(C17,ANTIGÜEDAD!A:BJ,26,FALSE))</f>
        <v>48750</v>
      </c>
      <c r="S17" s="30">
        <f t="shared" ca="1" si="6"/>
        <v>-0.88000000000465661</v>
      </c>
      <c r="T17" s="30">
        <f>IF(V17&gt;0,IF(VLOOKUP(TEXT(C17,"000000"),Ahorros_concentrado!B:D,3,0)+F17*0.1&gt;V17,V17,VLOOKUP(TEXT(C17,"000000"),Ahorros_concentrado!B:D,3,0)+F17*0.1),0)</f>
        <v>0</v>
      </c>
      <c r="U17" s="30">
        <f t="shared" si="7"/>
        <v>0</v>
      </c>
      <c r="V17" s="30">
        <f>IF(AI17="Desertor sin mora",0,VLOOKUP(C17,'SITUACIÓN DE CARTERA'!A:AR,26,FALSE))</f>
        <v>0</v>
      </c>
      <c r="W17" s="134">
        <f>IF(AI17="Desertor sin mora",0,VLOOKUP(C17,'SITUACIÓN DE CARTERA'!A:AR,27,FALSE))/100</f>
        <v>0</v>
      </c>
      <c r="X17" s="30">
        <f>IF(V17&gt;0,VLOOKUP(C17,ANTIGÜEDAD!A:BE,26,FALSE),0)</f>
        <v>0</v>
      </c>
      <c r="Z17" s="34">
        <f>IF(AI17="Desertor sin mora",VLOOKUP(C17,ANTIGÜEDAD!A:Q,17,0)/AA17,F17/AA17)</f>
        <v>12000</v>
      </c>
      <c r="AA17" s="19">
        <f>IF(AI17="Desertor sin mora",VLOOKUP(C17,ANTIGÜEDAD!A:M,13,0),VLOOKUP(C17,'SITUACIÓN DE CARTERA'!A:AR,43,FALSE))</f>
        <v>5</v>
      </c>
      <c r="AB17" s="19">
        <f t="shared" ca="1" si="2"/>
        <v>3</v>
      </c>
      <c r="AC17" s="42">
        <f>IF(AI17="Desertor sin mora",0,(VLOOKUP(C17,'SITUACIÓN DE CARTERA'!A:AS,45,FALSE))/M17)</f>
        <v>3.0001929807633267</v>
      </c>
      <c r="AD17" s="19">
        <f>IF(AI17="Desertor sin mora",0,VLOOKUP(C17,'Reporte de cobranza'!G:BL,35,FALSE))</f>
        <v>13</v>
      </c>
      <c r="AE17" s="19">
        <f>IF(AI17="Desertor sin mora",I17,VLOOKUP(C17,'Reporte de cobranza'!G:BL,36,FALSE))</f>
        <v>16</v>
      </c>
      <c r="AF17" s="19">
        <f>VLOOKUP(C17,ANTIGÜEDAD!A:BE,18,FALSE)</f>
        <v>0</v>
      </c>
      <c r="AG17" s="30">
        <f>IFERROR(VLOOKUP(C17,Ahorros_concentrado!B:D,3,FALSE),0)</f>
        <v>686</v>
      </c>
      <c r="AH17" s="43">
        <f t="shared" ca="1" si="3"/>
        <v>5.0145758955330799E-2</v>
      </c>
      <c r="AI17" s="19" t="str">
        <f>IF(VLOOKUP(C17,ANTIGÜEDAD!A:AG,33,0)="Entregado","Vigente",IF(VLOOKUP(C17,ANTIGÜEDAD!A:AG,33,0)="Liquidado","Desertor sin mora",""))</f>
        <v>Vigente</v>
      </c>
      <c r="AJ17" s="98" t="str">
        <f t="shared" si="4"/>
        <v>000014101</v>
      </c>
    </row>
    <row r="18" spans="1:36" x14ac:dyDescent="0.3">
      <c r="A18" s="19" t="str">
        <f>VLOOKUP(C18,ANTIGÜEDAD!A:BJ,4,FALSE)</f>
        <v>IRVIN URIEL MORA VELAZCO</v>
      </c>
      <c r="B18" s="19" t="str">
        <f>IFERROR(VLOOKUP(ANTIGÜEDAD!F17,'Parche Promotores'!A:B,2,0),ANTIGÜEDAD!F17)</f>
        <v>Flores Mendez Veronica</v>
      </c>
      <c r="C18" s="6" t="str">
        <f>TEXT(ANTIGÜEDAD!I17,"000000")</f>
        <v>000143</v>
      </c>
      <c r="D18" s="6" t="str">
        <f>ANTIGÜEDAD!K17</f>
        <v>RENACER</v>
      </c>
      <c r="E18" s="29" t="str">
        <f>IFERROR(VLOOKUP(C18,'SITUACIÓN DE CARTERA'!A:AR,12,FALSE),VLOOKUP(C18,ANTIGÜEDAD!A:J,10,0))</f>
        <v>01</v>
      </c>
      <c r="F18" s="30">
        <f>VLOOKUP(C18,ANTIGÜEDAD!A:BE,17,FALSE)</f>
        <v>70000</v>
      </c>
      <c r="G18" s="30" t="str">
        <f>VLOOKUP(C18,ANTIGÜEDAD!A:BE,12,FALSE)</f>
        <v>MIGRADO</v>
      </c>
      <c r="H18" s="31">
        <f>VLOOKUP(C18,ANTIGÜEDAD!A:BE,14,FALSE)</f>
        <v>45939</v>
      </c>
      <c r="I18" s="19">
        <f>VLOOKUP(C18,ANTIGÜEDAD!A:BE,19,FALSE)</f>
        <v>16</v>
      </c>
      <c r="J18" s="31" t="str">
        <f>VLOOKUP(C18,ANTIGÜEDAD!A:BE,56,FALSE)</f>
        <v>Jueves</v>
      </c>
      <c r="K18" s="32" t="str">
        <f>VLOOKUP(C18,ANTIGÜEDAD!A:BE,57,FALSE)</f>
        <v>12:00</v>
      </c>
      <c r="L18" s="19" t="str">
        <f>VLOOKUP(C18,ANTIGÜEDAD!A:BE,20,FALSE)</f>
        <v>Semanal</v>
      </c>
      <c r="M18" s="30">
        <f>VLOOKUP(C18,ANTIGÜEDAD!A:BE,21,FALSE)</f>
        <v>5320.05</v>
      </c>
      <c r="N18" s="33" t="str">
        <f>IFERROR(VLOOKUP(C18,'Reporte de cobranza'!G:BL,34,FALSE),"")</f>
        <v>06/11/2025</v>
      </c>
      <c r="O18" s="30">
        <f>IF(AI18="Desertor sin mora",0,VLOOKUP(C18,ANTIGÜEDAD!A:BJ,44,FALSE))</f>
        <v>69159.75</v>
      </c>
      <c r="P18" s="30">
        <f t="shared" si="5"/>
        <v>85120.8</v>
      </c>
      <c r="Q18" s="30">
        <f t="shared" ca="1" si="1"/>
        <v>69160.649999999994</v>
      </c>
      <c r="R18" s="30">
        <f>IF(AI18="Desertor sin mora",0,VLOOKUP(C18,ANTIGÜEDAD!A:BJ,26,FALSE))</f>
        <v>56875</v>
      </c>
      <c r="S18" s="30">
        <f t="shared" ca="1" si="6"/>
        <v>-0.89999999999417923</v>
      </c>
      <c r="T18" s="30">
        <f>IF(V18&gt;0,IF(VLOOKUP(TEXT(C18,"000000"),Ahorros_concentrado!B:D,3,0)+F18*0.1&gt;V18,V18,VLOOKUP(TEXT(C18,"000000"),Ahorros_concentrado!B:D,3,0)+F18*0.1),0)</f>
        <v>0</v>
      </c>
      <c r="U18" s="30">
        <f t="shared" si="7"/>
        <v>0</v>
      </c>
      <c r="V18" s="30">
        <f>IF(AI18="Desertor sin mora",0,VLOOKUP(C18,'SITUACIÓN DE CARTERA'!A:AR,26,FALSE))</f>
        <v>0</v>
      </c>
      <c r="W18" s="134">
        <f>IF(AI18="Desertor sin mora",0,VLOOKUP(C18,'SITUACIÓN DE CARTERA'!A:AR,27,FALSE))/100</f>
        <v>0</v>
      </c>
      <c r="X18" s="30">
        <f>IF(V18&gt;0,VLOOKUP(C18,ANTIGÜEDAD!A:BE,26,FALSE),0)</f>
        <v>0</v>
      </c>
      <c r="Z18" s="34">
        <f>IF(AI18="Desertor sin mora",VLOOKUP(C18,ANTIGÜEDAD!A:Q,17,0)/AA18,F18/AA18)</f>
        <v>14000</v>
      </c>
      <c r="AA18" s="19">
        <f>IF(AI18="Desertor sin mora",VLOOKUP(C18,ANTIGÜEDAD!A:M,13,0),VLOOKUP(C18,'SITUACIÓN DE CARTERA'!A:AR,43,FALSE))</f>
        <v>5</v>
      </c>
      <c r="AB18" s="19">
        <f t="shared" ca="1" si="2"/>
        <v>3</v>
      </c>
      <c r="AC18" s="42">
        <f>IF(AI18="Desertor sin mora",0,(VLOOKUP(C18,'SITUACIÓN DE CARTERA'!A:AS,45,FALSE))/M18)</f>
        <v>3.0001597729344649</v>
      </c>
      <c r="AD18" s="19">
        <f>IF(AI18="Desertor sin mora",0,VLOOKUP(C18,'Reporte de cobranza'!G:BL,35,FALSE))</f>
        <v>13</v>
      </c>
      <c r="AE18" s="19">
        <f>IF(AI18="Desertor sin mora",I18,VLOOKUP(C18,'Reporte de cobranza'!G:BL,36,FALSE))</f>
        <v>16</v>
      </c>
      <c r="AF18" s="19">
        <f>VLOOKUP(C18,ANTIGÜEDAD!A:BE,18,FALSE)</f>
        <v>0</v>
      </c>
      <c r="AG18" s="30">
        <f>IFERROR(VLOOKUP(C18,Ahorros_concentrado!B:D,3,FALSE),0)</f>
        <v>1169</v>
      </c>
      <c r="AH18" s="43">
        <f t="shared" ca="1" si="3"/>
        <v>7.324492564292942E-2</v>
      </c>
      <c r="AI18" s="19" t="str">
        <f>IF(VLOOKUP(C18,ANTIGÜEDAD!A:AG,33,0)="Entregado","Vigente",IF(VLOOKUP(C18,ANTIGÜEDAD!A:AG,33,0)="Liquidado","Desertor sin mora",""))</f>
        <v>Vigente</v>
      </c>
      <c r="AJ18" s="98" t="str">
        <f t="shared" si="4"/>
        <v>000014301</v>
      </c>
    </row>
    <row r="19" spans="1:36" x14ac:dyDescent="0.3">
      <c r="A19" s="19" t="str">
        <f>VLOOKUP(C19,ANTIGÜEDAD!A:BJ,4,FALSE)</f>
        <v>JUAN EDMUNDO LUNA AGUILLON</v>
      </c>
      <c r="B19" s="19" t="str">
        <f>IFERROR(VLOOKUP(ANTIGÜEDAD!F18,'Parche Promotores'!A:B,2,0),ANTIGÜEDAD!F18)</f>
        <v>Martinez Bañuelos Nallely Sarahi</v>
      </c>
      <c r="C19" s="6" t="str">
        <f>TEXT(ANTIGÜEDAD!I18,"000000")</f>
        <v>000002</v>
      </c>
      <c r="D19" s="6" t="str">
        <f>ANTIGÜEDAD!K18</f>
        <v>MOTIVADORAS</v>
      </c>
      <c r="E19" s="29" t="str">
        <f>IFERROR(VLOOKUP(C19,'SITUACIÓN DE CARTERA'!A:AR,12,FALSE),VLOOKUP(C19,ANTIGÜEDAD!A:J,10,0))</f>
        <v>01</v>
      </c>
      <c r="F19" s="30">
        <f>VLOOKUP(C19,ANTIGÜEDAD!A:BE,17,FALSE)</f>
        <v>188000</v>
      </c>
      <c r="G19" s="30" t="str">
        <f>VLOOKUP(C19,ANTIGÜEDAD!A:BE,12,FALSE)</f>
        <v>MIGRADO</v>
      </c>
      <c r="H19" s="31">
        <f>VLOOKUP(C19,ANTIGÜEDAD!A:BE,14,FALSE)</f>
        <v>45875</v>
      </c>
      <c r="I19" s="19">
        <f>VLOOKUP(C19,ANTIGÜEDAD!A:BE,19,FALSE)</f>
        <v>16</v>
      </c>
      <c r="J19" s="31" t="str">
        <f>VLOOKUP(C19,ANTIGÜEDAD!A:BE,56,FALSE)</f>
        <v>Miércoles</v>
      </c>
      <c r="K19" s="32" t="str">
        <f>VLOOKUP(C19,ANTIGÜEDAD!A:BE,57,FALSE)</f>
        <v>16:00</v>
      </c>
      <c r="L19" s="19" t="str">
        <f>VLOOKUP(C19,ANTIGÜEDAD!A:BE,20,FALSE)</f>
        <v>Semanal</v>
      </c>
      <c r="M19" s="30">
        <f>VLOOKUP(C19,ANTIGÜEDAD!A:BE,21,FALSE)</f>
        <v>14288.130000000001</v>
      </c>
      <c r="N19" s="33" t="str">
        <f>IFERROR(VLOOKUP(C19,'Reporte de cobranza'!G:BL,34,FALSE),"")</f>
        <v>05/11/2025</v>
      </c>
      <c r="O19" s="30">
        <f>IF(AI19="Desertor sin mora",0,VLOOKUP(C19,ANTIGÜEDAD!A:BJ,44,FALSE))</f>
        <v>57152.450000000004</v>
      </c>
      <c r="P19" s="30">
        <f t="shared" si="5"/>
        <v>228610.08000000002</v>
      </c>
      <c r="Q19" s="30">
        <f t="shared" ca="1" si="1"/>
        <v>57152.520000000019</v>
      </c>
      <c r="R19" s="30">
        <f>IF(AI19="Desertor sin mora",0,VLOOKUP(C19,ANTIGÜEDAD!A:BJ,26,FALSE))</f>
        <v>47000</v>
      </c>
      <c r="S19" s="30">
        <f t="shared" ca="1" si="6"/>
        <v>-7.0000000014260877E-2</v>
      </c>
      <c r="T19" s="30">
        <f>IF(V19&gt;0,IF(VLOOKUP(TEXT(C19,"000000"),Ahorros_concentrado!B:D,3,0)+F19*0.1&gt;V19,V19,VLOOKUP(TEXT(C19,"000000"),Ahorros_concentrado!B:D,3,0)+F19*0.1),0)</f>
        <v>0</v>
      </c>
      <c r="U19" s="30">
        <f t="shared" si="7"/>
        <v>0</v>
      </c>
      <c r="V19" s="30">
        <f>IF(AI19="Desertor sin mora",0,VLOOKUP(C19,'SITUACIÓN DE CARTERA'!A:AR,26,FALSE))</f>
        <v>0</v>
      </c>
      <c r="W19" s="134">
        <f>IF(AI19="Desertor sin mora",0,VLOOKUP(C19,'SITUACIÓN DE CARTERA'!A:AR,27,FALSE))/100</f>
        <v>0</v>
      </c>
      <c r="X19" s="30">
        <f>IF(V19&gt;0,VLOOKUP(C19,ANTIGÜEDAD!A:BE,26,FALSE),0)</f>
        <v>0</v>
      </c>
      <c r="Z19" s="34">
        <f>IF(AI19="Desertor sin mora",VLOOKUP(C19,ANTIGÜEDAD!A:Q,17,0)/AA19,F19/AA19)</f>
        <v>26857.142857142859</v>
      </c>
      <c r="AA19" s="19">
        <f>IF(AI19="Desertor sin mora",VLOOKUP(C19,ANTIGÜEDAD!A:M,13,0),VLOOKUP(C19,'SITUACIÓN DE CARTERA'!A:AR,43,FALSE))</f>
        <v>7</v>
      </c>
      <c r="AB19" s="19">
        <f t="shared" ca="1" si="2"/>
        <v>12</v>
      </c>
      <c r="AC19" s="42">
        <f>IF(AI19="Desertor sin mora",0,(VLOOKUP(C19,'SITUACIÓN DE CARTERA'!A:AS,45,FALSE))/M19)</f>
        <v>11.999999999999998</v>
      </c>
      <c r="AD19" s="19">
        <f>IF(AI19="Desertor sin mora",0,VLOOKUP(C19,'Reporte de cobranza'!G:BL,35,FALSE))</f>
        <v>4</v>
      </c>
      <c r="AE19" s="19">
        <f>IF(AI19="Desertor sin mora",I19,VLOOKUP(C19,'Reporte de cobranza'!G:BL,36,FALSE))</f>
        <v>16</v>
      </c>
      <c r="AF19" s="19">
        <f>VLOOKUP(C19,ANTIGÜEDAD!A:BE,18,FALSE)</f>
        <v>0</v>
      </c>
      <c r="AG19" s="30">
        <f>IFERROR(VLOOKUP(C19,Ahorros_concentrado!B:D,3,FALSE),0)</f>
        <v>17300.44000000001</v>
      </c>
      <c r="AH19" s="43">
        <f t="shared" ca="1" si="3"/>
        <v>0.10090217077625512</v>
      </c>
      <c r="AI19" s="19" t="str">
        <f>IF(VLOOKUP(C19,ANTIGÜEDAD!A:AG,33,0)="Entregado","Vigente",IF(VLOOKUP(C19,ANTIGÜEDAD!A:AG,33,0)="Liquidado","Desertor sin mora",""))</f>
        <v>Vigente</v>
      </c>
      <c r="AJ19" s="98" t="str">
        <f t="shared" si="4"/>
        <v>000000201</v>
      </c>
    </row>
    <row r="20" spans="1:36" s="37" customFormat="1" x14ac:dyDescent="0.3">
      <c r="A20" s="19" t="str">
        <f>VLOOKUP(C20,ANTIGÜEDAD!A:BJ,4,FALSE)</f>
        <v>JUDITH PATRICIA SERRANO HERRER</v>
      </c>
      <c r="B20" s="19" t="str">
        <f>IFERROR(VLOOKUP(ANTIGÜEDAD!F19,'Parche Promotores'!A:B,2,0),ANTIGÜEDAD!F19)</f>
        <v>Cabrera Flores Viridiana</v>
      </c>
      <c r="C20" s="6" t="str">
        <f>TEXT(ANTIGÜEDAD!I19,"000000")</f>
        <v>000005</v>
      </c>
      <c r="D20" s="6" t="str">
        <f>ANTIGÜEDAD!K19</f>
        <v>TUTTY FRATELLI</v>
      </c>
      <c r="E20" s="29" t="str">
        <f>IFERROR(VLOOKUP(C20,'SITUACIÓN DE CARTERA'!A:AR,12,FALSE),VLOOKUP(C20,ANTIGÜEDAD!A:J,10,0))</f>
        <v>01</v>
      </c>
      <c r="F20" s="30">
        <f>VLOOKUP(C20,ANTIGÜEDAD!A:BE,17,FALSE)</f>
        <v>154000</v>
      </c>
      <c r="G20" s="30" t="str">
        <f>VLOOKUP(C20,ANTIGÜEDAD!A:BE,12,FALSE)</f>
        <v>MIGRADO</v>
      </c>
      <c r="H20" s="31">
        <f>VLOOKUP(C20,ANTIGÜEDAD!A:BE,14,FALSE)</f>
        <v>45880</v>
      </c>
      <c r="I20" s="19">
        <f>VLOOKUP(C20,ANTIGÜEDAD!A:BE,19,FALSE)</f>
        <v>16</v>
      </c>
      <c r="J20" s="31" t="str">
        <f>VLOOKUP(C20,ANTIGÜEDAD!A:BE,56,FALSE)</f>
        <v>Lunes</v>
      </c>
      <c r="K20" s="32" t="str">
        <f>VLOOKUP(C20,ANTIGÜEDAD!A:BE,57,FALSE)</f>
        <v>04:00</v>
      </c>
      <c r="L20" s="19" t="str">
        <f>VLOOKUP(C20,ANTIGÜEDAD!A:BE,20,FALSE)</f>
        <v>Semanal</v>
      </c>
      <c r="M20" s="30">
        <f>VLOOKUP(C20,ANTIGÜEDAD!A:BE,21,FALSE)</f>
        <v>11704.1</v>
      </c>
      <c r="N20" s="33" t="str">
        <f>IFERROR(VLOOKUP(C20,'Reporte de cobranza'!G:BL,34,FALSE),"")</f>
        <v>03/11/2025</v>
      </c>
      <c r="O20" s="30">
        <f>IF(AI20="Desertor sin mora",0,VLOOKUP(C20,ANTIGÜEDAD!A:BJ,44,FALSE))</f>
        <v>58485.440000000002</v>
      </c>
      <c r="P20" s="30">
        <f t="shared" si="5"/>
        <v>187265.6</v>
      </c>
      <c r="Q20" s="30">
        <f t="shared" ca="1" si="1"/>
        <v>58520.5</v>
      </c>
      <c r="R20" s="30">
        <f>IF(AI20="Desertor sin mora",0,VLOOKUP(C20,ANTIGÜEDAD!A:BJ,26,FALSE))</f>
        <v>48125</v>
      </c>
      <c r="S20" s="30">
        <f t="shared" ca="1" si="6"/>
        <v>-35.059999999997672</v>
      </c>
      <c r="T20" s="30">
        <f>IF(V20&gt;0,IF(VLOOKUP(TEXT(C20,"000000"),Ahorros_concentrado!B:D,3,0)+F20*0.1&gt;V20,V20,VLOOKUP(TEXT(C20,"000000"),Ahorros_concentrado!B:D,3,0)+F20*0.1),0)</f>
        <v>0</v>
      </c>
      <c r="U20" s="30">
        <f t="shared" si="7"/>
        <v>0</v>
      </c>
      <c r="V20" s="30">
        <f>IF(AI20="Desertor sin mora",0,VLOOKUP(C20,'SITUACIÓN DE CARTERA'!A:AR,26,FALSE))</f>
        <v>0</v>
      </c>
      <c r="W20" s="134">
        <f>IF(AI20="Desertor sin mora",0,VLOOKUP(C20,'SITUACIÓN DE CARTERA'!A:AR,27,FALSE))/100</f>
        <v>0</v>
      </c>
      <c r="X20" s="30">
        <f>IF(V20&gt;0,VLOOKUP(C20,ANTIGÜEDAD!A:BE,26,FALSE),0)</f>
        <v>0</v>
      </c>
      <c r="Y20" s="19"/>
      <c r="Z20" s="34">
        <f>IF(AI20="Desertor sin mora",VLOOKUP(C20,ANTIGÜEDAD!A:Q,17,0)/AA20,F20/AA20)</f>
        <v>25666.666666666668</v>
      </c>
      <c r="AA20" s="19">
        <f>IF(AI20="Desertor sin mora",VLOOKUP(C20,ANTIGÜEDAD!A:M,13,0),VLOOKUP(C20,'SITUACIÓN DE CARTERA'!A:AR,43,FALSE))</f>
        <v>6</v>
      </c>
      <c r="AB20" s="19">
        <f t="shared" ca="1" si="2"/>
        <v>11</v>
      </c>
      <c r="AC20" s="42">
        <f>IF(AI20="Desertor sin mora",0,(VLOOKUP(C20,'SITUACIÓN DE CARTERA'!A:AS,45,FALSE))/M20)</f>
        <v>11.002998949086217</v>
      </c>
      <c r="AD20" s="19">
        <f>IF(AI20="Desertor sin mora",0,VLOOKUP(C20,'Reporte de cobranza'!G:BL,35,FALSE))</f>
        <v>5</v>
      </c>
      <c r="AE20" s="19">
        <f>IF(AI20="Desertor sin mora",I20,VLOOKUP(C20,'Reporte de cobranza'!G:BL,36,FALSE))</f>
        <v>16</v>
      </c>
      <c r="AF20" s="19">
        <f>VLOOKUP(C20,ANTIGÜEDAD!A:BE,18,FALSE)</f>
        <v>0</v>
      </c>
      <c r="AG20" s="30">
        <f>IFERROR(VLOOKUP(C20,Ahorros_concentrado!B:D,3,FALSE),0)</f>
        <v>12959.8</v>
      </c>
      <c r="AH20" s="43">
        <f t="shared" ca="1" si="3"/>
        <v>0.10066247181446129</v>
      </c>
      <c r="AI20" s="19" t="str">
        <f>IF(VLOOKUP(C20,ANTIGÜEDAD!A:AG,33,0)="Entregado","Vigente",IF(VLOOKUP(C20,ANTIGÜEDAD!A:AG,33,0)="Liquidado","Desertor sin mora",""))</f>
        <v>Vigente</v>
      </c>
      <c r="AJ20" s="98" t="str">
        <f t="shared" si="4"/>
        <v>000000501</v>
      </c>
    </row>
    <row r="21" spans="1:36" x14ac:dyDescent="0.3">
      <c r="A21" s="19" t="str">
        <f>VLOOKUP(C21,ANTIGÜEDAD!A:BJ,4,FALSE)</f>
        <v>IRVIN URIEL MORA VELAZCO</v>
      </c>
      <c r="B21" s="19" t="str">
        <f>IFERROR(VLOOKUP(ANTIGÜEDAD!F20,'Parche Promotores'!A:B,2,0),ANTIGÜEDAD!F20)</f>
        <v>Olivares Morales Josue Edgar</v>
      </c>
      <c r="C21" s="6" t="str">
        <f>TEXT(ANTIGÜEDAD!I20,"000000")</f>
        <v>000017</v>
      </c>
      <c r="D21" s="6" t="str">
        <f>ANTIGÜEDAD!K20</f>
        <v>XOLOC</v>
      </c>
      <c r="E21" s="29" t="str">
        <f>IFERROR(VLOOKUP(C21,'SITUACIÓN DE CARTERA'!A:AR,12,FALSE),VLOOKUP(C21,ANTIGÜEDAD!A:J,10,0))</f>
        <v>01</v>
      </c>
      <c r="F21" s="30">
        <f>VLOOKUP(C21,ANTIGÜEDAD!A:BE,17,FALSE)</f>
        <v>71000</v>
      </c>
      <c r="G21" s="30" t="str">
        <f>VLOOKUP(C21,ANTIGÜEDAD!A:BE,12,FALSE)</f>
        <v>MIGRADO</v>
      </c>
      <c r="H21" s="31">
        <f>VLOOKUP(C21,ANTIGÜEDAD!A:BE,14,FALSE)</f>
        <v>45887</v>
      </c>
      <c r="I21" s="19">
        <f>VLOOKUP(C21,ANTIGÜEDAD!A:BE,19,FALSE)</f>
        <v>16</v>
      </c>
      <c r="J21" s="31" t="str">
        <f>VLOOKUP(C21,ANTIGÜEDAD!A:BE,56,FALSE)</f>
        <v>Lunes</v>
      </c>
      <c r="K21" s="32" t="str">
        <f>VLOOKUP(C21,ANTIGÜEDAD!A:BE,57,FALSE)</f>
        <v>12:00</v>
      </c>
      <c r="L21" s="19" t="str">
        <f>VLOOKUP(C21,ANTIGÜEDAD!A:BE,20,FALSE)</f>
        <v>Semanal</v>
      </c>
      <c r="M21" s="30">
        <f>VLOOKUP(C21,ANTIGÜEDAD!A:BE,21,FALSE)</f>
        <v>5396.05</v>
      </c>
      <c r="N21" s="33" t="str">
        <f>IFERROR(VLOOKUP(C21,'Reporte de cobranza'!G:BL,34,FALSE),"")</f>
        <v>03/11/2025</v>
      </c>
      <c r="O21" s="30">
        <f>IF(AI21="Desertor sin mora",0,VLOOKUP(C21,ANTIGÜEDAD!A:BJ,44,FALSE))</f>
        <v>32376.71</v>
      </c>
      <c r="P21" s="30">
        <f t="shared" si="5"/>
        <v>86336.8</v>
      </c>
      <c r="Q21" s="30">
        <f t="shared" ca="1" si="1"/>
        <v>32376.71</v>
      </c>
      <c r="R21" s="30">
        <f>IF(AI21="Desertor sin mora",0,VLOOKUP(C21,ANTIGÜEDAD!A:BJ,26,FALSE))</f>
        <v>26625.420000000002</v>
      </c>
      <c r="S21" s="30">
        <f t="shared" ca="1" si="6"/>
        <v>0</v>
      </c>
      <c r="T21" s="30">
        <f>IF(V21&gt;0,IF(VLOOKUP(TEXT(C21,"000000"),Ahorros_concentrado!B:D,3,0)+F21*0.1&gt;V21,V21,VLOOKUP(TEXT(C21,"000000"),Ahorros_concentrado!B:D,3,0)+F21*0.1),0)</f>
        <v>0</v>
      </c>
      <c r="U21" s="30">
        <f t="shared" si="7"/>
        <v>0</v>
      </c>
      <c r="V21" s="30">
        <f>IF(AI21="Desertor sin mora",0,VLOOKUP(C21,'SITUACIÓN DE CARTERA'!A:AR,26,FALSE))</f>
        <v>0</v>
      </c>
      <c r="W21" s="134">
        <f>IF(AI21="Desertor sin mora",0,VLOOKUP(C21,'SITUACIÓN DE CARTERA'!A:AR,27,FALSE))/100</f>
        <v>0</v>
      </c>
      <c r="X21" s="30">
        <f>IF(V21&gt;0,VLOOKUP(C21,ANTIGÜEDAD!A:BE,26,FALSE),0)</f>
        <v>0</v>
      </c>
      <c r="Z21" s="34">
        <f>IF(AI21="Desertor sin mora",VLOOKUP(C21,ANTIGÜEDAD!A:Q,17,0)/AA21,F21/AA21)</f>
        <v>7888.8888888888887</v>
      </c>
      <c r="AA21" s="19">
        <f>IF(AI21="Desertor sin mora",VLOOKUP(C21,ANTIGÜEDAD!A:M,13,0),VLOOKUP(C21,'SITUACIÓN DE CARTERA'!A:AR,43,FALSE))</f>
        <v>9</v>
      </c>
      <c r="AB21" s="19">
        <f t="shared" ca="1" si="2"/>
        <v>10</v>
      </c>
      <c r="AC21" s="42">
        <f>IF(AI21="Desertor sin mora",0,(VLOOKUP(C21,'SITUACIÓN DE CARTERA'!A:AS,45,FALSE))/M21)</f>
        <v>9.9999166056652555</v>
      </c>
      <c r="AD21" s="19">
        <f>IF(AI21="Desertor sin mora",0,VLOOKUP(C21,'Reporte de cobranza'!G:BL,35,FALSE))</f>
        <v>6</v>
      </c>
      <c r="AE21" s="19">
        <f>IF(AI21="Desertor sin mora",I21,VLOOKUP(C21,'Reporte de cobranza'!G:BL,36,FALSE))</f>
        <v>16</v>
      </c>
      <c r="AF21" s="19">
        <f>VLOOKUP(C21,ANTIGÜEDAD!A:BE,18,FALSE)</f>
        <v>0</v>
      </c>
      <c r="AG21" s="30">
        <f>IFERROR(VLOOKUP(C21,Ahorros_concentrado!B:D,3,FALSE),0)</f>
        <v>3099.95</v>
      </c>
      <c r="AH21" s="43">
        <f t="shared" ca="1" si="3"/>
        <v>5.7448503998295042E-2</v>
      </c>
      <c r="AI21" s="19" t="str">
        <f>IF(VLOOKUP(C21,ANTIGÜEDAD!A:AG,33,0)="Entregado","Vigente",IF(VLOOKUP(C21,ANTIGÜEDAD!A:AG,33,0)="Liquidado","Desertor sin mora",""))</f>
        <v>Vigente</v>
      </c>
      <c r="AJ21" s="98" t="str">
        <f t="shared" si="4"/>
        <v>000001701</v>
      </c>
    </row>
    <row r="22" spans="1:36" x14ac:dyDescent="0.3">
      <c r="A22" s="19" t="str">
        <f>VLOOKUP(C22,ANTIGÜEDAD!A:BJ,4,FALSE)</f>
        <v>JUDITH PATRICIA SERRANO HERRER</v>
      </c>
      <c r="B22" s="19" t="str">
        <f>IFERROR(VLOOKUP(ANTIGÜEDAD!F21,'Parche Promotores'!A:B,2,0),ANTIGÜEDAD!F21)</f>
        <v>ORTEGA FORTANEL GABRIELA</v>
      </c>
      <c r="C22" s="6" t="str">
        <f>TEXT(ANTIGÜEDAD!I21,"000000")</f>
        <v>000132</v>
      </c>
      <c r="D22" s="6" t="str">
        <f>ANTIGÜEDAD!K21</f>
        <v>CALENDARIAS 2</v>
      </c>
      <c r="E22" s="29" t="str">
        <f>IFERROR(VLOOKUP(C22,'SITUACIÓN DE CARTERA'!A:AR,12,FALSE),VLOOKUP(C22,ANTIGÜEDAD!A:J,10,0))</f>
        <v>01</v>
      </c>
      <c r="F22" s="30">
        <f>VLOOKUP(C22,ANTIGÜEDAD!A:BE,17,FALSE)</f>
        <v>134000</v>
      </c>
      <c r="G22" s="30" t="str">
        <f>VLOOKUP(C22,ANTIGÜEDAD!A:BE,12,FALSE)</f>
        <v>MIGRADO</v>
      </c>
      <c r="H22" s="31">
        <f>VLOOKUP(C22,ANTIGÜEDAD!A:BE,14,FALSE)</f>
        <v>45933</v>
      </c>
      <c r="I22" s="19">
        <f>VLOOKUP(C22,ANTIGÜEDAD!A:BE,19,FALSE)</f>
        <v>16</v>
      </c>
      <c r="J22" s="31" t="str">
        <f>VLOOKUP(C22,ANTIGÜEDAD!A:BE,56,FALSE)</f>
        <v>Viernes</v>
      </c>
      <c r="K22" s="32" t="str">
        <f>VLOOKUP(C22,ANTIGÜEDAD!A:BE,57,FALSE)</f>
        <v>16:00</v>
      </c>
      <c r="L22" s="19" t="str">
        <f>VLOOKUP(C22,ANTIGÜEDAD!A:BE,20,FALSE)</f>
        <v>Semanal</v>
      </c>
      <c r="M22" s="30">
        <f>VLOOKUP(C22,ANTIGÜEDAD!A:BE,21,FALSE)</f>
        <v>10184.09</v>
      </c>
      <c r="N22" s="33" t="str">
        <f>IFERROR(VLOOKUP(C22,'Reporte de cobranza'!G:BL,34,FALSE),"")</f>
        <v>07/11/2025</v>
      </c>
      <c r="O22" s="30">
        <f>IF(AI22="Desertor sin mora",0,VLOOKUP(C22,ANTIGÜEDAD!A:BJ,44,FALSE))</f>
        <v>122208.43000000001</v>
      </c>
      <c r="P22" s="30">
        <f t="shared" si="5"/>
        <v>162945.44</v>
      </c>
      <c r="Q22" s="30">
        <f t="shared" ca="1" si="1"/>
        <v>122209.08</v>
      </c>
      <c r="R22" s="30">
        <f>IF(AI22="Desertor sin mora",0,VLOOKUP(C22,ANTIGÜEDAD!A:BJ,26,FALSE))</f>
        <v>100500</v>
      </c>
      <c r="S22" s="30">
        <f t="shared" ca="1" si="6"/>
        <v>-0.64999999999417923</v>
      </c>
      <c r="T22" s="30">
        <f>IF(V22&gt;0,IF(VLOOKUP(TEXT(C22,"000000"),Ahorros_concentrado!B:D,3,0)+F22*0.1&gt;V22,V22,VLOOKUP(TEXT(C22,"000000"),Ahorros_concentrado!B:D,3,0)+F22*0.1),0)</f>
        <v>0</v>
      </c>
      <c r="U22" s="30">
        <f t="shared" si="7"/>
        <v>0</v>
      </c>
      <c r="V22" s="30">
        <f>IF(AI22="Desertor sin mora",0,VLOOKUP(C22,'SITUACIÓN DE CARTERA'!A:AR,26,FALSE))</f>
        <v>0</v>
      </c>
      <c r="W22" s="134">
        <f>IF(AI22="Desertor sin mora",0,VLOOKUP(C22,'SITUACIÓN DE CARTERA'!A:AR,27,FALSE))/100</f>
        <v>0</v>
      </c>
      <c r="X22" s="30">
        <f>IF(V22&gt;0,VLOOKUP(C22,ANTIGÜEDAD!A:BE,26,FALSE),0)</f>
        <v>0</v>
      </c>
      <c r="Z22" s="34">
        <f>IF(AI22="Desertor sin mora",VLOOKUP(C22,ANTIGÜEDAD!A:Q,17,0)/AA22,F22/AA22)</f>
        <v>26800</v>
      </c>
      <c r="AA22" s="19">
        <f>IF(AI22="Desertor sin mora",VLOOKUP(C22,ANTIGÜEDAD!A:M,13,0),VLOOKUP(C22,'SITUACIÓN DE CARTERA'!A:AR,43,FALSE))</f>
        <v>5</v>
      </c>
      <c r="AB22" s="19">
        <f t="shared" ca="1" si="2"/>
        <v>4</v>
      </c>
      <c r="AC22" s="42">
        <f>IF(AI22="Desertor sin mora",0,(VLOOKUP(C22,'SITUACIÓN DE CARTERA'!A:AS,45,FALSE))/M22)</f>
        <v>4.0000628431209861</v>
      </c>
      <c r="AD22" s="19">
        <f>IF(AI22="Desertor sin mora",0,VLOOKUP(C22,'Reporte de cobranza'!G:BL,35,FALSE))</f>
        <v>12</v>
      </c>
      <c r="AE22" s="19">
        <f>IF(AI22="Desertor sin mora",I22,VLOOKUP(C22,'Reporte de cobranza'!G:BL,36,FALSE))</f>
        <v>16</v>
      </c>
      <c r="AF22" s="19">
        <f>VLOOKUP(C22,ANTIGÜEDAD!A:BE,18,FALSE)</f>
        <v>0</v>
      </c>
      <c r="AG22" s="30">
        <f>IFERROR(VLOOKUP(C22,Ahorros_concentrado!B:D,3,FALSE),0)</f>
        <v>4071</v>
      </c>
      <c r="AH22" s="43">
        <f t="shared" ca="1" si="3"/>
        <v>9.9935291223859954E-2</v>
      </c>
      <c r="AI22" s="19" t="str">
        <f>IF(VLOOKUP(C22,ANTIGÜEDAD!A:AG,33,0)="Entregado","Vigente",IF(VLOOKUP(C22,ANTIGÜEDAD!A:AG,33,0)="Liquidado","Desertor sin mora",""))</f>
        <v>Vigente</v>
      </c>
      <c r="AJ22" s="98" t="str">
        <f t="shared" si="4"/>
        <v>000013201</v>
      </c>
    </row>
    <row r="23" spans="1:36" x14ac:dyDescent="0.3">
      <c r="A23" s="19" t="str">
        <f>VLOOKUP(C23,ANTIGÜEDAD!A:BJ,4,FALSE)</f>
        <v>IRVIN URIEL MORA VELAZCO</v>
      </c>
      <c r="B23" s="19" t="str">
        <f>IFERROR(VLOOKUP(ANTIGÜEDAD!F22,'Parche Promotores'!A:B,2,0),ANTIGÜEDAD!F22)</f>
        <v>Lopez Garcia Nahum Antonio</v>
      </c>
      <c r="C23" s="6" t="str">
        <f>TEXT(ANTIGÜEDAD!I22,"000000")</f>
        <v>000031</v>
      </c>
      <c r="D23" s="6" t="str">
        <f>ANTIGÜEDAD!K22</f>
        <v>NUEVA LUZ</v>
      </c>
      <c r="E23" s="29" t="str">
        <f>IFERROR(VLOOKUP(C23,'SITUACIÓN DE CARTERA'!A:AR,12,FALSE),VLOOKUP(C23,ANTIGÜEDAD!A:J,10,0))</f>
        <v>01</v>
      </c>
      <c r="F23" s="30">
        <f>VLOOKUP(C23,ANTIGÜEDAD!A:BE,17,FALSE)</f>
        <v>77000</v>
      </c>
      <c r="G23" s="30" t="str">
        <f>VLOOKUP(C23,ANTIGÜEDAD!A:BE,12,FALSE)</f>
        <v>MIGRADO</v>
      </c>
      <c r="H23" s="31">
        <f>VLOOKUP(C23,ANTIGÜEDAD!A:BE,14,FALSE)</f>
        <v>45891</v>
      </c>
      <c r="I23" s="19">
        <f>VLOOKUP(C23,ANTIGÜEDAD!A:BE,19,FALSE)</f>
        <v>16</v>
      </c>
      <c r="J23" s="31" t="str">
        <f>VLOOKUP(C23,ANTIGÜEDAD!A:BE,56,FALSE)</f>
        <v>Viernes</v>
      </c>
      <c r="K23" s="32" t="str">
        <f>VLOOKUP(C23,ANTIGÜEDAD!A:BE,57,FALSE)</f>
        <v>12:00</v>
      </c>
      <c r="L23" s="19" t="str">
        <f>VLOOKUP(C23,ANTIGÜEDAD!A:BE,20,FALSE)</f>
        <v>Semanal</v>
      </c>
      <c r="M23" s="30">
        <f>VLOOKUP(C23,ANTIGÜEDAD!A:BE,21,FALSE)</f>
        <v>5852.05</v>
      </c>
      <c r="N23" s="33" t="str">
        <f>IFERROR(VLOOKUP(C23,'Reporte de cobranza'!G:BL,34,FALSE),"")</f>
        <v>07/11/2025</v>
      </c>
      <c r="O23" s="30">
        <f>IF(AI23="Desertor sin mora",0,VLOOKUP(C23,ANTIGÜEDAD!A:BJ,44,FALSE))</f>
        <v>35132.82</v>
      </c>
      <c r="P23" s="30">
        <f t="shared" si="5"/>
        <v>93632.8</v>
      </c>
      <c r="Q23" s="30">
        <f t="shared" ca="1" si="1"/>
        <v>35132.82</v>
      </c>
      <c r="R23" s="30">
        <f>IF(AI23="Desertor sin mora",0,VLOOKUP(C23,ANTIGÜEDAD!A:BJ,26,FALSE))</f>
        <v>28895.510000000002</v>
      </c>
      <c r="S23" s="30">
        <f t="shared" ca="1" si="6"/>
        <v>0</v>
      </c>
      <c r="T23" s="30">
        <f>IF(V23&gt;0,IF(VLOOKUP(TEXT(C23,"000000"),Ahorros_concentrado!B:D,3,0)+F23*0.1&gt;V23,V23,VLOOKUP(TEXT(C23,"000000"),Ahorros_concentrado!B:D,3,0)+F23*0.1),0)</f>
        <v>20.51</v>
      </c>
      <c r="U23" s="30">
        <f t="shared" si="7"/>
        <v>0</v>
      </c>
      <c r="V23" s="30">
        <f>IF(AI23="Desertor sin mora",0,VLOOKUP(C23,'SITUACIÓN DE CARTERA'!A:AR,26,FALSE))</f>
        <v>20.51</v>
      </c>
      <c r="W23" s="134">
        <f>IF(AI23="Desertor sin mora",0,VLOOKUP(C23,'SITUACIÓN DE CARTERA'!A:AR,27,FALSE))/100</f>
        <v>7.0979885802327069E-4</v>
      </c>
      <c r="X23" s="30">
        <f>IF(V23&gt;0,VLOOKUP(C23,ANTIGÜEDAD!A:BE,26,FALSE),0)</f>
        <v>28895.510000000002</v>
      </c>
      <c r="Z23" s="34">
        <f>IF(AI23="Desertor sin mora",VLOOKUP(C23,ANTIGÜEDAD!A:Q,17,0)/AA23,F23/AA23)</f>
        <v>15400</v>
      </c>
      <c r="AA23" s="19">
        <f>IF(AI23="Desertor sin mora",VLOOKUP(C23,ANTIGÜEDAD!A:M,13,0),VLOOKUP(C23,'SITUACIÓN DE CARTERA'!A:AR,43,FALSE))</f>
        <v>5</v>
      </c>
      <c r="AB23" s="19">
        <f t="shared" ca="1" si="2"/>
        <v>10</v>
      </c>
      <c r="AC23" s="42">
        <f>IF(AI23="Desertor sin mora",0,(VLOOKUP(C23,'SITUACIÓN DE CARTERA'!A:AS,45,FALSE))/M23)</f>
        <v>9.9964969540588342</v>
      </c>
      <c r="AD23" s="19">
        <f>IF(AI23="Desertor sin mora",0,VLOOKUP(C23,'Reporte de cobranza'!G:BL,35,FALSE))</f>
        <v>6</v>
      </c>
      <c r="AE23" s="19">
        <f>IF(AI23="Desertor sin mora",I23,VLOOKUP(C23,'Reporte de cobranza'!G:BL,36,FALSE))</f>
        <v>16</v>
      </c>
      <c r="AF23" s="19">
        <f>VLOOKUP(C23,ANTIGÜEDAD!A:BE,18,FALSE)</f>
        <v>0</v>
      </c>
      <c r="AG23" s="30">
        <f>IFERROR(VLOOKUP(C23,Ahorros_concentrado!B:D,3,FALSE),0)</f>
        <v>3488</v>
      </c>
      <c r="AH23" s="43">
        <f t="shared" ca="1" si="3"/>
        <v>5.9603045086764464E-2</v>
      </c>
      <c r="AI23" s="19" t="str">
        <f>IF(VLOOKUP(C23,ANTIGÜEDAD!A:AG,33,0)="Entregado","Vigente",IF(VLOOKUP(C23,ANTIGÜEDAD!A:AG,33,0)="Liquidado","Desertor sin mora",""))</f>
        <v>Vigente</v>
      </c>
      <c r="AJ23" s="98" t="str">
        <f t="shared" si="4"/>
        <v>000003101</v>
      </c>
    </row>
    <row r="24" spans="1:36" x14ac:dyDescent="0.3">
      <c r="A24" s="19" t="str">
        <f>VLOOKUP(C24,ANTIGÜEDAD!A:BJ,4,FALSE)</f>
        <v>JUDITH PATRICIA SERRANO HERRER</v>
      </c>
      <c r="B24" s="19" t="str">
        <f>IFERROR(VLOOKUP(ANTIGÜEDAD!F23,'Parche Promotores'!A:B,2,0),ANTIGÜEDAD!F23)</f>
        <v>Becerril Aguirre Jonathan</v>
      </c>
      <c r="C24" s="6" t="str">
        <f>TEXT(ANTIGÜEDAD!I23,"000000")</f>
        <v>000111</v>
      </c>
      <c r="D24" s="6" t="str">
        <f>ANTIGÜEDAD!K23</f>
        <v>SANTA MARIA</v>
      </c>
      <c r="E24" s="29" t="str">
        <f>IFERROR(VLOOKUP(C24,'SITUACIÓN DE CARTERA'!A:AR,12,FALSE),VLOOKUP(C24,ANTIGÜEDAD!A:J,10,0))</f>
        <v>01</v>
      </c>
      <c r="F24" s="30">
        <f>VLOOKUP(C24,ANTIGÜEDAD!A:BE,17,FALSE)</f>
        <v>66000</v>
      </c>
      <c r="G24" s="30" t="str">
        <f>VLOOKUP(C24,ANTIGÜEDAD!A:BE,12,FALSE)</f>
        <v>MIGRADO</v>
      </c>
      <c r="H24" s="31">
        <f>VLOOKUP(C24,ANTIGÜEDAD!A:BE,14,FALSE)</f>
        <v>45925</v>
      </c>
      <c r="I24" s="19">
        <f>VLOOKUP(C24,ANTIGÜEDAD!A:BE,19,FALSE)</f>
        <v>16</v>
      </c>
      <c r="J24" s="31" t="str">
        <f>VLOOKUP(C24,ANTIGÜEDAD!A:BE,56,FALSE)</f>
        <v>Jueves</v>
      </c>
      <c r="K24" s="32" t="str">
        <f>VLOOKUP(C24,ANTIGÜEDAD!A:BE,57,FALSE)</f>
        <v>10:00</v>
      </c>
      <c r="L24" s="19" t="str">
        <f>VLOOKUP(C24,ANTIGÜEDAD!A:BE,20,FALSE)</f>
        <v>Semanal</v>
      </c>
      <c r="M24" s="30">
        <f>VLOOKUP(C24,ANTIGÜEDAD!A:BE,21,FALSE)</f>
        <v>5016.04</v>
      </c>
      <c r="N24" s="33" t="str">
        <f>IFERROR(VLOOKUP(C24,'Reporte de cobranza'!G:BL,34,FALSE),"")</f>
        <v>06/11/2025</v>
      </c>
      <c r="O24" s="30">
        <f>IF(AI24="Desertor sin mora",0,VLOOKUP(C24,ANTIGÜEDAD!A:BJ,44,FALSE))</f>
        <v>55176.700000000004</v>
      </c>
      <c r="P24" s="30">
        <f t="shared" si="5"/>
        <v>80256.639999999999</v>
      </c>
      <c r="Q24" s="30">
        <f t="shared" ca="1" si="1"/>
        <v>55176.700000000004</v>
      </c>
      <c r="R24" s="30">
        <f>IF(AI24="Desertor sin mora",0,VLOOKUP(C24,ANTIGÜEDAD!A:BJ,26,FALSE))</f>
        <v>45375.21</v>
      </c>
      <c r="S24" s="30">
        <f t="shared" ca="1" si="6"/>
        <v>0</v>
      </c>
      <c r="T24" s="30">
        <f>IF(V24&gt;0,IF(VLOOKUP(TEXT(C24,"000000"),Ahorros_concentrado!B:D,3,0)+F24*0.1&gt;V24,V24,VLOOKUP(TEXT(C24,"000000"),Ahorros_concentrado!B:D,3,0)+F24*0.1),0)</f>
        <v>0</v>
      </c>
      <c r="U24" s="30">
        <f t="shared" si="7"/>
        <v>0</v>
      </c>
      <c r="V24" s="30">
        <f>IF(AI24="Desertor sin mora",0,VLOOKUP(C24,'SITUACIÓN DE CARTERA'!A:AR,26,FALSE))</f>
        <v>0</v>
      </c>
      <c r="W24" s="134">
        <f>IF(AI24="Desertor sin mora",0,VLOOKUP(C24,'SITUACIÓN DE CARTERA'!A:AR,27,FALSE))/100</f>
        <v>0</v>
      </c>
      <c r="X24" s="30">
        <f>IF(V24&gt;0,VLOOKUP(C24,ANTIGÜEDAD!A:BE,26,FALSE),0)</f>
        <v>0</v>
      </c>
      <c r="Z24" s="34">
        <f>IF(AI24="Desertor sin mora",VLOOKUP(C24,ANTIGÜEDAD!A:Q,17,0)/AA24,F24/AA24)</f>
        <v>11000</v>
      </c>
      <c r="AA24" s="19">
        <f>IF(AI24="Desertor sin mora",VLOOKUP(C24,ANTIGÜEDAD!A:M,13,0),VLOOKUP(C24,'SITUACIÓN DE CARTERA'!A:AR,43,FALSE))</f>
        <v>6</v>
      </c>
      <c r="AB24" s="19">
        <f t="shared" ca="1" si="2"/>
        <v>5</v>
      </c>
      <c r="AC24" s="42">
        <f>IF(AI24="Desertor sin mora",0,(VLOOKUP(C24,'SITUACIÓN DE CARTERA'!A:AS,45,FALSE))/M24)</f>
        <v>4.9999601279096657</v>
      </c>
      <c r="AD24" s="19">
        <f>IF(AI24="Desertor sin mora",0,VLOOKUP(C24,'Reporte de cobranza'!G:BL,35,FALSE))</f>
        <v>11</v>
      </c>
      <c r="AE24" s="19">
        <f>IF(AI24="Desertor sin mora",I24,VLOOKUP(C24,'Reporte de cobranza'!G:BL,36,FALSE))</f>
        <v>16</v>
      </c>
      <c r="AF24" s="19">
        <f>VLOOKUP(C24,ANTIGÜEDAD!A:BE,18,FALSE)</f>
        <v>0</v>
      </c>
      <c r="AG24" s="30">
        <f>IFERROR(VLOOKUP(C24,Ahorros_concentrado!B:D,3,FALSE),0)</f>
        <v>2630</v>
      </c>
      <c r="AH24" s="43">
        <f t="shared" ca="1" si="3"/>
        <v>0.10486359757896668</v>
      </c>
      <c r="AI24" s="19" t="str">
        <f>IF(VLOOKUP(C24,ANTIGÜEDAD!A:AG,33,0)="Entregado","Vigente",IF(VLOOKUP(C24,ANTIGÜEDAD!A:AG,33,0)="Liquidado","Desertor sin mora",""))</f>
        <v>Vigente</v>
      </c>
      <c r="AJ24" s="98" t="str">
        <f t="shared" si="4"/>
        <v>000011101</v>
      </c>
    </row>
    <row r="25" spans="1:36" x14ac:dyDescent="0.3">
      <c r="A25" s="19" t="str">
        <f>VLOOKUP(C25,ANTIGÜEDAD!A:BJ,4,FALSE)</f>
        <v>IRVIN URIEL MORA VELAZCO</v>
      </c>
      <c r="B25" s="19" t="str">
        <f>IFERROR(VLOOKUP(ANTIGÜEDAD!F24,'Parche Promotores'!A:B,2,0),ANTIGÜEDAD!F24)</f>
        <v>Flores Mendez Veronica</v>
      </c>
      <c r="C25" s="6" t="str">
        <f>TEXT(ANTIGÜEDAD!I24,"000000")</f>
        <v>000026</v>
      </c>
      <c r="D25" s="6" t="str">
        <f>ANTIGÜEDAD!K24</f>
        <v>ANDROMEDA</v>
      </c>
      <c r="E25" s="29" t="str">
        <f>IFERROR(VLOOKUP(C25,'SITUACIÓN DE CARTERA'!A:AR,12,FALSE),VLOOKUP(C25,ANTIGÜEDAD!A:J,10,0))</f>
        <v>01</v>
      </c>
      <c r="F25" s="30">
        <f>VLOOKUP(C25,ANTIGÜEDAD!A:BE,17,FALSE)</f>
        <v>77000</v>
      </c>
      <c r="G25" s="30" t="str">
        <f>VLOOKUP(C25,ANTIGÜEDAD!A:BE,12,FALSE)</f>
        <v>MIGRADO</v>
      </c>
      <c r="H25" s="31">
        <f>VLOOKUP(C25,ANTIGÜEDAD!A:BE,14,FALSE)</f>
        <v>45890</v>
      </c>
      <c r="I25" s="19">
        <f>VLOOKUP(C25,ANTIGÜEDAD!A:BE,19,FALSE)</f>
        <v>16</v>
      </c>
      <c r="J25" s="31" t="str">
        <f>VLOOKUP(C25,ANTIGÜEDAD!A:BE,56,FALSE)</f>
        <v>Jueves</v>
      </c>
      <c r="K25" s="32" t="str">
        <f>VLOOKUP(C25,ANTIGÜEDAD!A:BE,57,FALSE)</f>
        <v>14:00</v>
      </c>
      <c r="L25" s="19" t="str">
        <f>VLOOKUP(C25,ANTIGÜEDAD!A:BE,20,FALSE)</f>
        <v>Semanal</v>
      </c>
      <c r="M25" s="30">
        <f>VLOOKUP(C25,ANTIGÜEDAD!A:BE,21,FALSE)</f>
        <v>5852.05</v>
      </c>
      <c r="N25" s="33" t="str">
        <f>IFERROR(VLOOKUP(C25,'Reporte de cobranza'!G:BL,34,FALSE),"")</f>
        <v>06/11/2025</v>
      </c>
      <c r="O25" s="30">
        <f>IF(AI25="Desertor sin mora",0,VLOOKUP(C25,ANTIGÜEDAD!A:BJ,44,FALSE))</f>
        <v>35112.770000000004</v>
      </c>
      <c r="P25" s="30">
        <f t="shared" si="5"/>
        <v>93632.8</v>
      </c>
      <c r="Q25" s="30">
        <f t="shared" ca="1" si="1"/>
        <v>35112.770000000004</v>
      </c>
      <c r="R25" s="30">
        <f>IF(AI25="Desertor sin mora",0,VLOOKUP(C25,ANTIGÜEDAD!A:BJ,26,FALSE))</f>
        <v>28875.48</v>
      </c>
      <c r="S25" s="30">
        <f t="shared" ca="1" si="6"/>
        <v>0</v>
      </c>
      <c r="T25" s="30">
        <f>IF(V25&gt;0,IF(VLOOKUP(TEXT(C25,"000000"),Ahorros_concentrado!B:D,3,0)+F25*0.1&gt;V25,V25,VLOOKUP(TEXT(C25,"000000"),Ahorros_concentrado!B:D,3,0)+F25*0.1),0)</f>
        <v>0</v>
      </c>
      <c r="U25" s="30">
        <f t="shared" si="7"/>
        <v>0</v>
      </c>
      <c r="V25" s="30">
        <f>IF(AI25="Desertor sin mora",0,VLOOKUP(C25,'SITUACIÓN DE CARTERA'!A:AR,26,FALSE))</f>
        <v>0</v>
      </c>
      <c r="W25" s="134">
        <f>IF(AI25="Desertor sin mora",0,VLOOKUP(C25,'SITUACIÓN DE CARTERA'!A:AR,27,FALSE))/100</f>
        <v>0</v>
      </c>
      <c r="X25" s="30">
        <f>IF(V25&gt;0,VLOOKUP(C25,ANTIGÜEDAD!A:BE,26,FALSE),0)</f>
        <v>0</v>
      </c>
      <c r="Z25" s="34">
        <f>IF(AI25="Desertor sin mora",VLOOKUP(C25,ANTIGÜEDAD!A:Q,17,0)/AA25,F25/AA25)</f>
        <v>15400</v>
      </c>
      <c r="AA25" s="19">
        <f>IF(AI25="Desertor sin mora",VLOOKUP(C25,ANTIGÜEDAD!A:M,13,0),VLOOKUP(C25,'SITUACIÓN DE CARTERA'!A:AR,43,FALSE))</f>
        <v>5</v>
      </c>
      <c r="AB25" s="19">
        <f t="shared" ca="1" si="2"/>
        <v>10</v>
      </c>
      <c r="AC25" s="42">
        <f>IF(AI25="Desertor sin mora",0,(VLOOKUP(C25,'SITUACIÓN DE CARTERA'!A:AS,45,FALSE))/M25)</f>
        <v>9.9999231038695839</v>
      </c>
      <c r="AD25" s="19">
        <f>IF(AI25="Desertor sin mora",0,VLOOKUP(C25,'Reporte de cobranza'!G:BL,35,FALSE))</f>
        <v>6</v>
      </c>
      <c r="AE25" s="19">
        <f>IF(AI25="Desertor sin mora",I25,VLOOKUP(C25,'Reporte de cobranza'!G:BL,36,FALSE))</f>
        <v>16</v>
      </c>
      <c r="AF25" s="19">
        <f>VLOOKUP(C25,ANTIGÜEDAD!A:BE,18,FALSE)</f>
        <v>0</v>
      </c>
      <c r="AG25" s="30">
        <f>IFERROR(VLOOKUP(C25,Ahorros_concentrado!B:D,3,FALSE),0)</f>
        <v>3694</v>
      </c>
      <c r="AH25" s="43">
        <f t="shared" ca="1" si="3"/>
        <v>6.3123179056911685E-2</v>
      </c>
      <c r="AI25" s="19" t="str">
        <f>IF(VLOOKUP(C25,ANTIGÜEDAD!A:AG,33,0)="Entregado","Vigente",IF(VLOOKUP(C25,ANTIGÜEDAD!A:AG,33,0)="Liquidado","Desertor sin mora",""))</f>
        <v>Vigente</v>
      </c>
      <c r="AJ25" s="98" t="str">
        <f t="shared" si="4"/>
        <v>000002601</v>
      </c>
    </row>
    <row r="26" spans="1:36" x14ac:dyDescent="0.3">
      <c r="A26" s="19" t="str">
        <f>VLOOKUP(C26,ANTIGÜEDAD!A:BJ,4,FALSE)</f>
        <v>JUAN EDMUNDO LUNA AGUILLON</v>
      </c>
      <c r="B26" s="19" t="str">
        <f>IFERROR(VLOOKUP(ANTIGÜEDAD!F25,'Parche Promotores'!A:B,2,0),ANTIGÜEDAD!F25)</f>
        <v>Sanchez Posada Jose Olimpo</v>
      </c>
      <c r="C26" s="6" t="str">
        <f>TEXT(ANTIGÜEDAD!I25,"000000")</f>
        <v>000095</v>
      </c>
      <c r="D26" s="6" t="str">
        <f>ANTIGÜEDAD!K25</f>
        <v>JARDINES</v>
      </c>
      <c r="E26" s="29" t="str">
        <f>IFERROR(VLOOKUP(C26,'SITUACIÓN DE CARTERA'!A:AR,12,FALSE),VLOOKUP(C26,ANTIGÜEDAD!A:J,10,0))</f>
        <v>01</v>
      </c>
      <c r="F26" s="30">
        <f>VLOOKUP(C26,ANTIGÜEDAD!A:BE,17,FALSE)</f>
        <v>55000</v>
      </c>
      <c r="G26" s="30" t="str">
        <f>VLOOKUP(C26,ANTIGÜEDAD!A:BE,12,FALSE)</f>
        <v>MIGRADO</v>
      </c>
      <c r="H26" s="31">
        <f>VLOOKUP(C26,ANTIGÜEDAD!A:BE,14,FALSE)</f>
        <v>45919</v>
      </c>
      <c r="I26" s="19">
        <f>VLOOKUP(C26,ANTIGÜEDAD!A:BE,19,FALSE)</f>
        <v>16</v>
      </c>
      <c r="J26" s="31" t="str">
        <f>VLOOKUP(C26,ANTIGÜEDAD!A:BE,56,FALSE)</f>
        <v>Viernes</v>
      </c>
      <c r="K26" s="32" t="str">
        <f>VLOOKUP(C26,ANTIGÜEDAD!A:BE,57,FALSE)</f>
        <v>11:00</v>
      </c>
      <c r="L26" s="19" t="str">
        <f>VLOOKUP(C26,ANTIGÜEDAD!A:BE,20,FALSE)</f>
        <v>Semanal</v>
      </c>
      <c r="M26" s="30">
        <f>VLOOKUP(C26,ANTIGÜEDAD!A:BE,21,FALSE)</f>
        <v>4180.04</v>
      </c>
      <c r="N26" s="33" t="str">
        <f>IFERROR(VLOOKUP(C26,'Reporte de cobranza'!G:BL,34,FALSE),"")</f>
        <v>07/11/2025</v>
      </c>
      <c r="O26" s="30">
        <f>IF(AI26="Desertor sin mora",0,VLOOKUP(C26,ANTIGÜEDAD!A:BJ,44,FALSE))</f>
        <v>41800.35</v>
      </c>
      <c r="P26" s="30">
        <f t="shared" si="5"/>
        <v>66880.639999999999</v>
      </c>
      <c r="Q26" s="30">
        <f t="shared" ca="1" si="1"/>
        <v>41800.400000000001</v>
      </c>
      <c r="R26" s="30">
        <f>IF(AI26="Desertor sin mora",0,VLOOKUP(C26,ANTIGÜEDAD!A:BJ,26,FALSE))</f>
        <v>34375.01</v>
      </c>
      <c r="S26" s="30">
        <f t="shared" ca="1" si="6"/>
        <v>-5.0000000002910383E-2</v>
      </c>
      <c r="T26" s="30">
        <f>IF(V26&gt;0,IF(VLOOKUP(TEXT(C26,"000000"),Ahorros_concentrado!B:D,3,0)+F26*0.1&gt;V26,V26,VLOOKUP(TEXT(C26,"000000"),Ahorros_concentrado!B:D,3,0)+F26*0.1),0)</f>
        <v>0</v>
      </c>
      <c r="U26" s="30">
        <f t="shared" si="7"/>
        <v>0</v>
      </c>
      <c r="V26" s="30">
        <f>IF(AI26="Desertor sin mora",0,VLOOKUP(C26,'SITUACIÓN DE CARTERA'!A:AR,26,FALSE))</f>
        <v>0</v>
      </c>
      <c r="W26" s="134">
        <f>IF(AI26="Desertor sin mora",0,VLOOKUP(C26,'SITUACIÓN DE CARTERA'!A:AR,27,FALSE))/100</f>
        <v>0</v>
      </c>
      <c r="X26" s="30">
        <f>IF(V26&gt;0,VLOOKUP(C26,ANTIGÜEDAD!A:BE,26,FALSE),0)</f>
        <v>0</v>
      </c>
      <c r="Z26" s="34">
        <f>IF(AI26="Desertor sin mora",VLOOKUP(C26,ANTIGÜEDAD!A:Q,17,0)/AA26,F26/AA26)</f>
        <v>11000</v>
      </c>
      <c r="AA26" s="19">
        <f>IF(AI26="Desertor sin mora",VLOOKUP(C26,ANTIGÜEDAD!A:M,13,0),VLOOKUP(C26,'SITUACIÓN DE CARTERA'!A:AR,43,FALSE))</f>
        <v>5</v>
      </c>
      <c r="AB26" s="19">
        <f t="shared" ca="1" si="2"/>
        <v>6</v>
      </c>
      <c r="AC26" s="42">
        <f>IF(AI26="Desertor sin mora",0,(VLOOKUP(C26,'SITUACIÓN DE CARTERA'!A:AS,45,FALSE))/M26)</f>
        <v>6</v>
      </c>
      <c r="AD26" s="19">
        <f>IF(AI26="Desertor sin mora",0,VLOOKUP(C26,'Reporte de cobranza'!G:BL,35,FALSE))</f>
        <v>10</v>
      </c>
      <c r="AE26" s="19">
        <f>IF(AI26="Desertor sin mora",I26,VLOOKUP(C26,'Reporte de cobranza'!G:BL,36,FALSE))</f>
        <v>16</v>
      </c>
      <c r="AF26" s="19">
        <f>VLOOKUP(C26,ANTIGÜEDAD!A:BE,18,FALSE)</f>
        <v>0</v>
      </c>
      <c r="AG26" s="30">
        <f>IFERROR(VLOOKUP(C26,Ahorros_concentrado!B:D,3,FALSE),0)</f>
        <v>1835.7600000000002</v>
      </c>
      <c r="AH26" s="43">
        <f t="shared" ca="1" si="3"/>
        <v>7.3195471813666868E-2</v>
      </c>
      <c r="AI26" s="19" t="str">
        <f>IF(VLOOKUP(C26,ANTIGÜEDAD!A:AG,33,0)="Entregado","Vigente",IF(VLOOKUP(C26,ANTIGÜEDAD!A:AG,33,0)="Liquidado","Desertor sin mora",""))</f>
        <v>Vigente</v>
      </c>
      <c r="AJ26" s="98" t="str">
        <f t="shared" si="4"/>
        <v>000009501</v>
      </c>
    </row>
    <row r="27" spans="1:36" x14ac:dyDescent="0.3">
      <c r="A27" s="19" t="str">
        <f>VLOOKUP(C27,ANTIGÜEDAD!A:BJ,4,FALSE)</f>
        <v>IRVIN URIEL MORA VELAZCO</v>
      </c>
      <c r="B27" s="19" t="str">
        <f>IFERROR(VLOOKUP(ANTIGÜEDAD!F26,'Parche Promotores'!A:B,2,0),ANTIGÜEDAD!F26)</f>
        <v>Olivares Morales Josue Edgar</v>
      </c>
      <c r="C27" s="6" t="str">
        <f>TEXT(ANTIGÜEDAD!I26,"000000")</f>
        <v>000098</v>
      </c>
      <c r="D27" s="6" t="str">
        <f>ANTIGÜEDAD!K26</f>
        <v>FORTALEZA</v>
      </c>
      <c r="E27" s="29" t="str">
        <f>IFERROR(VLOOKUP(C27,'SITUACIÓN DE CARTERA'!A:AR,12,FALSE),VLOOKUP(C27,ANTIGÜEDAD!A:J,10,0))</f>
        <v>01</v>
      </c>
      <c r="F27" s="30">
        <f>VLOOKUP(C27,ANTIGÜEDAD!A:BE,17,FALSE)</f>
        <v>63000</v>
      </c>
      <c r="G27" s="30" t="str">
        <f>VLOOKUP(C27,ANTIGÜEDAD!A:BE,12,FALSE)</f>
        <v>MIGRADO</v>
      </c>
      <c r="H27" s="31">
        <f>VLOOKUP(C27,ANTIGÜEDAD!A:BE,14,FALSE)</f>
        <v>45923</v>
      </c>
      <c r="I27" s="19">
        <f>VLOOKUP(C27,ANTIGÜEDAD!A:BE,19,FALSE)</f>
        <v>16</v>
      </c>
      <c r="J27" s="31" t="str">
        <f>VLOOKUP(C27,ANTIGÜEDAD!A:BE,56,FALSE)</f>
        <v>Martes</v>
      </c>
      <c r="K27" s="32" t="str">
        <f>VLOOKUP(C27,ANTIGÜEDAD!A:BE,57,FALSE)</f>
        <v>10:30</v>
      </c>
      <c r="L27" s="19" t="str">
        <f>VLOOKUP(C27,ANTIGÜEDAD!A:BE,20,FALSE)</f>
        <v>Semanal</v>
      </c>
      <c r="M27" s="30">
        <f>VLOOKUP(C27,ANTIGÜEDAD!A:BE,21,FALSE)</f>
        <v>4788.04</v>
      </c>
      <c r="N27" s="33" t="str">
        <f>IFERROR(VLOOKUP(C27,'Reporte de cobranza'!G:BL,34,FALSE),"")</f>
        <v>04/11/2025</v>
      </c>
      <c r="O27" s="30">
        <f>IF(AI27="Desertor sin mora",0,VLOOKUP(C27,ANTIGÜEDAD!A:BJ,44,FALSE))</f>
        <v>52663.67</v>
      </c>
      <c r="P27" s="30">
        <f t="shared" si="5"/>
        <v>76608.639999999999</v>
      </c>
      <c r="Q27" s="30">
        <f t="shared" ca="1" si="1"/>
        <v>52668.44</v>
      </c>
      <c r="R27" s="30">
        <f>IF(AI27="Desertor sin mora",0,VLOOKUP(C27,ANTIGÜEDAD!A:BJ,26,FALSE))</f>
        <v>43312.5</v>
      </c>
      <c r="S27" s="30">
        <f t="shared" ca="1" si="6"/>
        <v>-4.7700000000040745</v>
      </c>
      <c r="T27" s="30">
        <f>IF(V27&gt;0,IF(VLOOKUP(TEXT(C27,"000000"),Ahorros_concentrado!B:D,3,0)+F27*0.1&gt;V27,V27,VLOOKUP(TEXT(C27,"000000"),Ahorros_concentrado!B:D,3,0)+F27*0.1),0)</f>
        <v>0</v>
      </c>
      <c r="U27" s="30">
        <f t="shared" si="7"/>
        <v>0</v>
      </c>
      <c r="V27" s="30">
        <f>IF(AI27="Desertor sin mora",0,VLOOKUP(C27,'SITUACIÓN DE CARTERA'!A:AR,26,FALSE))</f>
        <v>0</v>
      </c>
      <c r="W27" s="134">
        <f>IF(AI27="Desertor sin mora",0,VLOOKUP(C27,'SITUACIÓN DE CARTERA'!A:AR,27,FALSE))/100</f>
        <v>0</v>
      </c>
      <c r="X27" s="30">
        <f>IF(V27&gt;0,VLOOKUP(C27,ANTIGÜEDAD!A:BE,26,FALSE),0)</f>
        <v>0</v>
      </c>
      <c r="Z27" s="34">
        <f>IF(AI27="Desertor sin mora",VLOOKUP(C27,ANTIGÜEDAD!A:Q,17,0)/AA27,F27/AA27)</f>
        <v>12600</v>
      </c>
      <c r="AA27" s="19">
        <f>IF(AI27="Desertor sin mora",VLOOKUP(C27,ANTIGÜEDAD!A:M,13,0),VLOOKUP(C27,'SITUACIÓN DE CARTERA'!A:AR,43,FALSE))</f>
        <v>5</v>
      </c>
      <c r="AB27" s="19">
        <f t="shared" ca="1" si="2"/>
        <v>5</v>
      </c>
      <c r="AC27" s="42">
        <f>IF(AI27="Desertor sin mora",0,(VLOOKUP(C27,'SITUACIÓN DE CARTERA'!A:AS,45,FALSE))/M27)</f>
        <v>5.0010024978905774</v>
      </c>
      <c r="AD27" s="19">
        <f>IF(AI27="Desertor sin mora",0,VLOOKUP(C27,'Reporte de cobranza'!G:BL,35,FALSE))</f>
        <v>11</v>
      </c>
      <c r="AE27" s="19">
        <f>IF(AI27="Desertor sin mora",I27,VLOOKUP(C27,'Reporte de cobranza'!G:BL,36,FALSE))</f>
        <v>16</v>
      </c>
      <c r="AF27" s="19">
        <f>VLOOKUP(C27,ANTIGÜEDAD!A:BE,18,FALSE)</f>
        <v>0</v>
      </c>
      <c r="AG27" s="30">
        <f>IFERROR(VLOOKUP(C27,Ahorros_concentrado!B:D,3,FALSE),0)</f>
        <v>1745</v>
      </c>
      <c r="AH27" s="43">
        <f t="shared" ca="1" si="3"/>
        <v>7.2889950794061881E-2</v>
      </c>
      <c r="AI27" s="19" t="str">
        <f>IF(VLOOKUP(C27,ANTIGÜEDAD!A:AG,33,0)="Entregado","Vigente",IF(VLOOKUP(C27,ANTIGÜEDAD!A:AG,33,0)="Liquidado","Desertor sin mora",""))</f>
        <v>Vigente</v>
      </c>
      <c r="AJ27" s="98" t="str">
        <f t="shared" si="4"/>
        <v>000009801</v>
      </c>
    </row>
    <row r="28" spans="1:36" x14ac:dyDescent="0.3">
      <c r="A28" s="19" t="str">
        <f>VLOOKUP(C28,ANTIGÜEDAD!A:BJ,4,FALSE)</f>
        <v>ADRIANA ALEJALDRE GUZMAN</v>
      </c>
      <c r="B28" s="19" t="str">
        <f>IFERROR(VLOOKUP(ANTIGÜEDAD!F27,'Parche Promotores'!A:B,2,0),ANTIGÜEDAD!F27)</f>
        <v>Contreras Martinez Jose Luis</v>
      </c>
      <c r="C28" s="6" t="str">
        <f>TEXT(ANTIGÜEDAD!I27,"000000")</f>
        <v>000036</v>
      </c>
      <c r="D28" s="6" t="str">
        <f>ANTIGÜEDAD!K27</f>
        <v>GARDENIAS</v>
      </c>
      <c r="E28" s="29" t="str">
        <f>IFERROR(VLOOKUP(C28,'SITUACIÓN DE CARTERA'!A:AR,12,FALSE),VLOOKUP(C28,ANTIGÜEDAD!A:J,10,0))</f>
        <v>01</v>
      </c>
      <c r="F28" s="30">
        <f>VLOOKUP(C28,ANTIGÜEDAD!A:BE,17,FALSE)</f>
        <v>146000</v>
      </c>
      <c r="G28" s="30" t="str">
        <f>VLOOKUP(C28,ANTIGÜEDAD!A:BE,12,FALSE)</f>
        <v>MIGRADO</v>
      </c>
      <c r="H28" s="31">
        <f>VLOOKUP(C28,ANTIGÜEDAD!A:BE,14,FALSE)</f>
        <v>45894</v>
      </c>
      <c r="I28" s="19">
        <f>VLOOKUP(C28,ANTIGÜEDAD!A:BE,19,FALSE)</f>
        <v>16</v>
      </c>
      <c r="J28" s="31" t="str">
        <f>VLOOKUP(C28,ANTIGÜEDAD!A:BE,56,FALSE)</f>
        <v>Lunes</v>
      </c>
      <c r="K28" s="32" t="str">
        <f>VLOOKUP(C28,ANTIGÜEDAD!A:BE,57,FALSE)</f>
        <v>10:00</v>
      </c>
      <c r="L28" s="19" t="str">
        <f>VLOOKUP(C28,ANTIGÜEDAD!A:BE,20,FALSE)</f>
        <v>Semanal</v>
      </c>
      <c r="M28" s="30">
        <f>VLOOKUP(C28,ANTIGÜEDAD!A:BE,21,FALSE)</f>
        <v>11096.1</v>
      </c>
      <c r="N28" s="33" t="str">
        <f>IFERROR(VLOOKUP(C28,'Reporte de cobranza'!G:BL,34,FALSE),"")</f>
        <v>03/11/2025</v>
      </c>
      <c r="O28" s="30">
        <f>IF(AI28="Desertor sin mora",0,VLOOKUP(C28,ANTIGÜEDAD!A:BJ,44,FALSE))</f>
        <v>77671.680000000008</v>
      </c>
      <c r="P28" s="30">
        <f t="shared" si="5"/>
        <v>177537.6</v>
      </c>
      <c r="Q28" s="30">
        <f t="shared" ca="1" si="1"/>
        <v>77672.7</v>
      </c>
      <c r="R28" s="30">
        <f>IF(AI28="Desertor sin mora",0,VLOOKUP(C28,ANTIGÜEDAD!A:BJ,26,FALSE))</f>
        <v>63875</v>
      </c>
      <c r="S28" s="30">
        <f t="shared" ca="1" si="6"/>
        <v>-1.0199999999895226</v>
      </c>
      <c r="T28" s="30">
        <f>IF(V28&gt;0,IF(VLOOKUP(TEXT(C28,"000000"),Ahorros_concentrado!B:D,3,0)+F28*0.1&gt;V28,V28,VLOOKUP(TEXT(C28,"000000"),Ahorros_concentrado!B:D,3,0)+F28*0.1),0)</f>
        <v>0</v>
      </c>
      <c r="U28" s="30">
        <f t="shared" si="7"/>
        <v>0</v>
      </c>
      <c r="V28" s="30">
        <f>IF(AI28="Desertor sin mora",0,VLOOKUP(C28,'SITUACIÓN DE CARTERA'!A:AR,26,FALSE))</f>
        <v>0</v>
      </c>
      <c r="W28" s="134">
        <f>IF(AI28="Desertor sin mora",0,VLOOKUP(C28,'SITUACIÓN DE CARTERA'!A:AR,27,FALSE))/100</f>
        <v>0</v>
      </c>
      <c r="X28" s="30">
        <f>IF(V28&gt;0,VLOOKUP(C28,ANTIGÜEDAD!A:BE,26,FALSE),0)</f>
        <v>0</v>
      </c>
      <c r="Z28" s="34">
        <f>IF(AI28="Desertor sin mora",VLOOKUP(C28,ANTIGÜEDAD!A:Q,17,0)/AA28,F28/AA28)</f>
        <v>24333.333333333332</v>
      </c>
      <c r="AA28" s="19">
        <f>IF(AI28="Desertor sin mora",VLOOKUP(C28,ANTIGÜEDAD!A:M,13,0),VLOOKUP(C28,'SITUACIÓN DE CARTERA'!A:AR,43,FALSE))</f>
        <v>6</v>
      </c>
      <c r="AB28" s="19">
        <f t="shared" ca="1" si="2"/>
        <v>9</v>
      </c>
      <c r="AC28" s="42">
        <f>IF(AI28="Desertor sin mora",0,(VLOOKUP(C28,'SITUACIÓN DE CARTERA'!A:AS,45,FALSE))/M28)</f>
        <v>9.000088319319401</v>
      </c>
      <c r="AD28" s="19">
        <f>IF(AI28="Desertor sin mora",0,VLOOKUP(C28,'Reporte de cobranza'!G:BL,35,FALSE))</f>
        <v>7</v>
      </c>
      <c r="AE28" s="19">
        <f>IF(AI28="Desertor sin mora",I28,VLOOKUP(C28,'Reporte de cobranza'!G:BL,36,FALSE))</f>
        <v>16</v>
      </c>
      <c r="AF28" s="19">
        <f>VLOOKUP(C28,ANTIGÜEDAD!A:BE,18,FALSE)</f>
        <v>0</v>
      </c>
      <c r="AG28" s="30">
        <f>IFERROR(VLOOKUP(C28,Ahorros_concentrado!B:D,3,FALSE),0)</f>
        <v>0</v>
      </c>
      <c r="AH28" s="43">
        <f t="shared" ca="1" si="3"/>
        <v>0</v>
      </c>
      <c r="AI28" s="19" t="str">
        <f>IF(VLOOKUP(C28,ANTIGÜEDAD!A:AG,33,0)="Entregado","Vigente",IF(VLOOKUP(C28,ANTIGÜEDAD!A:AG,33,0)="Liquidado","Desertor sin mora",""))</f>
        <v>Vigente</v>
      </c>
      <c r="AJ28" s="98" t="str">
        <f t="shared" si="4"/>
        <v>000003601</v>
      </c>
    </row>
    <row r="29" spans="1:36" x14ac:dyDescent="0.3">
      <c r="A29" s="19" t="str">
        <f>VLOOKUP(C29,ANTIGÜEDAD!A:BJ,4,FALSE)</f>
        <v>ADRIANA ALEJALDRE GUZMAN</v>
      </c>
      <c r="B29" s="19" t="str">
        <f>IFERROR(VLOOKUP(ANTIGÜEDAD!F28,'Parche Promotores'!A:B,2,0),ANTIGÜEDAD!F28)</f>
        <v>Juarez Palma Ma Ines</v>
      </c>
      <c r="C29" s="6" t="str">
        <f>TEXT(ANTIGÜEDAD!I28,"000000")</f>
        <v>000081</v>
      </c>
      <c r="D29" s="6" t="str">
        <f>ANTIGÜEDAD!K28</f>
        <v>JACALONES</v>
      </c>
      <c r="E29" s="29" t="str">
        <f>IFERROR(VLOOKUP(C29,'SITUACIÓN DE CARTERA'!A:AR,12,FALSE),VLOOKUP(C29,ANTIGÜEDAD!A:J,10,0))</f>
        <v>01</v>
      </c>
      <c r="F29" s="30">
        <f>VLOOKUP(C29,ANTIGÜEDAD!A:BE,17,FALSE)</f>
        <v>152000</v>
      </c>
      <c r="G29" s="30" t="str">
        <f>VLOOKUP(C29,ANTIGÜEDAD!A:BE,12,FALSE)</f>
        <v>MIGRADO</v>
      </c>
      <c r="H29" s="31">
        <f>VLOOKUP(C29,ANTIGÜEDAD!A:BE,14,FALSE)</f>
        <v>45912</v>
      </c>
      <c r="I29" s="19">
        <f>VLOOKUP(C29,ANTIGÜEDAD!A:BE,19,FALSE)</f>
        <v>16</v>
      </c>
      <c r="J29" s="31" t="str">
        <f>VLOOKUP(C29,ANTIGÜEDAD!A:BE,56,FALSE)</f>
        <v>Viernes</v>
      </c>
      <c r="K29" s="32" t="str">
        <f>VLOOKUP(C29,ANTIGÜEDAD!A:BE,57,FALSE)</f>
        <v>14:00</v>
      </c>
      <c r="L29" s="19" t="str">
        <f>VLOOKUP(C29,ANTIGÜEDAD!A:BE,20,FALSE)</f>
        <v>Semanal</v>
      </c>
      <c r="M29" s="30">
        <f>VLOOKUP(C29,ANTIGÜEDAD!A:BE,21,FALSE)</f>
        <v>11552.1</v>
      </c>
      <c r="N29" s="33" t="str">
        <f>IFERROR(VLOOKUP(C29,'Reporte de cobranza'!G:BL,34,FALSE),"")</f>
        <v>07/11/2025</v>
      </c>
      <c r="O29" s="30">
        <f>IF(AI29="Desertor sin mora",0,VLOOKUP(C29,ANTIGÜEDAD!A:BJ,44,FALSE))</f>
        <v>103961.62</v>
      </c>
      <c r="P29" s="30">
        <f t="shared" si="5"/>
        <v>184833.6</v>
      </c>
      <c r="Q29" s="30">
        <f t="shared" ca="1" si="1"/>
        <v>103968.90000000001</v>
      </c>
      <c r="R29" s="30">
        <f>IF(AI29="Desertor sin mora",0,VLOOKUP(C29,ANTIGÜEDAD!A:BJ,26,FALSE))</f>
        <v>85500</v>
      </c>
      <c r="S29" s="30">
        <f t="shared" ca="1" si="6"/>
        <v>-7.2800000000133878</v>
      </c>
      <c r="T29" s="30">
        <f>IF(V29&gt;0,IF(VLOOKUP(TEXT(C29,"000000"),Ahorros_concentrado!B:D,3,0)+F29*0.1&gt;V29,V29,VLOOKUP(TEXT(C29,"000000"),Ahorros_concentrado!B:D,3,0)+F29*0.1),0)</f>
        <v>0</v>
      </c>
      <c r="U29" s="30">
        <f t="shared" si="7"/>
        <v>0</v>
      </c>
      <c r="V29" s="30">
        <f>IF(AI29="Desertor sin mora",0,VLOOKUP(C29,'SITUACIÓN DE CARTERA'!A:AR,26,FALSE))</f>
        <v>0</v>
      </c>
      <c r="W29" s="134">
        <f>IF(AI29="Desertor sin mora",0,VLOOKUP(C29,'SITUACIÓN DE CARTERA'!A:AR,27,FALSE))/100</f>
        <v>0</v>
      </c>
      <c r="X29" s="30">
        <f>IF(V29&gt;0,VLOOKUP(C29,ANTIGÜEDAD!A:BE,26,FALSE),0)</f>
        <v>0</v>
      </c>
      <c r="Z29" s="34">
        <f>IF(AI29="Desertor sin mora",VLOOKUP(C29,ANTIGÜEDAD!A:Q,17,0)/AA29,F29/AA29)</f>
        <v>21714.285714285714</v>
      </c>
      <c r="AA29" s="19">
        <f>IF(AI29="Desertor sin mora",VLOOKUP(C29,ANTIGÜEDAD!A:M,13,0),VLOOKUP(C29,'SITUACIÓN DE CARTERA'!A:AR,43,FALSE))</f>
        <v>7</v>
      </c>
      <c r="AB29" s="19">
        <f t="shared" ca="1" si="2"/>
        <v>7</v>
      </c>
      <c r="AC29" s="42">
        <f>IF(AI29="Desertor sin mora",0,(VLOOKUP(C29,'SITUACIÓN DE CARTERA'!A:AS,45,FALSE))/M29)</f>
        <v>7.0006319197375371</v>
      </c>
      <c r="AD29" s="19">
        <f>IF(AI29="Desertor sin mora",0,VLOOKUP(C29,'Reporte de cobranza'!G:BL,35,FALSE))</f>
        <v>9</v>
      </c>
      <c r="AE29" s="19">
        <f>IF(AI29="Desertor sin mora",I29,VLOOKUP(C29,'Reporte de cobranza'!G:BL,36,FALSE))</f>
        <v>16</v>
      </c>
      <c r="AF29" s="19">
        <f>VLOOKUP(C29,ANTIGÜEDAD!A:BE,18,FALSE)</f>
        <v>0</v>
      </c>
      <c r="AG29" s="30">
        <f>IFERROR(VLOOKUP(C29,Ahorros_concentrado!B:D,3,FALSE),0)</f>
        <v>4087</v>
      </c>
      <c r="AH29" s="43">
        <f t="shared" ca="1" si="3"/>
        <v>5.0541212667579306E-2</v>
      </c>
      <c r="AI29" s="19" t="str">
        <f>IF(VLOOKUP(C29,ANTIGÜEDAD!A:AG,33,0)="Entregado","Vigente",IF(VLOOKUP(C29,ANTIGÜEDAD!A:AG,33,0)="Liquidado","Desertor sin mora",""))</f>
        <v>Vigente</v>
      </c>
      <c r="AJ29" s="98" t="str">
        <f t="shared" si="4"/>
        <v>000008101</v>
      </c>
    </row>
    <row r="30" spans="1:36" x14ac:dyDescent="0.3">
      <c r="A30" s="19" t="str">
        <f>VLOOKUP(C30,ANTIGÜEDAD!A:BJ,4,FALSE)</f>
        <v>ADRIANA ALEJALDRE GUZMAN</v>
      </c>
      <c r="B30" s="19" t="str">
        <f>IFERROR(VLOOKUP(ANTIGÜEDAD!F29,'Parche Promotores'!A:B,2,0),ANTIGÜEDAD!F29)</f>
        <v>Contreras Martinez Jose Luis</v>
      </c>
      <c r="C30" s="6" t="str">
        <f>TEXT(ANTIGÜEDAD!I29,"000000")</f>
        <v>000201</v>
      </c>
      <c r="D30" s="6" t="str">
        <f>ANTIGÜEDAD!K29</f>
        <v>JUQUILA</v>
      </c>
      <c r="E30" s="29" t="str">
        <f>IFERROR(VLOOKUP(C30,'SITUACIÓN DE CARTERA'!A:AR,12,FALSE),VLOOKUP(C30,ANTIGÜEDAD!A:J,10,0))</f>
        <v>01</v>
      </c>
      <c r="F30" s="30">
        <f>VLOOKUP(C30,ANTIGÜEDAD!A:BE,17,FALSE)</f>
        <v>94000</v>
      </c>
      <c r="G30" s="30" t="str">
        <f>VLOOKUP(C30,ANTIGÜEDAD!A:BE,12,FALSE)</f>
        <v>MIGRADO</v>
      </c>
      <c r="H30" s="31">
        <f>VLOOKUP(C30,ANTIGÜEDAD!A:BE,14,FALSE)</f>
        <v>45960</v>
      </c>
      <c r="I30" s="19">
        <f>VLOOKUP(C30,ANTIGÜEDAD!A:BE,19,FALSE)</f>
        <v>16</v>
      </c>
      <c r="J30" s="31" t="str">
        <f>VLOOKUP(C30,ANTIGÜEDAD!A:BE,56,FALSE)</f>
        <v>Jueves</v>
      </c>
      <c r="K30" s="32" t="str">
        <f>VLOOKUP(C30,ANTIGÜEDAD!A:BE,57,FALSE)</f>
        <v>16:00</v>
      </c>
      <c r="L30" s="19" t="str">
        <f>VLOOKUP(C30,ANTIGÜEDAD!A:BE,20,FALSE)</f>
        <v>Semanal</v>
      </c>
      <c r="M30" s="30">
        <f>VLOOKUP(C30,ANTIGÜEDAD!A:BE,21,FALSE)</f>
        <v>7144.06</v>
      </c>
      <c r="N30" s="33" t="str">
        <f>IFERROR(VLOOKUP(C30,'Reporte de cobranza'!G:BL,34,FALSE),"")</f>
        <v>06/11/2025</v>
      </c>
      <c r="O30" s="30">
        <f>IF(AI30="Desertor sin mora",0,VLOOKUP(C30,ANTIGÜEDAD!A:BJ,44,FALSE))</f>
        <v>114305</v>
      </c>
      <c r="P30" s="30">
        <f t="shared" si="5"/>
        <v>114304.96000000001</v>
      </c>
      <c r="Q30" s="30">
        <f t="shared" ca="1" si="1"/>
        <v>114305</v>
      </c>
      <c r="R30" s="30">
        <f>IF(AI30="Desertor sin mora",0,VLOOKUP(C30,ANTIGÜEDAD!A:BJ,26,FALSE))</f>
        <v>94000</v>
      </c>
      <c r="S30" s="30">
        <f t="shared" ca="1" si="6"/>
        <v>0</v>
      </c>
      <c r="T30" s="30">
        <f>IF(V30&gt;0,IF(VLOOKUP(TEXT(C30,"000000"),Ahorros_concentrado!B:D,3,0)+F30*0.1&gt;V30,V30,VLOOKUP(TEXT(C30,"000000"),Ahorros_concentrado!B:D,3,0)+F30*0.1),0)</f>
        <v>0</v>
      </c>
      <c r="U30" s="30">
        <f t="shared" si="7"/>
        <v>0</v>
      </c>
      <c r="V30" s="30">
        <f>IF(AI30="Desertor sin mora",0,VLOOKUP(C30,'SITUACIÓN DE CARTERA'!A:AR,26,FALSE))</f>
        <v>0</v>
      </c>
      <c r="W30" s="134">
        <f>IF(AI30="Desertor sin mora",0,VLOOKUP(C30,'SITUACIÓN DE CARTERA'!A:AR,27,FALSE))/100</f>
        <v>0</v>
      </c>
      <c r="X30" s="30">
        <f>IF(V30&gt;0,VLOOKUP(C30,ANTIGÜEDAD!A:BE,26,FALSE),0)</f>
        <v>0</v>
      </c>
      <c r="Z30" s="34">
        <f>IF(AI30="Desertor sin mora",VLOOKUP(C30,ANTIGÜEDAD!A:Q,17,0)/AA30,F30/AA30)</f>
        <v>15666.666666666666</v>
      </c>
      <c r="AA30" s="19">
        <f>IF(AI30="Desertor sin mora",VLOOKUP(C30,ANTIGÜEDAD!A:M,13,0),VLOOKUP(C30,'SITUACIÓN DE CARTERA'!A:AR,43,FALSE))</f>
        <v>6</v>
      </c>
      <c r="AB30" s="19">
        <f t="shared" ca="1" si="2"/>
        <v>0</v>
      </c>
      <c r="AC30" s="42">
        <f>IF(AI30="Desertor sin mora",0,(VLOOKUP(C30,'SITUACIÓN DE CARTERA'!A:AS,45,FALSE))/M30)</f>
        <v>0</v>
      </c>
      <c r="AD30" s="19">
        <f>IF(AI30="Desertor sin mora",0,VLOOKUP(C30,'Reporte de cobranza'!G:BL,35,FALSE))</f>
        <v>16</v>
      </c>
      <c r="AE30" s="19">
        <f>IF(AI30="Desertor sin mora",I30,VLOOKUP(C30,'Reporte de cobranza'!G:BL,36,FALSE))</f>
        <v>16</v>
      </c>
      <c r="AF30" s="19">
        <f>VLOOKUP(C30,ANTIGÜEDAD!A:BE,18,FALSE)</f>
        <v>0</v>
      </c>
      <c r="AG30" s="30">
        <f>IFERROR(VLOOKUP(C30,Ahorros_concentrado!B:D,3,FALSE),0)</f>
        <v>0</v>
      </c>
      <c r="AH30" s="43">
        <f t="shared" ca="1" si="3"/>
        <v>0</v>
      </c>
      <c r="AI30" s="19" t="str">
        <f>IF(VLOOKUP(C30,ANTIGÜEDAD!A:AG,33,0)="Entregado","Vigente",IF(VLOOKUP(C30,ANTIGÜEDAD!A:AG,33,0)="Liquidado","Desertor sin mora",""))</f>
        <v>Vigente</v>
      </c>
      <c r="AJ30" s="98" t="str">
        <f t="shared" si="4"/>
        <v>000020101</v>
      </c>
    </row>
    <row r="31" spans="1:36" x14ac:dyDescent="0.3">
      <c r="A31" s="19" t="str">
        <f>VLOOKUP(C31,ANTIGÜEDAD!A:BJ,4,FALSE)</f>
        <v>JUDITH PATRICIA SERRANO HERRER</v>
      </c>
      <c r="B31" s="19" t="str">
        <f>IFERROR(VLOOKUP(ANTIGÜEDAD!F30,'Parche Promotores'!A:B,2,0),ANTIGÜEDAD!F30)</f>
        <v>Cabrera Flores Viridiana</v>
      </c>
      <c r="C31" s="6" t="str">
        <f>TEXT(ANTIGÜEDAD!I30,"000000")</f>
        <v>000061</v>
      </c>
      <c r="D31" s="6" t="str">
        <f>ANTIGÜEDAD!K30</f>
        <v>GRANDES SUEÑOS</v>
      </c>
      <c r="E31" s="29" t="str">
        <f>IFERROR(VLOOKUP(C31,'SITUACIÓN DE CARTERA'!A:AR,12,FALSE),VLOOKUP(C31,ANTIGÜEDAD!A:J,10,0))</f>
        <v>01</v>
      </c>
      <c r="F31" s="30">
        <f>VLOOKUP(C31,ANTIGÜEDAD!A:BE,17,FALSE)</f>
        <v>50000</v>
      </c>
      <c r="G31" s="30" t="str">
        <f>VLOOKUP(C31,ANTIGÜEDAD!A:BE,12,FALSE)</f>
        <v>MIGRADO</v>
      </c>
      <c r="H31" s="31">
        <f>VLOOKUP(C31,ANTIGÜEDAD!A:BE,14,FALSE)</f>
        <v>45905</v>
      </c>
      <c r="I31" s="19">
        <f>VLOOKUP(C31,ANTIGÜEDAD!A:BE,19,FALSE)</f>
        <v>16</v>
      </c>
      <c r="J31" s="31" t="str">
        <f>VLOOKUP(C31,ANTIGÜEDAD!A:BE,56,FALSE)</f>
        <v>Viernes</v>
      </c>
      <c r="K31" s="32" t="str">
        <f>VLOOKUP(C31,ANTIGÜEDAD!A:BE,57,FALSE)</f>
        <v>15:00</v>
      </c>
      <c r="L31" s="19" t="str">
        <f>VLOOKUP(C31,ANTIGÜEDAD!A:BE,20,FALSE)</f>
        <v>Semanal</v>
      </c>
      <c r="M31" s="30">
        <f>VLOOKUP(C31,ANTIGÜEDAD!A:BE,21,FALSE)</f>
        <v>3800.03</v>
      </c>
      <c r="N31" s="33" t="str">
        <f>IFERROR(VLOOKUP(C31,'Reporte de cobranza'!G:BL,34,FALSE),"")</f>
        <v>07/11/2025</v>
      </c>
      <c r="O31" s="30">
        <f>IF(AI31="Desertor sin mora",0,VLOOKUP(C31,ANTIGÜEDAD!A:BJ,44,FALSE))</f>
        <v>30395.510000000002</v>
      </c>
      <c r="P31" s="30">
        <f t="shared" si="5"/>
        <v>60800.480000000003</v>
      </c>
      <c r="Q31" s="30">
        <f t="shared" ca="1" si="1"/>
        <v>30400.240000000002</v>
      </c>
      <c r="R31" s="30">
        <f>IF(AI31="Desertor sin mora",0,VLOOKUP(C31,ANTIGÜEDAD!A:BJ,26,FALSE))</f>
        <v>25000</v>
      </c>
      <c r="S31" s="30">
        <f t="shared" ca="1" si="6"/>
        <v>-4.7299999999995634</v>
      </c>
      <c r="T31" s="30">
        <f>IF(V31&gt;0,IF(VLOOKUP(TEXT(C31,"000000"),Ahorros_concentrado!B:D,3,0)+F31*0.1&gt;V31,V31,VLOOKUP(TEXT(C31,"000000"),Ahorros_concentrado!B:D,3,0)+F31*0.1),0)</f>
        <v>0</v>
      </c>
      <c r="U31" s="30">
        <f t="shared" si="7"/>
        <v>0</v>
      </c>
      <c r="V31" s="30">
        <f>IF(AI31="Desertor sin mora",0,VLOOKUP(C31,'SITUACIÓN DE CARTERA'!A:AR,26,FALSE))</f>
        <v>0</v>
      </c>
      <c r="W31" s="134">
        <f>IF(AI31="Desertor sin mora",0,VLOOKUP(C31,'SITUACIÓN DE CARTERA'!A:AR,27,FALSE))/100</f>
        <v>0</v>
      </c>
      <c r="X31" s="30">
        <f>IF(V31&gt;0,VLOOKUP(C31,ANTIGÜEDAD!A:BE,26,FALSE),0)</f>
        <v>0</v>
      </c>
      <c r="Z31" s="34">
        <f>IF(AI31="Desertor sin mora",VLOOKUP(C31,ANTIGÜEDAD!A:Q,17,0)/AA31,F31/AA31)</f>
        <v>10000</v>
      </c>
      <c r="AA31" s="19">
        <f>IF(AI31="Desertor sin mora",VLOOKUP(C31,ANTIGÜEDAD!A:M,13,0),VLOOKUP(C31,'SITUACIÓN DE CARTERA'!A:AR,43,FALSE))</f>
        <v>5</v>
      </c>
      <c r="AB31" s="19">
        <f t="shared" ca="1" si="2"/>
        <v>8</v>
      </c>
      <c r="AC31" s="42">
        <f>IF(AI31="Desertor sin mora",0,(VLOOKUP(C31,'SITUACIÓN DE CARTERA'!A:AS,45,FALSE))/M31)</f>
        <v>8.0012578848061722</v>
      </c>
      <c r="AD31" s="19">
        <f>IF(AI31="Desertor sin mora",0,VLOOKUP(C31,'Reporte de cobranza'!G:BL,35,FALSE))</f>
        <v>8</v>
      </c>
      <c r="AE31" s="19">
        <f>IF(AI31="Desertor sin mora",I31,VLOOKUP(C31,'Reporte de cobranza'!G:BL,36,FALSE))</f>
        <v>16</v>
      </c>
      <c r="AF31" s="19">
        <f>VLOOKUP(C31,ANTIGÜEDAD!A:BE,18,FALSE)</f>
        <v>0</v>
      </c>
      <c r="AG31" s="30">
        <f>IFERROR(VLOOKUP(C31,Ahorros_concentrado!B:D,3,FALSE),0)</f>
        <v>3308.98</v>
      </c>
      <c r="AH31" s="43">
        <f t="shared" ca="1" si="3"/>
        <v>0.10884716699605003</v>
      </c>
      <c r="AI31" s="19" t="str">
        <f>IF(VLOOKUP(C31,ANTIGÜEDAD!A:AG,33,0)="Entregado","Vigente",IF(VLOOKUP(C31,ANTIGÜEDAD!A:AG,33,0)="Liquidado","Desertor sin mora",""))</f>
        <v>Vigente</v>
      </c>
      <c r="AJ31" s="98" t="str">
        <f t="shared" si="4"/>
        <v>000006101</v>
      </c>
    </row>
    <row r="32" spans="1:36" x14ac:dyDescent="0.3">
      <c r="A32" s="19" t="str">
        <f>VLOOKUP(C32,ANTIGÜEDAD!A:BJ,4,FALSE)</f>
        <v>IRVIN URIEL MORA VELAZCO</v>
      </c>
      <c r="B32" s="19" t="str">
        <f>IFERROR(VLOOKUP(ANTIGÜEDAD!F31,'Parche Promotores'!A:B,2,0),ANTIGÜEDAD!F31)</f>
        <v>Lopez Garcia Nahum Antonio</v>
      </c>
      <c r="C32" s="6" t="str">
        <f>TEXT(ANTIGÜEDAD!I31,"000000")</f>
        <v>000166</v>
      </c>
      <c r="D32" s="6" t="str">
        <f>ANTIGÜEDAD!K31</f>
        <v>MUJERES TRABAJADORAS</v>
      </c>
      <c r="E32" s="29" t="str">
        <f>IFERROR(VLOOKUP(C32,'SITUACIÓN DE CARTERA'!A:AR,12,FALSE),VLOOKUP(C32,ANTIGÜEDAD!A:J,10,0))</f>
        <v>01</v>
      </c>
      <c r="F32" s="30">
        <f>VLOOKUP(C32,ANTIGÜEDAD!A:BE,17,FALSE)</f>
        <v>60000</v>
      </c>
      <c r="G32" s="30" t="str">
        <f>VLOOKUP(C32,ANTIGÜEDAD!A:BE,12,FALSE)</f>
        <v>MIGRADO</v>
      </c>
      <c r="H32" s="31">
        <f>VLOOKUP(C32,ANTIGÜEDAD!A:BE,14,FALSE)</f>
        <v>45947</v>
      </c>
      <c r="I32" s="19">
        <f>VLOOKUP(C32,ANTIGÜEDAD!A:BE,19,FALSE)</f>
        <v>16</v>
      </c>
      <c r="J32" s="31" t="str">
        <f>VLOOKUP(C32,ANTIGÜEDAD!A:BE,56,FALSE)</f>
        <v>Viernes</v>
      </c>
      <c r="K32" s="32" t="str">
        <f>VLOOKUP(C32,ANTIGÜEDAD!A:BE,57,FALSE)</f>
        <v>10:00</v>
      </c>
      <c r="L32" s="19" t="str">
        <f>VLOOKUP(C32,ANTIGÜEDAD!A:BE,20,FALSE)</f>
        <v>Semanal</v>
      </c>
      <c r="M32" s="30">
        <f>VLOOKUP(C32,ANTIGÜEDAD!A:BE,21,FALSE)</f>
        <v>4560.04</v>
      </c>
      <c r="N32" s="33" t="str">
        <f>IFERROR(VLOOKUP(C32,'Reporte de cobranza'!G:BL,34,FALSE),"")</f>
        <v>07/11/2025</v>
      </c>
      <c r="O32" s="30">
        <f>IF(AI32="Desertor sin mora",0,VLOOKUP(C32,ANTIGÜEDAD!A:BJ,44,FALSE))</f>
        <v>63840.639999999999</v>
      </c>
      <c r="P32" s="30">
        <f t="shared" si="5"/>
        <v>72960.639999999999</v>
      </c>
      <c r="Q32" s="30">
        <f t="shared" ca="1" si="1"/>
        <v>63840.639999999999</v>
      </c>
      <c r="R32" s="30">
        <f>IF(AI32="Desertor sin mora",0,VLOOKUP(C32,ANTIGÜEDAD!A:BJ,26,FALSE))</f>
        <v>52500.08</v>
      </c>
      <c r="S32" s="30">
        <f t="shared" ca="1" si="6"/>
        <v>0</v>
      </c>
      <c r="T32" s="30">
        <f>IF(V32&gt;0,IF(VLOOKUP(TEXT(C32,"000000"),Ahorros_concentrado!B:D,3,0)+F32*0.1&gt;V32,V32,VLOOKUP(TEXT(C32,"000000"),Ahorros_concentrado!B:D,3,0)+F32*0.1),0)</f>
        <v>0</v>
      </c>
      <c r="U32" s="30">
        <f t="shared" si="7"/>
        <v>0</v>
      </c>
      <c r="V32" s="30">
        <f>IF(AI32="Desertor sin mora",0,VLOOKUP(C32,'SITUACIÓN DE CARTERA'!A:AR,26,FALSE))</f>
        <v>0</v>
      </c>
      <c r="W32" s="134">
        <f>IF(AI32="Desertor sin mora",0,VLOOKUP(C32,'SITUACIÓN DE CARTERA'!A:AR,27,FALSE))/100</f>
        <v>0</v>
      </c>
      <c r="X32" s="30">
        <f>IF(V32&gt;0,VLOOKUP(C32,ANTIGÜEDAD!A:BE,26,FALSE),0)</f>
        <v>0</v>
      </c>
      <c r="Z32" s="34">
        <f>IF(AI32="Desertor sin mora",VLOOKUP(C32,ANTIGÜEDAD!A:Q,17,0)/AA32,F32/AA32)</f>
        <v>12000</v>
      </c>
      <c r="AA32" s="19">
        <f>IF(AI32="Desertor sin mora",VLOOKUP(C32,ANTIGÜEDAD!A:M,13,0),VLOOKUP(C32,'SITUACIÓN DE CARTERA'!A:AR,43,FALSE))</f>
        <v>5</v>
      </c>
      <c r="AB32" s="19">
        <f t="shared" ca="1" si="2"/>
        <v>2</v>
      </c>
      <c r="AC32" s="42">
        <f>IF(AI32="Desertor sin mora",0,(VLOOKUP(C32,'SITUACIÓN DE CARTERA'!A:AS,45,FALSE))/M32)</f>
        <v>1.999982456294243</v>
      </c>
      <c r="AD32" s="19">
        <f>IF(AI32="Desertor sin mora",0,VLOOKUP(C32,'Reporte de cobranza'!G:BL,35,FALSE))</f>
        <v>14</v>
      </c>
      <c r="AE32" s="19">
        <f>IF(AI32="Desertor sin mora",I32,VLOOKUP(C32,'Reporte de cobranza'!G:BL,36,FALSE))</f>
        <v>16</v>
      </c>
      <c r="AF32" s="19">
        <f>VLOOKUP(C32,ANTIGÜEDAD!A:BE,18,FALSE)</f>
        <v>0</v>
      </c>
      <c r="AG32" s="30">
        <f>IFERROR(VLOOKUP(C32,Ahorros_concentrado!B:D,3,FALSE),0)</f>
        <v>478</v>
      </c>
      <c r="AH32" s="43">
        <f t="shared" ca="1" si="3"/>
        <v>5.2411820948939043E-2</v>
      </c>
      <c r="AI32" s="19" t="str">
        <f>IF(VLOOKUP(C32,ANTIGÜEDAD!A:AG,33,0)="Entregado","Vigente",IF(VLOOKUP(C32,ANTIGÜEDAD!A:AG,33,0)="Liquidado","Desertor sin mora",""))</f>
        <v>Vigente</v>
      </c>
      <c r="AJ32" s="98" t="str">
        <f t="shared" si="4"/>
        <v>000016601</v>
      </c>
    </row>
    <row r="33" spans="1:36" x14ac:dyDescent="0.3">
      <c r="A33" s="19" t="str">
        <f>VLOOKUP(C33,ANTIGÜEDAD!A:BJ,4,FALSE)</f>
        <v>ADRIANA ALEJALDRE GUZMAN</v>
      </c>
      <c r="B33" s="19" t="str">
        <f>IFERROR(VLOOKUP(ANTIGÜEDAD!F32,'Parche Promotores'!A:B,2,0),ANTIGÜEDAD!F32)</f>
        <v>Contreras Martinez Jose Luis</v>
      </c>
      <c r="C33" s="6" t="str">
        <f>TEXT(ANTIGÜEDAD!I32,"000000")</f>
        <v>000064</v>
      </c>
      <c r="D33" s="6" t="str">
        <f>ANTIGÜEDAD!K32</f>
        <v>TREBOLES</v>
      </c>
      <c r="E33" s="29" t="str">
        <f>IFERROR(VLOOKUP(C33,'SITUACIÓN DE CARTERA'!A:AR,12,FALSE),VLOOKUP(C33,ANTIGÜEDAD!A:J,10,0))</f>
        <v>01</v>
      </c>
      <c r="F33" s="30">
        <f>VLOOKUP(C33,ANTIGÜEDAD!A:BE,17,FALSE)</f>
        <v>111000</v>
      </c>
      <c r="G33" s="30" t="str">
        <f>VLOOKUP(C33,ANTIGÜEDAD!A:BE,12,FALSE)</f>
        <v>MIGRADO</v>
      </c>
      <c r="H33" s="31">
        <f>VLOOKUP(C33,ANTIGÜEDAD!A:BE,14,FALSE)</f>
        <v>45909</v>
      </c>
      <c r="I33" s="19">
        <f>VLOOKUP(C33,ANTIGÜEDAD!A:BE,19,FALSE)</f>
        <v>16</v>
      </c>
      <c r="J33" s="31" t="str">
        <f>VLOOKUP(C33,ANTIGÜEDAD!A:BE,56,FALSE)</f>
        <v>Martes</v>
      </c>
      <c r="K33" s="32" t="str">
        <f>VLOOKUP(C33,ANTIGÜEDAD!A:BE,57,FALSE)</f>
        <v>9:00</v>
      </c>
      <c r="L33" s="19" t="str">
        <f>VLOOKUP(C33,ANTIGÜEDAD!A:BE,20,FALSE)</f>
        <v>Semanal</v>
      </c>
      <c r="M33" s="30">
        <f>VLOOKUP(C33,ANTIGÜEDAD!A:BE,21,FALSE)</f>
        <v>8436.07</v>
      </c>
      <c r="N33" s="33" t="str">
        <f>IFERROR(VLOOKUP(C33,'Reporte de cobranza'!G:BL,34,FALSE),"")</f>
        <v>04/11/2025</v>
      </c>
      <c r="O33" s="30">
        <f>IF(AI33="Desertor sin mora",0,VLOOKUP(C33,ANTIGÜEDAD!A:BJ,44,FALSE))</f>
        <v>75904.11</v>
      </c>
      <c r="P33" s="30">
        <f t="shared" si="5"/>
        <v>134977.12</v>
      </c>
      <c r="Q33" s="30">
        <f t="shared" ca="1" si="1"/>
        <v>75924.63</v>
      </c>
      <c r="R33" s="30">
        <f>IF(AI33="Desertor sin mora",0,VLOOKUP(C33,ANTIGÜEDAD!A:BJ,26,FALSE))</f>
        <v>62437.5</v>
      </c>
      <c r="S33" s="30">
        <f t="shared" ca="1" si="6"/>
        <v>-20.520000000004075</v>
      </c>
      <c r="T33" s="30">
        <f>IF(V33&gt;0,IF(VLOOKUP(TEXT(C33,"000000"),Ahorros_concentrado!B:D,3,0)+F33*0.1&gt;V33,V33,VLOOKUP(TEXT(C33,"000000"),Ahorros_concentrado!B:D,3,0)+F33*0.1),0)</f>
        <v>0</v>
      </c>
      <c r="U33" s="30">
        <f t="shared" si="7"/>
        <v>0</v>
      </c>
      <c r="V33" s="30">
        <f>IF(AI33="Desertor sin mora",0,VLOOKUP(C33,'SITUACIÓN DE CARTERA'!A:AR,26,FALSE))</f>
        <v>0</v>
      </c>
      <c r="W33" s="134">
        <f>IF(AI33="Desertor sin mora",0,VLOOKUP(C33,'SITUACIÓN DE CARTERA'!A:AR,27,FALSE))/100</f>
        <v>0</v>
      </c>
      <c r="X33" s="30">
        <f>IF(V33&gt;0,VLOOKUP(C33,ANTIGÜEDAD!A:BE,26,FALSE),0)</f>
        <v>0</v>
      </c>
      <c r="Z33" s="34">
        <f>IF(AI33="Desertor sin mora",VLOOKUP(C33,ANTIGÜEDAD!A:Q,17,0)/AA33,F33/AA33)</f>
        <v>18500</v>
      </c>
      <c r="AA33" s="19">
        <f>IF(AI33="Desertor sin mora",VLOOKUP(C33,ANTIGÜEDAD!A:M,13,0),VLOOKUP(C33,'SITUACIÓN DE CARTERA'!A:AR,43,FALSE))</f>
        <v>6</v>
      </c>
      <c r="AB33" s="19">
        <f t="shared" ca="1" si="2"/>
        <v>7</v>
      </c>
      <c r="AC33" s="42">
        <f>IF(AI33="Desertor sin mora",0,(VLOOKUP(C33,'SITUACIÓN DE CARTERA'!A:AS,45,FALSE))/M33)</f>
        <v>7.0024395245653483</v>
      </c>
      <c r="AD33" s="19">
        <f>IF(AI33="Desertor sin mora",0,VLOOKUP(C33,'Reporte de cobranza'!G:BL,35,FALSE))</f>
        <v>9</v>
      </c>
      <c r="AE33" s="19">
        <f>IF(AI33="Desertor sin mora",I33,VLOOKUP(C33,'Reporte de cobranza'!G:BL,36,FALSE))</f>
        <v>16</v>
      </c>
      <c r="AF33" s="19">
        <f>VLOOKUP(C33,ANTIGÜEDAD!A:BE,18,FALSE)</f>
        <v>0</v>
      </c>
      <c r="AG33" s="30">
        <f>IFERROR(VLOOKUP(C33,Ahorros_concentrado!B:D,3,FALSE),0)</f>
        <v>2963.9300000000003</v>
      </c>
      <c r="AH33" s="43">
        <f t="shared" ca="1" si="3"/>
        <v>5.0191448319960773E-2</v>
      </c>
      <c r="AI33" s="19" t="str">
        <f>IF(VLOOKUP(C33,ANTIGÜEDAD!A:AG,33,0)="Entregado","Vigente",IF(VLOOKUP(C33,ANTIGÜEDAD!A:AG,33,0)="Liquidado","Desertor sin mora",""))</f>
        <v>Vigente</v>
      </c>
      <c r="AJ33" s="98" t="str">
        <f t="shared" si="4"/>
        <v>000006401</v>
      </c>
    </row>
    <row r="34" spans="1:36" x14ac:dyDescent="0.3">
      <c r="A34" s="19" t="str">
        <f>VLOOKUP(C34,ANTIGÜEDAD!A:BJ,4,FALSE)</f>
        <v>IRVIN URIEL MORA VELAZCO</v>
      </c>
      <c r="B34" s="19" t="str">
        <f>IFERROR(VLOOKUP(ANTIGÜEDAD!F33,'Parche Promotores'!A:B,2,0),ANTIGÜEDAD!F33)</f>
        <v>Olivares Morales Josue Edgar</v>
      </c>
      <c r="C34" s="6" t="str">
        <f>TEXT(ANTIGÜEDAD!I33,"000000")</f>
        <v>000082</v>
      </c>
      <c r="D34" s="6" t="str">
        <f>ANTIGÜEDAD!K33</f>
        <v>DIAMANTES</v>
      </c>
      <c r="E34" s="29" t="str">
        <f>IFERROR(VLOOKUP(C34,'SITUACIÓN DE CARTERA'!A:AR,12,FALSE),VLOOKUP(C34,ANTIGÜEDAD!A:J,10,0))</f>
        <v>01</v>
      </c>
      <c r="F34" s="30">
        <f>VLOOKUP(C34,ANTIGÜEDAD!A:BE,17,FALSE)</f>
        <v>185000</v>
      </c>
      <c r="G34" s="30" t="str">
        <f>VLOOKUP(C34,ANTIGÜEDAD!A:BE,12,FALSE)</f>
        <v>MIGRADO</v>
      </c>
      <c r="H34" s="31">
        <f>VLOOKUP(C34,ANTIGÜEDAD!A:BE,14,FALSE)</f>
        <v>45912</v>
      </c>
      <c r="I34" s="19">
        <f>VLOOKUP(C34,ANTIGÜEDAD!A:BE,19,FALSE)</f>
        <v>16</v>
      </c>
      <c r="J34" s="31" t="str">
        <f>VLOOKUP(C34,ANTIGÜEDAD!A:BE,56,FALSE)</f>
        <v>Viernes</v>
      </c>
      <c r="K34" s="32" t="str">
        <f>VLOOKUP(C34,ANTIGÜEDAD!A:BE,57,FALSE)</f>
        <v>09:30</v>
      </c>
      <c r="L34" s="19" t="str">
        <f>VLOOKUP(C34,ANTIGÜEDAD!A:BE,20,FALSE)</f>
        <v>Semanal</v>
      </c>
      <c r="M34" s="30">
        <f>VLOOKUP(C34,ANTIGÜEDAD!A:BE,21,FALSE)</f>
        <v>14060.12</v>
      </c>
      <c r="N34" s="33" t="str">
        <f>IFERROR(VLOOKUP(C34,'Reporte de cobranza'!G:BL,34,FALSE),"")</f>
        <v>07/11/2025</v>
      </c>
      <c r="O34" s="30">
        <f>IF(AI34="Desertor sin mora",0,VLOOKUP(C34,ANTIGÜEDAD!A:BJ,44,FALSE))</f>
        <v>126540.97</v>
      </c>
      <c r="P34" s="30">
        <f t="shared" si="5"/>
        <v>224961.92000000001</v>
      </c>
      <c r="Q34" s="30">
        <f t="shared" ca="1" si="1"/>
        <v>126541.08</v>
      </c>
      <c r="R34" s="30">
        <f>IF(AI34="Desertor sin mora",0,VLOOKUP(C34,ANTIGÜEDAD!A:BJ,26,FALSE))</f>
        <v>104062.51000000001</v>
      </c>
      <c r="S34" s="30">
        <f t="shared" ca="1" si="6"/>
        <v>-0.11000000000058208</v>
      </c>
      <c r="T34" s="30">
        <f>IF(V34&gt;0,IF(VLOOKUP(TEXT(C34,"000000"),Ahorros_concentrado!B:D,3,0)+F34*0.1&gt;V34,V34,VLOOKUP(TEXT(C34,"000000"),Ahorros_concentrado!B:D,3,0)+F34*0.1),0)</f>
        <v>0</v>
      </c>
      <c r="U34" s="30">
        <f t="shared" si="7"/>
        <v>0</v>
      </c>
      <c r="V34" s="30">
        <f>IF(AI34="Desertor sin mora",0,VLOOKUP(C34,'SITUACIÓN DE CARTERA'!A:AR,26,FALSE))</f>
        <v>0</v>
      </c>
      <c r="W34" s="134">
        <f>IF(AI34="Desertor sin mora",0,VLOOKUP(C34,'SITUACIÓN DE CARTERA'!A:AR,27,FALSE))/100</f>
        <v>0</v>
      </c>
      <c r="X34" s="30">
        <f>IF(V34&gt;0,VLOOKUP(C34,ANTIGÜEDAD!A:BE,26,FALSE),0)</f>
        <v>0</v>
      </c>
      <c r="Z34" s="34">
        <f>IF(AI34="Desertor sin mora",VLOOKUP(C34,ANTIGÜEDAD!A:Q,17,0)/AA34,F34/AA34)</f>
        <v>26428.571428571428</v>
      </c>
      <c r="AA34" s="19">
        <f>IF(AI34="Desertor sin mora",VLOOKUP(C34,ANTIGÜEDAD!A:M,13,0),VLOOKUP(C34,'SITUACIÓN DE CARTERA'!A:AR,43,FALSE))</f>
        <v>7</v>
      </c>
      <c r="AB34" s="19">
        <f t="shared" ca="1" si="2"/>
        <v>7</v>
      </c>
      <c r="AC34" s="42">
        <f>IF(AI34="Desertor sin mora",0,(VLOOKUP(C34,'SITUACIÓN DE CARTERA'!A:AS,45,FALSE))/M34)</f>
        <v>7.0000113797037287</v>
      </c>
      <c r="AD34" s="19">
        <f>IF(AI34="Desertor sin mora",0,VLOOKUP(C34,'Reporte de cobranza'!G:BL,35,FALSE))</f>
        <v>9</v>
      </c>
      <c r="AE34" s="19">
        <f>IF(AI34="Desertor sin mora",I34,VLOOKUP(C34,'Reporte de cobranza'!G:BL,36,FALSE))</f>
        <v>16</v>
      </c>
      <c r="AF34" s="19">
        <f>VLOOKUP(C34,ANTIGÜEDAD!A:BE,18,FALSE)</f>
        <v>0</v>
      </c>
      <c r="AG34" s="30">
        <f>IFERROR(VLOOKUP(C34,Ahorros_concentrado!B:D,3,FALSE),0)</f>
        <v>7027</v>
      </c>
      <c r="AH34" s="43">
        <f t="shared" ca="1" si="3"/>
        <v>7.1397480452310702E-2</v>
      </c>
      <c r="AI34" s="19" t="str">
        <f>IF(VLOOKUP(C34,ANTIGÜEDAD!A:AG,33,0)="Entregado","Vigente",IF(VLOOKUP(C34,ANTIGÜEDAD!A:AG,33,0)="Liquidado","Desertor sin mora",""))</f>
        <v>Vigente</v>
      </c>
      <c r="AJ34" s="98" t="str">
        <f t="shared" si="4"/>
        <v>000008201</v>
      </c>
    </row>
    <row r="35" spans="1:36" x14ac:dyDescent="0.3">
      <c r="A35" s="19" t="str">
        <f>VLOOKUP(C35,ANTIGÜEDAD!A:BJ,4,FALSE)</f>
        <v>ADRIANA ALEJALDRE GUZMAN</v>
      </c>
      <c r="B35" s="19" t="str">
        <f>IFERROR(VLOOKUP(ANTIGÜEDAD!F34,'Parche Promotores'!A:B,2,0),ANTIGÜEDAD!F34)</f>
        <v>Lopez Cabrera Edith Alejandra</v>
      </c>
      <c r="C35" s="6" t="str">
        <f>TEXT(ANTIGÜEDAD!I34,"000000")</f>
        <v>000123</v>
      </c>
      <c r="D35" s="6" t="str">
        <f>ANTIGÜEDAD!K34</f>
        <v>REBELDES</v>
      </c>
      <c r="E35" s="29" t="str">
        <f>IFERROR(VLOOKUP(C35,'SITUACIÓN DE CARTERA'!A:AR,12,FALSE),VLOOKUP(C35,ANTIGÜEDAD!A:J,10,0))</f>
        <v>01</v>
      </c>
      <c r="F35" s="30">
        <f>VLOOKUP(C35,ANTIGÜEDAD!A:BE,17,FALSE)</f>
        <v>65000</v>
      </c>
      <c r="G35" s="30" t="str">
        <f>VLOOKUP(C35,ANTIGÜEDAD!A:BE,12,FALSE)</f>
        <v>MIGRADO</v>
      </c>
      <c r="H35" s="31">
        <f>VLOOKUP(C35,ANTIGÜEDAD!A:BE,14,FALSE)</f>
        <v>45930</v>
      </c>
      <c r="I35" s="19">
        <f>VLOOKUP(C35,ANTIGÜEDAD!A:BE,19,FALSE)</f>
        <v>16</v>
      </c>
      <c r="J35" s="31" t="str">
        <f>VLOOKUP(C35,ANTIGÜEDAD!A:BE,56,FALSE)</f>
        <v>Martes</v>
      </c>
      <c r="K35" s="32" t="str">
        <f>VLOOKUP(C35,ANTIGÜEDAD!A:BE,57,FALSE)</f>
        <v>16:00</v>
      </c>
      <c r="L35" s="19" t="str">
        <f>VLOOKUP(C35,ANTIGÜEDAD!A:BE,20,FALSE)</f>
        <v>Semanal</v>
      </c>
      <c r="M35" s="30">
        <f>VLOOKUP(C35,ANTIGÜEDAD!A:BE,21,FALSE)</f>
        <v>4940.04</v>
      </c>
      <c r="N35" s="33" t="str">
        <f>IFERROR(VLOOKUP(C35,'Reporte de cobranza'!G:BL,34,FALSE),"")</f>
        <v>04/11/2025</v>
      </c>
      <c r="O35" s="30">
        <f>IF(AI35="Desertor sin mora",0,VLOOKUP(C35,ANTIGÜEDAD!A:BJ,44,FALSE))</f>
        <v>57416.69</v>
      </c>
      <c r="P35" s="30">
        <f t="shared" si="5"/>
        <v>79040.639999999999</v>
      </c>
      <c r="Q35" s="30">
        <f t="shared" ca="1" si="1"/>
        <v>59280.479999999996</v>
      </c>
      <c r="R35" s="30">
        <f>IF(AI35="Desertor sin mora",0,VLOOKUP(C35,ANTIGÜEDAD!A:BJ,26,FALSE))</f>
        <v>47763.71</v>
      </c>
      <c r="S35" s="30">
        <f t="shared" ca="1" si="6"/>
        <v>-1863.7899999999936</v>
      </c>
      <c r="T35" s="30">
        <f>IF(V35&gt;0,IF(VLOOKUP(TEXT(C35,"000000"),Ahorros_concentrado!B:D,3,0)+F35*0.1&gt;V35,V35,VLOOKUP(TEXT(C35,"000000"),Ahorros_concentrado!B:D,3,0)+F35*0.1),0)</f>
        <v>0</v>
      </c>
      <c r="U35" s="30">
        <f t="shared" si="7"/>
        <v>0</v>
      </c>
      <c r="V35" s="30">
        <f>IF(AI35="Desertor sin mora",0,VLOOKUP(C35,'SITUACIÓN DE CARTERA'!A:AR,26,FALSE))</f>
        <v>0</v>
      </c>
      <c r="W35" s="134">
        <f>IF(AI35="Desertor sin mora",0,VLOOKUP(C35,'SITUACIÓN DE CARTERA'!A:AR,27,FALSE))/100</f>
        <v>0</v>
      </c>
      <c r="X35" s="30">
        <f>IF(V35&gt;0,VLOOKUP(C35,ANTIGÜEDAD!A:BE,26,FALSE),0)</f>
        <v>0</v>
      </c>
      <c r="Z35" s="34">
        <f>IF(AI35="Desertor sin mora",VLOOKUP(C35,ANTIGÜEDAD!A:Q,17,0)/AA35,F35/AA35)</f>
        <v>10833.333333333334</v>
      </c>
      <c r="AA35" s="19">
        <f>IF(AI35="Desertor sin mora",VLOOKUP(C35,ANTIGÜEDAD!A:M,13,0),VLOOKUP(C35,'SITUACIÓN DE CARTERA'!A:AR,43,FALSE))</f>
        <v>6</v>
      </c>
      <c r="AB35" s="19">
        <f t="shared" ca="1" si="2"/>
        <v>4</v>
      </c>
      <c r="AC35" s="42">
        <f>IF(AI35="Desertor sin mora",0,(VLOOKUP(C35,'SITUACIÓN DE CARTERA'!A:AS,45,FALSE))/M35)</f>
        <v>4.377292491558773</v>
      </c>
      <c r="AD35" s="19">
        <f>IF(AI35="Desertor sin mora",0,VLOOKUP(C35,'Reporte de cobranza'!G:BL,35,FALSE))</f>
        <v>12</v>
      </c>
      <c r="AE35" s="19">
        <f>IF(AI35="Desertor sin mora",I35,VLOOKUP(C35,'Reporte de cobranza'!G:BL,36,FALSE))</f>
        <v>16</v>
      </c>
      <c r="AF35" s="19">
        <f>VLOOKUP(C35,ANTIGÜEDAD!A:BE,18,FALSE)</f>
        <v>0</v>
      </c>
      <c r="AG35" s="30">
        <f>IFERROR(VLOOKUP(C35,Ahorros_concentrado!B:D,3,FALSE),0)</f>
        <v>1216</v>
      </c>
      <c r="AH35" s="43">
        <f t="shared" ca="1" si="3"/>
        <v>6.1537963255358256E-2</v>
      </c>
      <c r="AI35" s="19" t="str">
        <f>IF(VLOOKUP(C35,ANTIGÜEDAD!A:AG,33,0)="Entregado","Vigente",IF(VLOOKUP(C35,ANTIGÜEDAD!A:AG,33,0)="Liquidado","Desertor sin mora",""))</f>
        <v>Vigente</v>
      </c>
      <c r="AJ35" s="98" t="str">
        <f t="shared" si="4"/>
        <v>000012301</v>
      </c>
    </row>
    <row r="36" spans="1:36" x14ac:dyDescent="0.3">
      <c r="A36" s="19" t="str">
        <f>VLOOKUP(C36,ANTIGÜEDAD!A:BJ,4,FALSE)</f>
        <v>JUAN EDMUNDO LUNA AGUILLON</v>
      </c>
      <c r="B36" s="19" t="str">
        <f>IFERROR(VLOOKUP(ANTIGÜEDAD!F35,'Parche Promotores'!A:B,2,0),ANTIGÜEDAD!F35)</f>
        <v>Martinez Bañuelos Nallely Sarahi</v>
      </c>
      <c r="C36" s="6" t="str">
        <f>TEXT(ANTIGÜEDAD!I35,"000000")</f>
        <v>000052</v>
      </c>
      <c r="D36" s="6" t="str">
        <f>ANTIGÜEDAD!K35</f>
        <v>LAS TORRES</v>
      </c>
      <c r="E36" s="29" t="str">
        <f>IFERROR(VLOOKUP(C36,'SITUACIÓN DE CARTERA'!A:AR,12,FALSE),VLOOKUP(C36,ANTIGÜEDAD!A:J,10,0))</f>
        <v>01</v>
      </c>
      <c r="F36" s="30">
        <f>VLOOKUP(C36,ANTIGÜEDAD!A:BE,17,FALSE)</f>
        <v>79000</v>
      </c>
      <c r="G36" s="30" t="str">
        <f>VLOOKUP(C36,ANTIGÜEDAD!A:BE,12,FALSE)</f>
        <v>MIGRADO</v>
      </c>
      <c r="H36" s="31">
        <f>VLOOKUP(C36,ANTIGÜEDAD!A:BE,14,FALSE)</f>
        <v>45898</v>
      </c>
      <c r="I36" s="19">
        <f>VLOOKUP(C36,ANTIGÜEDAD!A:BE,19,FALSE)</f>
        <v>16</v>
      </c>
      <c r="J36" s="31" t="str">
        <f>VLOOKUP(C36,ANTIGÜEDAD!A:BE,56,FALSE)</f>
        <v>Viernes</v>
      </c>
      <c r="K36" s="32" t="str">
        <f>VLOOKUP(C36,ANTIGÜEDAD!A:BE,57,FALSE)</f>
        <v>16:00</v>
      </c>
      <c r="L36" s="19" t="str">
        <f>VLOOKUP(C36,ANTIGÜEDAD!A:BE,20,FALSE)</f>
        <v>Semanal</v>
      </c>
      <c r="M36" s="30">
        <f>VLOOKUP(C36,ANTIGÜEDAD!A:BE,21,FALSE)</f>
        <v>6004.05</v>
      </c>
      <c r="N36" s="33" t="str">
        <f>IFERROR(VLOOKUP(C36,'Reporte de cobranza'!G:BL,34,FALSE),"")</f>
        <v>07/11/2025</v>
      </c>
      <c r="O36" s="30">
        <f>IF(AI36="Desertor sin mora",0,VLOOKUP(C36,ANTIGÜEDAD!A:BJ,44,FALSE))</f>
        <v>42028.39</v>
      </c>
      <c r="P36" s="30">
        <f t="shared" si="5"/>
        <v>96064.8</v>
      </c>
      <c r="Q36" s="30">
        <f t="shared" ca="1" si="1"/>
        <v>42028.39</v>
      </c>
      <c r="R36" s="30">
        <f>IF(AI36="Desertor sin mora",0,VLOOKUP(C36,ANTIGÜEDAD!A:BJ,26,FALSE))</f>
        <v>34562.520000000004</v>
      </c>
      <c r="S36" s="30">
        <f t="shared" ca="1" si="6"/>
        <v>0</v>
      </c>
      <c r="T36" s="30">
        <f>IF(V36&gt;0,IF(VLOOKUP(TEXT(C36,"000000"),Ahorros_concentrado!B:D,3,0)+F36*0.1&gt;V36,V36,VLOOKUP(TEXT(C36,"000000"),Ahorros_concentrado!B:D,3,0)+F36*0.1),0)</f>
        <v>0</v>
      </c>
      <c r="U36" s="30">
        <f t="shared" si="7"/>
        <v>0</v>
      </c>
      <c r="V36" s="30">
        <f>IF(AI36="Desertor sin mora",0,VLOOKUP(C36,'SITUACIÓN DE CARTERA'!A:AR,26,FALSE))</f>
        <v>0</v>
      </c>
      <c r="W36" s="134">
        <f>IF(AI36="Desertor sin mora",0,VLOOKUP(C36,'SITUACIÓN DE CARTERA'!A:AR,27,FALSE))/100</f>
        <v>0</v>
      </c>
      <c r="X36" s="30">
        <f>IF(V36&gt;0,VLOOKUP(C36,ANTIGÜEDAD!A:BE,26,FALSE),0)</f>
        <v>0</v>
      </c>
      <c r="Z36" s="34">
        <f>IF(AI36="Desertor sin mora",VLOOKUP(C36,ANTIGÜEDAD!A:Q,17,0)/AA36,F36/AA36)</f>
        <v>13166.666666666666</v>
      </c>
      <c r="AA36" s="19">
        <f>IF(AI36="Desertor sin mora",VLOOKUP(C36,ANTIGÜEDAD!A:M,13,0),VLOOKUP(C36,'SITUACIÓN DE CARTERA'!A:AR,43,FALSE))</f>
        <v>6</v>
      </c>
      <c r="AB36" s="19">
        <f t="shared" ca="1" si="2"/>
        <v>9</v>
      </c>
      <c r="AC36" s="42">
        <f>IF(AI36="Desertor sin mora",0,(VLOOKUP(C36,'SITUACIÓN DE CARTERA'!A:AS,45,FALSE))/M36)</f>
        <v>9</v>
      </c>
      <c r="AD36" s="19">
        <f>IF(AI36="Desertor sin mora",0,VLOOKUP(C36,'Reporte de cobranza'!G:BL,35,FALSE))</f>
        <v>7</v>
      </c>
      <c r="AE36" s="19">
        <f>IF(AI36="Desertor sin mora",I36,VLOOKUP(C36,'Reporte de cobranza'!G:BL,36,FALSE))</f>
        <v>16</v>
      </c>
      <c r="AF36" s="19">
        <f>VLOOKUP(C36,ANTIGÜEDAD!A:BE,18,FALSE)</f>
        <v>0</v>
      </c>
      <c r="AG36" s="30">
        <f>IFERROR(VLOOKUP(C36,Ahorros_concentrado!B:D,3,FALSE),0)</f>
        <v>7765.5499999999984</v>
      </c>
      <c r="AH36" s="43">
        <f t="shared" ca="1" si="3"/>
        <v>0.14370947758411218</v>
      </c>
      <c r="AI36" s="19" t="str">
        <f>IF(VLOOKUP(C36,ANTIGÜEDAD!A:AG,33,0)="Entregado","Vigente",IF(VLOOKUP(C36,ANTIGÜEDAD!A:AG,33,0)="Liquidado","Desertor sin mora",""))</f>
        <v>Vigente</v>
      </c>
      <c r="AJ36" s="98" t="str">
        <f t="shared" si="4"/>
        <v>000005201</v>
      </c>
    </row>
    <row r="37" spans="1:36" x14ac:dyDescent="0.3">
      <c r="A37" s="19" t="str">
        <f>VLOOKUP(C37,ANTIGÜEDAD!A:BJ,4,FALSE)</f>
        <v>JUDITH PATRICIA SERRANO HERRER</v>
      </c>
      <c r="B37" s="19" t="str">
        <f>IFERROR(VLOOKUP(ANTIGÜEDAD!F36,'Parche Promotores'!A:B,2,0),ANTIGÜEDAD!F36)</f>
        <v>Cabrera Flores Viridiana</v>
      </c>
      <c r="C37" s="6" t="str">
        <f>TEXT(ANTIGÜEDAD!I36,"000000")</f>
        <v>000051</v>
      </c>
      <c r="D37" s="6" t="str">
        <f>ANTIGÜEDAD!K36</f>
        <v>MIS ANGELITOS</v>
      </c>
      <c r="E37" s="29" t="str">
        <f>IFERROR(VLOOKUP(C37,'SITUACIÓN DE CARTERA'!A:AR,12,FALSE),VLOOKUP(C37,ANTIGÜEDAD!A:J,10,0))</f>
        <v>01</v>
      </c>
      <c r="F37" s="30">
        <f>VLOOKUP(C37,ANTIGÜEDAD!A:BE,17,FALSE)</f>
        <v>51000</v>
      </c>
      <c r="G37" s="30" t="str">
        <f>VLOOKUP(C37,ANTIGÜEDAD!A:BE,12,FALSE)</f>
        <v>MIGRADO</v>
      </c>
      <c r="H37" s="31">
        <f>VLOOKUP(C37,ANTIGÜEDAD!A:BE,14,FALSE)</f>
        <v>45898</v>
      </c>
      <c r="I37" s="19">
        <f>VLOOKUP(C37,ANTIGÜEDAD!A:BE,19,FALSE)</f>
        <v>16</v>
      </c>
      <c r="J37" s="31" t="str">
        <f>VLOOKUP(C37,ANTIGÜEDAD!A:BE,56,FALSE)</f>
        <v>Viernes</v>
      </c>
      <c r="K37" s="32" t="str">
        <f>VLOOKUP(C37,ANTIGÜEDAD!A:BE,57,FALSE)</f>
        <v>16:00</v>
      </c>
      <c r="L37" s="19" t="str">
        <f>VLOOKUP(C37,ANTIGÜEDAD!A:BE,20,FALSE)</f>
        <v>Semanal</v>
      </c>
      <c r="M37" s="30">
        <f>VLOOKUP(C37,ANTIGÜEDAD!A:BE,21,FALSE)</f>
        <v>3876.03</v>
      </c>
      <c r="N37" s="33" t="str">
        <f>IFERROR(VLOOKUP(C37,'Reporte de cobranza'!G:BL,34,FALSE),"")</f>
        <v>07/11/2025</v>
      </c>
      <c r="O37" s="30">
        <f>IF(AI37="Desertor sin mora",0,VLOOKUP(C37,ANTIGÜEDAD!A:BJ,44,FALSE))</f>
        <v>27128.54</v>
      </c>
      <c r="P37" s="30">
        <f t="shared" si="5"/>
        <v>62016.480000000003</v>
      </c>
      <c r="Q37" s="30">
        <f t="shared" ca="1" si="1"/>
        <v>27132.21</v>
      </c>
      <c r="R37" s="30">
        <f>IF(AI37="Desertor sin mora",0,VLOOKUP(C37,ANTIGÜEDAD!A:BJ,26,FALSE))</f>
        <v>22312.5</v>
      </c>
      <c r="S37" s="30">
        <f t="shared" ca="1" si="6"/>
        <v>-3.6699999999982538</v>
      </c>
      <c r="T37" s="30">
        <f>IF(V37&gt;0,IF(VLOOKUP(TEXT(C37,"000000"),Ahorros_concentrado!B:D,3,0)+F37*0.1&gt;V37,V37,VLOOKUP(TEXT(C37,"000000"),Ahorros_concentrado!B:D,3,0)+F37*0.1),0)</f>
        <v>0</v>
      </c>
      <c r="U37" s="30">
        <f t="shared" si="7"/>
        <v>0</v>
      </c>
      <c r="V37" s="30">
        <f>IF(AI37="Desertor sin mora",0,VLOOKUP(C37,'SITUACIÓN DE CARTERA'!A:AR,26,FALSE))</f>
        <v>0</v>
      </c>
      <c r="W37" s="134">
        <f>IF(AI37="Desertor sin mora",0,VLOOKUP(C37,'SITUACIÓN DE CARTERA'!A:AR,27,FALSE))/100</f>
        <v>0</v>
      </c>
      <c r="X37" s="30">
        <f>IF(V37&gt;0,VLOOKUP(C37,ANTIGÜEDAD!A:BE,26,FALSE),0)</f>
        <v>0</v>
      </c>
      <c r="Z37" s="34">
        <f>IF(AI37="Desertor sin mora",VLOOKUP(C37,ANTIGÜEDAD!A:Q,17,0)/AA37,F37/AA37)</f>
        <v>10200</v>
      </c>
      <c r="AA37" s="19">
        <f>IF(AI37="Desertor sin mora",VLOOKUP(C37,ANTIGÜEDAD!A:M,13,0),VLOOKUP(C37,'SITUACIÓN DE CARTERA'!A:AR,43,FALSE))</f>
        <v>5</v>
      </c>
      <c r="AB37" s="19">
        <f t="shared" ca="1" si="2"/>
        <v>9</v>
      </c>
      <c r="AC37" s="42">
        <f>IF(AI37="Desertor sin mora",0,(VLOOKUP(C37,'SITUACIÓN DE CARTERA'!A:AS,45,FALSE))/M37)</f>
        <v>9.0009623248530062</v>
      </c>
      <c r="AD37" s="19">
        <f>IF(AI37="Desertor sin mora",0,VLOOKUP(C37,'Reporte de cobranza'!G:BL,35,FALSE))</f>
        <v>7</v>
      </c>
      <c r="AE37" s="19">
        <f>IF(AI37="Desertor sin mora",I37,VLOOKUP(C37,'Reporte de cobranza'!G:BL,36,FALSE))</f>
        <v>16</v>
      </c>
      <c r="AF37" s="19">
        <f>VLOOKUP(C37,ANTIGÜEDAD!A:BE,18,FALSE)</f>
        <v>0</v>
      </c>
      <c r="AG37" s="30">
        <f>IFERROR(VLOOKUP(C37,Ahorros_concentrado!B:D,3,FALSE),0)</f>
        <v>1742</v>
      </c>
      <c r="AH37" s="43">
        <f t="shared" ca="1" si="3"/>
        <v>4.9936547332078328E-2</v>
      </c>
      <c r="AI37" s="19" t="str">
        <f>IF(VLOOKUP(C37,ANTIGÜEDAD!A:AG,33,0)="Entregado","Vigente",IF(VLOOKUP(C37,ANTIGÜEDAD!A:AG,33,0)="Liquidado","Desertor sin mora",""))</f>
        <v>Vigente</v>
      </c>
      <c r="AJ37" s="98" t="str">
        <f t="shared" si="4"/>
        <v>000005101</v>
      </c>
    </row>
    <row r="38" spans="1:36" x14ac:dyDescent="0.3">
      <c r="A38" s="19" t="str">
        <f>VLOOKUP(C38,ANTIGÜEDAD!A:BJ,4,FALSE)</f>
        <v>IRVIN URIEL MORA VELAZCO</v>
      </c>
      <c r="B38" s="19" t="str">
        <f>IFERROR(VLOOKUP(ANTIGÜEDAD!F37,'Parche Promotores'!A:B,2,0),ANTIGÜEDAD!F37)</f>
        <v>Flores Mendez Veronica</v>
      </c>
      <c r="C38" s="6" t="str">
        <f>TEXT(ANTIGÜEDAD!I37,"000000")</f>
        <v>000060</v>
      </c>
      <c r="D38" s="6" t="str">
        <f>ANTIGÜEDAD!K37</f>
        <v>DIAMANTES</v>
      </c>
      <c r="E38" s="29" t="str">
        <f>IFERROR(VLOOKUP(C38,'SITUACIÓN DE CARTERA'!A:AR,12,FALSE),VLOOKUP(C38,ANTIGÜEDAD!A:J,10,0))</f>
        <v>01</v>
      </c>
      <c r="F38" s="30">
        <f>VLOOKUP(C38,ANTIGÜEDAD!A:BE,17,FALSE)</f>
        <v>144000</v>
      </c>
      <c r="G38" s="30" t="str">
        <f>VLOOKUP(C38,ANTIGÜEDAD!A:BE,12,FALSE)</f>
        <v>MIGRADO</v>
      </c>
      <c r="H38" s="31">
        <f>VLOOKUP(C38,ANTIGÜEDAD!A:BE,14,FALSE)</f>
        <v>45904</v>
      </c>
      <c r="I38" s="19">
        <f>VLOOKUP(C38,ANTIGÜEDAD!A:BE,19,FALSE)</f>
        <v>16</v>
      </c>
      <c r="J38" s="31" t="str">
        <f>VLOOKUP(C38,ANTIGÜEDAD!A:BE,56,FALSE)</f>
        <v>Jueves</v>
      </c>
      <c r="K38" s="32" t="str">
        <f>VLOOKUP(C38,ANTIGÜEDAD!A:BE,57,FALSE)</f>
        <v>10:00</v>
      </c>
      <c r="L38" s="19" t="str">
        <f>VLOOKUP(C38,ANTIGÜEDAD!A:BE,20,FALSE)</f>
        <v>Semanal</v>
      </c>
      <c r="M38" s="30">
        <f>VLOOKUP(C38,ANTIGÜEDAD!A:BE,21,FALSE)</f>
        <v>10944.1</v>
      </c>
      <c r="N38" s="33" t="str">
        <f>IFERROR(VLOOKUP(C38,'Reporte de cobranza'!G:BL,34,FALSE),"")</f>
        <v>06/11/2025</v>
      </c>
      <c r="O38" s="30">
        <f>IF(AI38="Desertor sin mora",0,VLOOKUP(C38,ANTIGÜEDAD!A:BJ,44,FALSE))</f>
        <v>87552.540000000008</v>
      </c>
      <c r="P38" s="30">
        <f t="shared" si="5"/>
        <v>175105.6</v>
      </c>
      <c r="Q38" s="30">
        <f t="shared" ca="1" si="1"/>
        <v>87552.8</v>
      </c>
      <c r="R38" s="30">
        <f>IF(AI38="Desertor sin mora",0,VLOOKUP(C38,ANTIGÜEDAD!A:BJ,26,FALSE))</f>
        <v>72000</v>
      </c>
      <c r="S38" s="30">
        <f t="shared" ca="1" si="6"/>
        <v>-0.25999999999476131</v>
      </c>
      <c r="T38" s="30">
        <f>IF(V38&gt;0,IF(VLOOKUP(TEXT(C38,"000000"),Ahorros_concentrado!B:D,3,0)+F38*0.1&gt;V38,V38,VLOOKUP(TEXT(C38,"000000"),Ahorros_concentrado!B:D,3,0)+F38*0.1),0)</f>
        <v>0</v>
      </c>
      <c r="U38" s="30">
        <f t="shared" si="7"/>
        <v>0</v>
      </c>
      <c r="V38" s="30">
        <f>IF(AI38="Desertor sin mora",0,VLOOKUP(C38,'SITUACIÓN DE CARTERA'!A:AR,26,FALSE))</f>
        <v>0</v>
      </c>
      <c r="W38" s="134">
        <f>IF(AI38="Desertor sin mora",0,VLOOKUP(C38,'SITUACIÓN DE CARTERA'!A:AR,27,FALSE))/100</f>
        <v>0</v>
      </c>
      <c r="X38" s="30">
        <f>IF(V38&gt;0,VLOOKUP(C38,ANTIGÜEDAD!A:BE,26,FALSE),0)</f>
        <v>0</v>
      </c>
      <c r="Z38" s="34">
        <f>IF(AI38="Desertor sin mora",VLOOKUP(C38,ANTIGÜEDAD!A:Q,17,0)/AA38,F38/AA38)</f>
        <v>24000</v>
      </c>
      <c r="AA38" s="19">
        <f>IF(AI38="Desertor sin mora",VLOOKUP(C38,ANTIGÜEDAD!A:M,13,0),VLOOKUP(C38,'SITUACIÓN DE CARTERA'!A:AR,43,FALSE))</f>
        <v>6</v>
      </c>
      <c r="AB38" s="19">
        <f t="shared" ca="1" si="2"/>
        <v>8</v>
      </c>
      <c r="AC38" s="42">
        <f>IF(AI38="Desertor sin mora",0,(VLOOKUP(C38,'SITUACIÓN DE CARTERA'!A:AS,45,FALSE))/M38)</f>
        <v>8.000018274686818</v>
      </c>
      <c r="AD38" s="19">
        <f>IF(AI38="Desertor sin mora",0,VLOOKUP(C38,'Reporte de cobranza'!G:BL,35,FALSE))</f>
        <v>8</v>
      </c>
      <c r="AE38" s="19">
        <f>IF(AI38="Desertor sin mora",I38,VLOOKUP(C38,'Reporte de cobranza'!G:BL,36,FALSE))</f>
        <v>16</v>
      </c>
      <c r="AF38" s="19">
        <f>VLOOKUP(C38,ANTIGÜEDAD!A:BE,18,FALSE)</f>
        <v>0</v>
      </c>
      <c r="AG38" s="30">
        <f>IFERROR(VLOOKUP(C38,Ahorros_concentrado!B:D,3,FALSE),0)</f>
        <v>0</v>
      </c>
      <c r="AH38" s="43">
        <f t="shared" ca="1" si="3"/>
        <v>0</v>
      </c>
      <c r="AI38" s="19" t="str">
        <f>IF(VLOOKUP(C38,ANTIGÜEDAD!A:AG,33,0)="Entregado","Vigente",IF(VLOOKUP(C38,ANTIGÜEDAD!A:AG,33,0)="Liquidado","Desertor sin mora",""))</f>
        <v>Vigente</v>
      </c>
      <c r="AJ38" s="98" t="str">
        <f t="shared" si="4"/>
        <v>000006001</v>
      </c>
    </row>
    <row r="39" spans="1:36" x14ac:dyDescent="0.3">
      <c r="A39" s="19" t="str">
        <f>VLOOKUP(C39,ANTIGÜEDAD!A:BJ,4,FALSE)</f>
        <v>ADRIANA ALEJALDRE GUZMAN</v>
      </c>
      <c r="B39" s="19" t="str">
        <f>IFERROR(VLOOKUP(ANTIGÜEDAD!F38,'Parche Promotores'!A:B,2,0),ANTIGÜEDAD!F38)</f>
        <v>Lopez Cabrera Edith Alejandra</v>
      </c>
      <c r="C39" s="6" t="str">
        <f>TEXT(ANTIGÜEDAD!I38,"000000")</f>
        <v>000042</v>
      </c>
      <c r="D39" s="6" t="str">
        <f>ANTIGÜEDAD!K38</f>
        <v>MARIPOSAS</v>
      </c>
      <c r="E39" s="29" t="str">
        <f>IFERROR(VLOOKUP(C39,'SITUACIÓN DE CARTERA'!A:AR,12,FALSE),VLOOKUP(C39,ANTIGÜEDAD!A:J,10,0))</f>
        <v>01</v>
      </c>
      <c r="F39" s="30">
        <f>VLOOKUP(C39,ANTIGÜEDAD!A:BE,17,FALSE)</f>
        <v>80000</v>
      </c>
      <c r="G39" s="30" t="str">
        <f>VLOOKUP(C39,ANTIGÜEDAD!A:BE,12,FALSE)</f>
        <v>MIGRADO</v>
      </c>
      <c r="H39" s="31">
        <f>VLOOKUP(C39,ANTIGÜEDAD!A:BE,14,FALSE)</f>
        <v>45897</v>
      </c>
      <c r="I39" s="19">
        <f>VLOOKUP(C39,ANTIGÜEDAD!A:BE,19,FALSE)</f>
        <v>16</v>
      </c>
      <c r="J39" s="31" t="str">
        <f>VLOOKUP(C39,ANTIGÜEDAD!A:BE,56,FALSE)</f>
        <v>Jueves</v>
      </c>
      <c r="K39" s="32" t="str">
        <f>VLOOKUP(C39,ANTIGÜEDAD!A:BE,57,FALSE)</f>
        <v>02:00</v>
      </c>
      <c r="L39" s="19" t="str">
        <f>VLOOKUP(C39,ANTIGÜEDAD!A:BE,20,FALSE)</f>
        <v>Semanal</v>
      </c>
      <c r="M39" s="30">
        <f>VLOOKUP(C39,ANTIGÜEDAD!A:BE,21,FALSE)</f>
        <v>6080.05</v>
      </c>
      <c r="N39" s="33" t="str">
        <f>IFERROR(VLOOKUP(C39,'Reporte de cobranza'!G:BL,34,FALSE),"")</f>
        <v>06/11/2025</v>
      </c>
      <c r="O39" s="30">
        <f>IF(AI39="Desertor sin mora",0,VLOOKUP(C39,ANTIGÜEDAD!A:BJ,44,FALSE))</f>
        <v>42515.85</v>
      </c>
      <c r="P39" s="30">
        <f t="shared" si="5"/>
        <v>97280.8</v>
      </c>
      <c r="Q39" s="30">
        <f t="shared" ca="1" si="1"/>
        <v>42560.35</v>
      </c>
      <c r="R39" s="30">
        <f>IF(AI39="Desertor sin mora",0,VLOOKUP(C39,ANTIGÜEDAD!A:BJ,26,FALSE))</f>
        <v>35000</v>
      </c>
      <c r="S39" s="30">
        <f t="shared" ca="1" si="6"/>
        <v>-44.5</v>
      </c>
      <c r="T39" s="30">
        <f>IF(V39&gt;0,IF(VLOOKUP(TEXT(C39,"000000"),Ahorros_concentrado!B:D,3,0)+F39*0.1&gt;V39,V39,VLOOKUP(TEXT(C39,"000000"),Ahorros_concentrado!B:D,3,0)+F39*0.1),0)</f>
        <v>0</v>
      </c>
      <c r="U39" s="30">
        <f t="shared" si="7"/>
        <v>0</v>
      </c>
      <c r="V39" s="30">
        <f>IF(AI39="Desertor sin mora",0,VLOOKUP(C39,'SITUACIÓN DE CARTERA'!A:AR,26,FALSE))</f>
        <v>0</v>
      </c>
      <c r="W39" s="134">
        <f>IF(AI39="Desertor sin mora",0,VLOOKUP(C39,'SITUACIÓN DE CARTERA'!A:AR,27,FALSE))/100</f>
        <v>0</v>
      </c>
      <c r="X39" s="30">
        <f>IF(V39&gt;0,VLOOKUP(C39,ANTIGÜEDAD!A:BE,26,FALSE),0)</f>
        <v>0</v>
      </c>
      <c r="Z39" s="34">
        <f>IF(AI39="Desertor sin mora",VLOOKUP(C39,ANTIGÜEDAD!A:Q,17,0)/AA39,F39/AA39)</f>
        <v>16000</v>
      </c>
      <c r="AA39" s="19">
        <f>IF(AI39="Desertor sin mora",VLOOKUP(C39,ANTIGÜEDAD!A:M,13,0),VLOOKUP(C39,'SITUACIÓN DE CARTERA'!A:AR,43,FALSE))</f>
        <v>5</v>
      </c>
      <c r="AB39" s="19">
        <f t="shared" ref="AB39:AB70" ca="1" si="8">IF(AI39="Desertor sin mora",INT((TODAY()-H39)/7),AE39-AD39)</f>
        <v>9</v>
      </c>
      <c r="AC39" s="42">
        <f>IF(AI39="Desertor sin mora",0,(VLOOKUP(C39,'SITUACIÓN DE CARTERA'!A:AS,45,FALSE))/M39)</f>
        <v>9.007327242374652</v>
      </c>
      <c r="AD39" s="19">
        <f>IF(AI39="Desertor sin mora",0,VLOOKUP(C39,'Reporte de cobranza'!G:BL,35,FALSE))</f>
        <v>7</v>
      </c>
      <c r="AE39" s="19">
        <f>IF(AI39="Desertor sin mora",I39,VLOOKUP(C39,'Reporte de cobranza'!G:BL,36,FALSE))</f>
        <v>16</v>
      </c>
      <c r="AF39" s="19">
        <f>VLOOKUP(C39,ANTIGÜEDAD!A:BE,18,FALSE)</f>
        <v>0</v>
      </c>
      <c r="AG39" s="30">
        <f>IFERROR(VLOOKUP(C39,Ahorros_concentrado!B:D,3,FALSE),0)</f>
        <v>2692</v>
      </c>
      <c r="AH39" s="43">
        <f t="shared" ref="AH39:AH70" ca="1" si="9">IFERROR((AG39/M39)/AB39,0)</f>
        <v>4.9195501864476625E-2</v>
      </c>
      <c r="AI39" s="19" t="str">
        <f>IF(VLOOKUP(C39,ANTIGÜEDAD!A:AG,33,0)="Entregado","Vigente",IF(VLOOKUP(C39,ANTIGÜEDAD!A:AG,33,0)="Liquidado","Desertor sin mora",""))</f>
        <v>Vigente</v>
      </c>
      <c r="AJ39" s="98" t="str">
        <f t="shared" ref="AJ39:AJ70" si="10">"0"&amp;TEXT(C39,"000000")&amp;TEXT(E39,"00")</f>
        <v>000004201</v>
      </c>
    </row>
    <row r="40" spans="1:36" x14ac:dyDescent="0.3">
      <c r="A40" s="19" t="str">
        <f>VLOOKUP(C40,ANTIGÜEDAD!A:BJ,4,FALSE)</f>
        <v>IRVIN URIEL MORA VELAZCO</v>
      </c>
      <c r="B40" s="19" t="str">
        <f>IFERROR(VLOOKUP(ANTIGÜEDAD!F39,'Parche Promotores'!A:B,2,0),ANTIGÜEDAD!F39)</f>
        <v>Olivares Morales Josue Edgar</v>
      </c>
      <c r="C40" s="6" t="str">
        <f>TEXT(ANTIGÜEDAD!I39,"000000")</f>
        <v>000194</v>
      </c>
      <c r="D40" s="6" t="str">
        <f>ANTIGÜEDAD!K39</f>
        <v>NUEVO RENACER</v>
      </c>
      <c r="E40" s="29" t="str">
        <f>IFERROR(VLOOKUP(C40,'SITUACIÓN DE CARTERA'!A:AR,12,FALSE),VLOOKUP(C40,ANTIGÜEDAD!A:J,10,0))</f>
        <v>01</v>
      </c>
      <c r="F40" s="30">
        <f>VLOOKUP(C40,ANTIGÜEDAD!A:BE,17,FALSE)</f>
        <v>129000</v>
      </c>
      <c r="G40" s="30" t="str">
        <f>VLOOKUP(C40,ANTIGÜEDAD!A:BE,12,FALSE)</f>
        <v>MIGRADO</v>
      </c>
      <c r="H40" s="31">
        <f>VLOOKUP(C40,ANTIGÜEDAD!A:BE,14,FALSE)</f>
        <v>45959</v>
      </c>
      <c r="I40" s="19">
        <f>VLOOKUP(C40,ANTIGÜEDAD!A:BE,19,FALSE)</f>
        <v>16</v>
      </c>
      <c r="J40" s="31" t="str">
        <f>VLOOKUP(C40,ANTIGÜEDAD!A:BE,56,FALSE)</f>
        <v>Miércoles</v>
      </c>
      <c r="K40" s="32" t="str">
        <f>VLOOKUP(C40,ANTIGÜEDAD!A:BE,57,FALSE)</f>
        <v>15:00</v>
      </c>
      <c r="L40" s="19" t="str">
        <f>VLOOKUP(C40,ANTIGÜEDAD!A:BE,20,FALSE)</f>
        <v>Semanal</v>
      </c>
      <c r="M40" s="30">
        <f>VLOOKUP(C40,ANTIGÜEDAD!A:BE,21,FALSE)</f>
        <v>9804.09</v>
      </c>
      <c r="N40" s="33" t="str">
        <f>IFERROR(VLOOKUP(C40,'Reporte de cobranza'!G:BL,34,FALSE),"")</f>
        <v>05/11/2025</v>
      </c>
      <c r="O40" s="30">
        <f>IF(AI40="Desertor sin mora",0,VLOOKUP(C40,ANTIGÜEDAD!A:BJ,44,FALSE))</f>
        <v>156865.38</v>
      </c>
      <c r="P40" s="30">
        <f t="shared" si="5"/>
        <v>156865.44</v>
      </c>
      <c r="Q40" s="30">
        <f t="shared" ca="1" si="1"/>
        <v>156865.44</v>
      </c>
      <c r="R40" s="30">
        <f>IF(AI40="Desertor sin mora",0,VLOOKUP(C40,ANTIGÜEDAD!A:BJ,26,FALSE))</f>
        <v>129000</v>
      </c>
      <c r="S40" s="30">
        <f t="shared" ca="1" si="6"/>
        <v>-5.9999999997671694E-2</v>
      </c>
      <c r="T40" s="30">
        <f>IF(V40&gt;0,IF(VLOOKUP(TEXT(C40,"000000"),Ahorros_concentrado!B:D,3,0)+F40*0.1&gt;V40,V40,VLOOKUP(TEXT(C40,"000000"),Ahorros_concentrado!B:D,3,0)+F40*0.1),0)</f>
        <v>0</v>
      </c>
      <c r="U40" s="30">
        <f t="shared" si="7"/>
        <v>0</v>
      </c>
      <c r="V40" s="30">
        <f>IF(AI40="Desertor sin mora",0,VLOOKUP(C40,'SITUACIÓN DE CARTERA'!A:AR,26,FALSE))</f>
        <v>0</v>
      </c>
      <c r="W40" s="134">
        <f>IF(AI40="Desertor sin mora",0,VLOOKUP(C40,'SITUACIÓN DE CARTERA'!A:AR,27,FALSE))/100</f>
        <v>0</v>
      </c>
      <c r="X40" s="30">
        <f>IF(V40&gt;0,VLOOKUP(C40,ANTIGÜEDAD!A:BE,26,FALSE),0)</f>
        <v>0</v>
      </c>
      <c r="Z40" s="34">
        <f>IF(AI40="Desertor sin mora",VLOOKUP(C40,ANTIGÜEDAD!A:Q,17,0)/AA40,F40/AA40)</f>
        <v>21500</v>
      </c>
      <c r="AA40" s="19">
        <f>IF(AI40="Desertor sin mora",VLOOKUP(C40,ANTIGÜEDAD!A:M,13,0),VLOOKUP(C40,'SITUACIÓN DE CARTERA'!A:AR,43,FALSE))</f>
        <v>6</v>
      </c>
      <c r="AB40" s="19">
        <f t="shared" ca="1" si="8"/>
        <v>0</v>
      </c>
      <c r="AC40" s="42">
        <f>IF(AI40="Desertor sin mora",0,(VLOOKUP(C40,'SITUACIÓN DE CARTERA'!A:AS,45,FALSE))/M40)</f>
        <v>0</v>
      </c>
      <c r="AD40" s="19">
        <f>IF(AI40="Desertor sin mora",0,VLOOKUP(C40,'Reporte de cobranza'!G:BL,35,FALSE))</f>
        <v>16</v>
      </c>
      <c r="AE40" s="19">
        <f>IF(AI40="Desertor sin mora",I40,VLOOKUP(C40,'Reporte de cobranza'!G:BL,36,FALSE))</f>
        <v>16</v>
      </c>
      <c r="AF40" s="19">
        <f>VLOOKUP(C40,ANTIGÜEDAD!A:BE,18,FALSE)</f>
        <v>0</v>
      </c>
      <c r="AG40" s="30">
        <f>IFERROR(VLOOKUP(C40,Ahorros_concentrado!B:D,3,FALSE),0)</f>
        <v>0</v>
      </c>
      <c r="AH40" s="43">
        <f t="shared" ca="1" si="9"/>
        <v>0</v>
      </c>
      <c r="AI40" s="19" t="str">
        <f>IF(VLOOKUP(C40,ANTIGÜEDAD!A:AG,33,0)="Entregado","Vigente",IF(VLOOKUP(C40,ANTIGÜEDAD!A:AG,33,0)="Liquidado","Desertor sin mora",""))</f>
        <v>Vigente</v>
      </c>
      <c r="AJ40" s="98" t="str">
        <f t="shared" si="10"/>
        <v>000019401</v>
      </c>
    </row>
    <row r="41" spans="1:36" x14ac:dyDescent="0.3">
      <c r="A41" s="19" t="str">
        <f>VLOOKUP(C41,ANTIGÜEDAD!A:BJ,4,FALSE)</f>
        <v>IRVIN URIEL MORA VELAZCO</v>
      </c>
      <c r="B41" s="19" t="str">
        <f>IFERROR(VLOOKUP(ANTIGÜEDAD!F40,'Parche Promotores'!A:B,2,0),ANTIGÜEDAD!F40)</f>
        <v>Flores Mendez Veronica</v>
      </c>
      <c r="C41" s="6" t="str">
        <f>TEXT(ANTIGÜEDAD!I40,"000000")</f>
        <v>000137</v>
      </c>
      <c r="D41" s="6" t="str">
        <f>ANTIGÜEDAD!K40</f>
        <v>LOS CAPIBARAS</v>
      </c>
      <c r="E41" s="29" t="str">
        <f>IFERROR(VLOOKUP(C41,'SITUACIÓN DE CARTERA'!A:AR,12,FALSE),VLOOKUP(C41,ANTIGÜEDAD!A:J,10,0))</f>
        <v>01</v>
      </c>
      <c r="F41" s="30">
        <f>VLOOKUP(C41,ANTIGÜEDAD!A:BE,17,FALSE)</f>
        <v>113000</v>
      </c>
      <c r="G41" s="30" t="str">
        <f>VLOOKUP(C41,ANTIGÜEDAD!A:BE,12,FALSE)</f>
        <v>MIGRADO</v>
      </c>
      <c r="H41" s="31">
        <f>VLOOKUP(C41,ANTIGÜEDAD!A:BE,14,FALSE)</f>
        <v>45937</v>
      </c>
      <c r="I41" s="19">
        <f>VLOOKUP(C41,ANTIGÜEDAD!A:BE,19,FALSE)</f>
        <v>16</v>
      </c>
      <c r="J41" s="31" t="str">
        <f>VLOOKUP(C41,ANTIGÜEDAD!A:BE,56,FALSE)</f>
        <v>Martes</v>
      </c>
      <c r="K41" s="32" t="str">
        <f>VLOOKUP(C41,ANTIGÜEDAD!A:BE,57,FALSE)</f>
        <v>12:00</v>
      </c>
      <c r="L41" s="19" t="str">
        <f>VLOOKUP(C41,ANTIGÜEDAD!A:BE,20,FALSE)</f>
        <v>Semanal</v>
      </c>
      <c r="M41" s="30">
        <f>VLOOKUP(C41,ANTIGÜEDAD!A:BE,21,FALSE)</f>
        <v>8588.08</v>
      </c>
      <c r="N41" s="33" t="str">
        <f>IFERROR(VLOOKUP(C41,'Reporte de cobranza'!G:BL,34,FALSE),"")</f>
        <v>04/11/2025</v>
      </c>
      <c r="O41" s="30">
        <f>IF(AI41="Desertor sin mora",0,VLOOKUP(C41,ANTIGÜEDAD!A:BJ,44,FALSE))</f>
        <v>111645.21</v>
      </c>
      <c r="P41" s="30">
        <f t="shared" si="5"/>
        <v>137409.28</v>
      </c>
      <c r="Q41" s="30">
        <f t="shared" ca="1" si="1"/>
        <v>111645.21</v>
      </c>
      <c r="R41" s="30">
        <f>IF(AI41="Desertor sin mora",0,VLOOKUP(C41,ANTIGÜEDAD!A:BJ,26,FALSE))</f>
        <v>91812.72</v>
      </c>
      <c r="S41" s="30">
        <f t="shared" ca="1" si="6"/>
        <v>0</v>
      </c>
      <c r="T41" s="30">
        <f>IF(V41&gt;0,IF(VLOOKUP(TEXT(C41,"000000"),Ahorros_concentrado!B:D,3,0)+F41*0.1&gt;V41,V41,VLOOKUP(TEXT(C41,"000000"),Ahorros_concentrado!B:D,3,0)+F41*0.1),0)</f>
        <v>0</v>
      </c>
      <c r="U41" s="30">
        <f t="shared" si="7"/>
        <v>0</v>
      </c>
      <c r="V41" s="30">
        <f>IF(AI41="Desertor sin mora",0,VLOOKUP(C41,'SITUACIÓN DE CARTERA'!A:AR,26,FALSE))</f>
        <v>0</v>
      </c>
      <c r="W41" s="134">
        <f>IF(AI41="Desertor sin mora",0,VLOOKUP(C41,'SITUACIÓN DE CARTERA'!A:AR,27,FALSE))/100</f>
        <v>0</v>
      </c>
      <c r="X41" s="30">
        <f>IF(V41&gt;0,VLOOKUP(C41,ANTIGÜEDAD!A:BE,26,FALSE),0)</f>
        <v>0</v>
      </c>
      <c r="Z41" s="34">
        <f>IF(AI41="Desertor sin mora",VLOOKUP(C41,ANTIGÜEDAD!A:Q,17,0)/AA41,F41/AA41)</f>
        <v>14125</v>
      </c>
      <c r="AA41" s="19">
        <f>IF(AI41="Desertor sin mora",VLOOKUP(C41,ANTIGÜEDAD!A:M,13,0),VLOOKUP(C41,'SITUACIÓN DE CARTERA'!A:AR,43,FALSE))</f>
        <v>8</v>
      </c>
      <c r="AB41" s="19">
        <f t="shared" ca="1" si="8"/>
        <v>3</v>
      </c>
      <c r="AC41" s="42">
        <f>IF(AI41="Desertor sin mora",0,(VLOOKUP(C41,'SITUACIÓN DE CARTERA'!A:AS,45,FALSE))/M41)</f>
        <v>2.9999720542892008</v>
      </c>
      <c r="AD41" s="19">
        <f>IF(AI41="Desertor sin mora",0,VLOOKUP(C41,'Reporte de cobranza'!G:BL,35,FALSE))</f>
        <v>13</v>
      </c>
      <c r="AE41" s="19">
        <f>IF(AI41="Desertor sin mora",I41,VLOOKUP(C41,'Reporte de cobranza'!G:BL,36,FALSE))</f>
        <v>16</v>
      </c>
      <c r="AF41" s="19">
        <f>VLOOKUP(C41,ANTIGÜEDAD!A:BE,18,FALSE)</f>
        <v>0</v>
      </c>
      <c r="AG41" s="30">
        <f>IFERROR(VLOOKUP(C41,Ahorros_concentrado!B:D,3,FALSE),0)</f>
        <v>2308</v>
      </c>
      <c r="AH41" s="43">
        <f t="shared" ca="1" si="9"/>
        <v>8.9581528506177552E-2</v>
      </c>
      <c r="AI41" s="19" t="str">
        <f>IF(VLOOKUP(C41,ANTIGÜEDAD!A:AG,33,0)="Entregado","Vigente",IF(VLOOKUP(C41,ANTIGÜEDAD!A:AG,33,0)="Liquidado","Desertor sin mora",""))</f>
        <v>Vigente</v>
      </c>
      <c r="AJ41" s="98" t="str">
        <f t="shared" si="10"/>
        <v>000013701</v>
      </c>
    </row>
    <row r="42" spans="1:36" x14ac:dyDescent="0.3">
      <c r="A42" s="19" t="str">
        <f>VLOOKUP(C42,ANTIGÜEDAD!A:BJ,4,FALSE)</f>
        <v>JUDITH PATRICIA SERRANO HERRER</v>
      </c>
      <c r="B42" s="19" t="str">
        <f>IFERROR(VLOOKUP(ANTIGÜEDAD!F41,'Parche Promotores'!A:B,2,0),ANTIGÜEDAD!F41)</f>
        <v>ORTEGA FORTANEL GABRIELA</v>
      </c>
      <c r="C42" s="6" t="str">
        <f>TEXT(ANTIGÜEDAD!I41,"000000")</f>
        <v>000077</v>
      </c>
      <c r="D42" s="6" t="str">
        <f>ANTIGÜEDAD!K41</f>
        <v>LAS ESTRELLAS</v>
      </c>
      <c r="E42" s="29" t="str">
        <f>IFERROR(VLOOKUP(C42,'SITUACIÓN DE CARTERA'!A:AR,12,FALSE),VLOOKUP(C42,ANTIGÜEDAD!A:J,10,0))</f>
        <v>01</v>
      </c>
      <c r="F42" s="30">
        <f>VLOOKUP(C42,ANTIGÜEDAD!A:BE,17,FALSE)</f>
        <v>198000</v>
      </c>
      <c r="G42" s="30" t="str">
        <f>VLOOKUP(C42,ANTIGÜEDAD!A:BE,12,FALSE)</f>
        <v>MIGRADO</v>
      </c>
      <c r="H42" s="31">
        <f>VLOOKUP(C42,ANTIGÜEDAD!A:BE,14,FALSE)</f>
        <v>45912</v>
      </c>
      <c r="I42" s="19">
        <f>VLOOKUP(C42,ANTIGÜEDAD!A:BE,19,FALSE)</f>
        <v>16</v>
      </c>
      <c r="J42" s="31" t="str">
        <f>VLOOKUP(C42,ANTIGÜEDAD!A:BE,56,FALSE)</f>
        <v>Viernes</v>
      </c>
      <c r="K42" s="32" t="str">
        <f>VLOOKUP(C42,ANTIGÜEDAD!A:BE,57,FALSE)</f>
        <v>16:00</v>
      </c>
      <c r="L42" s="19" t="str">
        <f>VLOOKUP(C42,ANTIGÜEDAD!A:BE,20,FALSE)</f>
        <v>Semanal</v>
      </c>
      <c r="M42" s="30">
        <f>VLOOKUP(C42,ANTIGÜEDAD!A:BE,21,FALSE)</f>
        <v>15048.130000000001</v>
      </c>
      <c r="N42" s="33" t="str">
        <f>IFERROR(VLOOKUP(C42,'Reporte de cobranza'!G:BL,34,FALSE),"")</f>
        <v>07/11/2025</v>
      </c>
      <c r="O42" s="30">
        <f>IF(AI42="Desertor sin mora",0,VLOOKUP(C42,ANTIGÜEDAD!A:BJ,44,FALSE))</f>
        <v>134342.11000000002</v>
      </c>
      <c r="P42" s="30">
        <f t="shared" si="5"/>
        <v>240770.08000000002</v>
      </c>
      <c r="Q42" s="30">
        <f t="shared" ca="1" si="1"/>
        <v>135433.17000000001</v>
      </c>
      <c r="R42" s="30">
        <f>IF(AI42="Desertor sin mora",0,VLOOKUP(C42,ANTIGÜEDAD!A:BJ,26,FALSE))</f>
        <v>111375</v>
      </c>
      <c r="S42" s="30">
        <f t="shared" ca="1" si="6"/>
        <v>-1091.0599999999977</v>
      </c>
      <c r="T42" s="30">
        <f>IF(V42&gt;0,IF(VLOOKUP(TEXT(C42,"000000"),Ahorros_concentrado!B:D,3,0)+F42*0.1&gt;V42,V42,VLOOKUP(TEXT(C42,"000000"),Ahorros_concentrado!B:D,3,0)+F42*0.1),0)</f>
        <v>0</v>
      </c>
      <c r="U42" s="30">
        <f t="shared" si="7"/>
        <v>0</v>
      </c>
      <c r="V42" s="30">
        <f>IF(AI42="Desertor sin mora",0,VLOOKUP(C42,'SITUACIÓN DE CARTERA'!A:AR,26,FALSE))</f>
        <v>0</v>
      </c>
      <c r="W42" s="134">
        <f>IF(AI42="Desertor sin mora",0,VLOOKUP(C42,'SITUACIÓN DE CARTERA'!A:AR,27,FALSE))/100</f>
        <v>0</v>
      </c>
      <c r="X42" s="30">
        <f>IF(V42&gt;0,VLOOKUP(C42,ANTIGÜEDAD!A:BE,26,FALSE),0)</f>
        <v>0</v>
      </c>
      <c r="Z42" s="34">
        <f>IF(AI42="Desertor sin mora",VLOOKUP(C42,ANTIGÜEDAD!A:Q,17,0)/AA42,F42/AA42)</f>
        <v>24750</v>
      </c>
      <c r="AA42" s="19">
        <f>IF(AI42="Desertor sin mora",VLOOKUP(C42,ANTIGÜEDAD!A:M,13,0),VLOOKUP(C42,'SITUACIÓN DE CARTERA'!A:AR,43,FALSE))</f>
        <v>8</v>
      </c>
      <c r="AB42" s="19">
        <f t="shared" ca="1" si="8"/>
        <v>7</v>
      </c>
      <c r="AC42" s="42">
        <f>IF(AI42="Desertor sin mora",0,(VLOOKUP(C42,'SITUACIÓN DE CARTERA'!A:AS,45,FALSE))/M42)</f>
        <v>7.0725066835547006</v>
      </c>
      <c r="AD42" s="19">
        <f>IF(AI42="Desertor sin mora",0,VLOOKUP(C42,'Reporte de cobranza'!G:BL,35,FALSE))</f>
        <v>9</v>
      </c>
      <c r="AE42" s="19">
        <f>IF(AI42="Desertor sin mora",I42,VLOOKUP(C42,'Reporte de cobranza'!G:BL,36,FALSE))</f>
        <v>16</v>
      </c>
      <c r="AF42" s="19">
        <f>VLOOKUP(C42,ANTIGÜEDAD!A:BE,18,FALSE)</f>
        <v>0</v>
      </c>
      <c r="AG42" s="30">
        <f>IFERROR(VLOOKUP(C42,Ahorros_concentrado!B:D,3,FALSE),0)</f>
        <v>7586</v>
      </c>
      <c r="AH42" s="43">
        <f t="shared" ca="1" si="9"/>
        <v>7.2016541969951456E-2</v>
      </c>
      <c r="AI42" s="19" t="str">
        <f>IF(VLOOKUP(C42,ANTIGÜEDAD!A:AG,33,0)="Entregado","Vigente",IF(VLOOKUP(C42,ANTIGÜEDAD!A:AG,33,0)="Liquidado","Desertor sin mora",""))</f>
        <v>Vigente</v>
      </c>
      <c r="AJ42" s="98" t="str">
        <f t="shared" si="10"/>
        <v>000007701</v>
      </c>
    </row>
    <row r="43" spans="1:36" x14ac:dyDescent="0.3">
      <c r="A43" s="19" t="str">
        <f>VLOOKUP(C43,ANTIGÜEDAD!A:BJ,4,FALSE)</f>
        <v>ADRIANA ALEJALDRE GUZMAN</v>
      </c>
      <c r="B43" s="19" t="str">
        <f>IFERROR(VLOOKUP(ANTIGÜEDAD!F42,'Parche Promotores'!A:B,2,0),ANTIGÜEDAD!F42)</f>
        <v>Juarez Palma Ma Ines</v>
      </c>
      <c r="C43" s="6" t="str">
        <f>TEXT(ANTIGÜEDAD!I42,"000000")</f>
        <v>000080</v>
      </c>
      <c r="D43" s="6" t="str">
        <f>ANTIGÜEDAD!K42</f>
        <v>CATALEYA</v>
      </c>
      <c r="E43" s="29" t="str">
        <f>IFERROR(VLOOKUP(C43,'SITUACIÓN DE CARTERA'!A:AR,12,FALSE),VLOOKUP(C43,ANTIGÜEDAD!A:J,10,0))</f>
        <v>01</v>
      </c>
      <c r="F43" s="30">
        <f>VLOOKUP(C43,ANTIGÜEDAD!A:BE,17,FALSE)</f>
        <v>100000</v>
      </c>
      <c r="G43" s="30" t="str">
        <f>VLOOKUP(C43,ANTIGÜEDAD!A:BE,12,FALSE)</f>
        <v>MIGRADO</v>
      </c>
      <c r="H43" s="31">
        <f>VLOOKUP(C43,ANTIGÜEDAD!A:BE,14,FALSE)</f>
        <v>45912</v>
      </c>
      <c r="I43" s="19">
        <f>VLOOKUP(C43,ANTIGÜEDAD!A:BE,19,FALSE)</f>
        <v>16</v>
      </c>
      <c r="J43" s="31" t="str">
        <f>VLOOKUP(C43,ANTIGÜEDAD!A:BE,56,FALSE)</f>
        <v>Viernes</v>
      </c>
      <c r="K43" s="32" t="str">
        <f>VLOOKUP(C43,ANTIGÜEDAD!A:BE,57,FALSE)</f>
        <v>10:00</v>
      </c>
      <c r="L43" s="19" t="str">
        <f>VLOOKUP(C43,ANTIGÜEDAD!A:BE,20,FALSE)</f>
        <v>Semanal</v>
      </c>
      <c r="M43" s="30">
        <f>VLOOKUP(C43,ANTIGÜEDAD!A:BE,21,FALSE)</f>
        <v>7600.07</v>
      </c>
      <c r="N43" s="33" t="str">
        <f>IFERROR(VLOOKUP(C43,'Reporte de cobranza'!G:BL,34,FALSE),"")</f>
        <v>07/11/2025</v>
      </c>
      <c r="O43" s="30">
        <f>IF(AI43="Desertor sin mora",0,VLOOKUP(C43,ANTIGÜEDAD!A:BJ,44,FALSE))</f>
        <v>75980.070000000007</v>
      </c>
      <c r="P43" s="30">
        <f t="shared" si="5"/>
        <v>121601.12</v>
      </c>
      <c r="Q43" s="30">
        <f t="shared" ca="1" si="1"/>
        <v>75980.070000000007</v>
      </c>
      <c r="R43" s="30">
        <f>IF(AI43="Desertor sin mora",0,VLOOKUP(C43,ANTIGÜEDAD!A:BJ,26,FALSE))</f>
        <v>62500</v>
      </c>
      <c r="S43" s="30">
        <f t="shared" ca="1" si="6"/>
        <v>0</v>
      </c>
      <c r="T43" s="30">
        <f>IF(V43&gt;0,IF(VLOOKUP(TEXT(C43,"000000"),Ahorros_concentrado!B:D,3,0)+F43*0.1&gt;V43,V43,VLOOKUP(TEXT(C43,"000000"),Ahorros_concentrado!B:D,3,0)+F43*0.1),0)</f>
        <v>6250</v>
      </c>
      <c r="U43" s="30">
        <f t="shared" si="7"/>
        <v>0</v>
      </c>
      <c r="V43" s="30">
        <f>IF(AI43="Desertor sin mora",0,VLOOKUP(C43,'SITUACIÓN DE CARTERA'!A:AR,26,FALSE))</f>
        <v>6250</v>
      </c>
      <c r="W43" s="134">
        <f>IF(AI43="Desertor sin mora",0,VLOOKUP(C43,'SITUACIÓN DE CARTERA'!A:AR,27,FALSE))/100</f>
        <v>0.1</v>
      </c>
      <c r="X43" s="30">
        <f>IF(V43&gt;0,VLOOKUP(C43,ANTIGÜEDAD!A:BE,26,FALSE),0)</f>
        <v>62500</v>
      </c>
      <c r="Z43" s="34">
        <f>IF(AI43="Desertor sin mora",VLOOKUP(C43,ANTIGÜEDAD!A:Q,17,0)/AA43,F43/AA43)</f>
        <v>16666.666666666668</v>
      </c>
      <c r="AA43" s="19">
        <f>IF(AI43="Desertor sin mora",VLOOKUP(C43,ANTIGÜEDAD!A:M,13,0),VLOOKUP(C43,'SITUACIÓN DE CARTERA'!A:AR,43,FALSE))</f>
        <v>6</v>
      </c>
      <c r="AB43" s="19">
        <f t="shared" ca="1" si="8"/>
        <v>7</v>
      </c>
      <c r="AC43" s="42">
        <f>IF(AI43="Desertor sin mora",0,(VLOOKUP(C43,'SITUACIÓN DE CARTERA'!A:AS,45,FALSE))/M43)</f>
        <v>6.0027078697959366</v>
      </c>
      <c r="AD43" s="19">
        <f>IF(AI43="Desertor sin mora",0,VLOOKUP(C43,'Reporte de cobranza'!G:BL,35,FALSE))</f>
        <v>9</v>
      </c>
      <c r="AE43" s="19">
        <f>IF(AI43="Desertor sin mora",I43,VLOOKUP(C43,'Reporte de cobranza'!G:BL,36,FALSE))</f>
        <v>16</v>
      </c>
      <c r="AF43" s="19">
        <f>VLOOKUP(C43,ANTIGÜEDAD!A:BE,18,FALSE)</f>
        <v>0</v>
      </c>
      <c r="AG43" s="30">
        <f>IFERROR(VLOOKUP(C43,Ahorros_concentrado!B:D,3,FALSE),0)</f>
        <v>3789</v>
      </c>
      <c r="AH43" s="43">
        <f t="shared" ca="1" si="9"/>
        <v>7.1221148527015457E-2</v>
      </c>
      <c r="AI43" s="19" t="str">
        <f>IF(VLOOKUP(C43,ANTIGÜEDAD!A:AG,33,0)="Entregado","Vigente",IF(VLOOKUP(C43,ANTIGÜEDAD!A:AG,33,0)="Liquidado","Desertor sin mora",""))</f>
        <v>Vigente</v>
      </c>
      <c r="AJ43" s="98" t="str">
        <f t="shared" si="10"/>
        <v>000008001</v>
      </c>
    </row>
    <row r="44" spans="1:36" x14ac:dyDescent="0.3">
      <c r="A44" s="19" t="str">
        <f>VLOOKUP(C44,ANTIGÜEDAD!A:BJ,4,FALSE)</f>
        <v>JUDITH PATRICIA SERRANO HERRER</v>
      </c>
      <c r="B44" s="19" t="str">
        <f>IFERROR(VLOOKUP(ANTIGÜEDAD!F43,'Parche Promotores'!A:B,2,0),ANTIGÜEDAD!F43)</f>
        <v>Cabrera Flores Viridiana</v>
      </c>
      <c r="C44" s="6" t="str">
        <f>TEXT(ANTIGÜEDAD!I43,"000000")</f>
        <v>000190</v>
      </c>
      <c r="D44" s="6" t="str">
        <f>ANTIGÜEDAD!K43</f>
        <v>LAS AITANAS</v>
      </c>
      <c r="E44" s="29" t="str">
        <f>IFERROR(VLOOKUP(C44,'SITUACIÓN DE CARTERA'!A:AR,12,FALSE),VLOOKUP(C44,ANTIGÜEDAD!A:J,10,0))</f>
        <v>01</v>
      </c>
      <c r="F44" s="30">
        <f>VLOOKUP(C44,ANTIGÜEDAD!A:BE,17,FALSE)</f>
        <v>54000</v>
      </c>
      <c r="G44" s="30" t="str">
        <f>VLOOKUP(C44,ANTIGÜEDAD!A:BE,12,FALSE)</f>
        <v>MIGRADO</v>
      </c>
      <c r="H44" s="31">
        <f>VLOOKUP(C44,ANTIGÜEDAD!A:BE,14,FALSE)</f>
        <v>45959</v>
      </c>
      <c r="I44" s="19">
        <f>VLOOKUP(C44,ANTIGÜEDAD!A:BE,19,FALSE)</f>
        <v>16</v>
      </c>
      <c r="J44" s="31" t="str">
        <f>VLOOKUP(C44,ANTIGÜEDAD!A:BE,56,FALSE)</f>
        <v>Miércoles</v>
      </c>
      <c r="K44" s="32" t="str">
        <f>VLOOKUP(C44,ANTIGÜEDAD!A:BE,57,FALSE)</f>
        <v>16:00</v>
      </c>
      <c r="L44" s="19" t="str">
        <f>VLOOKUP(C44,ANTIGÜEDAD!A:BE,20,FALSE)</f>
        <v>Semanal</v>
      </c>
      <c r="M44" s="30">
        <f>VLOOKUP(C44,ANTIGÜEDAD!A:BE,21,FALSE)</f>
        <v>4104.04</v>
      </c>
      <c r="N44" s="33" t="str">
        <f>IFERROR(VLOOKUP(C44,'Reporte de cobranza'!G:BL,34,FALSE),"")</f>
        <v>05/11/2025</v>
      </c>
      <c r="O44" s="30">
        <f>IF(AI44="Desertor sin mora",0,VLOOKUP(C44,ANTIGÜEDAD!A:BJ,44,FALSE))</f>
        <v>65664.58</v>
      </c>
      <c r="P44" s="30">
        <f t="shared" si="5"/>
        <v>65664.639999999999</v>
      </c>
      <c r="Q44" s="30">
        <f t="shared" ca="1" si="1"/>
        <v>65664.639999999999</v>
      </c>
      <c r="R44" s="30">
        <f>IF(AI44="Desertor sin mora",0,VLOOKUP(C44,ANTIGÜEDAD!A:BJ,26,FALSE))</f>
        <v>54000</v>
      </c>
      <c r="S44" s="30">
        <f t="shared" ca="1" si="6"/>
        <v>-5.9999999997671694E-2</v>
      </c>
      <c r="T44" s="30">
        <f>IF(V44&gt;0,IF(VLOOKUP(TEXT(C44,"000000"),Ahorros_concentrado!B:D,3,0)+F44*0.1&gt;V44,V44,VLOOKUP(TEXT(C44,"000000"),Ahorros_concentrado!B:D,3,0)+F44*0.1),0)</f>
        <v>0</v>
      </c>
      <c r="U44" s="30">
        <f t="shared" si="7"/>
        <v>0</v>
      </c>
      <c r="V44" s="30">
        <f>IF(AI44="Desertor sin mora",0,VLOOKUP(C44,'SITUACIÓN DE CARTERA'!A:AR,26,FALSE))</f>
        <v>0</v>
      </c>
      <c r="W44" s="134">
        <f>IF(AI44="Desertor sin mora",0,VLOOKUP(C44,'SITUACIÓN DE CARTERA'!A:AR,27,FALSE))/100</f>
        <v>0</v>
      </c>
      <c r="X44" s="30">
        <f>IF(V44&gt;0,VLOOKUP(C44,ANTIGÜEDAD!A:BE,26,FALSE),0)</f>
        <v>0</v>
      </c>
      <c r="Z44" s="34">
        <f>IF(AI44="Desertor sin mora",VLOOKUP(C44,ANTIGÜEDAD!A:Q,17,0)/AA44,F44/AA44)</f>
        <v>10800</v>
      </c>
      <c r="AA44" s="19">
        <f>IF(AI44="Desertor sin mora",VLOOKUP(C44,ANTIGÜEDAD!A:M,13,0),VLOOKUP(C44,'SITUACIÓN DE CARTERA'!A:AR,43,FALSE))</f>
        <v>5</v>
      </c>
      <c r="AB44" s="19">
        <f t="shared" ca="1" si="8"/>
        <v>0</v>
      </c>
      <c r="AC44" s="42">
        <f>IF(AI44="Desertor sin mora",0,(VLOOKUP(C44,'SITUACIÓN DE CARTERA'!A:AS,45,FALSE))/M44)</f>
        <v>0</v>
      </c>
      <c r="AD44" s="19">
        <f>IF(AI44="Desertor sin mora",0,VLOOKUP(C44,'Reporte de cobranza'!G:BL,35,FALSE))</f>
        <v>16</v>
      </c>
      <c r="AE44" s="19">
        <f>IF(AI44="Desertor sin mora",I44,VLOOKUP(C44,'Reporte de cobranza'!G:BL,36,FALSE))</f>
        <v>16</v>
      </c>
      <c r="AF44" s="19">
        <f>VLOOKUP(C44,ANTIGÜEDAD!A:BE,18,FALSE)</f>
        <v>0</v>
      </c>
      <c r="AG44" s="30">
        <f>IFERROR(VLOOKUP(C44,Ahorros_concentrado!B:D,3,FALSE),0)</f>
        <v>0</v>
      </c>
      <c r="AH44" s="43">
        <f t="shared" ca="1" si="9"/>
        <v>0</v>
      </c>
      <c r="AI44" s="19" t="str">
        <f>IF(VLOOKUP(C44,ANTIGÜEDAD!A:AG,33,0)="Entregado","Vigente",IF(VLOOKUP(C44,ANTIGÜEDAD!A:AG,33,0)="Liquidado","Desertor sin mora",""))</f>
        <v>Vigente</v>
      </c>
      <c r="AJ44" s="98" t="str">
        <f t="shared" si="10"/>
        <v>000019001</v>
      </c>
    </row>
    <row r="45" spans="1:36" x14ac:dyDescent="0.3">
      <c r="A45" s="19" t="str">
        <f>VLOOKUP(C45,ANTIGÜEDAD!A:BJ,4,FALSE)</f>
        <v>ADRIANA ALEJALDRE GUZMAN</v>
      </c>
      <c r="B45" s="19" t="str">
        <f>IFERROR(VLOOKUP(ANTIGÜEDAD!F44,'Parche Promotores'!A:B,2,0),ANTIGÜEDAD!F44)</f>
        <v>Contreras Martinez Jose Luis</v>
      </c>
      <c r="C45" s="6" t="str">
        <f>TEXT(ANTIGÜEDAD!I44,"000000")</f>
        <v>000009</v>
      </c>
      <c r="D45" s="6" t="str">
        <f>ANTIGÜEDAD!K44</f>
        <v>ESPERANZA</v>
      </c>
      <c r="E45" s="29" t="str">
        <f>IFERROR(VLOOKUP(C45,'SITUACIÓN DE CARTERA'!A:AR,12,FALSE),VLOOKUP(C45,ANTIGÜEDAD!A:J,10,0))</f>
        <v>01</v>
      </c>
      <c r="F45" s="30">
        <f>VLOOKUP(C45,ANTIGÜEDAD!A:BE,17,FALSE)</f>
        <v>78000</v>
      </c>
      <c r="G45" s="30" t="str">
        <f>VLOOKUP(C45,ANTIGÜEDAD!A:BE,12,FALSE)</f>
        <v>MIGRADO</v>
      </c>
      <c r="H45" s="31">
        <f>VLOOKUP(C45,ANTIGÜEDAD!A:BE,14,FALSE)</f>
        <v>45881</v>
      </c>
      <c r="I45" s="19">
        <f>VLOOKUP(C45,ANTIGÜEDAD!A:BE,19,FALSE)</f>
        <v>16</v>
      </c>
      <c r="J45" s="31" t="str">
        <f>VLOOKUP(C45,ANTIGÜEDAD!A:BE,56,FALSE)</f>
        <v>Viernes</v>
      </c>
      <c r="K45" s="32" t="str">
        <f>VLOOKUP(C45,ANTIGÜEDAD!A:BE,57,FALSE)</f>
        <v>02:00</v>
      </c>
      <c r="L45" s="19" t="str">
        <f>VLOOKUP(C45,ANTIGÜEDAD!A:BE,20,FALSE)</f>
        <v>Semanal</v>
      </c>
      <c r="M45" s="30">
        <f>VLOOKUP(C45,ANTIGÜEDAD!A:BE,21,FALSE)</f>
        <v>5928.05</v>
      </c>
      <c r="N45" s="33" t="str">
        <f>IFERROR(VLOOKUP(C45,'Reporte de cobranza'!G:BL,34,FALSE),"")</f>
        <v>07/11/2025</v>
      </c>
      <c r="O45" s="30">
        <f>IF(AI45="Desertor sin mora",0,VLOOKUP(C45,ANTIGÜEDAD!A:BJ,44,FALSE))</f>
        <v>35522.730000000003</v>
      </c>
      <c r="P45" s="30">
        <f t="shared" si="5"/>
        <v>94848.8</v>
      </c>
      <c r="Q45" s="30">
        <f t="shared" ca="1" si="1"/>
        <v>35522.730000000003</v>
      </c>
      <c r="R45" s="30">
        <f>IF(AI45="Desertor sin mora",0,VLOOKUP(C45,ANTIGÜEDAD!A:BJ,26,FALSE))</f>
        <v>29250</v>
      </c>
      <c r="S45" s="30">
        <f t="shared" ca="1" si="6"/>
        <v>0</v>
      </c>
      <c r="T45" s="30">
        <f>IF(V45&gt;0,IF(VLOOKUP(TEXT(C45,"000000"),Ahorros_concentrado!B:D,3,0)+F45*0.1&gt;V45,V45,VLOOKUP(TEXT(C45,"000000"),Ahorros_concentrado!B:D,3,0)+F45*0.1),0)</f>
        <v>4875</v>
      </c>
      <c r="U45" s="30">
        <f t="shared" si="7"/>
        <v>0</v>
      </c>
      <c r="V45" s="30">
        <f>IF(AI45="Desertor sin mora",0,VLOOKUP(C45,'SITUACIÓN DE CARTERA'!A:AR,26,FALSE))</f>
        <v>4875</v>
      </c>
      <c r="W45" s="134">
        <f>IF(AI45="Desertor sin mora",0,VLOOKUP(C45,'SITUACIÓN DE CARTERA'!A:AR,27,FALSE))/100</f>
        <v>0.16666666666666669</v>
      </c>
      <c r="X45" s="30">
        <f>IF(V45&gt;0,VLOOKUP(C45,ANTIGÜEDAD!A:BE,26,FALSE),0)</f>
        <v>29250</v>
      </c>
      <c r="Z45" s="34">
        <f>IF(AI45="Desertor sin mora",VLOOKUP(C45,ANTIGÜEDAD!A:Q,17,0)/AA45,F45/AA45)</f>
        <v>11142.857142857143</v>
      </c>
      <c r="AA45" s="19">
        <f>IF(AI45="Desertor sin mora",VLOOKUP(C45,ANTIGÜEDAD!A:M,13,0),VLOOKUP(C45,'SITUACIÓN DE CARTERA'!A:AR,43,FALSE))</f>
        <v>7</v>
      </c>
      <c r="AB45" s="19">
        <f t="shared" ca="1" si="8"/>
        <v>11</v>
      </c>
      <c r="AC45" s="42">
        <f>IF(AI45="Desertor sin mora",0,(VLOOKUP(C45,'SITUACIÓN DE CARTERA'!A:AS,45,FALSE))/M45)</f>
        <v>10.007692242811716</v>
      </c>
      <c r="AD45" s="19">
        <f>IF(AI45="Desertor sin mora",0,VLOOKUP(C45,'Reporte de cobranza'!G:BL,35,FALSE))</f>
        <v>5</v>
      </c>
      <c r="AE45" s="19">
        <f>IF(AI45="Desertor sin mora",I45,VLOOKUP(C45,'Reporte de cobranza'!G:BL,36,FALSE))</f>
        <v>16</v>
      </c>
      <c r="AF45" s="19">
        <f>VLOOKUP(C45,ANTIGÜEDAD!A:BE,18,FALSE)</f>
        <v>0</v>
      </c>
      <c r="AG45" s="30">
        <f>IFERROR(VLOOKUP(C45,Ahorros_concentrado!B:D,3,FALSE),0)</f>
        <v>1374.8999999999996</v>
      </c>
      <c r="AH45" s="43">
        <f t="shared" ca="1" si="9"/>
        <v>2.1084658376853947E-2</v>
      </c>
      <c r="AI45" s="19" t="str">
        <f>IF(VLOOKUP(C45,ANTIGÜEDAD!A:AG,33,0)="Entregado","Vigente",IF(VLOOKUP(C45,ANTIGÜEDAD!A:AG,33,0)="Liquidado","Desertor sin mora",""))</f>
        <v>Vigente</v>
      </c>
      <c r="AJ45" s="98" t="str">
        <f t="shared" si="10"/>
        <v>000000901</v>
      </c>
    </row>
    <row r="46" spans="1:36" x14ac:dyDescent="0.3">
      <c r="A46" s="19" t="str">
        <f>VLOOKUP(C46,ANTIGÜEDAD!A:BJ,4,FALSE)</f>
        <v>JUDITH PATRICIA SERRANO HERRER</v>
      </c>
      <c r="B46" s="19" t="str">
        <f>IFERROR(VLOOKUP(ANTIGÜEDAD!F45,'Parche Promotores'!A:B,2,0),ANTIGÜEDAD!F45)</f>
        <v>ORTEGA FORTANEL GABRIELA</v>
      </c>
      <c r="C46" s="6" t="str">
        <f>TEXT(ANTIGÜEDAD!I45,"000000")</f>
        <v>000125</v>
      </c>
      <c r="D46" s="6" t="str">
        <f>ANTIGÜEDAD!K45</f>
        <v>LAS FLORECITAS</v>
      </c>
      <c r="E46" s="29" t="str">
        <f>IFERROR(VLOOKUP(C46,'SITUACIÓN DE CARTERA'!A:AR,12,FALSE),VLOOKUP(C46,ANTIGÜEDAD!A:J,10,0))</f>
        <v>01</v>
      </c>
      <c r="F46" s="30">
        <f>VLOOKUP(C46,ANTIGÜEDAD!A:BE,17,FALSE)</f>
        <v>215000</v>
      </c>
      <c r="G46" s="30" t="str">
        <f>VLOOKUP(C46,ANTIGÜEDAD!A:BE,12,FALSE)</f>
        <v>MIGRADO</v>
      </c>
      <c r="H46" s="31">
        <f>VLOOKUP(C46,ANTIGÜEDAD!A:BE,14,FALSE)</f>
        <v>45930</v>
      </c>
      <c r="I46" s="19">
        <f>VLOOKUP(C46,ANTIGÜEDAD!A:BE,19,FALSE)</f>
        <v>16</v>
      </c>
      <c r="J46" s="31" t="str">
        <f>VLOOKUP(C46,ANTIGÜEDAD!A:BE,56,FALSE)</f>
        <v>Martes</v>
      </c>
      <c r="K46" s="32" t="str">
        <f>VLOOKUP(C46,ANTIGÜEDAD!A:BE,57,FALSE)</f>
        <v>10:00</v>
      </c>
      <c r="L46" s="19" t="str">
        <f>VLOOKUP(C46,ANTIGÜEDAD!A:BE,20,FALSE)</f>
        <v>Semanal</v>
      </c>
      <c r="M46" s="30">
        <f>VLOOKUP(C46,ANTIGÜEDAD!A:BE,21,FALSE)</f>
        <v>16340.140000000001</v>
      </c>
      <c r="N46" s="33" t="str">
        <f>IFERROR(VLOOKUP(C46,'Reporte de cobranza'!G:BL,34,FALSE),"")</f>
        <v>04/11/2025</v>
      </c>
      <c r="O46" s="30">
        <f>IF(AI46="Desertor sin mora",0,VLOOKUP(C46,ANTIGÜEDAD!A:BJ,44,FALSE))</f>
        <v>196081.29</v>
      </c>
      <c r="P46" s="30">
        <f t="shared" si="5"/>
        <v>261442.24000000002</v>
      </c>
      <c r="Q46" s="30">
        <f t="shared" ca="1" si="1"/>
        <v>196081.68000000002</v>
      </c>
      <c r="R46" s="30">
        <f>IF(AI46="Desertor sin mora",0,VLOOKUP(C46,ANTIGÜEDAD!A:BJ,26,FALSE))</f>
        <v>161250</v>
      </c>
      <c r="S46" s="30">
        <f t="shared" ca="1" si="6"/>
        <v>-0.39000000001396984</v>
      </c>
      <c r="T46" s="30">
        <f>IF(V46&gt;0,IF(VLOOKUP(TEXT(C46,"000000"),Ahorros_concentrado!B:D,3,0)+F46*0.1&gt;V46,V46,VLOOKUP(TEXT(C46,"000000"),Ahorros_concentrado!B:D,3,0)+F46*0.1),0)</f>
        <v>0</v>
      </c>
      <c r="U46" s="30">
        <f t="shared" si="7"/>
        <v>0</v>
      </c>
      <c r="V46" s="30">
        <f>IF(AI46="Desertor sin mora",0,VLOOKUP(C46,'SITUACIÓN DE CARTERA'!A:AR,26,FALSE))</f>
        <v>0</v>
      </c>
      <c r="W46" s="134">
        <f>IF(AI46="Desertor sin mora",0,VLOOKUP(C46,'SITUACIÓN DE CARTERA'!A:AR,27,FALSE))/100</f>
        <v>0</v>
      </c>
      <c r="X46" s="30">
        <f>IF(V46&gt;0,VLOOKUP(C46,ANTIGÜEDAD!A:BE,26,FALSE),0)</f>
        <v>0</v>
      </c>
      <c r="Z46" s="34">
        <f>IF(AI46="Desertor sin mora",VLOOKUP(C46,ANTIGÜEDAD!A:Q,17,0)/AA46,F46/AA46)</f>
        <v>43000</v>
      </c>
      <c r="AA46" s="19">
        <f>IF(AI46="Desertor sin mora",VLOOKUP(C46,ANTIGÜEDAD!A:M,13,0),VLOOKUP(C46,'SITUACIÓN DE CARTERA'!A:AR,43,FALSE))</f>
        <v>5</v>
      </c>
      <c r="AB46" s="19">
        <f t="shared" ca="1" si="8"/>
        <v>4</v>
      </c>
      <c r="AC46" s="42">
        <f>IF(AI46="Desertor sin mora",0,(VLOOKUP(C46,'SITUACIÓN DE CARTERA'!A:AS,45,FALSE))/M46)</f>
        <v>4.000026927553864</v>
      </c>
      <c r="AD46" s="19">
        <f>IF(AI46="Desertor sin mora",0,VLOOKUP(C46,'Reporte de cobranza'!G:BL,35,FALSE))</f>
        <v>12</v>
      </c>
      <c r="AE46" s="19">
        <f>IF(AI46="Desertor sin mora",I46,VLOOKUP(C46,'Reporte de cobranza'!G:BL,36,FALSE))</f>
        <v>16</v>
      </c>
      <c r="AF46" s="19">
        <f>VLOOKUP(C46,ANTIGÜEDAD!A:BE,18,FALSE)</f>
        <v>0</v>
      </c>
      <c r="AG46" s="30">
        <f>IFERROR(VLOOKUP(C46,Ahorros_concentrado!B:D,3,FALSE),0)</f>
        <v>6535</v>
      </c>
      <c r="AH46" s="43">
        <f t="shared" ca="1" si="9"/>
        <v>9.9983843467681424E-2</v>
      </c>
      <c r="AI46" s="19" t="str">
        <f>IF(VLOOKUP(C46,ANTIGÜEDAD!A:AG,33,0)="Entregado","Vigente",IF(VLOOKUP(C46,ANTIGÜEDAD!A:AG,33,0)="Liquidado","Desertor sin mora",""))</f>
        <v>Vigente</v>
      </c>
      <c r="AJ46" s="98" t="str">
        <f t="shared" si="10"/>
        <v>000012501</v>
      </c>
    </row>
    <row r="47" spans="1:36" x14ac:dyDescent="0.3">
      <c r="A47" s="19" t="str">
        <f>VLOOKUP(C47,ANTIGÜEDAD!A:BJ,4,FALSE)</f>
        <v>JUDITH PATRICIA SERRANO HERRER</v>
      </c>
      <c r="B47" s="19" t="str">
        <f>IFERROR(VLOOKUP(ANTIGÜEDAD!F46,'Parche Promotores'!A:B,2,0),ANTIGÜEDAD!F46)</f>
        <v>Becerril Aguirre Jonathan</v>
      </c>
      <c r="C47" s="6" t="str">
        <f>TEXT(ANTIGÜEDAD!I46,"000000")</f>
        <v>000114</v>
      </c>
      <c r="D47" s="6" t="str">
        <f>ANTIGÜEDAD!K46</f>
        <v>PIRAMIDE</v>
      </c>
      <c r="E47" s="29" t="str">
        <f>IFERROR(VLOOKUP(C47,'SITUACIÓN DE CARTERA'!A:AR,12,FALSE),VLOOKUP(C47,ANTIGÜEDAD!A:J,10,0))</f>
        <v>01</v>
      </c>
      <c r="F47" s="30">
        <f>VLOOKUP(C47,ANTIGÜEDAD!A:BE,17,FALSE)</f>
        <v>60000</v>
      </c>
      <c r="G47" s="30" t="str">
        <f>VLOOKUP(C47,ANTIGÜEDAD!A:BE,12,FALSE)</f>
        <v>MIGRADO</v>
      </c>
      <c r="H47" s="31">
        <f>VLOOKUP(C47,ANTIGÜEDAD!A:BE,14,FALSE)</f>
        <v>45925</v>
      </c>
      <c r="I47" s="19">
        <f>VLOOKUP(C47,ANTIGÜEDAD!A:BE,19,FALSE)</f>
        <v>16</v>
      </c>
      <c r="J47" s="31" t="str">
        <f>VLOOKUP(C47,ANTIGÜEDAD!A:BE,56,FALSE)</f>
        <v>Jueves</v>
      </c>
      <c r="K47" s="32" t="str">
        <f>VLOOKUP(C47,ANTIGÜEDAD!A:BE,57,FALSE)</f>
        <v>14:00</v>
      </c>
      <c r="L47" s="19" t="str">
        <f>VLOOKUP(C47,ANTIGÜEDAD!A:BE,20,FALSE)</f>
        <v>Semanal</v>
      </c>
      <c r="M47" s="30">
        <f>VLOOKUP(C47,ANTIGÜEDAD!A:BE,21,FALSE)</f>
        <v>4560.04</v>
      </c>
      <c r="N47" s="33" t="str">
        <f>IFERROR(VLOOKUP(C47,'Reporte de cobranza'!G:BL,34,FALSE),"")</f>
        <v>06/11/2025</v>
      </c>
      <c r="O47" s="30">
        <f>IF(AI47="Desertor sin mora",0,VLOOKUP(C47,ANTIGÜEDAD!A:BJ,44,FALSE))</f>
        <v>50160.6</v>
      </c>
      <c r="P47" s="30">
        <f t="shared" si="5"/>
        <v>72960.639999999999</v>
      </c>
      <c r="Q47" s="30">
        <f t="shared" ca="1" si="1"/>
        <v>50160.6</v>
      </c>
      <c r="R47" s="30">
        <f>IF(AI47="Desertor sin mora",0,VLOOKUP(C47,ANTIGÜEDAD!A:BJ,26,FALSE))</f>
        <v>41250.14</v>
      </c>
      <c r="S47" s="30">
        <f t="shared" ca="1" si="6"/>
        <v>0</v>
      </c>
      <c r="T47" s="30">
        <f>IF(V47&gt;0,IF(VLOOKUP(TEXT(C47,"000000"),Ahorros_concentrado!B:D,3,0)+F47*0.1&gt;V47,V47,VLOOKUP(TEXT(C47,"000000"),Ahorros_concentrado!B:D,3,0)+F47*0.1),0)</f>
        <v>0</v>
      </c>
      <c r="U47" s="30">
        <f t="shared" si="7"/>
        <v>0</v>
      </c>
      <c r="V47" s="30">
        <f>IF(AI47="Desertor sin mora",0,VLOOKUP(C47,'SITUACIÓN DE CARTERA'!A:AR,26,FALSE))</f>
        <v>0</v>
      </c>
      <c r="W47" s="134">
        <f>IF(AI47="Desertor sin mora",0,VLOOKUP(C47,'SITUACIÓN DE CARTERA'!A:AR,27,FALSE))/100</f>
        <v>0</v>
      </c>
      <c r="X47" s="30">
        <f>IF(V47&gt;0,VLOOKUP(C47,ANTIGÜEDAD!A:BE,26,FALSE),0)</f>
        <v>0</v>
      </c>
      <c r="Z47" s="34">
        <f>IF(AI47="Desertor sin mora",VLOOKUP(C47,ANTIGÜEDAD!A:Q,17,0)/AA47,F47/AA47)</f>
        <v>10000</v>
      </c>
      <c r="AA47" s="19">
        <f>IF(AI47="Desertor sin mora",VLOOKUP(C47,ANTIGÜEDAD!A:M,13,0),VLOOKUP(C47,'SITUACIÓN DE CARTERA'!A:AR,43,FALSE))</f>
        <v>6</v>
      </c>
      <c r="AB47" s="19">
        <f t="shared" ca="1" si="8"/>
        <v>5</v>
      </c>
      <c r="AC47" s="42">
        <f>IF(AI47="Desertor sin mora",0,(VLOOKUP(C47,'SITUACIÓN DE CARTERA'!A:AS,45,FALSE))/M47)</f>
        <v>4.999964912588486</v>
      </c>
      <c r="AD47" s="19">
        <f>IF(AI47="Desertor sin mora",0,VLOOKUP(C47,'Reporte de cobranza'!G:BL,35,FALSE))</f>
        <v>11</v>
      </c>
      <c r="AE47" s="19">
        <f>IF(AI47="Desertor sin mora",I47,VLOOKUP(C47,'Reporte de cobranza'!G:BL,36,FALSE))</f>
        <v>16</v>
      </c>
      <c r="AF47" s="19">
        <f>VLOOKUP(C47,ANTIGÜEDAD!A:BE,18,FALSE)</f>
        <v>0</v>
      </c>
      <c r="AG47" s="30">
        <f>IFERROR(VLOOKUP(C47,Ahorros_concentrado!B:D,3,FALSE),0)</f>
        <v>2280.96</v>
      </c>
      <c r="AH47" s="43">
        <f t="shared" ca="1" si="9"/>
        <v>0.10004122770852888</v>
      </c>
      <c r="AI47" s="19" t="str">
        <f>IF(VLOOKUP(C47,ANTIGÜEDAD!A:AG,33,0)="Entregado","Vigente",IF(VLOOKUP(C47,ANTIGÜEDAD!A:AG,33,0)="Liquidado","Desertor sin mora",""))</f>
        <v>Vigente</v>
      </c>
      <c r="AJ47" s="98" t="str">
        <f t="shared" si="10"/>
        <v>000011401</v>
      </c>
    </row>
    <row r="48" spans="1:36" x14ac:dyDescent="0.3">
      <c r="A48" s="19" t="str">
        <f>VLOOKUP(C48,ANTIGÜEDAD!A:BJ,4,FALSE)</f>
        <v>IRVIN URIEL MORA VELAZCO</v>
      </c>
      <c r="B48" s="19" t="str">
        <f>IFERROR(VLOOKUP(ANTIGÜEDAD!F47,'Parche Promotores'!A:B,2,0),ANTIGÜEDAD!F47)</f>
        <v>Olivares Morales Josue Edgar</v>
      </c>
      <c r="C48" s="6" t="str">
        <f>TEXT(ANTIGÜEDAD!I47,"000000")</f>
        <v>000154</v>
      </c>
      <c r="D48" s="6" t="str">
        <f>ANTIGÜEDAD!K47</f>
        <v>INDESTRUCTIBLES</v>
      </c>
      <c r="E48" s="29" t="str">
        <f>IFERROR(VLOOKUP(C48,'SITUACIÓN DE CARTERA'!A:AR,12,FALSE),VLOOKUP(C48,ANTIGÜEDAD!A:J,10,0))</f>
        <v>01</v>
      </c>
      <c r="F48" s="30">
        <f>VLOOKUP(C48,ANTIGÜEDAD!A:BE,17,FALSE)</f>
        <v>125000</v>
      </c>
      <c r="G48" s="30" t="str">
        <f>VLOOKUP(C48,ANTIGÜEDAD!A:BE,12,FALSE)</f>
        <v>MIGRADO</v>
      </c>
      <c r="H48" s="31">
        <f>VLOOKUP(C48,ANTIGÜEDAD!A:BE,14,FALSE)</f>
        <v>45945</v>
      </c>
      <c r="I48" s="19">
        <f>VLOOKUP(C48,ANTIGÜEDAD!A:BE,19,FALSE)</f>
        <v>16</v>
      </c>
      <c r="J48" s="31" t="str">
        <f>VLOOKUP(C48,ANTIGÜEDAD!A:BE,56,FALSE)</f>
        <v>Miércoles</v>
      </c>
      <c r="K48" s="32" t="str">
        <f>VLOOKUP(C48,ANTIGÜEDAD!A:BE,57,FALSE)</f>
        <v>10:00</v>
      </c>
      <c r="L48" s="19" t="str">
        <f>VLOOKUP(C48,ANTIGÜEDAD!A:BE,20,FALSE)</f>
        <v>Semanal</v>
      </c>
      <c r="M48" s="30">
        <f>VLOOKUP(C48,ANTIGÜEDAD!A:BE,21,FALSE)</f>
        <v>9500.08</v>
      </c>
      <c r="N48" s="33" t="str">
        <f>IFERROR(VLOOKUP(C48,'Reporte de cobranza'!G:BL,34,FALSE),"")</f>
        <v>05/11/2025</v>
      </c>
      <c r="O48" s="30">
        <f>IF(AI48="Desertor sin mora",0,VLOOKUP(C48,ANTIGÜEDAD!A:BJ,44,FALSE))</f>
        <v>133001.33000000002</v>
      </c>
      <c r="P48" s="30">
        <f t="shared" si="5"/>
        <v>152001.28</v>
      </c>
      <c r="Q48" s="30">
        <f t="shared" ca="1" si="1"/>
        <v>133001.33000000002</v>
      </c>
      <c r="R48" s="30">
        <f>IF(AI48="Desertor sin mora",0,VLOOKUP(C48,ANTIGÜEDAD!A:BJ,26,FALSE))</f>
        <v>109375.17</v>
      </c>
      <c r="S48" s="30">
        <f t="shared" ca="1" si="6"/>
        <v>0</v>
      </c>
      <c r="T48" s="30">
        <f>IF(V48&gt;0,IF(VLOOKUP(TEXT(C48,"000000"),Ahorros_concentrado!B:D,3,0)+F48*0.1&gt;V48,V48,VLOOKUP(TEXT(C48,"000000"),Ahorros_concentrado!B:D,3,0)+F48*0.1),0)</f>
        <v>0</v>
      </c>
      <c r="U48" s="30">
        <f t="shared" si="7"/>
        <v>0</v>
      </c>
      <c r="V48" s="30">
        <f>IF(AI48="Desertor sin mora",0,VLOOKUP(C48,'SITUACIÓN DE CARTERA'!A:AR,26,FALSE))</f>
        <v>0</v>
      </c>
      <c r="W48" s="134">
        <f>IF(AI48="Desertor sin mora",0,VLOOKUP(C48,'SITUACIÓN DE CARTERA'!A:AR,27,FALSE))/100</f>
        <v>0</v>
      </c>
      <c r="X48" s="30">
        <f>IF(V48&gt;0,VLOOKUP(C48,ANTIGÜEDAD!A:BE,26,FALSE),0)</f>
        <v>0</v>
      </c>
      <c r="Z48" s="34">
        <f>IF(AI48="Desertor sin mora",VLOOKUP(C48,ANTIGÜEDAD!A:Q,17,0)/AA48,F48/AA48)</f>
        <v>15625</v>
      </c>
      <c r="AA48" s="19">
        <f>IF(AI48="Desertor sin mora",VLOOKUP(C48,ANTIGÜEDAD!A:M,13,0),VLOOKUP(C48,'SITUACIÓN DE CARTERA'!A:AR,43,FALSE))</f>
        <v>8</v>
      </c>
      <c r="AB48" s="19">
        <f t="shared" ca="1" si="8"/>
        <v>2</v>
      </c>
      <c r="AC48" s="42">
        <f>IF(AI48="Desertor sin mora",0,(VLOOKUP(C48,'SITUACIÓN DE CARTERA'!A:AS,45,FALSE))/M48)</f>
        <v>1.9999831580365639</v>
      </c>
      <c r="AD48" s="19">
        <f>IF(AI48="Desertor sin mora",0,VLOOKUP(C48,'Reporte de cobranza'!G:BL,35,FALSE))</f>
        <v>14</v>
      </c>
      <c r="AE48" s="19">
        <f>IF(AI48="Desertor sin mora",I48,VLOOKUP(C48,'Reporte de cobranza'!G:BL,36,FALSE))</f>
        <v>16</v>
      </c>
      <c r="AF48" s="19">
        <f>VLOOKUP(C48,ANTIGÜEDAD!A:BE,18,FALSE)</f>
        <v>0</v>
      </c>
      <c r="AG48" s="30">
        <f>IFERROR(VLOOKUP(C48,Ahorros_concentrado!B:D,3,FALSE),0)</f>
        <v>1000</v>
      </c>
      <c r="AH48" s="43">
        <f t="shared" ca="1" si="9"/>
        <v>5.2631135737804313E-2</v>
      </c>
      <c r="AI48" s="19" t="str">
        <f>IF(VLOOKUP(C48,ANTIGÜEDAD!A:AG,33,0)="Entregado","Vigente",IF(VLOOKUP(C48,ANTIGÜEDAD!A:AG,33,0)="Liquidado","Desertor sin mora",""))</f>
        <v>Vigente</v>
      </c>
      <c r="AJ48" s="98" t="str">
        <f t="shared" si="10"/>
        <v>000015401</v>
      </c>
    </row>
    <row r="49" spans="1:36" x14ac:dyDescent="0.3">
      <c r="A49" s="19" t="str">
        <f>VLOOKUP(C49,ANTIGÜEDAD!A:BJ,4,FALSE)</f>
        <v>JUDITH PATRICIA SERRANO HERRER</v>
      </c>
      <c r="B49" s="19" t="str">
        <f>IFERROR(VLOOKUP(ANTIGÜEDAD!F48,'Parche Promotores'!A:B,2,0),ANTIGÜEDAD!F48)</f>
        <v>Roldan Cruz Hector Enrique</v>
      </c>
      <c r="C49" s="6" t="str">
        <f>TEXT(ANTIGÜEDAD!I48,"000000")</f>
        <v>000146</v>
      </c>
      <c r="D49" s="6" t="str">
        <f>ANTIGÜEDAD!K48</f>
        <v>TEPIC</v>
      </c>
      <c r="E49" s="29" t="str">
        <f>IFERROR(VLOOKUP(C49,'SITUACIÓN DE CARTERA'!A:AR,12,FALSE),VLOOKUP(C49,ANTIGÜEDAD!A:J,10,0))</f>
        <v>01</v>
      </c>
      <c r="F49" s="30">
        <f>VLOOKUP(C49,ANTIGÜEDAD!A:BE,17,FALSE)</f>
        <v>62000</v>
      </c>
      <c r="G49" s="30" t="str">
        <f>VLOOKUP(C49,ANTIGÜEDAD!A:BE,12,FALSE)</f>
        <v>MIGRADO</v>
      </c>
      <c r="H49" s="31">
        <f>VLOOKUP(C49,ANTIGÜEDAD!A:BE,14,FALSE)</f>
        <v>45945</v>
      </c>
      <c r="I49" s="19">
        <f>VLOOKUP(C49,ANTIGÜEDAD!A:BE,19,FALSE)</f>
        <v>16</v>
      </c>
      <c r="J49" s="31" t="str">
        <f>VLOOKUP(C49,ANTIGÜEDAD!A:BE,56,FALSE)</f>
        <v>Miércoles</v>
      </c>
      <c r="K49" s="32" t="str">
        <f>VLOOKUP(C49,ANTIGÜEDAD!A:BE,57,FALSE)</f>
        <v>12:00</v>
      </c>
      <c r="L49" s="19" t="str">
        <f>VLOOKUP(C49,ANTIGÜEDAD!A:BE,20,FALSE)</f>
        <v>Semanal</v>
      </c>
      <c r="M49" s="30">
        <f>VLOOKUP(C49,ANTIGÜEDAD!A:BE,21,FALSE)</f>
        <v>4712.04</v>
      </c>
      <c r="N49" s="33" t="str">
        <f>IFERROR(VLOOKUP(C49,'Reporte de cobranza'!G:BL,34,FALSE),"")</f>
        <v>05/11/2025</v>
      </c>
      <c r="O49" s="30">
        <f>IF(AI49="Desertor sin mora",0,VLOOKUP(C49,ANTIGÜEDAD!A:BJ,44,FALSE))</f>
        <v>65963.66</v>
      </c>
      <c r="P49" s="30">
        <f t="shared" si="5"/>
        <v>75392.639999999999</v>
      </c>
      <c r="Q49" s="30">
        <f t="shared" ca="1" si="1"/>
        <v>65968.56</v>
      </c>
      <c r="R49" s="30">
        <f>IF(AI49="Desertor sin mora",0,VLOOKUP(C49,ANTIGÜEDAD!A:BJ,26,FALSE))</f>
        <v>54250</v>
      </c>
      <c r="S49" s="30">
        <f t="shared" ca="1" si="6"/>
        <v>-4.8999999999941792</v>
      </c>
      <c r="T49" s="30">
        <f>IF(V49&gt;0,IF(VLOOKUP(TEXT(C49,"000000"),Ahorros_concentrado!B:D,3,0)+F49*0.1&gt;V49,V49,VLOOKUP(TEXT(C49,"000000"),Ahorros_concentrado!B:D,3,0)+F49*0.1),0)</f>
        <v>0</v>
      </c>
      <c r="U49" s="30">
        <f t="shared" si="7"/>
        <v>0</v>
      </c>
      <c r="V49" s="30">
        <f>IF(AI49="Desertor sin mora",0,VLOOKUP(C49,'SITUACIÓN DE CARTERA'!A:AR,26,FALSE))</f>
        <v>0</v>
      </c>
      <c r="W49" s="134">
        <f>IF(AI49="Desertor sin mora",0,VLOOKUP(C49,'SITUACIÓN DE CARTERA'!A:AR,27,FALSE))/100</f>
        <v>0</v>
      </c>
      <c r="X49" s="30">
        <f>IF(V49&gt;0,VLOOKUP(C49,ANTIGÜEDAD!A:BE,26,FALSE),0)</f>
        <v>0</v>
      </c>
      <c r="Z49" s="34">
        <f>IF(AI49="Desertor sin mora",VLOOKUP(C49,ANTIGÜEDAD!A:Q,17,0)/AA49,F49/AA49)</f>
        <v>12400</v>
      </c>
      <c r="AA49" s="19">
        <f>IF(AI49="Desertor sin mora",VLOOKUP(C49,ANTIGÜEDAD!A:M,13,0),VLOOKUP(C49,'SITUACIÓN DE CARTERA'!A:AR,43,FALSE))</f>
        <v>5</v>
      </c>
      <c r="AB49" s="19">
        <f t="shared" ca="1" si="8"/>
        <v>2</v>
      </c>
      <c r="AC49" s="42">
        <f>IF(AI49="Desertor sin mora",0,(VLOOKUP(C49,'SITUACIÓN DE CARTERA'!A:AS,45,FALSE))/M49)</f>
        <v>2.001044133750987</v>
      </c>
      <c r="AD49" s="19">
        <f>IF(AI49="Desertor sin mora",0,VLOOKUP(C49,'Reporte de cobranza'!G:BL,35,FALSE))</f>
        <v>14</v>
      </c>
      <c r="AE49" s="19">
        <f>IF(AI49="Desertor sin mora",I49,VLOOKUP(C49,'Reporte de cobranza'!G:BL,36,FALSE))</f>
        <v>16</v>
      </c>
      <c r="AF49" s="19">
        <f>VLOOKUP(C49,ANTIGÜEDAD!A:BE,18,FALSE)</f>
        <v>0</v>
      </c>
      <c r="AG49" s="30">
        <f>IFERROR(VLOOKUP(C49,Ahorros_concentrado!B:D,3,FALSE),0)</f>
        <v>937</v>
      </c>
      <c r="AH49" s="43">
        <f t="shared" ca="1" si="9"/>
        <v>9.942615088157146E-2</v>
      </c>
      <c r="AI49" s="19" t="str">
        <f>IF(VLOOKUP(C49,ANTIGÜEDAD!A:AG,33,0)="Entregado","Vigente",IF(VLOOKUP(C49,ANTIGÜEDAD!A:AG,33,0)="Liquidado","Desertor sin mora",""))</f>
        <v>Vigente</v>
      </c>
      <c r="AJ49" s="98" t="str">
        <f t="shared" si="10"/>
        <v>000014601</v>
      </c>
    </row>
    <row r="50" spans="1:36" x14ac:dyDescent="0.3">
      <c r="A50" s="19" t="str">
        <f>VLOOKUP(C50,ANTIGÜEDAD!A:BJ,4,FALSE)</f>
        <v>ADRIANA ALEJALDRE GUZMAN</v>
      </c>
      <c r="B50" s="19" t="str">
        <f>IFERROR(VLOOKUP(ANTIGÜEDAD!F49,'Parche Promotores'!A:B,2,0),ANTIGÜEDAD!F49)</f>
        <v>Contreras Martinez Jose Luis</v>
      </c>
      <c r="C50" s="6" t="str">
        <f>TEXT(ANTIGÜEDAD!I49,"000000")</f>
        <v>000066</v>
      </c>
      <c r="D50" s="6" t="str">
        <f>ANTIGÜEDAD!K49</f>
        <v>ALCATRAZ</v>
      </c>
      <c r="E50" s="29" t="str">
        <f>IFERROR(VLOOKUP(C50,'SITUACIÓN DE CARTERA'!A:AR,12,FALSE),VLOOKUP(C50,ANTIGÜEDAD!A:J,10,0))</f>
        <v>01</v>
      </c>
      <c r="F50" s="30">
        <f>VLOOKUP(C50,ANTIGÜEDAD!A:BE,17,FALSE)</f>
        <v>147000</v>
      </c>
      <c r="G50" s="30" t="str">
        <f>VLOOKUP(C50,ANTIGÜEDAD!A:BE,12,FALSE)</f>
        <v>MIGRADO</v>
      </c>
      <c r="H50" s="31">
        <f>VLOOKUP(C50,ANTIGÜEDAD!A:BE,14,FALSE)</f>
        <v>45909</v>
      </c>
      <c r="I50" s="19">
        <f>VLOOKUP(C50,ANTIGÜEDAD!A:BE,19,FALSE)</f>
        <v>16</v>
      </c>
      <c r="J50" s="31" t="str">
        <f>VLOOKUP(C50,ANTIGÜEDAD!A:BE,56,FALSE)</f>
        <v>Martes</v>
      </c>
      <c r="K50" s="32" t="str">
        <f>VLOOKUP(C50,ANTIGÜEDAD!A:BE,57,FALSE)</f>
        <v>11:30</v>
      </c>
      <c r="L50" s="19" t="str">
        <f>VLOOKUP(C50,ANTIGÜEDAD!A:BE,20,FALSE)</f>
        <v>Semanal</v>
      </c>
      <c r="M50" s="30">
        <f>VLOOKUP(C50,ANTIGÜEDAD!A:BE,21,FALSE)</f>
        <v>11172.1</v>
      </c>
      <c r="N50" s="33" t="str">
        <f>IFERROR(VLOOKUP(C50,'Reporte de cobranza'!G:BL,34,FALSE),"")</f>
        <v>04/11/2025</v>
      </c>
      <c r="O50" s="30">
        <f>IF(AI50="Desertor sin mora",0,VLOOKUP(C50,ANTIGÜEDAD!A:BJ,44,FALSE))</f>
        <v>100517.57</v>
      </c>
      <c r="P50" s="30">
        <f t="shared" si="5"/>
        <v>178753.6</v>
      </c>
      <c r="Q50" s="30">
        <f t="shared" ca="1" si="1"/>
        <v>100548.90000000001</v>
      </c>
      <c r="R50" s="30">
        <f>IF(AI50="Desertor sin mora",0,VLOOKUP(C50,ANTIGÜEDAD!A:BJ,26,FALSE))</f>
        <v>82687.5</v>
      </c>
      <c r="S50" s="30">
        <f t="shared" ca="1" si="6"/>
        <v>-31.330000000001746</v>
      </c>
      <c r="T50" s="30">
        <f>IF(V50&gt;0,IF(VLOOKUP(TEXT(C50,"000000"),Ahorros_concentrado!B:D,3,0)+F50*0.1&gt;V50,V50,VLOOKUP(TEXT(C50,"000000"),Ahorros_concentrado!B:D,3,0)+F50*0.1),0)</f>
        <v>0</v>
      </c>
      <c r="U50" s="30">
        <f t="shared" si="7"/>
        <v>0</v>
      </c>
      <c r="V50" s="30">
        <f>IF(AI50="Desertor sin mora",0,VLOOKUP(C50,'SITUACIÓN DE CARTERA'!A:AR,26,FALSE))</f>
        <v>0</v>
      </c>
      <c r="W50" s="134">
        <f>IF(AI50="Desertor sin mora",0,VLOOKUP(C50,'SITUACIÓN DE CARTERA'!A:AR,27,FALSE))/100</f>
        <v>0</v>
      </c>
      <c r="X50" s="30">
        <f>IF(V50&gt;0,VLOOKUP(C50,ANTIGÜEDAD!A:BE,26,FALSE),0)</f>
        <v>0</v>
      </c>
      <c r="Z50" s="34">
        <f>IF(AI50="Desertor sin mora",VLOOKUP(C50,ANTIGÜEDAD!A:Q,17,0)/AA50,F50/AA50)</f>
        <v>24500</v>
      </c>
      <c r="AA50" s="19">
        <f>IF(AI50="Desertor sin mora",VLOOKUP(C50,ANTIGÜEDAD!A:M,13,0),VLOOKUP(C50,'SITUACIÓN DE CARTERA'!A:AR,43,FALSE))</f>
        <v>6</v>
      </c>
      <c r="AB50" s="19">
        <f t="shared" ca="1" si="8"/>
        <v>7</v>
      </c>
      <c r="AC50" s="42">
        <f>IF(AI50="Desertor sin mora",0,(VLOOKUP(C50,'SITUACIÓN DE CARTERA'!A:AS,45,FALSE))/M50)</f>
        <v>7.0028016218974045</v>
      </c>
      <c r="AD50" s="19">
        <f>IF(AI50="Desertor sin mora",0,VLOOKUP(C50,'Reporte de cobranza'!G:BL,35,FALSE))</f>
        <v>9</v>
      </c>
      <c r="AE50" s="19">
        <f>IF(AI50="Desertor sin mora",I50,VLOOKUP(C50,'Reporte de cobranza'!G:BL,36,FALSE))</f>
        <v>16</v>
      </c>
      <c r="AF50" s="19">
        <f>VLOOKUP(C50,ANTIGÜEDAD!A:BE,18,FALSE)</f>
        <v>0</v>
      </c>
      <c r="AG50" s="30">
        <f>IFERROR(VLOOKUP(C50,Ahorros_concentrado!B:D,3,FALSE),0)</f>
        <v>4515</v>
      </c>
      <c r="AH50" s="43">
        <f t="shared" ca="1" si="9"/>
        <v>5.7733102997645926E-2</v>
      </c>
      <c r="AI50" s="19" t="str">
        <f>IF(VLOOKUP(C50,ANTIGÜEDAD!A:AG,33,0)="Entregado","Vigente",IF(VLOOKUP(C50,ANTIGÜEDAD!A:AG,33,0)="Liquidado","Desertor sin mora",""))</f>
        <v>Vigente</v>
      </c>
      <c r="AJ50" s="98" t="str">
        <f t="shared" si="10"/>
        <v>000006601</v>
      </c>
    </row>
    <row r="51" spans="1:36" x14ac:dyDescent="0.3">
      <c r="A51" s="19" t="str">
        <f>VLOOKUP(C51,ANTIGÜEDAD!A:BJ,4,FALSE)</f>
        <v>IRVIN URIEL MORA VELAZCO</v>
      </c>
      <c r="B51" s="19" t="str">
        <f>IFERROR(VLOOKUP(ANTIGÜEDAD!F50,'Parche Promotores'!A:B,2,0),ANTIGÜEDAD!F50)</f>
        <v>Olivares Morales Josue Edgar</v>
      </c>
      <c r="C51" s="6" t="str">
        <f>TEXT(ANTIGÜEDAD!I50,"000000")</f>
        <v>000101</v>
      </c>
      <c r="D51" s="6" t="str">
        <f>ANTIGÜEDAD!K50</f>
        <v>MARAVILLA</v>
      </c>
      <c r="E51" s="29" t="str">
        <f>IFERROR(VLOOKUP(C51,'SITUACIÓN DE CARTERA'!A:AR,12,FALSE),VLOOKUP(C51,ANTIGÜEDAD!A:J,10,0))</f>
        <v>01</v>
      </c>
      <c r="F51" s="30">
        <f>VLOOKUP(C51,ANTIGÜEDAD!A:BE,17,FALSE)</f>
        <v>90000</v>
      </c>
      <c r="G51" s="30" t="str">
        <f>VLOOKUP(C51,ANTIGÜEDAD!A:BE,12,FALSE)</f>
        <v>MIGRADO</v>
      </c>
      <c r="H51" s="31">
        <f>VLOOKUP(C51,ANTIGÜEDAD!A:BE,14,FALSE)</f>
        <v>45923</v>
      </c>
      <c r="I51" s="19">
        <f>VLOOKUP(C51,ANTIGÜEDAD!A:BE,19,FALSE)</f>
        <v>16</v>
      </c>
      <c r="J51" s="31" t="str">
        <f>VLOOKUP(C51,ANTIGÜEDAD!A:BE,56,FALSE)</f>
        <v>Martes</v>
      </c>
      <c r="K51" s="32" t="str">
        <f>VLOOKUP(C51,ANTIGÜEDAD!A:BE,57,FALSE)</f>
        <v>10:30</v>
      </c>
      <c r="L51" s="19" t="str">
        <f>VLOOKUP(C51,ANTIGÜEDAD!A:BE,20,FALSE)</f>
        <v>Semanal</v>
      </c>
      <c r="M51" s="30">
        <f>VLOOKUP(C51,ANTIGÜEDAD!A:BE,21,FALSE)</f>
        <v>6840.06</v>
      </c>
      <c r="N51" s="33" t="str">
        <f>IFERROR(VLOOKUP(C51,'Reporte de cobranza'!G:BL,34,FALSE),"")</f>
        <v>04/11/2025</v>
      </c>
      <c r="O51" s="30">
        <f>IF(AI51="Desertor sin mora",0,VLOOKUP(C51,ANTIGÜEDAD!A:BJ,44,FALSE))</f>
        <v>75240.960000000006</v>
      </c>
      <c r="P51" s="30">
        <f t="shared" si="5"/>
        <v>109440.96000000001</v>
      </c>
      <c r="Q51" s="30">
        <f t="shared" ca="1" si="1"/>
        <v>75240.960000000006</v>
      </c>
      <c r="R51" s="30">
        <f>IF(AI51="Desertor sin mora",0,VLOOKUP(C51,ANTIGÜEDAD!A:BJ,26,FALSE))</f>
        <v>61875.29</v>
      </c>
      <c r="S51" s="30">
        <f t="shared" ca="1" si="6"/>
        <v>0</v>
      </c>
      <c r="T51" s="30">
        <f>IF(V51&gt;0,IF(VLOOKUP(TEXT(C51,"000000"),Ahorros_concentrado!B:D,3,0)+F51*0.1&gt;V51,V51,VLOOKUP(TEXT(C51,"000000"),Ahorros_concentrado!B:D,3,0)+F51*0.1),0)</f>
        <v>0</v>
      </c>
      <c r="U51" s="30">
        <f t="shared" si="7"/>
        <v>0</v>
      </c>
      <c r="V51" s="30">
        <f>IF(AI51="Desertor sin mora",0,VLOOKUP(C51,'SITUACIÓN DE CARTERA'!A:AR,26,FALSE))</f>
        <v>0</v>
      </c>
      <c r="W51" s="134">
        <f>IF(AI51="Desertor sin mora",0,VLOOKUP(C51,'SITUACIÓN DE CARTERA'!A:AR,27,FALSE))/100</f>
        <v>0</v>
      </c>
      <c r="X51" s="30">
        <f>IF(V51&gt;0,VLOOKUP(C51,ANTIGÜEDAD!A:BE,26,FALSE),0)</f>
        <v>0</v>
      </c>
      <c r="Z51" s="34">
        <f>IF(AI51="Desertor sin mora",VLOOKUP(C51,ANTIGÜEDAD!A:Q,17,0)/AA51,F51/AA51)</f>
        <v>15000</v>
      </c>
      <c r="AA51" s="19">
        <f>IF(AI51="Desertor sin mora",VLOOKUP(C51,ANTIGÜEDAD!A:M,13,0),VLOOKUP(C51,'SITUACIÓN DE CARTERA'!A:AR,43,FALSE))</f>
        <v>6</v>
      </c>
      <c r="AB51" s="19">
        <f t="shared" ca="1" si="8"/>
        <v>5</v>
      </c>
      <c r="AC51" s="42">
        <f>IF(AI51="Desertor sin mora",0,(VLOOKUP(C51,'SITUACIÓN DE CARTERA'!A:AS,45,FALSE))/M51)</f>
        <v>4.9999561407356072</v>
      </c>
      <c r="AD51" s="19">
        <f>IF(AI51="Desertor sin mora",0,VLOOKUP(C51,'Reporte de cobranza'!G:BL,35,FALSE))</f>
        <v>11</v>
      </c>
      <c r="AE51" s="19">
        <f>IF(AI51="Desertor sin mora",I51,VLOOKUP(C51,'Reporte de cobranza'!G:BL,36,FALSE))</f>
        <v>16</v>
      </c>
      <c r="AF51" s="19">
        <f>VLOOKUP(C51,ANTIGÜEDAD!A:BE,18,FALSE)</f>
        <v>0</v>
      </c>
      <c r="AG51" s="30">
        <f>IFERROR(VLOOKUP(C51,Ahorros_concentrado!B:D,3,FALSE),0)</f>
        <v>1817.42</v>
      </c>
      <c r="AH51" s="43">
        <f t="shared" ca="1" si="9"/>
        <v>5.3140469528045076E-2</v>
      </c>
      <c r="AI51" s="19" t="str">
        <f>IF(VLOOKUP(C51,ANTIGÜEDAD!A:AG,33,0)="Entregado","Vigente",IF(VLOOKUP(C51,ANTIGÜEDAD!A:AG,33,0)="Liquidado","Desertor sin mora",""))</f>
        <v>Vigente</v>
      </c>
      <c r="AJ51" s="98" t="str">
        <f t="shared" si="10"/>
        <v>000010101</v>
      </c>
    </row>
    <row r="52" spans="1:36" x14ac:dyDescent="0.3">
      <c r="A52" s="19" t="str">
        <f>VLOOKUP(C52,ANTIGÜEDAD!A:BJ,4,FALSE)</f>
        <v>ADRIANA ALEJALDRE GUZMAN</v>
      </c>
      <c r="B52" s="19" t="str">
        <f>IFERROR(VLOOKUP(ANTIGÜEDAD!F51,'Parche Promotores'!A:B,2,0),ANTIGÜEDAD!F51)</f>
        <v>Lopez Cabrera Edith Alejandra</v>
      </c>
      <c r="C52" s="6" t="str">
        <f>TEXT(ANTIGÜEDAD!I51,"000000")</f>
        <v>000029</v>
      </c>
      <c r="D52" s="6" t="str">
        <f>ANTIGÜEDAD!K51</f>
        <v>MOYSEN</v>
      </c>
      <c r="E52" s="29" t="str">
        <f>IFERROR(VLOOKUP(C52,'SITUACIÓN DE CARTERA'!A:AR,12,FALSE),VLOOKUP(C52,ANTIGÜEDAD!A:J,10,0))</f>
        <v>01</v>
      </c>
      <c r="F52" s="30">
        <f>VLOOKUP(C52,ANTIGÜEDAD!A:BE,17,FALSE)</f>
        <v>150000</v>
      </c>
      <c r="G52" s="30" t="str">
        <f>VLOOKUP(C52,ANTIGÜEDAD!A:BE,12,FALSE)</f>
        <v>MIGRADO</v>
      </c>
      <c r="H52" s="31">
        <f>VLOOKUP(C52,ANTIGÜEDAD!A:BE,14,FALSE)</f>
        <v>45895</v>
      </c>
      <c r="I52" s="19">
        <f>VLOOKUP(C52,ANTIGÜEDAD!A:BE,19,FALSE)</f>
        <v>16</v>
      </c>
      <c r="J52" s="31" t="str">
        <f>VLOOKUP(C52,ANTIGÜEDAD!A:BE,56,FALSE)</f>
        <v>Martes</v>
      </c>
      <c r="K52" s="32" t="str">
        <f>VLOOKUP(C52,ANTIGÜEDAD!A:BE,57,FALSE)</f>
        <v>11:00</v>
      </c>
      <c r="L52" s="19" t="str">
        <f>VLOOKUP(C52,ANTIGÜEDAD!A:BE,20,FALSE)</f>
        <v>Semanal</v>
      </c>
      <c r="M52" s="30">
        <f>VLOOKUP(C52,ANTIGÜEDAD!A:BE,21,FALSE)</f>
        <v>11400.1</v>
      </c>
      <c r="N52" s="33" t="str">
        <f>IFERROR(VLOOKUP(C52,'Reporte de cobranza'!G:BL,34,FALSE),"")</f>
        <v>04/11/2025</v>
      </c>
      <c r="O52" s="30">
        <f>IF(AI52="Desertor sin mora",0,VLOOKUP(C52,ANTIGÜEDAD!A:BJ,44,FALSE))</f>
        <v>79729.600000000006</v>
      </c>
      <c r="P52" s="30">
        <f t="shared" si="5"/>
        <v>182401.6</v>
      </c>
      <c r="Q52" s="30">
        <f t="shared" ca="1" si="1"/>
        <v>79800.7</v>
      </c>
      <c r="R52" s="30">
        <f>IF(AI52="Desertor sin mora",0,VLOOKUP(C52,ANTIGÜEDAD!A:BJ,26,FALSE))</f>
        <v>65625</v>
      </c>
      <c r="S52" s="30">
        <f t="shared" ca="1" si="6"/>
        <v>-71.099999999991269</v>
      </c>
      <c r="T52" s="30">
        <f>IF(V52&gt;0,IF(VLOOKUP(TEXT(C52,"000000"),Ahorros_concentrado!B:D,3,0)+F52*0.1&gt;V52,V52,VLOOKUP(TEXT(C52,"000000"),Ahorros_concentrado!B:D,3,0)+F52*0.1),0)</f>
        <v>0</v>
      </c>
      <c r="U52" s="30">
        <f t="shared" si="7"/>
        <v>0</v>
      </c>
      <c r="V52" s="30">
        <f>IF(AI52="Desertor sin mora",0,VLOOKUP(C52,'SITUACIÓN DE CARTERA'!A:AR,26,FALSE))</f>
        <v>0</v>
      </c>
      <c r="W52" s="134">
        <f>IF(AI52="Desertor sin mora",0,VLOOKUP(C52,'SITUACIÓN DE CARTERA'!A:AR,27,FALSE))/100</f>
        <v>0</v>
      </c>
      <c r="X52" s="30">
        <f>IF(V52&gt;0,VLOOKUP(C52,ANTIGÜEDAD!A:BE,26,FALSE),0)</f>
        <v>0</v>
      </c>
      <c r="Z52" s="34">
        <f>IF(AI52="Desertor sin mora",VLOOKUP(C52,ANTIGÜEDAD!A:Q,17,0)/AA52,F52/AA52)</f>
        <v>18750</v>
      </c>
      <c r="AA52" s="19">
        <f>IF(AI52="Desertor sin mora",VLOOKUP(C52,ANTIGÜEDAD!A:M,13,0),VLOOKUP(C52,'SITUACIÓN DE CARTERA'!A:AR,43,FALSE))</f>
        <v>8</v>
      </c>
      <c r="AB52" s="19">
        <f t="shared" ca="1" si="8"/>
        <v>9</v>
      </c>
      <c r="AC52" s="42">
        <f>IF(AI52="Desertor sin mora",0,(VLOOKUP(C52,'SITUACIÓN DE CARTERA'!A:AS,45,FALSE))/M52)</f>
        <v>9.0062367873966007</v>
      </c>
      <c r="AD52" s="19">
        <f>IF(AI52="Desertor sin mora",0,VLOOKUP(C52,'Reporte de cobranza'!G:BL,35,FALSE))</f>
        <v>7</v>
      </c>
      <c r="AE52" s="19">
        <f>IF(AI52="Desertor sin mora",I52,VLOOKUP(C52,'Reporte de cobranza'!G:BL,36,FALSE))</f>
        <v>16</v>
      </c>
      <c r="AF52" s="19">
        <f>VLOOKUP(C52,ANTIGÜEDAD!A:BE,18,FALSE)</f>
        <v>0</v>
      </c>
      <c r="AG52" s="30">
        <f>IFERROR(VLOOKUP(C52,Ahorros_concentrado!B:D,3,FALSE),0)</f>
        <v>6786</v>
      </c>
      <c r="AH52" s="43">
        <f t="shared" ca="1" si="9"/>
        <v>6.6139770703765755E-2</v>
      </c>
      <c r="AI52" s="19" t="str">
        <f>IF(VLOOKUP(C52,ANTIGÜEDAD!A:AG,33,0)="Entregado","Vigente",IF(VLOOKUP(C52,ANTIGÜEDAD!A:AG,33,0)="Liquidado","Desertor sin mora",""))</f>
        <v>Vigente</v>
      </c>
      <c r="AJ52" s="98" t="str">
        <f t="shared" si="10"/>
        <v>000002901</v>
      </c>
    </row>
    <row r="53" spans="1:36" x14ac:dyDescent="0.3">
      <c r="A53" s="19" t="str">
        <f>VLOOKUP(C53,ANTIGÜEDAD!A:BJ,4,FALSE)</f>
        <v>ADRIANA ALEJALDRE GUZMAN</v>
      </c>
      <c r="B53" s="19" t="str">
        <f>IFERROR(VLOOKUP(ANTIGÜEDAD!F52,'Parche Promotores'!A:B,2,0),ANTIGÜEDAD!F52)</f>
        <v>Contreras Martinez Jose Luis</v>
      </c>
      <c r="C53" s="6" t="str">
        <f>TEXT(ANTIGÜEDAD!I52,"000000")</f>
        <v>000204</v>
      </c>
      <c r="D53" s="6" t="str">
        <f>ANTIGÜEDAD!K52</f>
        <v>ANGELES DE CHARLY</v>
      </c>
      <c r="E53" s="29" t="str">
        <f>IFERROR(VLOOKUP(C53,'SITUACIÓN DE CARTERA'!A:AR,12,FALSE),VLOOKUP(C53,ANTIGÜEDAD!A:J,10,0))</f>
        <v>01</v>
      </c>
      <c r="F53" s="30">
        <f>VLOOKUP(C53,ANTIGÜEDAD!A:BE,17,FALSE)</f>
        <v>200000</v>
      </c>
      <c r="G53" s="30" t="str">
        <f>VLOOKUP(C53,ANTIGÜEDAD!A:BE,12,FALSE)</f>
        <v>MIGRADO</v>
      </c>
      <c r="H53" s="31">
        <f>VLOOKUP(C53,ANTIGÜEDAD!A:BE,14,FALSE)</f>
        <v>45961</v>
      </c>
      <c r="I53" s="19">
        <f>VLOOKUP(C53,ANTIGÜEDAD!A:BE,19,FALSE)</f>
        <v>16</v>
      </c>
      <c r="J53" s="31" t="str">
        <f>VLOOKUP(C53,ANTIGÜEDAD!A:BE,56,FALSE)</f>
        <v>Viernes</v>
      </c>
      <c r="K53" s="32" t="str">
        <f>VLOOKUP(C53,ANTIGÜEDAD!A:BE,57,FALSE)</f>
        <v>16:00</v>
      </c>
      <c r="L53" s="19" t="str">
        <f>VLOOKUP(C53,ANTIGÜEDAD!A:BE,20,FALSE)</f>
        <v>Semanal</v>
      </c>
      <c r="M53" s="30">
        <f>VLOOKUP(C53,ANTIGÜEDAD!A:BE,21,FALSE)</f>
        <v>15200.130000000001</v>
      </c>
      <c r="N53" s="33" t="str">
        <f>IFERROR(VLOOKUP(C53,'Reporte de cobranza'!G:BL,34,FALSE),"")</f>
        <v>07/11/2025</v>
      </c>
      <c r="O53" s="30">
        <f>IF(AI53="Desertor sin mora",0,VLOOKUP(C53,ANTIGÜEDAD!A:BJ,44,FALSE))</f>
        <v>243202.13</v>
      </c>
      <c r="P53" s="30">
        <f t="shared" si="5"/>
        <v>243202.08000000002</v>
      </c>
      <c r="Q53" s="30">
        <f t="shared" ca="1" si="1"/>
        <v>243202.13</v>
      </c>
      <c r="R53" s="30">
        <f>IF(AI53="Desertor sin mora",0,VLOOKUP(C53,ANTIGÜEDAD!A:BJ,26,FALSE))</f>
        <v>200000</v>
      </c>
      <c r="S53" s="30">
        <f t="shared" ca="1" si="6"/>
        <v>0</v>
      </c>
      <c r="T53" s="30">
        <f>IF(V53&gt;0,IF(VLOOKUP(TEXT(C53,"000000"),Ahorros_concentrado!B:D,3,0)+F53*0.1&gt;V53,V53,VLOOKUP(TEXT(C53,"000000"),Ahorros_concentrado!B:D,3,0)+F53*0.1),0)</f>
        <v>0</v>
      </c>
      <c r="U53" s="30">
        <f t="shared" si="7"/>
        <v>0</v>
      </c>
      <c r="V53" s="30">
        <f>IF(AI53="Desertor sin mora",0,VLOOKUP(C53,'SITUACIÓN DE CARTERA'!A:AR,26,FALSE))</f>
        <v>0</v>
      </c>
      <c r="W53" s="134">
        <f>IF(AI53="Desertor sin mora",0,VLOOKUP(C53,'SITUACIÓN DE CARTERA'!A:AR,27,FALSE))/100</f>
        <v>0</v>
      </c>
      <c r="X53" s="30">
        <f>IF(V53&gt;0,VLOOKUP(C53,ANTIGÜEDAD!A:BE,26,FALSE),0)</f>
        <v>0</v>
      </c>
      <c r="Z53" s="34">
        <f>IF(AI53="Desertor sin mora",VLOOKUP(C53,ANTIGÜEDAD!A:Q,17,0)/AA53,F53/AA53)</f>
        <v>25000</v>
      </c>
      <c r="AA53" s="19">
        <f>IF(AI53="Desertor sin mora",VLOOKUP(C53,ANTIGÜEDAD!A:M,13,0),VLOOKUP(C53,'SITUACIÓN DE CARTERA'!A:AR,43,FALSE))</f>
        <v>8</v>
      </c>
      <c r="AB53" s="19">
        <f t="shared" ca="1" si="8"/>
        <v>0</v>
      </c>
      <c r="AC53" s="42">
        <f>IF(AI53="Desertor sin mora",0,(VLOOKUP(C53,'SITUACIÓN DE CARTERA'!A:AS,45,FALSE))/M53)</f>
        <v>0</v>
      </c>
      <c r="AD53" s="19">
        <f>IF(AI53="Desertor sin mora",0,VLOOKUP(C53,'Reporte de cobranza'!G:BL,35,FALSE))</f>
        <v>16</v>
      </c>
      <c r="AE53" s="19">
        <f>IF(AI53="Desertor sin mora",I53,VLOOKUP(C53,'Reporte de cobranza'!G:BL,36,FALSE))</f>
        <v>16</v>
      </c>
      <c r="AF53" s="19">
        <f>VLOOKUP(C53,ANTIGÜEDAD!A:BE,18,FALSE)</f>
        <v>0</v>
      </c>
      <c r="AG53" s="30">
        <f>IFERROR(VLOOKUP(C53,Ahorros_concentrado!B:D,3,FALSE),0)</f>
        <v>0</v>
      </c>
      <c r="AH53" s="43">
        <f t="shared" ca="1" si="9"/>
        <v>0</v>
      </c>
      <c r="AI53" s="19" t="str">
        <f>IF(VLOOKUP(C53,ANTIGÜEDAD!A:AG,33,0)="Entregado","Vigente",IF(VLOOKUP(C53,ANTIGÜEDAD!A:AG,33,0)="Liquidado","Desertor sin mora",""))</f>
        <v>Vigente</v>
      </c>
      <c r="AJ53" s="98" t="str">
        <f t="shared" si="10"/>
        <v>000020401</v>
      </c>
    </row>
    <row r="54" spans="1:36" x14ac:dyDescent="0.3">
      <c r="A54" s="19" t="str">
        <f>VLOOKUP(C54,ANTIGÜEDAD!A:BJ,4,FALSE)</f>
        <v>ADRIANA ALEJALDRE GUZMAN</v>
      </c>
      <c r="B54" s="19" t="str">
        <f>IFERROR(VLOOKUP(ANTIGÜEDAD!F53,'Parche Promotores'!A:B,2,0),ANTIGÜEDAD!F53)</f>
        <v>Lopez Cabrera Edith Alejandra</v>
      </c>
      <c r="C54" s="6" t="str">
        <f>TEXT(ANTIGÜEDAD!I53,"000000")</f>
        <v>000184</v>
      </c>
      <c r="D54" s="6" t="str">
        <f>ANTIGÜEDAD!K53</f>
        <v>LAS SOÑADORAS</v>
      </c>
      <c r="E54" s="29" t="str">
        <f>IFERROR(VLOOKUP(C54,'SITUACIÓN DE CARTERA'!A:AR,12,FALSE),VLOOKUP(C54,ANTIGÜEDAD!A:J,10,0))</f>
        <v>01</v>
      </c>
      <c r="F54" s="30">
        <f>VLOOKUP(C54,ANTIGÜEDAD!A:BE,17,FALSE)</f>
        <v>173000</v>
      </c>
      <c r="G54" s="30" t="str">
        <f>VLOOKUP(C54,ANTIGÜEDAD!A:BE,12,FALSE)</f>
        <v>MIGRADO</v>
      </c>
      <c r="H54" s="31">
        <f>VLOOKUP(C54,ANTIGÜEDAD!A:BE,14,FALSE)</f>
        <v>45954</v>
      </c>
      <c r="I54" s="19">
        <f>VLOOKUP(C54,ANTIGÜEDAD!A:BE,19,FALSE)</f>
        <v>16</v>
      </c>
      <c r="J54" s="31" t="str">
        <f>VLOOKUP(C54,ANTIGÜEDAD!A:BE,56,FALSE)</f>
        <v>Viernes</v>
      </c>
      <c r="K54" s="32" t="str">
        <f>VLOOKUP(C54,ANTIGÜEDAD!A:BE,57,FALSE)</f>
        <v>14:00</v>
      </c>
      <c r="L54" s="19" t="str">
        <f>VLOOKUP(C54,ANTIGÜEDAD!A:BE,20,FALSE)</f>
        <v>Semanal</v>
      </c>
      <c r="M54" s="30">
        <f>VLOOKUP(C54,ANTIGÜEDAD!A:BE,21,FALSE)</f>
        <v>13148.12</v>
      </c>
      <c r="N54" s="33" t="str">
        <f>IFERROR(VLOOKUP(C54,'Reporte de cobranza'!G:BL,34,FALSE),"")</f>
        <v>07/11/2025</v>
      </c>
      <c r="O54" s="30">
        <f>IF(AI54="Desertor sin mora",0,VLOOKUP(C54,ANTIGÜEDAD!A:BJ,44,FALSE))</f>
        <v>197219.85</v>
      </c>
      <c r="P54" s="30">
        <f t="shared" si="5"/>
        <v>210369.92000000001</v>
      </c>
      <c r="Q54" s="30">
        <f t="shared" ca="1" si="1"/>
        <v>197221.80000000002</v>
      </c>
      <c r="R54" s="30">
        <f>IF(AI54="Desertor sin mora",0,VLOOKUP(C54,ANTIGÜEDAD!A:BJ,26,FALSE))</f>
        <v>162187.5</v>
      </c>
      <c r="S54" s="30">
        <f t="shared" ca="1" si="6"/>
        <v>-1.9500000000116415</v>
      </c>
      <c r="T54" s="30">
        <f>IF(V54&gt;0,IF(VLOOKUP(TEXT(C54,"000000"),Ahorros_concentrado!B:D,3,0)+F54*0.1&gt;V54,V54,VLOOKUP(TEXT(C54,"000000"),Ahorros_concentrado!B:D,3,0)+F54*0.1),0)</f>
        <v>0</v>
      </c>
      <c r="U54" s="30">
        <f t="shared" si="7"/>
        <v>0</v>
      </c>
      <c r="V54" s="30">
        <f>IF(AI54="Desertor sin mora",0,VLOOKUP(C54,'SITUACIÓN DE CARTERA'!A:AR,26,FALSE))</f>
        <v>0</v>
      </c>
      <c r="W54" s="134">
        <f>IF(AI54="Desertor sin mora",0,VLOOKUP(C54,'SITUACIÓN DE CARTERA'!A:AR,27,FALSE))/100</f>
        <v>0</v>
      </c>
      <c r="X54" s="30">
        <f>IF(V54&gt;0,VLOOKUP(C54,ANTIGÜEDAD!A:BE,26,FALSE),0)</f>
        <v>0</v>
      </c>
      <c r="Z54" s="34">
        <f>IF(AI54="Desertor sin mora",VLOOKUP(C54,ANTIGÜEDAD!A:Q,17,0)/AA54,F54/AA54)</f>
        <v>24714.285714285714</v>
      </c>
      <c r="AA54" s="19">
        <f>IF(AI54="Desertor sin mora",VLOOKUP(C54,ANTIGÜEDAD!A:M,13,0),VLOOKUP(C54,'SITUACIÓN DE CARTERA'!A:AR,43,FALSE))</f>
        <v>7</v>
      </c>
      <c r="AB54" s="19">
        <f t="shared" ca="1" si="8"/>
        <v>1</v>
      </c>
      <c r="AC54" s="42">
        <f>IF(AI54="Desertor sin mora",0,(VLOOKUP(C54,'SITUACIÓN DE CARTERA'!A:AS,45,FALSE))/M54)</f>
        <v>1.0001429862216042</v>
      </c>
      <c r="AD54" s="19">
        <f>IF(AI54="Desertor sin mora",0,VLOOKUP(C54,'Reporte de cobranza'!G:BL,35,FALSE))</f>
        <v>15</v>
      </c>
      <c r="AE54" s="19">
        <f>IF(AI54="Desertor sin mora",I54,VLOOKUP(C54,'Reporte de cobranza'!G:BL,36,FALSE))</f>
        <v>16</v>
      </c>
      <c r="AF54" s="19">
        <f>VLOOKUP(C54,ANTIGÜEDAD!A:BE,18,FALSE)</f>
        <v>0</v>
      </c>
      <c r="AG54" s="30">
        <f>IFERROR(VLOOKUP(C54,Ahorros_concentrado!B:D,3,FALSE),0)</f>
        <v>527</v>
      </c>
      <c r="AH54" s="43">
        <f t="shared" ca="1" si="9"/>
        <v>4.0081775949717527E-2</v>
      </c>
      <c r="AI54" s="19" t="str">
        <f>IF(VLOOKUP(C54,ANTIGÜEDAD!A:AG,33,0)="Entregado","Vigente",IF(VLOOKUP(C54,ANTIGÜEDAD!A:AG,33,0)="Liquidado","Desertor sin mora",""))</f>
        <v>Vigente</v>
      </c>
      <c r="AJ54" s="98" t="str">
        <f t="shared" si="10"/>
        <v>000018401</v>
      </c>
    </row>
    <row r="55" spans="1:36" x14ac:dyDescent="0.3">
      <c r="A55" s="19" t="str">
        <f>VLOOKUP(C55,ANTIGÜEDAD!A:BJ,4,FALSE)</f>
        <v>JUAN EDMUNDO LUNA AGUILLON</v>
      </c>
      <c r="B55" s="19" t="str">
        <f>IFERROR(VLOOKUP(ANTIGÜEDAD!F54,'Parche Promotores'!A:B,2,0),ANTIGÜEDAD!F54)</f>
        <v>Martinez Bañuelos Nallely Sarahi</v>
      </c>
      <c r="C55" s="6" t="str">
        <f>TEXT(ANTIGÜEDAD!I54,"000000")</f>
        <v>000058</v>
      </c>
      <c r="D55" s="6" t="str">
        <f>ANTIGÜEDAD!K54</f>
        <v>HERMOSAS FLORES</v>
      </c>
      <c r="E55" s="29" t="str">
        <f>IFERROR(VLOOKUP(C55,'SITUACIÓN DE CARTERA'!A:AR,12,FALSE),VLOOKUP(C55,ANTIGÜEDAD!A:J,10,0))</f>
        <v>01</v>
      </c>
      <c r="F55" s="30">
        <f>VLOOKUP(C55,ANTIGÜEDAD!A:BE,17,FALSE)</f>
        <v>110000</v>
      </c>
      <c r="G55" s="30" t="str">
        <f>VLOOKUP(C55,ANTIGÜEDAD!A:BE,12,FALSE)</f>
        <v>MIGRADO</v>
      </c>
      <c r="H55" s="31">
        <f>VLOOKUP(C55,ANTIGÜEDAD!A:BE,14,FALSE)</f>
        <v>45904</v>
      </c>
      <c r="I55" s="19">
        <f>VLOOKUP(C55,ANTIGÜEDAD!A:BE,19,FALSE)</f>
        <v>16</v>
      </c>
      <c r="J55" s="31" t="str">
        <f>VLOOKUP(C55,ANTIGÜEDAD!A:BE,56,FALSE)</f>
        <v>Jueves</v>
      </c>
      <c r="K55" s="32" t="str">
        <f>VLOOKUP(C55,ANTIGÜEDAD!A:BE,57,FALSE)</f>
        <v>15:00</v>
      </c>
      <c r="L55" s="19" t="str">
        <f>VLOOKUP(C55,ANTIGÜEDAD!A:BE,20,FALSE)</f>
        <v>Semanal</v>
      </c>
      <c r="M55" s="30">
        <f>VLOOKUP(C55,ANTIGÜEDAD!A:BE,21,FALSE)</f>
        <v>8360.07</v>
      </c>
      <c r="N55" s="33" t="str">
        <f>IFERROR(VLOOKUP(C55,'Reporte de cobranza'!G:BL,34,FALSE),"")</f>
        <v>06/11/2025</v>
      </c>
      <c r="O55" s="30">
        <f>IF(AI55="Desertor sin mora",0,VLOOKUP(C55,ANTIGÜEDAD!A:BJ,44,FALSE))</f>
        <v>66880.61</v>
      </c>
      <c r="P55" s="30">
        <f t="shared" si="5"/>
        <v>133761.12</v>
      </c>
      <c r="Q55" s="30">
        <f t="shared" ca="1" si="1"/>
        <v>66880.61</v>
      </c>
      <c r="R55" s="30">
        <f>IF(AI55="Desertor sin mora",0,VLOOKUP(C55,ANTIGÜEDAD!A:BJ,26,FALSE))</f>
        <v>55000.020000000004</v>
      </c>
      <c r="S55" s="30">
        <f t="shared" ca="1" si="6"/>
        <v>0</v>
      </c>
      <c r="T55" s="30">
        <f>IF(V55&gt;0,IF(VLOOKUP(TEXT(C55,"000000"),Ahorros_concentrado!B:D,3,0)+F55*0.1&gt;V55,V55,VLOOKUP(TEXT(C55,"000000"),Ahorros_concentrado!B:D,3,0)+F55*0.1),0)</f>
        <v>0</v>
      </c>
      <c r="U55" s="30">
        <f t="shared" si="7"/>
        <v>0</v>
      </c>
      <c r="V55" s="30">
        <f>IF(AI55="Desertor sin mora",0,VLOOKUP(C55,'SITUACIÓN DE CARTERA'!A:AR,26,FALSE))</f>
        <v>0</v>
      </c>
      <c r="W55" s="134">
        <f>IF(AI55="Desertor sin mora",0,VLOOKUP(C55,'SITUACIÓN DE CARTERA'!A:AR,27,FALSE))/100</f>
        <v>0</v>
      </c>
      <c r="X55" s="30">
        <f>IF(V55&gt;0,VLOOKUP(C55,ANTIGÜEDAD!A:BE,26,FALSE),0)</f>
        <v>0</v>
      </c>
      <c r="Z55" s="34">
        <f>IF(AI55="Desertor sin mora",VLOOKUP(C55,ANTIGÜEDAD!A:Q,17,0)/AA55,F55/AA55)</f>
        <v>15714.285714285714</v>
      </c>
      <c r="AA55" s="19">
        <f>IF(AI55="Desertor sin mora",VLOOKUP(C55,ANTIGÜEDAD!A:M,13,0),VLOOKUP(C55,'SITUACIÓN DE CARTERA'!A:AR,43,FALSE))</f>
        <v>7</v>
      </c>
      <c r="AB55" s="19">
        <f t="shared" ca="1" si="8"/>
        <v>8</v>
      </c>
      <c r="AC55" s="42">
        <f>IF(AI55="Desertor sin mora",0,(VLOOKUP(C55,'SITUACIÓN DE CARTERA'!A:AS,45,FALSE))/M55)</f>
        <v>8</v>
      </c>
      <c r="AD55" s="19">
        <f>IF(AI55="Desertor sin mora",0,VLOOKUP(C55,'Reporte de cobranza'!G:BL,35,FALSE))</f>
        <v>8</v>
      </c>
      <c r="AE55" s="19">
        <f>IF(AI55="Desertor sin mora",I55,VLOOKUP(C55,'Reporte de cobranza'!G:BL,36,FALSE))</f>
        <v>16</v>
      </c>
      <c r="AF55" s="19">
        <f>VLOOKUP(C55,ANTIGÜEDAD!A:BE,18,FALSE)</f>
        <v>0</v>
      </c>
      <c r="AG55" s="30">
        <f>IFERROR(VLOOKUP(C55,Ahorros_concentrado!B:D,3,FALSE),0)</f>
        <v>3343.4400000000023</v>
      </c>
      <c r="AH55" s="43">
        <f t="shared" ca="1" si="9"/>
        <v>4.9991208207586818E-2</v>
      </c>
      <c r="AI55" s="19" t="str">
        <f>IF(VLOOKUP(C55,ANTIGÜEDAD!A:AG,33,0)="Entregado","Vigente",IF(VLOOKUP(C55,ANTIGÜEDAD!A:AG,33,0)="Liquidado","Desertor sin mora",""))</f>
        <v>Vigente</v>
      </c>
      <c r="AJ55" s="98" t="str">
        <f t="shared" si="10"/>
        <v>000005801</v>
      </c>
    </row>
    <row r="56" spans="1:36" x14ac:dyDescent="0.3">
      <c r="A56" s="19" t="str">
        <f>VLOOKUP(C56,ANTIGÜEDAD!A:BJ,4,FALSE)</f>
        <v>IRVIN URIEL MORA VELAZCO</v>
      </c>
      <c r="B56" s="19" t="str">
        <f>IFERROR(VLOOKUP(ANTIGÜEDAD!F55,'Parche Promotores'!A:B,2,0),ANTIGÜEDAD!F55)</f>
        <v>Olivares Morales Josue Edgar</v>
      </c>
      <c r="C56" s="6" t="str">
        <f>TEXT(ANTIGÜEDAD!I55,"000000")</f>
        <v>000071</v>
      </c>
      <c r="D56" s="6" t="str">
        <f>ANTIGÜEDAD!K55</f>
        <v>MUJERES IMPARABLES</v>
      </c>
      <c r="E56" s="29" t="str">
        <f>IFERROR(VLOOKUP(C56,'SITUACIÓN DE CARTERA'!A:AR,12,FALSE),VLOOKUP(C56,ANTIGÜEDAD!A:J,10,0))</f>
        <v>01</v>
      </c>
      <c r="F56" s="30">
        <f>VLOOKUP(C56,ANTIGÜEDAD!A:BE,17,FALSE)</f>
        <v>101000</v>
      </c>
      <c r="G56" s="30" t="str">
        <f>VLOOKUP(C56,ANTIGÜEDAD!A:BE,12,FALSE)</f>
        <v>MIGRADO</v>
      </c>
      <c r="H56" s="31">
        <f>VLOOKUP(C56,ANTIGÜEDAD!A:BE,14,FALSE)</f>
        <v>45911</v>
      </c>
      <c r="I56" s="19">
        <f>VLOOKUP(C56,ANTIGÜEDAD!A:BE,19,FALSE)</f>
        <v>16</v>
      </c>
      <c r="J56" s="31" t="str">
        <f>VLOOKUP(C56,ANTIGÜEDAD!A:BE,56,FALSE)</f>
        <v>Jueves</v>
      </c>
      <c r="K56" s="32" t="str">
        <f>VLOOKUP(C56,ANTIGÜEDAD!A:BE,57,FALSE)</f>
        <v>11:00</v>
      </c>
      <c r="L56" s="19" t="str">
        <f>VLOOKUP(C56,ANTIGÜEDAD!A:BE,20,FALSE)</f>
        <v>Semanal</v>
      </c>
      <c r="M56" s="30">
        <f>VLOOKUP(C56,ANTIGÜEDAD!A:BE,21,FALSE)</f>
        <v>7676.07</v>
      </c>
      <c r="N56" s="33" t="str">
        <f>IFERROR(VLOOKUP(C56,'Reporte de cobranza'!G:BL,34,FALSE),"")</f>
        <v>06/11/2025</v>
      </c>
      <c r="O56" s="30">
        <f>IF(AI56="Desertor sin mora",0,VLOOKUP(C56,ANTIGÜEDAD!A:BJ,44,FALSE))</f>
        <v>68994.080000000002</v>
      </c>
      <c r="P56" s="30">
        <f t="shared" si="5"/>
        <v>122817.12</v>
      </c>
      <c r="Q56" s="30">
        <f t="shared" ca="1" si="1"/>
        <v>69084.63</v>
      </c>
      <c r="R56" s="30">
        <f>IF(AI56="Desertor sin mora",0,VLOOKUP(C56,ANTIGÜEDAD!A:BJ,26,FALSE))</f>
        <v>56812.5</v>
      </c>
      <c r="S56" s="30">
        <f t="shared" ca="1" si="6"/>
        <v>-90.55000000000291</v>
      </c>
      <c r="T56" s="30">
        <f>IF(V56&gt;0,IF(VLOOKUP(TEXT(C56,"000000"),Ahorros_concentrado!B:D,3,0)+F56*0.1&gt;V56,V56,VLOOKUP(TEXT(C56,"000000"),Ahorros_concentrado!B:D,3,0)+F56*0.1),0)</f>
        <v>0</v>
      </c>
      <c r="U56" s="30">
        <f t="shared" si="7"/>
        <v>0</v>
      </c>
      <c r="V56" s="30">
        <f>IF(AI56="Desertor sin mora",0,VLOOKUP(C56,'SITUACIÓN DE CARTERA'!A:AR,26,FALSE))</f>
        <v>0</v>
      </c>
      <c r="W56" s="134">
        <f>IF(AI56="Desertor sin mora",0,VLOOKUP(C56,'SITUACIÓN DE CARTERA'!A:AR,27,FALSE))/100</f>
        <v>0</v>
      </c>
      <c r="X56" s="30">
        <f>IF(V56&gt;0,VLOOKUP(C56,ANTIGÜEDAD!A:BE,26,FALSE),0)</f>
        <v>0</v>
      </c>
      <c r="Z56" s="34">
        <f>IF(AI56="Desertor sin mora",VLOOKUP(C56,ANTIGÜEDAD!A:Q,17,0)/AA56,F56/AA56)</f>
        <v>16833.333333333332</v>
      </c>
      <c r="AA56" s="19">
        <f>IF(AI56="Desertor sin mora",VLOOKUP(C56,ANTIGÜEDAD!A:M,13,0),VLOOKUP(C56,'SITUACIÓN DE CARTERA'!A:AR,43,FALSE))</f>
        <v>6</v>
      </c>
      <c r="AB56" s="19">
        <f t="shared" ca="1" si="8"/>
        <v>7</v>
      </c>
      <c r="AC56" s="42">
        <f>IF(AI56="Desertor sin mora",0,(VLOOKUP(C56,'SITUACIÓN DE CARTERA'!A:AS,45,FALSE))/M56)</f>
        <v>7.0117911900230201</v>
      </c>
      <c r="AD56" s="19">
        <f>IF(AI56="Desertor sin mora",0,VLOOKUP(C56,'Reporte de cobranza'!G:BL,35,FALSE))</f>
        <v>9</v>
      </c>
      <c r="AE56" s="19">
        <f>IF(AI56="Desertor sin mora",I56,VLOOKUP(C56,'Reporte de cobranza'!G:BL,36,FALSE))</f>
        <v>16</v>
      </c>
      <c r="AF56" s="19">
        <f>VLOOKUP(C56,ANTIGÜEDAD!A:BE,18,FALSE)</f>
        <v>0</v>
      </c>
      <c r="AG56" s="30">
        <f>IFERROR(VLOOKUP(C56,Ahorros_concentrado!B:D,3,FALSE),0)</f>
        <v>2597</v>
      </c>
      <c r="AH56" s="43">
        <f t="shared" ca="1" si="9"/>
        <v>4.8332024069608535E-2</v>
      </c>
      <c r="AI56" s="19" t="str">
        <f>IF(VLOOKUP(C56,ANTIGÜEDAD!A:AG,33,0)="Entregado","Vigente",IF(VLOOKUP(C56,ANTIGÜEDAD!A:AG,33,0)="Liquidado","Desertor sin mora",""))</f>
        <v>Vigente</v>
      </c>
      <c r="AJ56" s="98" t="str">
        <f t="shared" si="10"/>
        <v>000007101</v>
      </c>
    </row>
    <row r="57" spans="1:36" x14ac:dyDescent="0.3">
      <c r="A57" s="19" t="str">
        <f>VLOOKUP(C57,ANTIGÜEDAD!A:BJ,4,FALSE)</f>
        <v>ADRIANA ALEJALDRE GUZMAN</v>
      </c>
      <c r="B57" s="19" t="str">
        <f>IFERROR(VLOOKUP(ANTIGÜEDAD!F56,'Parche Promotores'!A:B,2,0),ANTIGÜEDAD!F56)</f>
        <v>Contreras Martinez Jose Luis</v>
      </c>
      <c r="C57" s="6" t="str">
        <f>TEXT(ANTIGÜEDAD!I56,"000000")</f>
        <v>000076</v>
      </c>
      <c r="D57" s="6" t="str">
        <f>ANTIGÜEDAD!K56</f>
        <v>VORTICE</v>
      </c>
      <c r="E57" s="29" t="str">
        <f>IFERROR(VLOOKUP(C57,'SITUACIÓN DE CARTERA'!A:AR,12,FALSE),VLOOKUP(C57,ANTIGÜEDAD!A:J,10,0))</f>
        <v>01</v>
      </c>
      <c r="F57" s="30">
        <f>VLOOKUP(C57,ANTIGÜEDAD!A:BE,17,FALSE)</f>
        <v>61000</v>
      </c>
      <c r="G57" s="30" t="str">
        <f>VLOOKUP(C57,ANTIGÜEDAD!A:BE,12,FALSE)</f>
        <v>MIGRADO</v>
      </c>
      <c r="H57" s="31">
        <f>VLOOKUP(C57,ANTIGÜEDAD!A:BE,14,FALSE)</f>
        <v>45911</v>
      </c>
      <c r="I57" s="19">
        <f>VLOOKUP(C57,ANTIGÜEDAD!A:BE,19,FALSE)</f>
        <v>16</v>
      </c>
      <c r="J57" s="31" t="str">
        <f>VLOOKUP(C57,ANTIGÜEDAD!A:BE,56,FALSE)</f>
        <v>Jueves</v>
      </c>
      <c r="K57" s="32" t="str">
        <f>VLOOKUP(C57,ANTIGÜEDAD!A:BE,57,FALSE)</f>
        <v>12:00</v>
      </c>
      <c r="L57" s="19" t="str">
        <f>VLOOKUP(C57,ANTIGÜEDAD!A:BE,20,FALSE)</f>
        <v>Semanal</v>
      </c>
      <c r="M57" s="30">
        <f>VLOOKUP(C57,ANTIGÜEDAD!A:BE,21,FALSE)</f>
        <v>4636.04</v>
      </c>
      <c r="N57" s="33" t="str">
        <f>IFERROR(VLOOKUP(C57,'Reporte de cobranza'!G:BL,34,FALSE),"")</f>
        <v>06/11/2025</v>
      </c>
      <c r="O57" s="30">
        <f>IF(AI57="Desertor sin mora",0,VLOOKUP(C57,ANTIGÜEDAD!A:BJ,44,FALSE))</f>
        <v>41719.65</v>
      </c>
      <c r="P57" s="30">
        <f t="shared" si="5"/>
        <v>74176.639999999999</v>
      </c>
      <c r="Q57" s="30">
        <f t="shared" ca="1" si="1"/>
        <v>41724.36</v>
      </c>
      <c r="R57" s="30">
        <f>IF(AI57="Desertor sin mora",0,VLOOKUP(C57,ANTIGÜEDAD!A:BJ,26,FALSE))</f>
        <v>34312.5</v>
      </c>
      <c r="S57" s="30">
        <f t="shared" ca="1" si="6"/>
        <v>-4.7099999999991269</v>
      </c>
      <c r="T57" s="30">
        <f>IF(V57&gt;0,IF(VLOOKUP(TEXT(C57,"000000"),Ahorros_concentrado!B:D,3,0)+F57*0.1&gt;V57,V57,VLOOKUP(TEXT(C57,"000000"),Ahorros_concentrado!B:D,3,0)+F57*0.1),0)</f>
        <v>0</v>
      </c>
      <c r="U57" s="30">
        <f t="shared" si="7"/>
        <v>0</v>
      </c>
      <c r="V57" s="30">
        <f>IF(AI57="Desertor sin mora",0,VLOOKUP(C57,'SITUACIÓN DE CARTERA'!A:AR,26,FALSE))</f>
        <v>0</v>
      </c>
      <c r="W57" s="134">
        <f>IF(AI57="Desertor sin mora",0,VLOOKUP(C57,'SITUACIÓN DE CARTERA'!A:AR,27,FALSE))/100</f>
        <v>0</v>
      </c>
      <c r="X57" s="30">
        <f>IF(V57&gt;0,VLOOKUP(C57,ANTIGÜEDAD!A:BE,26,FALSE),0)</f>
        <v>0</v>
      </c>
      <c r="Z57" s="34">
        <f>IF(AI57="Desertor sin mora",VLOOKUP(C57,ANTIGÜEDAD!A:Q,17,0)/AA57,F57/AA57)</f>
        <v>12200</v>
      </c>
      <c r="AA57" s="19">
        <f>IF(AI57="Desertor sin mora",VLOOKUP(C57,ANTIGÜEDAD!A:M,13,0),VLOOKUP(C57,'SITUACIÓN DE CARTERA'!A:AR,43,FALSE))</f>
        <v>5</v>
      </c>
      <c r="AB57" s="19">
        <f t="shared" ca="1" si="8"/>
        <v>7</v>
      </c>
      <c r="AC57" s="42">
        <f>IF(AI57="Desertor sin mora",0,(VLOOKUP(C57,'SITUACIÓN DE CARTERA'!A:AS,45,FALSE))/M57)</f>
        <v>7.001018110283777</v>
      </c>
      <c r="AD57" s="19">
        <f>IF(AI57="Desertor sin mora",0,VLOOKUP(C57,'Reporte de cobranza'!G:BL,35,FALSE))</f>
        <v>9</v>
      </c>
      <c r="AE57" s="19">
        <f>IF(AI57="Desertor sin mora",I57,VLOOKUP(C57,'Reporte de cobranza'!G:BL,36,FALSE))</f>
        <v>16</v>
      </c>
      <c r="AF57" s="19">
        <f>VLOOKUP(C57,ANTIGÜEDAD!A:BE,18,FALSE)</f>
        <v>0</v>
      </c>
      <c r="AG57" s="30">
        <f>IFERROR(VLOOKUP(C57,Ahorros_concentrado!B:D,3,FALSE),0)</f>
        <v>2354</v>
      </c>
      <c r="AH57" s="43">
        <f t="shared" ca="1" si="9"/>
        <v>7.2537276271497725E-2</v>
      </c>
      <c r="AI57" s="19" t="str">
        <f>IF(VLOOKUP(C57,ANTIGÜEDAD!A:AG,33,0)="Entregado","Vigente",IF(VLOOKUP(C57,ANTIGÜEDAD!A:AG,33,0)="Liquidado","Desertor sin mora",""))</f>
        <v>Vigente</v>
      </c>
      <c r="AJ57" s="98" t="str">
        <f t="shared" si="10"/>
        <v>000007601</v>
      </c>
    </row>
    <row r="58" spans="1:36" x14ac:dyDescent="0.3">
      <c r="A58" s="19" t="str">
        <f>VLOOKUP(C58,ANTIGÜEDAD!A:BJ,4,FALSE)</f>
        <v>ADRIANA ALEJALDRE GUZMAN</v>
      </c>
      <c r="B58" s="19" t="str">
        <f>IFERROR(VLOOKUP(ANTIGÜEDAD!F57,'Parche Promotores'!A:B,2,0),ANTIGÜEDAD!F57)</f>
        <v>Juarez Palma Ma Ines</v>
      </c>
      <c r="C58" s="6" t="str">
        <f>TEXT(ANTIGÜEDAD!I57,"000000")</f>
        <v>000078</v>
      </c>
      <c r="D58" s="6" t="str">
        <f>ANTIGÜEDAD!K57</f>
        <v>CANELA</v>
      </c>
      <c r="E58" s="29" t="str">
        <f>IFERROR(VLOOKUP(C58,'SITUACIÓN DE CARTERA'!A:AR,12,FALSE),VLOOKUP(C58,ANTIGÜEDAD!A:J,10,0))</f>
        <v>01</v>
      </c>
      <c r="F58" s="30">
        <f>VLOOKUP(C58,ANTIGÜEDAD!A:BE,17,FALSE)</f>
        <v>76000</v>
      </c>
      <c r="G58" s="30" t="str">
        <f>VLOOKUP(C58,ANTIGÜEDAD!A:BE,12,FALSE)</f>
        <v>MIGRADO</v>
      </c>
      <c r="H58" s="31">
        <f>VLOOKUP(C58,ANTIGÜEDAD!A:BE,14,FALSE)</f>
        <v>45911</v>
      </c>
      <c r="I58" s="19">
        <f>VLOOKUP(C58,ANTIGÜEDAD!A:BE,19,FALSE)</f>
        <v>16</v>
      </c>
      <c r="J58" s="31" t="str">
        <f>VLOOKUP(C58,ANTIGÜEDAD!A:BE,56,FALSE)</f>
        <v>Jueves</v>
      </c>
      <c r="K58" s="32" t="str">
        <f>VLOOKUP(C58,ANTIGÜEDAD!A:BE,57,FALSE)</f>
        <v>10:00</v>
      </c>
      <c r="L58" s="19" t="str">
        <f>VLOOKUP(C58,ANTIGÜEDAD!A:BE,20,FALSE)</f>
        <v>Semanal</v>
      </c>
      <c r="M58" s="30">
        <f>VLOOKUP(C58,ANTIGÜEDAD!A:BE,21,FALSE)</f>
        <v>5776.05</v>
      </c>
      <c r="N58" s="33" t="str">
        <f>IFERROR(VLOOKUP(C58,'Reporte de cobranza'!G:BL,34,FALSE),"")</f>
        <v>06/11/2025</v>
      </c>
      <c r="O58" s="30">
        <f>IF(AI58="Desertor sin mora",0,VLOOKUP(C58,ANTIGÜEDAD!A:BJ,44,FALSE))</f>
        <v>51943.81</v>
      </c>
      <c r="P58" s="30">
        <f t="shared" si="5"/>
        <v>92416.8</v>
      </c>
      <c r="Q58" s="30">
        <f t="shared" ca="1" si="1"/>
        <v>51984.450000000004</v>
      </c>
      <c r="R58" s="30">
        <f>IF(AI58="Desertor sin mora",0,VLOOKUP(C58,ANTIGÜEDAD!A:BJ,26,FALSE))</f>
        <v>42750</v>
      </c>
      <c r="S58" s="30">
        <f t="shared" ca="1" si="6"/>
        <v>-40.640000000006694</v>
      </c>
      <c r="T58" s="30">
        <f>IF(V58&gt;0,IF(VLOOKUP(TEXT(C58,"000000"),Ahorros_concentrado!B:D,3,0)+F58*0.1&gt;V58,V58,VLOOKUP(TEXT(C58,"000000"),Ahorros_concentrado!B:D,3,0)+F58*0.1),0)</f>
        <v>0</v>
      </c>
      <c r="U58" s="30">
        <f t="shared" si="7"/>
        <v>0</v>
      </c>
      <c r="V58" s="30">
        <f>IF(AI58="Desertor sin mora",0,VLOOKUP(C58,'SITUACIÓN DE CARTERA'!A:AR,26,FALSE))</f>
        <v>0</v>
      </c>
      <c r="W58" s="134">
        <f>IF(AI58="Desertor sin mora",0,VLOOKUP(C58,'SITUACIÓN DE CARTERA'!A:AR,27,FALSE))/100</f>
        <v>0</v>
      </c>
      <c r="X58" s="30">
        <f>IF(V58&gt;0,VLOOKUP(C58,ANTIGÜEDAD!A:BE,26,FALSE),0)</f>
        <v>0</v>
      </c>
      <c r="Z58" s="34">
        <f>IF(AI58="Desertor sin mora",VLOOKUP(C58,ANTIGÜEDAD!A:Q,17,0)/AA58,F58/AA58)</f>
        <v>12666.666666666666</v>
      </c>
      <c r="AA58" s="19">
        <f>IF(AI58="Desertor sin mora",VLOOKUP(C58,ANTIGÜEDAD!A:M,13,0),VLOOKUP(C58,'SITUACIÓN DE CARTERA'!A:AR,43,FALSE))</f>
        <v>6</v>
      </c>
      <c r="AB58" s="19">
        <f t="shared" ca="1" si="8"/>
        <v>7</v>
      </c>
      <c r="AC58" s="42">
        <f>IF(AI58="Desertor sin mora",0,(VLOOKUP(C58,'SITUACIÓN DE CARTERA'!A:AS,45,FALSE))/M58)</f>
        <v>7.0070376814605133</v>
      </c>
      <c r="AD58" s="19">
        <f>IF(AI58="Desertor sin mora",0,VLOOKUP(C58,'Reporte de cobranza'!G:BL,35,FALSE))</f>
        <v>9</v>
      </c>
      <c r="AE58" s="19">
        <f>IF(AI58="Desertor sin mora",I58,VLOOKUP(C58,'Reporte de cobranza'!G:BL,36,FALSE))</f>
        <v>16</v>
      </c>
      <c r="AF58" s="19">
        <f>VLOOKUP(C58,ANTIGÜEDAD!A:BE,18,FALSE)</f>
        <v>0</v>
      </c>
      <c r="AG58" s="30">
        <f>IFERROR(VLOOKUP(C58,Ahorros_concentrado!B:D,3,FALSE),0)</f>
        <v>2023</v>
      </c>
      <c r="AH58" s="43">
        <f t="shared" ca="1" si="9"/>
        <v>5.0034192917305077E-2</v>
      </c>
      <c r="AI58" s="19" t="str">
        <f>IF(VLOOKUP(C58,ANTIGÜEDAD!A:AG,33,0)="Entregado","Vigente",IF(VLOOKUP(C58,ANTIGÜEDAD!A:AG,33,0)="Liquidado","Desertor sin mora",""))</f>
        <v>Vigente</v>
      </c>
      <c r="AJ58" s="98" t="str">
        <f t="shared" si="10"/>
        <v>000007801</v>
      </c>
    </row>
    <row r="59" spans="1:36" x14ac:dyDescent="0.3">
      <c r="A59" s="19" t="str">
        <f>VLOOKUP(C59,ANTIGÜEDAD!A:BJ,4,FALSE)</f>
        <v>IRVIN URIEL MORA VELAZCO</v>
      </c>
      <c r="B59" s="19" t="str">
        <f>IFERROR(VLOOKUP(ANTIGÜEDAD!F58,'Parche Promotores'!A:B,2,0),ANTIGÜEDAD!F58)</f>
        <v>Flores Mendez Veronica</v>
      </c>
      <c r="C59" s="6" t="str">
        <f>TEXT(ANTIGÜEDAD!I58,"000000")</f>
        <v>000130</v>
      </c>
      <c r="D59" s="6" t="str">
        <f>ANTIGÜEDAD!K58</f>
        <v>LUPITA</v>
      </c>
      <c r="E59" s="29" t="str">
        <f>IFERROR(VLOOKUP(C59,'SITUACIÓN DE CARTERA'!A:AR,12,FALSE),VLOOKUP(C59,ANTIGÜEDAD!A:J,10,0))</f>
        <v>01</v>
      </c>
      <c r="F59" s="30">
        <f>VLOOKUP(C59,ANTIGÜEDAD!A:BE,17,FALSE)</f>
        <v>59000</v>
      </c>
      <c r="G59" s="30" t="str">
        <f>VLOOKUP(C59,ANTIGÜEDAD!A:BE,12,FALSE)</f>
        <v>MIGRADO</v>
      </c>
      <c r="H59" s="31">
        <f>VLOOKUP(C59,ANTIGÜEDAD!A:BE,14,FALSE)</f>
        <v>45931</v>
      </c>
      <c r="I59" s="19">
        <f>VLOOKUP(C59,ANTIGÜEDAD!A:BE,19,FALSE)</f>
        <v>16</v>
      </c>
      <c r="J59" s="31" t="str">
        <f>VLOOKUP(C59,ANTIGÜEDAD!A:BE,56,FALSE)</f>
        <v>Miércoles</v>
      </c>
      <c r="K59" s="32" t="str">
        <f>VLOOKUP(C59,ANTIGÜEDAD!A:BE,57,FALSE)</f>
        <v>12:00</v>
      </c>
      <c r="L59" s="19" t="str">
        <f>VLOOKUP(C59,ANTIGÜEDAD!A:BE,20,FALSE)</f>
        <v>Semanal</v>
      </c>
      <c r="M59" s="30">
        <f>VLOOKUP(C59,ANTIGÜEDAD!A:BE,21,FALSE)</f>
        <v>4484.04</v>
      </c>
      <c r="N59" s="33" t="str">
        <f>IFERROR(VLOOKUP(C59,'Reporte de cobranza'!G:BL,34,FALSE),"")</f>
        <v>05/11/2025</v>
      </c>
      <c r="O59" s="30">
        <f>IF(AI59="Desertor sin mora",0,VLOOKUP(C59,ANTIGÜEDAD!A:BJ,44,FALSE))</f>
        <v>53808.630000000005</v>
      </c>
      <c r="P59" s="30">
        <f t="shared" si="5"/>
        <v>71744.639999999999</v>
      </c>
      <c r="Q59" s="30">
        <f t="shared" ca="1" si="1"/>
        <v>53808.630000000005</v>
      </c>
      <c r="R59" s="30">
        <f>IF(AI59="Desertor sin mora",0,VLOOKUP(C59,ANTIGÜEDAD!A:BJ,26,FALSE))</f>
        <v>44250.15</v>
      </c>
      <c r="S59" s="30">
        <f t="shared" ca="1" si="6"/>
        <v>0</v>
      </c>
      <c r="T59" s="30">
        <f>IF(V59&gt;0,IF(VLOOKUP(TEXT(C59,"000000"),Ahorros_concentrado!B:D,3,0)+F59*0.1&gt;V59,V59,VLOOKUP(TEXT(C59,"000000"),Ahorros_concentrado!B:D,3,0)+F59*0.1),0)</f>
        <v>0</v>
      </c>
      <c r="U59" s="30">
        <f t="shared" si="7"/>
        <v>0</v>
      </c>
      <c r="V59" s="30">
        <f>IF(AI59="Desertor sin mora",0,VLOOKUP(C59,'SITUACIÓN DE CARTERA'!A:AR,26,FALSE))</f>
        <v>0</v>
      </c>
      <c r="W59" s="134">
        <f>IF(AI59="Desertor sin mora",0,VLOOKUP(C59,'SITUACIÓN DE CARTERA'!A:AR,27,FALSE))/100</f>
        <v>0</v>
      </c>
      <c r="X59" s="30">
        <f>IF(V59&gt;0,VLOOKUP(C59,ANTIGÜEDAD!A:BE,26,FALSE),0)</f>
        <v>0</v>
      </c>
      <c r="Z59" s="34">
        <f>IF(AI59="Desertor sin mora",VLOOKUP(C59,ANTIGÜEDAD!A:Q,17,0)/AA59,F59/AA59)</f>
        <v>8428.5714285714294</v>
      </c>
      <c r="AA59" s="19">
        <f>IF(AI59="Desertor sin mora",VLOOKUP(C59,ANTIGÜEDAD!A:M,13,0),VLOOKUP(C59,'SITUACIÓN DE CARTERA'!A:AR,43,FALSE))</f>
        <v>7</v>
      </c>
      <c r="AB59" s="19">
        <f t="shared" ca="1" si="8"/>
        <v>4</v>
      </c>
      <c r="AC59" s="42">
        <f>IF(AI59="Desertor sin mora",0,(VLOOKUP(C59,'SITUACIÓN DE CARTERA'!A:AS,45,FALSE))/M59)</f>
        <v>3.9999643178919011</v>
      </c>
      <c r="AD59" s="19">
        <f>IF(AI59="Desertor sin mora",0,VLOOKUP(C59,'Reporte de cobranza'!G:BL,35,FALSE))</f>
        <v>12</v>
      </c>
      <c r="AE59" s="19">
        <f>IF(AI59="Desertor sin mora",I59,VLOOKUP(C59,'Reporte de cobranza'!G:BL,36,FALSE))</f>
        <v>16</v>
      </c>
      <c r="AF59" s="19">
        <f>VLOOKUP(C59,ANTIGÜEDAD!A:BE,18,FALSE)</f>
        <v>0</v>
      </c>
      <c r="AG59" s="30">
        <f>IFERROR(VLOOKUP(C59,Ahorros_concentrado!B:D,3,FALSE),0)</f>
        <v>912</v>
      </c>
      <c r="AH59" s="43">
        <f t="shared" ca="1" si="9"/>
        <v>5.084700404099874E-2</v>
      </c>
      <c r="AI59" s="19" t="str">
        <f>IF(VLOOKUP(C59,ANTIGÜEDAD!A:AG,33,0)="Entregado","Vigente",IF(VLOOKUP(C59,ANTIGÜEDAD!A:AG,33,0)="Liquidado","Desertor sin mora",""))</f>
        <v>Vigente</v>
      </c>
      <c r="AJ59" s="98" t="str">
        <f t="shared" si="10"/>
        <v>000013001</v>
      </c>
    </row>
    <row r="60" spans="1:36" x14ac:dyDescent="0.3">
      <c r="A60" s="19" t="str">
        <f>VLOOKUP(C60,ANTIGÜEDAD!A:BJ,4,FALSE)</f>
        <v>ADRIANA ALEJALDRE GUZMAN</v>
      </c>
      <c r="B60" s="19" t="str">
        <f>IFERROR(VLOOKUP(ANTIGÜEDAD!F59,'Parche Promotores'!A:B,2,0),ANTIGÜEDAD!F59)</f>
        <v>Contreras Martinez Jose Luis</v>
      </c>
      <c r="C60" s="6" t="str">
        <f>TEXT(ANTIGÜEDAD!I59,"000000")</f>
        <v>000048</v>
      </c>
      <c r="D60" s="6" t="str">
        <f>ANTIGÜEDAD!K59</f>
        <v>UNA LUZ EN MI CAMINO</v>
      </c>
      <c r="E60" s="29" t="str">
        <f>IFERROR(VLOOKUP(C60,'SITUACIÓN DE CARTERA'!A:AR,12,FALSE),VLOOKUP(C60,ANTIGÜEDAD!A:J,10,0))</f>
        <v>01</v>
      </c>
      <c r="F60" s="30">
        <f>VLOOKUP(C60,ANTIGÜEDAD!A:BE,17,FALSE)</f>
        <v>140000</v>
      </c>
      <c r="G60" s="30" t="str">
        <f>VLOOKUP(C60,ANTIGÜEDAD!A:BE,12,FALSE)</f>
        <v>MIGRADO</v>
      </c>
      <c r="H60" s="31">
        <f>VLOOKUP(C60,ANTIGÜEDAD!A:BE,14,FALSE)</f>
        <v>45898</v>
      </c>
      <c r="I60" s="19">
        <f>VLOOKUP(C60,ANTIGÜEDAD!A:BE,19,FALSE)</f>
        <v>16</v>
      </c>
      <c r="J60" s="31" t="str">
        <f>VLOOKUP(C60,ANTIGÜEDAD!A:BE,56,FALSE)</f>
        <v>Viernes</v>
      </c>
      <c r="K60" s="32" t="str">
        <f>VLOOKUP(C60,ANTIGÜEDAD!A:BE,57,FALSE)</f>
        <v>10:00</v>
      </c>
      <c r="L60" s="19" t="str">
        <f>VLOOKUP(C60,ANTIGÜEDAD!A:BE,20,FALSE)</f>
        <v>Semanal</v>
      </c>
      <c r="M60" s="30">
        <f>VLOOKUP(C60,ANTIGÜEDAD!A:BE,21,FALSE)</f>
        <v>10640.09</v>
      </c>
      <c r="N60" s="33" t="str">
        <f>IFERROR(VLOOKUP(C60,'Reporte de cobranza'!G:BL,34,FALSE),"")</f>
        <v>07/11/2025</v>
      </c>
      <c r="O60" s="30">
        <f>IF(AI60="Desertor sin mora",0,VLOOKUP(C60,ANTIGÜEDAD!A:BJ,44,FALSE))</f>
        <v>101633.49</v>
      </c>
      <c r="P60" s="30">
        <f t="shared" si="5"/>
        <v>170241.44</v>
      </c>
      <c r="Q60" s="30">
        <f t="shared" ca="1" si="1"/>
        <v>101633.49</v>
      </c>
      <c r="R60" s="30">
        <f>IF(AI60="Desertor sin mora",0,VLOOKUP(C60,ANTIGÜEDAD!A:BJ,26,FALSE))</f>
        <v>84622.650000000009</v>
      </c>
      <c r="S60" s="30">
        <f t="shared" ca="1" si="6"/>
        <v>0</v>
      </c>
      <c r="T60" s="30">
        <f>IF(V60&gt;0,IF(VLOOKUP(TEXT(C60,"000000"),Ahorros_concentrado!B:D,3,0)+F60*0.1&gt;V60,V60,VLOOKUP(TEXT(C60,"000000"),Ahorros_concentrado!B:D,3,0)+F60*0.1),0)</f>
        <v>15230</v>
      </c>
      <c r="U60" s="30">
        <f t="shared" si="7"/>
        <v>8142.6500000000015</v>
      </c>
      <c r="V60" s="30">
        <f>IF(AI60="Desertor sin mora",0,VLOOKUP(C60,'SITUACIÓN DE CARTERA'!A:AR,26,FALSE))</f>
        <v>23372.65</v>
      </c>
      <c r="W60" s="134">
        <f>IF(AI60="Desertor sin mora",0,VLOOKUP(C60,'SITUACIÓN DE CARTERA'!A:AR,27,FALSE))/100</f>
        <v>0.27619851186414041</v>
      </c>
      <c r="X60" s="30">
        <f>IF(V60&gt;0,VLOOKUP(C60,ANTIGÜEDAD!A:BE,26,FALSE),0)</f>
        <v>84622.650000000009</v>
      </c>
      <c r="Z60" s="34">
        <f>IF(AI60="Desertor sin mora",VLOOKUP(C60,ANTIGÜEDAD!A:Q,17,0)/AA60,F60/AA60)</f>
        <v>20000</v>
      </c>
      <c r="AA60" s="19">
        <f>IF(AI60="Desertor sin mora",VLOOKUP(C60,ANTIGÜEDAD!A:M,13,0),VLOOKUP(C60,'SITUACIÓN DE CARTERA'!A:AR,43,FALSE))</f>
        <v>7</v>
      </c>
      <c r="AB60" s="19">
        <f t="shared" ca="1" si="8"/>
        <v>9</v>
      </c>
      <c r="AC60" s="42">
        <f>IF(AI60="Desertor sin mora",0,(VLOOKUP(C60,'SITUACIÓN DE CARTERA'!A:AS,45,FALSE))/M60)</f>
        <v>6.4480657588422652</v>
      </c>
      <c r="AD60" s="19">
        <f>IF(AI60="Desertor sin mora",0,VLOOKUP(C60,'Reporte de cobranza'!G:BL,35,FALSE))</f>
        <v>7</v>
      </c>
      <c r="AE60" s="19">
        <f>IF(AI60="Desertor sin mora",I60,VLOOKUP(C60,'Reporte de cobranza'!G:BL,36,FALSE))</f>
        <v>16</v>
      </c>
      <c r="AF60" s="19">
        <f>VLOOKUP(C60,ANTIGÜEDAD!A:BE,18,FALSE)</f>
        <v>14</v>
      </c>
      <c r="AG60" s="30">
        <f>IFERROR(VLOOKUP(C60,Ahorros_concentrado!B:D,3,FALSE),0)</f>
        <v>1230</v>
      </c>
      <c r="AH60" s="43">
        <f t="shared" ca="1" si="9"/>
        <v>1.2844502881711213E-2</v>
      </c>
      <c r="AI60" s="19" t="str">
        <f>IF(VLOOKUP(C60,ANTIGÜEDAD!A:AG,33,0)="Entregado","Vigente",IF(VLOOKUP(C60,ANTIGÜEDAD!A:AG,33,0)="Liquidado","Desertor sin mora",""))</f>
        <v>Vigente</v>
      </c>
      <c r="AJ60" s="98" t="str">
        <f t="shared" si="10"/>
        <v>000004801</v>
      </c>
    </row>
    <row r="61" spans="1:36" x14ac:dyDescent="0.3">
      <c r="A61" s="19" t="str">
        <f>VLOOKUP(C61,ANTIGÜEDAD!A:BJ,4,FALSE)</f>
        <v>ADRIANA ALEJALDRE GUZMAN</v>
      </c>
      <c r="B61" s="19" t="str">
        <f>IFERROR(VLOOKUP(ANTIGÜEDAD!F60,'Parche Promotores'!A:B,2,0),ANTIGÜEDAD!F60)</f>
        <v>Lopez Cabrera Edith Alejandra</v>
      </c>
      <c r="C61" s="6" t="str">
        <f>TEXT(ANTIGÜEDAD!I60,"000000")</f>
        <v>000196</v>
      </c>
      <c r="D61" s="6" t="str">
        <f>ANTIGÜEDAD!K60</f>
        <v>ROOMIES DE VILLAS</v>
      </c>
      <c r="E61" s="29" t="str">
        <f>IFERROR(VLOOKUP(C61,'SITUACIÓN DE CARTERA'!A:AR,12,FALSE),VLOOKUP(C61,ANTIGÜEDAD!A:J,10,0))</f>
        <v>01</v>
      </c>
      <c r="F61" s="30">
        <f>VLOOKUP(C61,ANTIGÜEDAD!A:BE,17,FALSE)</f>
        <v>101000</v>
      </c>
      <c r="G61" s="30" t="str">
        <f>VLOOKUP(C61,ANTIGÜEDAD!A:BE,12,FALSE)</f>
        <v>MIGRADO</v>
      </c>
      <c r="H61" s="31">
        <f>VLOOKUP(C61,ANTIGÜEDAD!A:BE,14,FALSE)</f>
        <v>45960</v>
      </c>
      <c r="I61" s="19">
        <f>VLOOKUP(C61,ANTIGÜEDAD!A:BE,19,FALSE)</f>
        <v>16</v>
      </c>
      <c r="J61" s="31" t="str">
        <f>VLOOKUP(C61,ANTIGÜEDAD!A:BE,56,FALSE)</f>
        <v>Jueves</v>
      </c>
      <c r="K61" s="32" t="str">
        <f>VLOOKUP(C61,ANTIGÜEDAD!A:BE,57,FALSE)</f>
        <v>16:00</v>
      </c>
      <c r="L61" s="19" t="str">
        <f>VLOOKUP(C61,ANTIGÜEDAD!A:BE,20,FALSE)</f>
        <v>Semanal</v>
      </c>
      <c r="M61" s="30">
        <f>VLOOKUP(C61,ANTIGÜEDAD!A:BE,21,FALSE)</f>
        <v>7676.07</v>
      </c>
      <c r="N61" s="33" t="str">
        <f>IFERROR(VLOOKUP(C61,'Reporte de cobranza'!G:BL,34,FALSE),"")</f>
        <v>06/11/2025</v>
      </c>
      <c r="O61" s="30">
        <f>IF(AI61="Desertor sin mora",0,VLOOKUP(C61,ANTIGÜEDAD!A:BJ,44,FALSE))</f>
        <v>122817.08</v>
      </c>
      <c r="P61" s="30">
        <f t="shared" si="5"/>
        <v>122817.12</v>
      </c>
      <c r="Q61" s="30">
        <f t="shared" ca="1" si="1"/>
        <v>122817.12</v>
      </c>
      <c r="R61" s="30">
        <f>IF(AI61="Desertor sin mora",0,VLOOKUP(C61,ANTIGÜEDAD!A:BJ,26,FALSE))</f>
        <v>101000</v>
      </c>
      <c r="S61" s="30">
        <f t="shared" ca="1" si="6"/>
        <v>-3.9999999993597157E-2</v>
      </c>
      <c r="T61" s="30">
        <f>IF(V61&gt;0,IF(VLOOKUP(TEXT(C61,"000000"),Ahorros_concentrado!B:D,3,0)+F61*0.1&gt;V61,V61,VLOOKUP(TEXT(C61,"000000"),Ahorros_concentrado!B:D,3,0)+F61*0.1),0)</f>
        <v>0</v>
      </c>
      <c r="U61" s="30">
        <f t="shared" si="7"/>
        <v>0</v>
      </c>
      <c r="V61" s="30">
        <f>IF(AI61="Desertor sin mora",0,VLOOKUP(C61,'SITUACIÓN DE CARTERA'!A:AR,26,FALSE))</f>
        <v>0</v>
      </c>
      <c r="W61" s="134">
        <f>IF(AI61="Desertor sin mora",0,VLOOKUP(C61,'SITUACIÓN DE CARTERA'!A:AR,27,FALSE))/100</f>
        <v>0</v>
      </c>
      <c r="X61" s="30">
        <f>IF(V61&gt;0,VLOOKUP(C61,ANTIGÜEDAD!A:BE,26,FALSE),0)</f>
        <v>0</v>
      </c>
      <c r="Z61" s="34">
        <f>IF(AI61="Desertor sin mora",VLOOKUP(C61,ANTIGÜEDAD!A:Q,17,0)/AA61,F61/AA61)</f>
        <v>12625</v>
      </c>
      <c r="AA61" s="19">
        <f>IF(AI61="Desertor sin mora",VLOOKUP(C61,ANTIGÜEDAD!A:M,13,0),VLOOKUP(C61,'SITUACIÓN DE CARTERA'!A:AR,43,FALSE))</f>
        <v>8</v>
      </c>
      <c r="AB61" s="19">
        <f t="shared" ca="1" si="8"/>
        <v>0</v>
      </c>
      <c r="AC61" s="42">
        <f>IF(AI61="Desertor sin mora",0,(VLOOKUP(C61,'SITUACIÓN DE CARTERA'!A:AS,45,FALSE))/M61)</f>
        <v>0</v>
      </c>
      <c r="AD61" s="19">
        <f>IF(AI61="Desertor sin mora",0,VLOOKUP(C61,'Reporte de cobranza'!G:BL,35,FALSE))</f>
        <v>16</v>
      </c>
      <c r="AE61" s="19">
        <f>IF(AI61="Desertor sin mora",I61,VLOOKUP(C61,'Reporte de cobranza'!G:BL,36,FALSE))</f>
        <v>16</v>
      </c>
      <c r="AF61" s="19">
        <f>VLOOKUP(C61,ANTIGÜEDAD!A:BE,18,FALSE)</f>
        <v>0</v>
      </c>
      <c r="AG61" s="30">
        <f>IFERROR(VLOOKUP(C61,Ahorros_concentrado!B:D,3,FALSE),0)</f>
        <v>0</v>
      </c>
      <c r="AH61" s="43">
        <f t="shared" ca="1" si="9"/>
        <v>0</v>
      </c>
      <c r="AI61" s="19" t="str">
        <f>IF(VLOOKUP(C61,ANTIGÜEDAD!A:AG,33,0)="Entregado","Vigente",IF(VLOOKUP(C61,ANTIGÜEDAD!A:AG,33,0)="Liquidado","Desertor sin mora",""))</f>
        <v>Vigente</v>
      </c>
      <c r="AJ61" s="98" t="str">
        <f t="shared" si="10"/>
        <v>000019601</v>
      </c>
    </row>
    <row r="62" spans="1:36" x14ac:dyDescent="0.3">
      <c r="A62" s="19" t="str">
        <f>VLOOKUP(C62,ANTIGÜEDAD!A:BJ,4,FALSE)</f>
        <v>IRVIN URIEL MORA VELAZCO</v>
      </c>
      <c r="B62" s="19" t="str">
        <f>IFERROR(VLOOKUP(ANTIGÜEDAD!F61,'Parche Promotores'!A:B,2,0),ANTIGÜEDAD!F61)</f>
        <v>Lopez Garcia Nahum Antonio</v>
      </c>
      <c r="C62" s="6" t="str">
        <f>TEXT(ANTIGÜEDAD!I61,"000000")</f>
        <v>000124</v>
      </c>
      <c r="D62" s="6" t="str">
        <f>ANTIGÜEDAD!K61</f>
        <v>ESTRELLAS</v>
      </c>
      <c r="E62" s="29" t="str">
        <f>IFERROR(VLOOKUP(C62,'SITUACIÓN DE CARTERA'!A:AR,12,FALSE),VLOOKUP(C62,ANTIGÜEDAD!A:J,10,0))</f>
        <v>01</v>
      </c>
      <c r="F62" s="30">
        <f>VLOOKUP(C62,ANTIGÜEDAD!A:BE,17,FALSE)</f>
        <v>42000</v>
      </c>
      <c r="G62" s="30" t="str">
        <f>VLOOKUP(C62,ANTIGÜEDAD!A:BE,12,FALSE)</f>
        <v>MIGRADO</v>
      </c>
      <c r="H62" s="31">
        <f>VLOOKUP(C62,ANTIGÜEDAD!A:BE,14,FALSE)</f>
        <v>45930</v>
      </c>
      <c r="I62" s="19">
        <f>VLOOKUP(C62,ANTIGÜEDAD!A:BE,19,FALSE)</f>
        <v>16</v>
      </c>
      <c r="J62" s="31" t="str">
        <f>VLOOKUP(C62,ANTIGÜEDAD!A:BE,56,FALSE)</f>
        <v>Martes</v>
      </c>
      <c r="K62" s="32" t="str">
        <f>VLOOKUP(C62,ANTIGÜEDAD!A:BE,57,FALSE)</f>
        <v>10:00</v>
      </c>
      <c r="L62" s="19" t="str">
        <f>VLOOKUP(C62,ANTIGÜEDAD!A:BE,20,FALSE)</f>
        <v>Semanal</v>
      </c>
      <c r="M62" s="30">
        <f>VLOOKUP(C62,ANTIGÜEDAD!A:BE,21,FALSE)</f>
        <v>3192.03</v>
      </c>
      <c r="N62" s="33" t="str">
        <f>IFERROR(VLOOKUP(C62,'Reporte de cobranza'!G:BL,34,FALSE),"")</f>
        <v>04/11/2025</v>
      </c>
      <c r="O62" s="30">
        <f>IF(AI62="Desertor sin mora",0,VLOOKUP(C62,ANTIGÜEDAD!A:BJ,44,FALSE))</f>
        <v>38304.450000000004</v>
      </c>
      <c r="P62" s="30">
        <f t="shared" si="5"/>
        <v>51072.480000000003</v>
      </c>
      <c r="Q62" s="30">
        <f t="shared" ca="1" si="1"/>
        <v>38304.450000000004</v>
      </c>
      <c r="R62" s="30">
        <f>IF(AI62="Desertor sin mora",0,VLOOKUP(C62,ANTIGÜEDAD!A:BJ,26,FALSE))</f>
        <v>31500.12</v>
      </c>
      <c r="S62" s="30">
        <f t="shared" ca="1" si="6"/>
        <v>0</v>
      </c>
      <c r="T62" s="30">
        <f>IF(V62&gt;0,IF(VLOOKUP(TEXT(C62,"000000"),Ahorros_concentrado!B:D,3,0)+F62*0.1&gt;V62,V62,VLOOKUP(TEXT(C62,"000000"),Ahorros_concentrado!B:D,3,0)+F62*0.1),0)</f>
        <v>0</v>
      </c>
      <c r="U62" s="30">
        <f t="shared" si="7"/>
        <v>0</v>
      </c>
      <c r="V62" s="30">
        <f>IF(AI62="Desertor sin mora",0,VLOOKUP(C62,'SITUACIÓN DE CARTERA'!A:AR,26,FALSE))</f>
        <v>0</v>
      </c>
      <c r="W62" s="134">
        <f>IF(AI62="Desertor sin mora",0,VLOOKUP(C62,'SITUACIÓN DE CARTERA'!A:AR,27,FALSE))/100</f>
        <v>0</v>
      </c>
      <c r="X62" s="30">
        <f>IF(V62&gt;0,VLOOKUP(C62,ANTIGÜEDAD!A:BE,26,FALSE),0)</f>
        <v>0</v>
      </c>
      <c r="Z62" s="34">
        <f>IF(AI62="Desertor sin mora",VLOOKUP(C62,ANTIGÜEDAD!A:Q,17,0)/AA62,F62/AA62)</f>
        <v>7000</v>
      </c>
      <c r="AA62" s="19">
        <f>IF(AI62="Desertor sin mora",VLOOKUP(C62,ANTIGÜEDAD!A:M,13,0),VLOOKUP(C62,'SITUACIÓN DE CARTERA'!A:AR,43,FALSE))</f>
        <v>6</v>
      </c>
      <c r="AB62" s="19">
        <f t="shared" ca="1" si="8"/>
        <v>4</v>
      </c>
      <c r="AC62" s="42">
        <f>IF(AI62="Desertor sin mora",0,(VLOOKUP(C62,'SITUACIÓN DE CARTERA'!A:AS,45,FALSE))/M62)</f>
        <v>3.9999624063683608</v>
      </c>
      <c r="AD62" s="19">
        <f>IF(AI62="Desertor sin mora",0,VLOOKUP(C62,'Reporte de cobranza'!G:BL,35,FALSE))</f>
        <v>12</v>
      </c>
      <c r="AE62" s="19">
        <f>IF(AI62="Desertor sin mora",I62,VLOOKUP(C62,'Reporte de cobranza'!G:BL,36,FALSE))</f>
        <v>16</v>
      </c>
      <c r="AF62" s="19">
        <f>VLOOKUP(C62,ANTIGÜEDAD!A:BE,18,FALSE)</f>
        <v>0</v>
      </c>
      <c r="AG62" s="30">
        <f>IFERROR(VLOOKUP(C62,Ahorros_concentrado!B:D,3,FALSE),0)</f>
        <v>816</v>
      </c>
      <c r="AH62" s="43">
        <f t="shared" ca="1" si="9"/>
        <v>6.3909173785960657E-2</v>
      </c>
      <c r="AI62" s="19" t="str">
        <f>IF(VLOOKUP(C62,ANTIGÜEDAD!A:AG,33,0)="Entregado","Vigente",IF(VLOOKUP(C62,ANTIGÜEDAD!A:AG,33,0)="Liquidado","Desertor sin mora",""))</f>
        <v>Vigente</v>
      </c>
      <c r="AJ62" s="98" t="str">
        <f t="shared" si="10"/>
        <v>000012401</v>
      </c>
    </row>
    <row r="63" spans="1:36" x14ac:dyDescent="0.3">
      <c r="A63" s="19" t="str">
        <f>VLOOKUP(C63,ANTIGÜEDAD!A:BJ,4,FALSE)</f>
        <v>JUDITH PATRICIA SERRANO HERRER</v>
      </c>
      <c r="B63" s="19" t="str">
        <f>IFERROR(VLOOKUP(ANTIGÜEDAD!F62,'Parche Promotores'!A:B,2,0),ANTIGÜEDAD!F62)</f>
        <v>Cabrera Flores Viridiana</v>
      </c>
      <c r="C63" s="6" t="str">
        <f>TEXT(ANTIGÜEDAD!I62,"000000")</f>
        <v>000156</v>
      </c>
      <c r="D63" s="6" t="str">
        <f>ANTIGÜEDAD!K62</f>
        <v>PANTERAS</v>
      </c>
      <c r="E63" s="29" t="str">
        <f>IFERROR(VLOOKUP(C63,'SITUACIÓN DE CARTERA'!A:AR,12,FALSE),VLOOKUP(C63,ANTIGÜEDAD!A:J,10,0))</f>
        <v>01</v>
      </c>
      <c r="F63" s="30">
        <f>VLOOKUP(C63,ANTIGÜEDAD!A:BE,17,FALSE)</f>
        <v>87000</v>
      </c>
      <c r="G63" s="30" t="str">
        <f>VLOOKUP(C63,ANTIGÜEDAD!A:BE,12,FALSE)</f>
        <v>MIGRADO</v>
      </c>
      <c r="H63" s="31">
        <f>VLOOKUP(C63,ANTIGÜEDAD!A:BE,14,FALSE)</f>
        <v>45945</v>
      </c>
      <c r="I63" s="19">
        <f>VLOOKUP(C63,ANTIGÜEDAD!A:BE,19,FALSE)</f>
        <v>16</v>
      </c>
      <c r="J63" s="31" t="str">
        <f>VLOOKUP(C63,ANTIGÜEDAD!A:BE,56,FALSE)</f>
        <v>Miércoles</v>
      </c>
      <c r="K63" s="32" t="str">
        <f>VLOOKUP(C63,ANTIGÜEDAD!A:BE,57,FALSE)</f>
        <v>13:00</v>
      </c>
      <c r="L63" s="19" t="str">
        <f>VLOOKUP(C63,ANTIGÜEDAD!A:BE,20,FALSE)</f>
        <v>Semanal</v>
      </c>
      <c r="M63" s="30">
        <f>VLOOKUP(C63,ANTIGÜEDAD!A:BE,21,FALSE)</f>
        <v>6612.06</v>
      </c>
      <c r="N63" s="33" t="str">
        <f>IFERROR(VLOOKUP(C63,'Reporte de cobranza'!G:BL,34,FALSE),"")</f>
        <v>05/11/2025</v>
      </c>
      <c r="O63" s="30">
        <f>IF(AI63="Desertor sin mora",0,VLOOKUP(C63,ANTIGÜEDAD!A:BJ,44,FALSE))</f>
        <v>92567.92</v>
      </c>
      <c r="P63" s="30">
        <f t="shared" si="5"/>
        <v>105792.96000000001</v>
      </c>
      <c r="Q63" s="30">
        <f t="shared" ca="1" si="1"/>
        <v>92568.840000000011</v>
      </c>
      <c r="R63" s="30">
        <f>IF(AI63="Desertor sin mora",0,VLOOKUP(C63,ANTIGÜEDAD!A:BJ,26,FALSE))</f>
        <v>76125</v>
      </c>
      <c r="S63" s="30">
        <f t="shared" ca="1" si="6"/>
        <v>-0.92000000001280569</v>
      </c>
      <c r="T63" s="30">
        <f>IF(V63&gt;0,IF(VLOOKUP(TEXT(C63,"000000"),Ahorros_concentrado!B:D,3,0)+F63*0.1&gt;V63,V63,VLOOKUP(TEXT(C63,"000000"),Ahorros_concentrado!B:D,3,0)+F63*0.1),0)</f>
        <v>0</v>
      </c>
      <c r="U63" s="30">
        <f t="shared" si="7"/>
        <v>0</v>
      </c>
      <c r="V63" s="30">
        <f>IF(AI63="Desertor sin mora",0,VLOOKUP(C63,'SITUACIÓN DE CARTERA'!A:AR,26,FALSE))</f>
        <v>0</v>
      </c>
      <c r="W63" s="134">
        <f>IF(AI63="Desertor sin mora",0,VLOOKUP(C63,'SITUACIÓN DE CARTERA'!A:AR,27,FALSE))/100</f>
        <v>0</v>
      </c>
      <c r="X63" s="30">
        <f>IF(V63&gt;0,VLOOKUP(C63,ANTIGÜEDAD!A:BE,26,FALSE),0)</f>
        <v>0</v>
      </c>
      <c r="Z63" s="34">
        <f>IF(AI63="Desertor sin mora",VLOOKUP(C63,ANTIGÜEDAD!A:Q,17,0)/AA63,F63/AA63)</f>
        <v>17400</v>
      </c>
      <c r="AA63" s="19">
        <f>IF(AI63="Desertor sin mora",VLOOKUP(C63,ANTIGÜEDAD!A:M,13,0),VLOOKUP(C63,'SITUACIÓN DE CARTERA'!A:AR,43,FALSE))</f>
        <v>5</v>
      </c>
      <c r="AB63" s="19">
        <f t="shared" ca="1" si="8"/>
        <v>2</v>
      </c>
      <c r="AC63" s="42">
        <f>IF(AI63="Desertor sin mora",0,(VLOOKUP(C63,'SITUACIÓN DE CARTERA'!A:AS,45,FALSE))/M63)</f>
        <v>2.0001346025293176</v>
      </c>
      <c r="AD63" s="19">
        <f>IF(AI63="Desertor sin mora",0,VLOOKUP(C63,'Reporte de cobranza'!G:BL,35,FALSE))</f>
        <v>14</v>
      </c>
      <c r="AE63" s="19">
        <f>IF(AI63="Desertor sin mora",I63,VLOOKUP(C63,'Reporte de cobranza'!G:BL,36,FALSE))</f>
        <v>16</v>
      </c>
      <c r="AF63" s="19">
        <f>VLOOKUP(C63,ANTIGÜEDAD!A:BE,18,FALSE)</f>
        <v>0</v>
      </c>
      <c r="AG63" s="30">
        <f>IFERROR(VLOOKUP(C63,Ahorros_concentrado!B:D,3,FALSE),0)</f>
        <v>660.98999999999978</v>
      </c>
      <c r="AH63" s="43">
        <f t="shared" ca="1" si="9"/>
        <v>4.9983666209925483E-2</v>
      </c>
      <c r="AI63" s="19" t="str">
        <f>IF(VLOOKUP(C63,ANTIGÜEDAD!A:AG,33,0)="Entregado","Vigente",IF(VLOOKUP(C63,ANTIGÜEDAD!A:AG,33,0)="Liquidado","Desertor sin mora",""))</f>
        <v>Vigente</v>
      </c>
      <c r="AJ63" s="98" t="str">
        <f t="shared" si="10"/>
        <v>000015601</v>
      </c>
    </row>
    <row r="64" spans="1:36" x14ac:dyDescent="0.3">
      <c r="A64" s="19" t="str">
        <f>VLOOKUP(C64,ANTIGÜEDAD!A:BJ,4,FALSE)</f>
        <v>IRVIN URIEL MORA VELAZCO</v>
      </c>
      <c r="B64" s="19" t="str">
        <f>IFERROR(VLOOKUP(ANTIGÜEDAD!F63,'Parche Promotores'!A:B,2,0),ANTIGÜEDAD!F63)</f>
        <v>Flores Mendez Veronica</v>
      </c>
      <c r="C64" s="6" t="str">
        <f>TEXT(ANTIGÜEDAD!I63,"000000")</f>
        <v>000028</v>
      </c>
      <c r="D64" s="6" t="str">
        <f>ANTIGÜEDAD!K63</f>
        <v>CAMPEONAS</v>
      </c>
      <c r="E64" s="29" t="str">
        <f>IFERROR(VLOOKUP(C64,'SITUACIÓN DE CARTERA'!A:AR,12,FALSE),VLOOKUP(C64,ANTIGÜEDAD!A:J,10,0))</f>
        <v>01</v>
      </c>
      <c r="F64" s="30">
        <f>VLOOKUP(C64,ANTIGÜEDAD!A:BE,17,FALSE)</f>
        <v>76000</v>
      </c>
      <c r="G64" s="30" t="str">
        <f>VLOOKUP(C64,ANTIGÜEDAD!A:BE,12,FALSE)</f>
        <v>MIGRADO</v>
      </c>
      <c r="H64" s="31">
        <f>VLOOKUP(C64,ANTIGÜEDAD!A:BE,14,FALSE)</f>
        <v>45898</v>
      </c>
      <c r="I64" s="19">
        <f>VLOOKUP(C64,ANTIGÜEDAD!A:BE,19,FALSE)</f>
        <v>16</v>
      </c>
      <c r="J64" s="31" t="str">
        <f>VLOOKUP(C64,ANTIGÜEDAD!A:BE,56,FALSE)</f>
        <v>Viernes</v>
      </c>
      <c r="K64" s="32" t="str">
        <f>VLOOKUP(C64,ANTIGÜEDAD!A:BE,57,FALSE)</f>
        <v>10:00</v>
      </c>
      <c r="L64" s="19" t="str">
        <f>VLOOKUP(C64,ANTIGÜEDAD!A:BE,20,FALSE)</f>
        <v>Semanal</v>
      </c>
      <c r="M64" s="30">
        <f>VLOOKUP(C64,ANTIGÜEDAD!A:BE,21,FALSE)</f>
        <v>5776.05</v>
      </c>
      <c r="N64" s="33" t="str">
        <f>IFERROR(VLOOKUP(C64,'Reporte de cobranza'!G:BL,34,FALSE),"")</f>
        <v>07/11/2025</v>
      </c>
      <c r="O64" s="30">
        <f>IF(AI64="Desertor sin mora",0,VLOOKUP(C64,ANTIGÜEDAD!A:BJ,44,FALSE))</f>
        <v>46152.81</v>
      </c>
      <c r="P64" s="30">
        <f t="shared" si="5"/>
        <v>92416.8</v>
      </c>
      <c r="Q64" s="30">
        <f t="shared" ca="1" si="1"/>
        <v>46152.81</v>
      </c>
      <c r="R64" s="30">
        <f>IF(AI64="Desertor sin mora",0,VLOOKUP(C64,ANTIGÜEDAD!A:BJ,26,FALSE))</f>
        <v>38000</v>
      </c>
      <c r="S64" s="30">
        <f t="shared" ca="1" si="6"/>
        <v>0</v>
      </c>
      <c r="T64" s="30">
        <f>IF(V64&gt;0,IF(VLOOKUP(TEXT(C64,"000000"),Ahorros_concentrado!B:D,3,0)+F64*0.1&gt;V64,V64,VLOOKUP(TEXT(C64,"000000"),Ahorros_concentrado!B:D,3,0)+F64*0.1),0)</f>
        <v>4750</v>
      </c>
      <c r="U64" s="30">
        <f t="shared" si="7"/>
        <v>0</v>
      </c>
      <c r="V64" s="30">
        <f>IF(AI64="Desertor sin mora",0,VLOOKUP(C64,'SITUACIÓN DE CARTERA'!A:AR,26,FALSE))</f>
        <v>4750</v>
      </c>
      <c r="W64" s="134">
        <f>IF(AI64="Desertor sin mora",0,VLOOKUP(C64,'SITUACIÓN DE CARTERA'!A:AR,27,FALSE))/100</f>
        <v>0.125</v>
      </c>
      <c r="X64" s="30">
        <f>IF(V64&gt;0,VLOOKUP(C64,ANTIGÜEDAD!A:BE,26,FALSE),0)</f>
        <v>38000</v>
      </c>
      <c r="Z64" s="34">
        <f>IF(AI64="Desertor sin mora",VLOOKUP(C64,ANTIGÜEDAD!A:Q,17,0)/AA64,F64/AA64)</f>
        <v>10857.142857142857</v>
      </c>
      <c r="AA64" s="19">
        <f>IF(AI64="Desertor sin mora",VLOOKUP(C64,ANTIGÜEDAD!A:M,13,0),VLOOKUP(C64,'SITUACIÓN DE CARTERA'!A:AR,43,FALSE))</f>
        <v>7</v>
      </c>
      <c r="AB64" s="19">
        <f t="shared" ca="1" si="8"/>
        <v>9</v>
      </c>
      <c r="AC64" s="42">
        <f>IF(AI64="Desertor sin mora",0,(VLOOKUP(C64,'SITUACIÓN DE CARTERA'!A:AS,45,FALSE))/M64)</f>
        <v>8.0096259554539859</v>
      </c>
      <c r="AD64" s="19">
        <f>IF(AI64="Desertor sin mora",0,VLOOKUP(C64,'Reporte de cobranza'!G:BL,35,FALSE))</f>
        <v>7</v>
      </c>
      <c r="AE64" s="19">
        <f>IF(AI64="Desertor sin mora",I64,VLOOKUP(C64,'Reporte de cobranza'!G:BL,36,FALSE))</f>
        <v>16</v>
      </c>
      <c r="AF64" s="19">
        <f>VLOOKUP(C64,ANTIGÜEDAD!A:BE,18,FALSE)</f>
        <v>0</v>
      </c>
      <c r="AG64" s="30">
        <f>IFERROR(VLOOKUP(C64,Ahorros_concentrado!B:D,3,FALSE),0)</f>
        <v>2964</v>
      </c>
      <c r="AH64" s="43">
        <f t="shared" ca="1" si="9"/>
        <v>5.7017050291000487E-2</v>
      </c>
      <c r="AI64" s="19" t="str">
        <f>IF(VLOOKUP(C64,ANTIGÜEDAD!A:AG,33,0)="Entregado","Vigente",IF(VLOOKUP(C64,ANTIGÜEDAD!A:AG,33,0)="Liquidado","Desertor sin mora",""))</f>
        <v>Vigente</v>
      </c>
      <c r="AJ64" s="98" t="str">
        <f t="shared" si="10"/>
        <v>000002801</v>
      </c>
    </row>
    <row r="65" spans="1:36" x14ac:dyDescent="0.3">
      <c r="A65" s="19" t="str">
        <f>VLOOKUP(C65,ANTIGÜEDAD!A:BJ,4,FALSE)</f>
        <v>JUDITH PATRICIA SERRANO HERRER</v>
      </c>
      <c r="B65" s="19" t="str">
        <f>IFERROR(VLOOKUP(ANTIGÜEDAD!F64,'Parche Promotores'!A:B,2,0),ANTIGÜEDAD!F64)</f>
        <v>Cabrera Flores Viridiana</v>
      </c>
      <c r="C65" s="6" t="str">
        <f>TEXT(ANTIGÜEDAD!I64,"000000")</f>
        <v>000040</v>
      </c>
      <c r="D65" s="6" t="str">
        <f>ANTIGÜEDAD!K64</f>
        <v>CACHU</v>
      </c>
      <c r="E65" s="29" t="str">
        <f>IFERROR(VLOOKUP(C65,'SITUACIÓN DE CARTERA'!A:AR,12,FALSE),VLOOKUP(C65,ANTIGÜEDAD!A:J,10,0))</f>
        <v>01</v>
      </c>
      <c r="F65" s="30">
        <f>VLOOKUP(C65,ANTIGÜEDAD!A:BE,17,FALSE)</f>
        <v>95000</v>
      </c>
      <c r="G65" s="30" t="str">
        <f>VLOOKUP(C65,ANTIGÜEDAD!A:BE,12,FALSE)</f>
        <v>MIGRADO</v>
      </c>
      <c r="H65" s="31">
        <f>VLOOKUP(C65,ANTIGÜEDAD!A:BE,14,FALSE)</f>
        <v>45896</v>
      </c>
      <c r="I65" s="19">
        <f>VLOOKUP(C65,ANTIGÜEDAD!A:BE,19,FALSE)</f>
        <v>16</v>
      </c>
      <c r="J65" s="31" t="str">
        <f>VLOOKUP(C65,ANTIGÜEDAD!A:BE,56,FALSE)</f>
        <v>Miércoles</v>
      </c>
      <c r="K65" s="32" t="str">
        <f>VLOOKUP(C65,ANTIGÜEDAD!A:BE,57,FALSE)</f>
        <v>14:00</v>
      </c>
      <c r="L65" s="19" t="str">
        <f>VLOOKUP(C65,ANTIGÜEDAD!A:BE,20,FALSE)</f>
        <v>Semanal</v>
      </c>
      <c r="M65" s="30">
        <f>VLOOKUP(C65,ANTIGÜEDAD!A:BE,21,FALSE)</f>
        <v>7220.06</v>
      </c>
      <c r="N65" s="33" t="str">
        <f>IFERROR(VLOOKUP(C65,'Reporte de cobranza'!G:BL,34,FALSE),"")</f>
        <v>05/11/2025</v>
      </c>
      <c r="O65" s="30">
        <f>IF(AI65="Desertor sin mora",0,VLOOKUP(C65,ANTIGÜEDAD!A:BJ,44,FALSE))</f>
        <v>50541.01</v>
      </c>
      <c r="P65" s="30">
        <f t="shared" si="5"/>
        <v>115520.96000000001</v>
      </c>
      <c r="Q65" s="30">
        <f t="shared" ca="1" si="1"/>
        <v>50541.01</v>
      </c>
      <c r="R65" s="30">
        <f>IF(AI65="Desertor sin mora",0,VLOOKUP(C65,ANTIGÜEDAD!A:BJ,26,FALSE))</f>
        <v>41563.07</v>
      </c>
      <c r="S65" s="30">
        <f t="shared" ca="1" si="6"/>
        <v>0</v>
      </c>
      <c r="T65" s="30">
        <f>IF(V65&gt;0,IF(VLOOKUP(TEXT(C65,"000000"),Ahorros_concentrado!B:D,3,0)+F65*0.1&gt;V65,V65,VLOOKUP(TEXT(C65,"000000"),Ahorros_concentrado!B:D,3,0)+F65*0.1),0)</f>
        <v>0</v>
      </c>
      <c r="U65" s="30">
        <f t="shared" si="7"/>
        <v>0</v>
      </c>
      <c r="V65" s="30">
        <f>IF(AI65="Desertor sin mora",0,VLOOKUP(C65,'SITUACIÓN DE CARTERA'!A:AR,26,FALSE))</f>
        <v>0</v>
      </c>
      <c r="W65" s="134">
        <f>IF(AI65="Desertor sin mora",0,VLOOKUP(C65,'SITUACIÓN DE CARTERA'!A:AR,27,FALSE))/100</f>
        <v>0</v>
      </c>
      <c r="X65" s="30">
        <f>IF(V65&gt;0,VLOOKUP(C65,ANTIGÜEDAD!A:BE,26,FALSE),0)</f>
        <v>0</v>
      </c>
      <c r="Z65" s="34">
        <f>IF(AI65="Desertor sin mora",VLOOKUP(C65,ANTIGÜEDAD!A:Q,17,0)/AA65,F65/AA65)</f>
        <v>19000</v>
      </c>
      <c r="AA65" s="19">
        <f>IF(AI65="Desertor sin mora",VLOOKUP(C65,ANTIGÜEDAD!A:M,13,0),VLOOKUP(C65,'SITUACIÓN DE CARTERA'!A:AR,43,FALSE))</f>
        <v>5</v>
      </c>
      <c r="AB65" s="19">
        <f t="shared" ca="1" si="8"/>
        <v>9</v>
      </c>
      <c r="AC65" s="42">
        <f>IF(AI65="Desertor sin mora",0,(VLOOKUP(C65,'SITUACIÓN DE CARTERA'!A:AS,45,FALSE))/M65)</f>
        <v>8.9999252083777694</v>
      </c>
      <c r="AD65" s="19">
        <f>IF(AI65="Desertor sin mora",0,VLOOKUP(C65,'Reporte de cobranza'!G:BL,35,FALSE))</f>
        <v>7</v>
      </c>
      <c r="AE65" s="19">
        <f>IF(AI65="Desertor sin mora",I65,VLOOKUP(C65,'Reporte de cobranza'!G:BL,36,FALSE))</f>
        <v>16</v>
      </c>
      <c r="AF65" s="19">
        <f>VLOOKUP(C65,ANTIGÜEDAD!A:BE,18,FALSE)</f>
        <v>0</v>
      </c>
      <c r="AG65" s="30">
        <f>IFERROR(VLOOKUP(C65,Ahorros_concentrado!B:D,3,FALSE),0)</f>
        <v>4160</v>
      </c>
      <c r="AH65" s="43">
        <f t="shared" ca="1" si="9"/>
        <v>6.4019166353495971E-2</v>
      </c>
      <c r="AI65" s="19" t="str">
        <f>IF(VLOOKUP(C65,ANTIGÜEDAD!A:AG,33,0)="Entregado","Vigente",IF(VLOOKUP(C65,ANTIGÜEDAD!A:AG,33,0)="Liquidado","Desertor sin mora",""))</f>
        <v>Vigente</v>
      </c>
      <c r="AJ65" s="98" t="str">
        <f t="shared" si="10"/>
        <v>000004001</v>
      </c>
    </row>
    <row r="66" spans="1:36" x14ac:dyDescent="0.3">
      <c r="A66" s="19" t="str">
        <f>VLOOKUP(C66,ANTIGÜEDAD!A:BJ,4,FALSE)</f>
        <v>JUAN EDMUNDO LUNA AGUILLON</v>
      </c>
      <c r="B66" s="19" t="str">
        <f>IFERROR(VLOOKUP(ANTIGÜEDAD!F65,'Parche Promotores'!A:B,2,0),ANTIGÜEDAD!F65)</f>
        <v>Martinez Bañuelos Nallely Sarahi</v>
      </c>
      <c r="C66" s="6" t="str">
        <f>TEXT(ANTIGÜEDAD!I65,"000000")</f>
        <v>000158</v>
      </c>
      <c r="D66" s="6" t="str">
        <f>ANTIGÜEDAD!K65</f>
        <v>TULIPANES</v>
      </c>
      <c r="E66" s="29" t="str">
        <f>IFERROR(VLOOKUP(C66,'SITUACIÓN DE CARTERA'!A:AR,12,FALSE),VLOOKUP(C66,ANTIGÜEDAD!A:J,10,0))</f>
        <v>01</v>
      </c>
      <c r="F66" s="30">
        <f>VLOOKUP(C66,ANTIGÜEDAD!A:BE,17,FALSE)</f>
        <v>65000</v>
      </c>
      <c r="G66" s="30" t="str">
        <f>VLOOKUP(C66,ANTIGÜEDAD!A:BE,12,FALSE)</f>
        <v>MIGRADO</v>
      </c>
      <c r="H66" s="31">
        <f>VLOOKUP(C66,ANTIGÜEDAD!A:BE,14,FALSE)</f>
        <v>45945</v>
      </c>
      <c r="I66" s="19">
        <f>VLOOKUP(C66,ANTIGÜEDAD!A:BE,19,FALSE)</f>
        <v>16</v>
      </c>
      <c r="J66" s="31" t="str">
        <f>VLOOKUP(C66,ANTIGÜEDAD!A:BE,56,FALSE)</f>
        <v>Miércoles</v>
      </c>
      <c r="K66" s="32" t="str">
        <f>VLOOKUP(C66,ANTIGÜEDAD!A:BE,57,FALSE)</f>
        <v>14:00</v>
      </c>
      <c r="L66" s="19" t="str">
        <f>VLOOKUP(C66,ANTIGÜEDAD!A:BE,20,FALSE)</f>
        <v>Semanal</v>
      </c>
      <c r="M66" s="30">
        <f>VLOOKUP(C66,ANTIGÜEDAD!A:BE,21,FALSE)</f>
        <v>4940.04</v>
      </c>
      <c r="N66" s="33" t="str">
        <f>IFERROR(VLOOKUP(C66,'Reporte de cobranza'!G:BL,34,FALSE),"")</f>
        <v>05/11/2025</v>
      </c>
      <c r="O66" s="30">
        <f>IF(AI66="Desertor sin mora",0,VLOOKUP(C66,ANTIGÜEDAD!A:BJ,44,FALSE))</f>
        <v>69160.61</v>
      </c>
      <c r="P66" s="30">
        <f t="shared" si="5"/>
        <v>79040.639999999999</v>
      </c>
      <c r="Q66" s="30">
        <f t="shared" ca="1" si="1"/>
        <v>69160.61</v>
      </c>
      <c r="R66" s="30">
        <f>IF(AI66="Desertor sin mora",0,VLOOKUP(C66,ANTIGÜEDAD!A:BJ,26,FALSE))</f>
        <v>56875</v>
      </c>
      <c r="S66" s="30">
        <f t="shared" ca="1" si="6"/>
        <v>0</v>
      </c>
      <c r="T66" s="30">
        <f>IF(V66&gt;0,IF(VLOOKUP(TEXT(C66,"000000"),Ahorros_concentrado!B:D,3,0)+F66*0.1&gt;V66,V66,VLOOKUP(TEXT(C66,"000000"),Ahorros_concentrado!B:D,3,0)+F66*0.1),0)</f>
        <v>0</v>
      </c>
      <c r="U66" s="30">
        <f t="shared" si="7"/>
        <v>0</v>
      </c>
      <c r="V66" s="30">
        <f>IF(AI66="Desertor sin mora",0,VLOOKUP(C66,'SITUACIÓN DE CARTERA'!A:AR,26,FALSE))</f>
        <v>0</v>
      </c>
      <c r="W66" s="134">
        <f>IF(AI66="Desertor sin mora",0,VLOOKUP(C66,'SITUACIÓN DE CARTERA'!A:AR,27,FALSE))/100</f>
        <v>0</v>
      </c>
      <c r="X66" s="30">
        <f>IF(V66&gt;0,VLOOKUP(C66,ANTIGÜEDAD!A:BE,26,FALSE),0)</f>
        <v>0</v>
      </c>
      <c r="Z66" s="34">
        <f>IF(AI66="Desertor sin mora",VLOOKUP(C66,ANTIGÜEDAD!A:Q,17,0)/AA66,F66/AA66)</f>
        <v>10833.333333333334</v>
      </c>
      <c r="AA66" s="19">
        <f>IF(AI66="Desertor sin mora",VLOOKUP(C66,ANTIGÜEDAD!A:M,13,0),VLOOKUP(C66,'SITUACIÓN DE CARTERA'!A:AR,43,FALSE))</f>
        <v>6</v>
      </c>
      <c r="AB66" s="19">
        <f t="shared" ca="1" si="8"/>
        <v>2</v>
      </c>
      <c r="AC66" s="42">
        <f>IF(AI66="Desertor sin mora",0,(VLOOKUP(C66,'SITUACIÓN DE CARTERA'!A:AS,45,FALSE))/M66)</f>
        <v>2</v>
      </c>
      <c r="AD66" s="19">
        <f>IF(AI66="Desertor sin mora",0,VLOOKUP(C66,'Reporte de cobranza'!G:BL,35,FALSE))</f>
        <v>14</v>
      </c>
      <c r="AE66" s="19">
        <f>IF(AI66="Desertor sin mora",I66,VLOOKUP(C66,'Reporte de cobranza'!G:BL,36,FALSE))</f>
        <v>16</v>
      </c>
      <c r="AF66" s="19">
        <f>VLOOKUP(C66,ANTIGÜEDAD!A:BE,18,FALSE)</f>
        <v>0</v>
      </c>
      <c r="AG66" s="30">
        <f>IFERROR(VLOOKUP(C66,Ahorros_concentrado!B:D,3,FALSE),0)</f>
        <v>731.92000000000007</v>
      </c>
      <c r="AH66" s="43">
        <f t="shared" ca="1" si="9"/>
        <v>7.4080371818851673E-2</v>
      </c>
      <c r="AI66" s="19" t="str">
        <f>IF(VLOOKUP(C66,ANTIGÜEDAD!A:AG,33,0)="Entregado","Vigente",IF(VLOOKUP(C66,ANTIGÜEDAD!A:AG,33,0)="Liquidado","Desertor sin mora",""))</f>
        <v>Vigente</v>
      </c>
      <c r="AJ66" s="98" t="str">
        <f t="shared" si="10"/>
        <v>000015801</v>
      </c>
    </row>
    <row r="67" spans="1:36" x14ac:dyDescent="0.3">
      <c r="A67" s="19" t="str">
        <f>VLOOKUP(C67,ANTIGÜEDAD!A:BJ,4,FALSE)</f>
        <v>ADRIANA ALEJALDRE GUZMAN</v>
      </c>
      <c r="B67" s="19" t="str">
        <f>IFERROR(VLOOKUP(ANTIGÜEDAD!F66,'Parche Promotores'!A:B,2,0),ANTIGÜEDAD!F66)</f>
        <v>Lopez Cabrera Edith Alejandra</v>
      </c>
      <c r="C67" s="6" t="str">
        <f>TEXT(ANTIGÜEDAD!I66,"000000")</f>
        <v>000003</v>
      </c>
      <c r="D67" s="6" t="str">
        <f>ANTIGÜEDAD!K66</f>
        <v>ACEITUNAS DE COKTAIL</v>
      </c>
      <c r="E67" s="29" t="str">
        <f>IFERROR(VLOOKUP(C67,'SITUACIÓN DE CARTERA'!A:AR,12,FALSE),VLOOKUP(C67,ANTIGÜEDAD!A:J,10,0))</f>
        <v>01</v>
      </c>
      <c r="F67" s="30">
        <f>VLOOKUP(C67,ANTIGÜEDAD!A:BE,17,FALSE)</f>
        <v>150000</v>
      </c>
      <c r="G67" s="30" t="str">
        <f>VLOOKUP(C67,ANTIGÜEDAD!A:BE,12,FALSE)</f>
        <v>MIGRADO</v>
      </c>
      <c r="H67" s="31">
        <f>VLOOKUP(C67,ANTIGÜEDAD!A:BE,14,FALSE)</f>
        <v>45877</v>
      </c>
      <c r="I67" s="19">
        <f>VLOOKUP(C67,ANTIGÜEDAD!A:BE,19,FALSE)</f>
        <v>16</v>
      </c>
      <c r="J67" s="31" t="str">
        <f>VLOOKUP(C67,ANTIGÜEDAD!A:BE,56,FALSE)</f>
        <v>Lunes</v>
      </c>
      <c r="K67" s="32" t="str">
        <f>VLOOKUP(C67,ANTIGÜEDAD!A:BE,57,FALSE)</f>
        <v>14:00</v>
      </c>
      <c r="L67" s="19" t="str">
        <f>VLOOKUP(C67,ANTIGÜEDAD!A:BE,20,FALSE)</f>
        <v>Semanal</v>
      </c>
      <c r="M67" s="30">
        <f>VLOOKUP(C67,ANTIGÜEDAD!A:BE,21,FALSE)</f>
        <v>11400.1</v>
      </c>
      <c r="N67" s="33" t="str">
        <f>IFERROR(VLOOKUP(C67,'Reporte de cobranza'!G:BL,34,FALSE),"")</f>
        <v>03/11/2025</v>
      </c>
      <c r="O67" s="30">
        <f>IF(AI67="Desertor sin mora",0,VLOOKUP(C67,ANTIGÜEDAD!A:BJ,44,FALSE))</f>
        <v>57000.4</v>
      </c>
      <c r="P67" s="30">
        <f t="shared" si="5"/>
        <v>182401.6</v>
      </c>
      <c r="Q67" s="30">
        <f t="shared" ca="1" si="1"/>
        <v>57000.5</v>
      </c>
      <c r="R67" s="30">
        <f>IF(AI67="Desertor sin mora",0,VLOOKUP(C67,ANTIGÜEDAD!A:BJ,26,FALSE))</f>
        <v>46875</v>
      </c>
      <c r="S67" s="30">
        <f t="shared" ca="1" si="6"/>
        <v>-9.9999999998544808E-2</v>
      </c>
      <c r="T67" s="30">
        <f>IF(V67&gt;0,IF(VLOOKUP(TEXT(C67,"000000"),Ahorros_concentrado!B:D,3,0)+F67*0.1&gt;V67,V67,VLOOKUP(TEXT(C67,"000000"),Ahorros_concentrado!B:D,3,0)+F67*0.1),0)</f>
        <v>0</v>
      </c>
      <c r="U67" s="30">
        <f t="shared" si="7"/>
        <v>0</v>
      </c>
      <c r="V67" s="30">
        <f>IF(AI67="Desertor sin mora",0,VLOOKUP(C67,'SITUACIÓN DE CARTERA'!A:AR,26,FALSE))</f>
        <v>0</v>
      </c>
      <c r="W67" s="134">
        <f>IF(AI67="Desertor sin mora",0,VLOOKUP(C67,'SITUACIÓN DE CARTERA'!A:AR,27,FALSE))/100</f>
        <v>0</v>
      </c>
      <c r="X67" s="30">
        <f>IF(V67&gt;0,VLOOKUP(C67,ANTIGÜEDAD!A:BE,26,FALSE),0)</f>
        <v>0</v>
      </c>
      <c r="Z67" s="34">
        <f>IF(AI67="Desertor sin mora",VLOOKUP(C67,ANTIGÜEDAD!A:Q,17,0)/AA67,F67/AA67)</f>
        <v>25000</v>
      </c>
      <c r="AA67" s="19">
        <f>IF(AI67="Desertor sin mora",VLOOKUP(C67,ANTIGÜEDAD!A:M,13,0),VLOOKUP(C67,'SITUACIÓN DE CARTERA'!A:AR,43,FALSE))</f>
        <v>6</v>
      </c>
      <c r="AB67" s="19">
        <f t="shared" ca="1" si="8"/>
        <v>11</v>
      </c>
      <c r="AC67" s="42">
        <f>IF(AI67="Desertor sin mora",0,(VLOOKUP(C67,'SITUACIÓN DE CARTERA'!A:AS,45,FALSE))/M67)</f>
        <v>11.000008771852878</v>
      </c>
      <c r="AD67" s="19">
        <f>IF(AI67="Desertor sin mora",0,VLOOKUP(C67,'Reporte de cobranza'!G:BL,35,FALSE))</f>
        <v>5</v>
      </c>
      <c r="AE67" s="19">
        <f>IF(AI67="Desertor sin mora",I67,VLOOKUP(C67,'Reporte de cobranza'!G:BL,36,FALSE))</f>
        <v>16</v>
      </c>
      <c r="AF67" s="19">
        <f>VLOOKUP(C67,ANTIGÜEDAD!A:BE,18,FALSE)</f>
        <v>0</v>
      </c>
      <c r="AG67" s="30">
        <f>IFERROR(VLOOKUP(C67,Ahorros_concentrado!B:D,3,FALSE),0)</f>
        <v>5768.7999999999993</v>
      </c>
      <c r="AH67" s="43">
        <f t="shared" ca="1" si="9"/>
        <v>4.6002786259450666E-2</v>
      </c>
      <c r="AI67" s="19" t="str">
        <f>IF(VLOOKUP(C67,ANTIGÜEDAD!A:AG,33,0)="Entregado","Vigente",IF(VLOOKUP(C67,ANTIGÜEDAD!A:AG,33,0)="Liquidado","Desertor sin mora",""))</f>
        <v>Vigente</v>
      </c>
      <c r="AJ67" s="98" t="str">
        <f t="shared" si="10"/>
        <v>000000301</v>
      </c>
    </row>
    <row r="68" spans="1:36" x14ac:dyDescent="0.3">
      <c r="A68" s="19" t="str">
        <f>VLOOKUP(C68,ANTIGÜEDAD!A:BJ,4,FALSE)</f>
        <v>JUAN EDMUNDO LUNA AGUILLON</v>
      </c>
      <c r="B68" s="19" t="str">
        <f>IFERROR(VLOOKUP(ANTIGÜEDAD!F67,'Parche Promotores'!A:B,2,0),ANTIGÜEDAD!F67)</f>
        <v>Martinez Bañuelos Nallely Sarahi</v>
      </c>
      <c r="C68" s="6" t="str">
        <f>TEXT(ANTIGÜEDAD!I67,"000000")</f>
        <v>000056</v>
      </c>
      <c r="D68" s="6" t="str">
        <f>ANTIGÜEDAD!K67</f>
        <v>PASTELITOS Y PANQUESITOS</v>
      </c>
      <c r="E68" s="29" t="str">
        <f>IFERROR(VLOOKUP(C68,'SITUACIÓN DE CARTERA'!A:AR,12,FALSE),VLOOKUP(C68,ANTIGÜEDAD!A:J,10,0))</f>
        <v>01</v>
      </c>
      <c r="F68" s="30">
        <f>VLOOKUP(C68,ANTIGÜEDAD!A:BE,17,FALSE)</f>
        <v>68000</v>
      </c>
      <c r="G68" s="30" t="str">
        <f>VLOOKUP(C68,ANTIGÜEDAD!A:BE,12,FALSE)</f>
        <v>MIGRADO</v>
      </c>
      <c r="H68" s="31">
        <f>VLOOKUP(C68,ANTIGÜEDAD!A:BE,14,FALSE)</f>
        <v>45902</v>
      </c>
      <c r="I68" s="19">
        <f>VLOOKUP(C68,ANTIGÜEDAD!A:BE,19,FALSE)</f>
        <v>16</v>
      </c>
      <c r="J68" s="31" t="str">
        <f>VLOOKUP(C68,ANTIGÜEDAD!A:BE,56,FALSE)</f>
        <v>Martes</v>
      </c>
      <c r="K68" s="32" t="str">
        <f>VLOOKUP(C68,ANTIGÜEDAD!A:BE,57,FALSE)</f>
        <v>15:00</v>
      </c>
      <c r="L68" s="19" t="str">
        <f>VLOOKUP(C68,ANTIGÜEDAD!A:BE,20,FALSE)</f>
        <v>Semanal</v>
      </c>
      <c r="M68" s="30">
        <f>VLOOKUP(C68,ANTIGÜEDAD!A:BE,21,FALSE)</f>
        <v>5168.05</v>
      </c>
      <c r="N68" s="33" t="str">
        <f>IFERROR(VLOOKUP(C68,'Reporte de cobranza'!G:BL,34,FALSE),"")</f>
        <v>04/11/2025</v>
      </c>
      <c r="O68" s="30">
        <f>IF(AI68="Desertor sin mora",0,VLOOKUP(C68,ANTIGÜEDAD!A:BJ,44,FALSE))</f>
        <v>41344.33</v>
      </c>
      <c r="P68" s="30">
        <f t="shared" si="5"/>
        <v>82688.800000000003</v>
      </c>
      <c r="Q68" s="30">
        <f t="shared" ca="1" si="1"/>
        <v>41344.400000000001</v>
      </c>
      <c r="R68" s="30">
        <f>IF(AI68="Desertor sin mora",0,VLOOKUP(C68,ANTIGÜEDAD!A:BJ,26,FALSE))</f>
        <v>34000</v>
      </c>
      <c r="S68" s="30">
        <f t="shared" ca="1" si="6"/>
        <v>-6.9999999999708962E-2</v>
      </c>
      <c r="T68" s="30">
        <f>IF(V68&gt;0,IF(VLOOKUP(TEXT(C68,"000000"),Ahorros_concentrado!B:D,3,0)+F68*0.1&gt;V68,V68,VLOOKUP(TEXT(C68,"000000"),Ahorros_concentrado!B:D,3,0)+F68*0.1),0)</f>
        <v>0</v>
      </c>
      <c r="U68" s="30">
        <f t="shared" si="7"/>
        <v>0</v>
      </c>
      <c r="V68" s="30">
        <f>IF(AI68="Desertor sin mora",0,VLOOKUP(C68,'SITUACIÓN DE CARTERA'!A:AR,26,FALSE))</f>
        <v>0</v>
      </c>
      <c r="W68" s="134">
        <f>IF(AI68="Desertor sin mora",0,VLOOKUP(C68,'SITUACIÓN DE CARTERA'!A:AR,27,FALSE))/100</f>
        <v>0</v>
      </c>
      <c r="X68" s="30">
        <f>IF(V68&gt;0,VLOOKUP(C68,ANTIGÜEDAD!A:BE,26,FALSE),0)</f>
        <v>0</v>
      </c>
      <c r="Z68" s="34">
        <f>IF(AI68="Desertor sin mora",VLOOKUP(C68,ANTIGÜEDAD!A:Q,17,0)/AA68,F68/AA68)</f>
        <v>11333.333333333334</v>
      </c>
      <c r="AA68" s="19">
        <f>IF(AI68="Desertor sin mora",VLOOKUP(C68,ANTIGÜEDAD!A:M,13,0),VLOOKUP(C68,'SITUACIÓN DE CARTERA'!A:AR,43,FALSE))</f>
        <v>6</v>
      </c>
      <c r="AB68" s="19">
        <f t="shared" ca="1" si="8"/>
        <v>8</v>
      </c>
      <c r="AC68" s="42">
        <f>IF(AI68="Desertor sin mora",0,(VLOOKUP(C68,'SITUACIÓN DE CARTERA'!A:AS,45,FALSE))/M68)</f>
        <v>8</v>
      </c>
      <c r="AD68" s="19">
        <f>IF(AI68="Desertor sin mora",0,VLOOKUP(C68,'Reporte de cobranza'!G:BL,35,FALSE))</f>
        <v>8</v>
      </c>
      <c r="AE68" s="19">
        <f>IF(AI68="Desertor sin mora",I68,VLOOKUP(C68,'Reporte de cobranza'!G:BL,36,FALSE))</f>
        <v>16</v>
      </c>
      <c r="AF68" s="19">
        <f>VLOOKUP(C68,ANTIGÜEDAD!A:BE,18,FALSE)</f>
        <v>0</v>
      </c>
      <c r="AG68" s="30">
        <f>IFERROR(VLOOKUP(C68,Ahorros_concentrado!B:D,3,FALSE),0)</f>
        <v>2629.6499999999987</v>
      </c>
      <c r="AH68" s="43">
        <f t="shared" ca="1" si="9"/>
        <v>6.3603535182515616E-2</v>
      </c>
      <c r="AI68" s="19" t="str">
        <f>IF(VLOOKUP(C68,ANTIGÜEDAD!A:AG,33,0)="Entregado","Vigente",IF(VLOOKUP(C68,ANTIGÜEDAD!A:AG,33,0)="Liquidado","Desertor sin mora",""))</f>
        <v>Vigente</v>
      </c>
      <c r="AJ68" s="98" t="str">
        <f t="shared" si="10"/>
        <v>000005601</v>
      </c>
    </row>
    <row r="69" spans="1:36" x14ac:dyDescent="0.3">
      <c r="A69" s="19" t="str">
        <f>VLOOKUP(C69,ANTIGÜEDAD!A:BJ,4,FALSE)</f>
        <v>JUDITH PATRICIA SERRANO HERRER</v>
      </c>
      <c r="B69" s="19" t="str">
        <f>IFERROR(VLOOKUP(ANTIGÜEDAD!F68,'Parche Promotores'!A:B,2,0),ANTIGÜEDAD!F68)</f>
        <v>Becerril Aguirre Jonathan</v>
      </c>
      <c r="C69" s="6" t="str">
        <f>TEXT(ANTIGÜEDAD!I68,"000000")</f>
        <v>000136</v>
      </c>
      <c r="D69" s="6" t="str">
        <f>ANTIGÜEDAD!K68</f>
        <v>MARIPOSAS</v>
      </c>
      <c r="E69" s="29" t="str">
        <f>IFERROR(VLOOKUP(C69,'SITUACIÓN DE CARTERA'!A:AR,12,FALSE),VLOOKUP(C69,ANTIGÜEDAD!A:J,10,0))</f>
        <v>01</v>
      </c>
      <c r="F69" s="30">
        <f>VLOOKUP(C69,ANTIGÜEDAD!A:BE,17,FALSE)</f>
        <v>116000</v>
      </c>
      <c r="G69" s="30" t="str">
        <f>VLOOKUP(C69,ANTIGÜEDAD!A:BE,12,FALSE)</f>
        <v>MIGRADO</v>
      </c>
      <c r="H69" s="31">
        <f>VLOOKUP(C69,ANTIGÜEDAD!A:BE,14,FALSE)</f>
        <v>45936</v>
      </c>
      <c r="I69" s="19">
        <f>VLOOKUP(C69,ANTIGÜEDAD!A:BE,19,FALSE)</f>
        <v>16</v>
      </c>
      <c r="J69" s="31" t="str">
        <f>VLOOKUP(C69,ANTIGÜEDAD!A:BE,56,FALSE)</f>
        <v>Lunes</v>
      </c>
      <c r="K69" s="32" t="str">
        <f>VLOOKUP(C69,ANTIGÜEDAD!A:BE,57,FALSE)</f>
        <v>10:00</v>
      </c>
      <c r="L69" s="19" t="str">
        <f>VLOOKUP(C69,ANTIGÜEDAD!A:BE,20,FALSE)</f>
        <v>Semanal</v>
      </c>
      <c r="M69" s="30">
        <f>VLOOKUP(C69,ANTIGÜEDAD!A:BE,21,FALSE)</f>
        <v>8816.08</v>
      </c>
      <c r="N69" s="33" t="str">
        <f>IFERROR(VLOOKUP(C69,'Reporte de cobranza'!G:BL,34,FALSE),"")</f>
        <v>03/11/2025</v>
      </c>
      <c r="O69" s="30">
        <f>IF(AI69="Desertor sin mora",0,VLOOKUP(C69,ANTIGÜEDAD!A:BJ,44,FALSE))</f>
        <v>114609.24</v>
      </c>
      <c r="P69" s="30">
        <f t="shared" si="5"/>
        <v>141057.28</v>
      </c>
      <c r="Q69" s="30">
        <f t="shared" ca="1" si="1"/>
        <v>114609.24</v>
      </c>
      <c r="R69" s="30">
        <f>IF(AI69="Desertor sin mora",0,VLOOKUP(C69,ANTIGÜEDAD!A:BJ,26,FALSE))</f>
        <v>94250.240000000005</v>
      </c>
      <c r="S69" s="30">
        <f t="shared" ca="1" si="6"/>
        <v>0</v>
      </c>
      <c r="T69" s="30">
        <f>IF(V69&gt;0,IF(VLOOKUP(TEXT(C69,"000000"),Ahorros_concentrado!B:D,3,0)+F69*0.1&gt;V69,V69,VLOOKUP(TEXT(C69,"000000"),Ahorros_concentrado!B:D,3,0)+F69*0.1),0)</f>
        <v>0</v>
      </c>
      <c r="U69" s="30">
        <f t="shared" si="7"/>
        <v>0</v>
      </c>
      <c r="V69" s="30">
        <f>IF(AI69="Desertor sin mora",0,VLOOKUP(C69,'SITUACIÓN DE CARTERA'!A:AR,26,FALSE))</f>
        <v>0</v>
      </c>
      <c r="W69" s="134">
        <f>IF(AI69="Desertor sin mora",0,VLOOKUP(C69,'SITUACIÓN DE CARTERA'!A:AR,27,FALSE))/100</f>
        <v>0</v>
      </c>
      <c r="X69" s="30">
        <f>IF(V69&gt;0,VLOOKUP(C69,ANTIGÜEDAD!A:BE,26,FALSE),0)</f>
        <v>0</v>
      </c>
      <c r="Z69" s="34">
        <f>IF(AI69="Desertor sin mora",VLOOKUP(C69,ANTIGÜEDAD!A:Q,17,0)/AA69,F69/AA69)</f>
        <v>23200</v>
      </c>
      <c r="AA69" s="19">
        <f>IF(AI69="Desertor sin mora",VLOOKUP(C69,ANTIGÜEDAD!A:M,13,0),VLOOKUP(C69,'SITUACIÓN DE CARTERA'!A:AR,43,FALSE))</f>
        <v>5</v>
      </c>
      <c r="AB69" s="19">
        <f t="shared" ca="1" si="8"/>
        <v>3</v>
      </c>
      <c r="AC69" s="42">
        <f>IF(AI69="Desertor sin mora",0,(VLOOKUP(C69,'SITUACIÓN DE CARTERA'!A:AS,45,FALSE))/M69)</f>
        <v>2.9999727770165423</v>
      </c>
      <c r="AD69" s="19">
        <f>IF(AI69="Desertor sin mora",0,VLOOKUP(C69,'Reporte de cobranza'!G:BL,35,FALSE))</f>
        <v>13</v>
      </c>
      <c r="AE69" s="19">
        <f>IF(AI69="Desertor sin mora",I69,VLOOKUP(C69,'Reporte de cobranza'!G:BL,36,FALSE))</f>
        <v>16</v>
      </c>
      <c r="AF69" s="19">
        <f>VLOOKUP(C69,ANTIGÜEDAD!A:BE,18,FALSE)</f>
        <v>0</v>
      </c>
      <c r="AG69" s="30">
        <f>IFERROR(VLOOKUP(C69,Ahorros_concentrado!B:D,3,FALSE),0)</f>
        <v>2646</v>
      </c>
      <c r="AH69" s="43">
        <f t="shared" ca="1" si="9"/>
        <v>0.10004446420631391</v>
      </c>
      <c r="AI69" s="19" t="str">
        <f>IF(VLOOKUP(C69,ANTIGÜEDAD!A:AG,33,0)="Entregado","Vigente",IF(VLOOKUP(C69,ANTIGÜEDAD!A:AG,33,0)="Liquidado","Desertor sin mora",""))</f>
        <v>Vigente</v>
      </c>
      <c r="AJ69" s="98" t="str">
        <f t="shared" si="10"/>
        <v>000013601</v>
      </c>
    </row>
    <row r="70" spans="1:36" x14ac:dyDescent="0.3">
      <c r="A70" s="19" t="str">
        <f>VLOOKUP(C70,ANTIGÜEDAD!A:BJ,4,FALSE)</f>
        <v>IRVIN URIEL MORA VELAZCO</v>
      </c>
      <c r="B70" s="19" t="str">
        <f>IFERROR(VLOOKUP(ANTIGÜEDAD!F69,'Parche Promotores'!A:B,2,0),ANTIGÜEDAD!F69)</f>
        <v>Flores Mendez Veronica</v>
      </c>
      <c r="C70" s="6" t="str">
        <f>TEXT(ANTIGÜEDAD!I69,"000000")</f>
        <v>000108</v>
      </c>
      <c r="D70" s="6" t="str">
        <f>ANTIGÜEDAD!K69</f>
        <v>CORAZON PARTIDO</v>
      </c>
      <c r="E70" s="29" t="str">
        <f>IFERROR(VLOOKUP(C70,'SITUACIÓN DE CARTERA'!A:AR,12,FALSE),VLOOKUP(C70,ANTIGÜEDAD!A:J,10,0))</f>
        <v>01</v>
      </c>
      <c r="F70" s="30">
        <f>VLOOKUP(C70,ANTIGÜEDAD!A:BE,17,FALSE)</f>
        <v>140000</v>
      </c>
      <c r="G70" s="30" t="str">
        <f>VLOOKUP(C70,ANTIGÜEDAD!A:BE,12,FALSE)</f>
        <v>MIGRADO</v>
      </c>
      <c r="H70" s="31">
        <f>VLOOKUP(C70,ANTIGÜEDAD!A:BE,14,FALSE)</f>
        <v>45925</v>
      </c>
      <c r="I70" s="19">
        <f>VLOOKUP(C70,ANTIGÜEDAD!A:BE,19,FALSE)</f>
        <v>16</v>
      </c>
      <c r="J70" s="31" t="str">
        <f>VLOOKUP(C70,ANTIGÜEDAD!A:BE,56,FALSE)</f>
        <v>Jueves</v>
      </c>
      <c r="K70" s="32" t="str">
        <f>VLOOKUP(C70,ANTIGÜEDAD!A:BE,57,FALSE)</f>
        <v>10:00</v>
      </c>
      <c r="L70" s="19" t="str">
        <f>VLOOKUP(C70,ANTIGÜEDAD!A:BE,20,FALSE)</f>
        <v>Semanal</v>
      </c>
      <c r="M70" s="30">
        <f>VLOOKUP(C70,ANTIGÜEDAD!A:BE,21,FALSE)</f>
        <v>10640.09</v>
      </c>
      <c r="N70" s="33" t="str">
        <f>IFERROR(VLOOKUP(C70,'Reporte de cobranza'!G:BL,34,FALSE),"")</f>
        <v>06/11/2025</v>
      </c>
      <c r="O70" s="30">
        <f>IF(AI70="Desertor sin mora",0,VLOOKUP(C70,ANTIGÜEDAD!A:BJ,44,FALSE))</f>
        <v>117038.49</v>
      </c>
      <c r="P70" s="30">
        <f t="shared" si="5"/>
        <v>170241.44</v>
      </c>
      <c r="Q70" s="30">
        <f t="shared" ca="1" si="1"/>
        <v>117040.99</v>
      </c>
      <c r="R70" s="30">
        <f>IF(AI70="Desertor sin mora",0,VLOOKUP(C70,ANTIGÜEDAD!A:BJ,26,FALSE))</f>
        <v>96250</v>
      </c>
      <c r="S70" s="30">
        <f t="shared" ca="1" si="6"/>
        <v>-2.5</v>
      </c>
      <c r="T70" s="30">
        <f>IF(V70&gt;0,IF(VLOOKUP(TEXT(C70,"000000"),Ahorros_concentrado!B:D,3,0)+F70*0.1&gt;V70,V70,VLOOKUP(TEXT(C70,"000000"),Ahorros_concentrado!B:D,3,0)+F70*0.1),0)</f>
        <v>0</v>
      </c>
      <c r="U70" s="30">
        <f t="shared" si="7"/>
        <v>0</v>
      </c>
      <c r="V70" s="30">
        <f>IF(AI70="Desertor sin mora",0,VLOOKUP(C70,'SITUACIÓN DE CARTERA'!A:AR,26,FALSE))</f>
        <v>0</v>
      </c>
      <c r="W70" s="134">
        <f>IF(AI70="Desertor sin mora",0,VLOOKUP(C70,'SITUACIÓN DE CARTERA'!A:AR,27,FALSE))/100</f>
        <v>0</v>
      </c>
      <c r="X70" s="30">
        <f>IF(V70&gt;0,VLOOKUP(C70,ANTIGÜEDAD!A:BE,26,FALSE),0)</f>
        <v>0</v>
      </c>
      <c r="Z70" s="34">
        <f>IF(AI70="Desertor sin mora",VLOOKUP(C70,ANTIGÜEDAD!A:Q,17,0)/AA70,F70/AA70)</f>
        <v>28000</v>
      </c>
      <c r="AA70" s="19">
        <f>IF(AI70="Desertor sin mora",VLOOKUP(C70,ANTIGÜEDAD!A:M,13,0),VLOOKUP(C70,'SITUACIÓN DE CARTERA'!A:AR,43,FALSE))</f>
        <v>5</v>
      </c>
      <c r="AB70" s="19">
        <f t="shared" ca="1" si="8"/>
        <v>5</v>
      </c>
      <c r="AC70" s="42">
        <f>IF(AI70="Desertor sin mora",0,(VLOOKUP(C70,'SITUACIÓN DE CARTERA'!A:AS,45,FALSE))/M70)</f>
        <v>5.0002396596269394</v>
      </c>
      <c r="AD70" s="19">
        <f>IF(AI70="Desertor sin mora",0,VLOOKUP(C70,'Reporte de cobranza'!G:BL,35,FALSE))</f>
        <v>11</v>
      </c>
      <c r="AE70" s="19">
        <f>IF(AI70="Desertor sin mora",I70,VLOOKUP(C70,'Reporte de cobranza'!G:BL,36,FALSE))</f>
        <v>16</v>
      </c>
      <c r="AF70" s="19">
        <f>VLOOKUP(C70,ANTIGÜEDAD!A:BE,18,FALSE)</f>
        <v>0</v>
      </c>
      <c r="AG70" s="30">
        <f>IFERROR(VLOOKUP(C70,Ahorros_concentrado!B:D,3,FALSE),0)</f>
        <v>2912</v>
      </c>
      <c r="AH70" s="43">
        <f t="shared" ca="1" si="9"/>
        <v>5.4736379109575198E-2</v>
      </c>
      <c r="AI70" s="19" t="str">
        <f>IF(VLOOKUP(C70,ANTIGÜEDAD!A:AG,33,0)="Entregado","Vigente",IF(VLOOKUP(C70,ANTIGÜEDAD!A:AG,33,0)="Liquidado","Desertor sin mora",""))</f>
        <v>Vigente</v>
      </c>
      <c r="AJ70" s="98" t="str">
        <f t="shared" si="10"/>
        <v>000010801</v>
      </c>
    </row>
    <row r="71" spans="1:36" x14ac:dyDescent="0.3">
      <c r="A71" s="19" t="str">
        <f>VLOOKUP(C71,ANTIGÜEDAD!A:BJ,4,FALSE)</f>
        <v>JUDITH PATRICIA SERRANO HERRER</v>
      </c>
      <c r="B71" s="19" t="str">
        <f>IFERROR(VLOOKUP(ANTIGÜEDAD!F70,'Parche Promotores'!A:B,2,0),ANTIGÜEDAD!F70)</f>
        <v>ORTEGA FORTANEL GABRIELA</v>
      </c>
      <c r="C71" s="6" t="str">
        <f>TEXT(ANTIGÜEDAD!I70,"000000")</f>
        <v>000176</v>
      </c>
      <c r="D71" s="6" t="str">
        <f>ANTIGÜEDAD!K70</f>
        <v>SAN RAFAEL</v>
      </c>
      <c r="E71" s="29" t="str">
        <f>IFERROR(VLOOKUP(C71,'SITUACIÓN DE CARTERA'!A:AR,12,FALSE),VLOOKUP(C71,ANTIGÜEDAD!A:J,10,0))</f>
        <v>01</v>
      </c>
      <c r="F71" s="30">
        <f>VLOOKUP(C71,ANTIGÜEDAD!A:BE,17,FALSE)</f>
        <v>86000</v>
      </c>
      <c r="G71" s="30" t="str">
        <f>VLOOKUP(C71,ANTIGÜEDAD!A:BE,12,FALSE)</f>
        <v>MIGRADO</v>
      </c>
      <c r="H71" s="31">
        <f>VLOOKUP(C71,ANTIGÜEDAD!A:BE,14,FALSE)</f>
        <v>45958</v>
      </c>
      <c r="I71" s="19">
        <f>VLOOKUP(C71,ANTIGÜEDAD!A:BE,19,FALSE)</f>
        <v>16</v>
      </c>
      <c r="J71" s="31" t="str">
        <f>VLOOKUP(C71,ANTIGÜEDAD!A:BE,56,FALSE)</f>
        <v>Jueves</v>
      </c>
      <c r="K71" s="32" t="str">
        <f>VLOOKUP(C71,ANTIGÜEDAD!A:BE,57,FALSE)</f>
        <v>12:00</v>
      </c>
      <c r="L71" s="19" t="str">
        <f>VLOOKUP(C71,ANTIGÜEDAD!A:BE,20,FALSE)</f>
        <v>Semanal</v>
      </c>
      <c r="M71" s="30">
        <f>VLOOKUP(C71,ANTIGÜEDAD!A:BE,21,FALSE)</f>
        <v>6536.06</v>
      </c>
      <c r="N71" s="33" t="str">
        <f>IFERROR(VLOOKUP(C71,'Reporte de cobranza'!G:BL,34,FALSE),"")</f>
        <v>06/11/2025</v>
      </c>
      <c r="O71" s="30">
        <f>IF(AI71="Desertor sin mora",0,VLOOKUP(C71,ANTIGÜEDAD!A:BJ,44,FALSE))</f>
        <v>104576.92</v>
      </c>
      <c r="P71" s="30">
        <f t="shared" si="5"/>
        <v>104576.96000000001</v>
      </c>
      <c r="Q71" s="30">
        <f t="shared" ref="Q71:Q134" ca="1" si="11">MAX(-((AB71*M71)-P71),O71)</f>
        <v>104576.96000000001</v>
      </c>
      <c r="R71" s="30">
        <f>IF(AI71="Desertor sin mora",0,VLOOKUP(C71,ANTIGÜEDAD!A:BJ,26,FALSE))</f>
        <v>86000</v>
      </c>
      <c r="S71" s="30">
        <f t="shared" ca="1" si="6"/>
        <v>-4.0000000008149073E-2</v>
      </c>
      <c r="T71" s="30">
        <f>IF(V71&gt;0,IF(VLOOKUP(TEXT(C71,"000000"),Ahorros_concentrado!B:D,3,0)+F71*0.1&gt;V71,V71,VLOOKUP(TEXT(C71,"000000"),Ahorros_concentrado!B:D,3,0)+F71*0.1),0)</f>
        <v>0</v>
      </c>
      <c r="U71" s="30">
        <f t="shared" si="7"/>
        <v>0</v>
      </c>
      <c r="V71" s="30">
        <f>IF(AI71="Desertor sin mora",0,VLOOKUP(C71,'SITUACIÓN DE CARTERA'!A:AR,26,FALSE))</f>
        <v>0</v>
      </c>
      <c r="W71" s="134">
        <f>IF(AI71="Desertor sin mora",0,VLOOKUP(C71,'SITUACIÓN DE CARTERA'!A:AR,27,FALSE))/100</f>
        <v>0</v>
      </c>
      <c r="X71" s="30">
        <f>IF(V71&gt;0,VLOOKUP(C71,ANTIGÜEDAD!A:BE,26,FALSE),0)</f>
        <v>0</v>
      </c>
      <c r="Z71" s="34">
        <f>IF(AI71="Desertor sin mora",VLOOKUP(C71,ANTIGÜEDAD!A:Q,17,0)/AA71,F71/AA71)</f>
        <v>17200</v>
      </c>
      <c r="AA71" s="19">
        <f>IF(AI71="Desertor sin mora",VLOOKUP(C71,ANTIGÜEDAD!A:M,13,0),VLOOKUP(C71,'SITUACIÓN DE CARTERA'!A:AR,43,FALSE))</f>
        <v>5</v>
      </c>
      <c r="AB71" s="19">
        <f t="shared" ref="AB71:AB102" ca="1" si="12">IF(AI71="Desertor sin mora",INT((TODAY()-H71)/7),AE71-AD71)</f>
        <v>0</v>
      </c>
      <c r="AC71" s="42">
        <f>IF(AI71="Desertor sin mora",0,(VLOOKUP(C71,'SITUACIÓN DE CARTERA'!A:AS,45,FALSE))/M71)</f>
        <v>0</v>
      </c>
      <c r="AD71" s="19">
        <f>IF(AI71="Desertor sin mora",0,VLOOKUP(C71,'Reporte de cobranza'!G:BL,35,FALSE))</f>
        <v>16</v>
      </c>
      <c r="AE71" s="19">
        <f>IF(AI71="Desertor sin mora",I71,VLOOKUP(C71,'Reporte de cobranza'!G:BL,36,FALSE))</f>
        <v>16</v>
      </c>
      <c r="AF71" s="19">
        <f>VLOOKUP(C71,ANTIGÜEDAD!A:BE,18,FALSE)</f>
        <v>0</v>
      </c>
      <c r="AG71" s="30">
        <f>IFERROR(VLOOKUP(C71,Ahorros_concentrado!B:D,3,FALSE),0)</f>
        <v>0</v>
      </c>
      <c r="AH71" s="43">
        <f t="shared" ref="AH71:AH102" ca="1" si="13">IFERROR((AG71/M71)/AB71,0)</f>
        <v>0</v>
      </c>
      <c r="AI71" s="19" t="str">
        <f>IF(VLOOKUP(C71,ANTIGÜEDAD!A:AG,33,0)="Entregado","Vigente",IF(VLOOKUP(C71,ANTIGÜEDAD!A:AG,33,0)="Liquidado","Desertor sin mora",""))</f>
        <v>Vigente</v>
      </c>
      <c r="AJ71" s="98" t="str">
        <f t="shared" ref="AJ71:AJ102" si="14">"0"&amp;TEXT(C71,"000000")&amp;TEXT(E71,"00")</f>
        <v>000017601</v>
      </c>
    </row>
    <row r="72" spans="1:36" x14ac:dyDescent="0.3">
      <c r="A72" s="19" t="str">
        <f>VLOOKUP(C72,ANTIGÜEDAD!A:BJ,4,FALSE)</f>
        <v>JUAN EDMUNDO LUNA AGUILLON</v>
      </c>
      <c r="B72" s="19" t="str">
        <f>IFERROR(VLOOKUP(ANTIGÜEDAD!F71,'Parche Promotores'!A:B,2,0),ANTIGÜEDAD!F71)</f>
        <v>Martinez Bañuelos Nallely Sarahi</v>
      </c>
      <c r="C72" s="6" t="str">
        <f>TEXT(ANTIGÜEDAD!I71,"000000")</f>
        <v>000001</v>
      </c>
      <c r="D72" s="6" t="str">
        <f>ANTIGÜEDAD!K71</f>
        <v>BRILLANTES</v>
      </c>
      <c r="E72" s="29" t="str">
        <f>IFERROR(VLOOKUP(C72,'SITUACIÓN DE CARTERA'!A:AR,12,FALSE),VLOOKUP(C72,ANTIGÜEDAD!A:J,10,0))</f>
        <v>01</v>
      </c>
      <c r="F72" s="30">
        <f>VLOOKUP(C72,ANTIGÜEDAD!A:BE,17,FALSE)</f>
        <v>136000</v>
      </c>
      <c r="G72" s="30" t="str">
        <f>VLOOKUP(C72,ANTIGÜEDAD!A:BE,12,FALSE)</f>
        <v>MIGRADO</v>
      </c>
      <c r="H72" s="31">
        <f>VLOOKUP(C72,ANTIGÜEDAD!A:BE,14,FALSE)</f>
        <v>45875</v>
      </c>
      <c r="I72" s="19">
        <f>VLOOKUP(C72,ANTIGÜEDAD!A:BE,19,FALSE)</f>
        <v>16</v>
      </c>
      <c r="J72" s="31" t="str">
        <f>VLOOKUP(C72,ANTIGÜEDAD!A:BE,56,FALSE)</f>
        <v>Miércoles</v>
      </c>
      <c r="K72" s="32" t="str">
        <f>VLOOKUP(C72,ANTIGÜEDAD!A:BE,57,FALSE)</f>
        <v>15:00</v>
      </c>
      <c r="L72" s="19" t="str">
        <f>VLOOKUP(C72,ANTIGÜEDAD!A:BE,20,FALSE)</f>
        <v>Semanal</v>
      </c>
      <c r="M72" s="30">
        <f>VLOOKUP(C72,ANTIGÜEDAD!A:BE,21,FALSE)</f>
        <v>10336.09</v>
      </c>
      <c r="N72" s="33" t="str">
        <f>IFERROR(VLOOKUP(C72,'Reporte de cobranza'!G:BL,34,FALSE),"")</f>
        <v>05/11/2025</v>
      </c>
      <c r="O72" s="30">
        <f>IF(AI72="Desertor sin mora",0,VLOOKUP(C72,ANTIGÜEDAD!A:BJ,44,FALSE))</f>
        <v>41344.370000000003</v>
      </c>
      <c r="P72" s="30">
        <f t="shared" ref="P72:P135" si="15">M72*16</f>
        <v>165377.44</v>
      </c>
      <c r="Q72" s="30">
        <f t="shared" ca="1" si="11"/>
        <v>41344.370000000003</v>
      </c>
      <c r="R72" s="30">
        <f>IF(AI72="Desertor sin mora",0,VLOOKUP(C72,ANTIGÜEDAD!A:BJ,26,FALSE))</f>
        <v>34000.01</v>
      </c>
      <c r="S72" s="30">
        <f t="shared" ref="S72:S135" ca="1" si="16">O72-Q72</f>
        <v>0</v>
      </c>
      <c r="T72" s="30">
        <f>IF(V72&gt;0,IF(VLOOKUP(TEXT(C72,"000000"),Ahorros_concentrado!B:D,3,0)+F72*0.1&gt;V72,V72,VLOOKUP(TEXT(C72,"000000"),Ahorros_concentrado!B:D,3,0)+F72*0.1),0)</f>
        <v>0</v>
      </c>
      <c r="U72" s="30">
        <f t="shared" ref="U72:U135" si="17">V72-T72</f>
        <v>0</v>
      </c>
      <c r="V72" s="30">
        <f>IF(AI72="Desertor sin mora",0,VLOOKUP(C72,'SITUACIÓN DE CARTERA'!A:AR,26,FALSE))</f>
        <v>0</v>
      </c>
      <c r="W72" s="134">
        <f>IF(AI72="Desertor sin mora",0,VLOOKUP(C72,'SITUACIÓN DE CARTERA'!A:AR,27,FALSE))/100</f>
        <v>0</v>
      </c>
      <c r="X72" s="30">
        <f>IF(V72&gt;0,VLOOKUP(C72,ANTIGÜEDAD!A:BE,26,FALSE),0)</f>
        <v>0</v>
      </c>
      <c r="Z72" s="34">
        <f>IF(AI72="Desertor sin mora",VLOOKUP(C72,ANTIGÜEDAD!A:Q,17,0)/AA72,F72/AA72)</f>
        <v>22666.666666666668</v>
      </c>
      <c r="AA72" s="19">
        <f>IF(AI72="Desertor sin mora",VLOOKUP(C72,ANTIGÜEDAD!A:M,13,0),VLOOKUP(C72,'SITUACIÓN DE CARTERA'!A:AR,43,FALSE))</f>
        <v>6</v>
      </c>
      <c r="AB72" s="19">
        <f t="shared" ca="1" si="12"/>
        <v>12</v>
      </c>
      <c r="AC72" s="42">
        <f>IF(AI72="Desertor sin mora",0,(VLOOKUP(C72,'SITUACIÓN DE CARTERA'!A:AS,45,FALSE))/M72)</f>
        <v>12</v>
      </c>
      <c r="AD72" s="19">
        <f>IF(AI72="Desertor sin mora",0,VLOOKUP(C72,'Reporte de cobranza'!G:BL,35,FALSE))</f>
        <v>4</v>
      </c>
      <c r="AE72" s="19">
        <f>IF(AI72="Desertor sin mora",I72,VLOOKUP(C72,'Reporte de cobranza'!G:BL,36,FALSE))</f>
        <v>16</v>
      </c>
      <c r="AF72" s="19">
        <f>VLOOKUP(C72,ANTIGÜEDAD!A:BE,18,FALSE)</f>
        <v>0</v>
      </c>
      <c r="AG72" s="30">
        <f>IFERROR(VLOOKUP(C72,Ahorros_concentrado!B:D,3,FALSE),0)</f>
        <v>8608.9199999999983</v>
      </c>
      <c r="AH72" s="43">
        <f t="shared" ca="1" si="13"/>
        <v>6.9408257861531764E-2</v>
      </c>
      <c r="AI72" s="19" t="str">
        <f>IF(VLOOKUP(C72,ANTIGÜEDAD!A:AG,33,0)="Entregado","Vigente",IF(VLOOKUP(C72,ANTIGÜEDAD!A:AG,33,0)="Liquidado","Desertor sin mora",""))</f>
        <v>Vigente</v>
      </c>
      <c r="AJ72" s="98" t="str">
        <f t="shared" si="14"/>
        <v>000000101</v>
      </c>
    </row>
    <row r="73" spans="1:36" x14ac:dyDescent="0.3">
      <c r="A73" s="19" t="str">
        <f>VLOOKUP(C73,ANTIGÜEDAD!A:BJ,4,FALSE)</f>
        <v>JUDITH PATRICIA SERRANO HERRER</v>
      </c>
      <c r="B73" s="19" t="str">
        <f>IFERROR(VLOOKUP(ANTIGÜEDAD!F72,'Parche Promotores'!A:B,2,0),ANTIGÜEDAD!F72)</f>
        <v>Cabrera Flores Viridiana</v>
      </c>
      <c r="C73" s="6" t="str">
        <f>TEXT(ANTIGÜEDAD!I72,"000000")</f>
        <v>000007</v>
      </c>
      <c r="D73" s="6" t="str">
        <f>ANTIGÜEDAD!K72</f>
        <v>NUEVO COMIENZO</v>
      </c>
      <c r="E73" s="29" t="str">
        <f>IFERROR(VLOOKUP(C73,'SITUACIÓN DE CARTERA'!A:AR,12,FALSE),VLOOKUP(C73,ANTIGÜEDAD!A:J,10,0))</f>
        <v>01</v>
      </c>
      <c r="F73" s="30">
        <f>VLOOKUP(C73,ANTIGÜEDAD!A:BE,17,FALSE)</f>
        <v>143000</v>
      </c>
      <c r="G73" s="30" t="str">
        <f>VLOOKUP(C73,ANTIGÜEDAD!A:BE,12,FALSE)</f>
        <v>MIGRADO</v>
      </c>
      <c r="H73" s="31">
        <f>VLOOKUP(C73,ANTIGÜEDAD!A:BE,14,FALSE)</f>
        <v>45880</v>
      </c>
      <c r="I73" s="19">
        <f>VLOOKUP(C73,ANTIGÜEDAD!A:BE,19,FALSE)</f>
        <v>16</v>
      </c>
      <c r="J73" s="31" t="str">
        <f>VLOOKUP(C73,ANTIGÜEDAD!A:BE,56,FALSE)</f>
        <v>Lunes</v>
      </c>
      <c r="K73" s="32" t="str">
        <f>VLOOKUP(C73,ANTIGÜEDAD!A:BE,57,FALSE)</f>
        <v>14:00</v>
      </c>
      <c r="L73" s="19" t="str">
        <f>VLOOKUP(C73,ANTIGÜEDAD!A:BE,20,FALSE)</f>
        <v>Semanal</v>
      </c>
      <c r="M73" s="30">
        <f>VLOOKUP(C73,ANTIGÜEDAD!A:BE,21,FALSE)</f>
        <v>10868.1</v>
      </c>
      <c r="N73" s="33" t="str">
        <f>IFERROR(VLOOKUP(C73,'Reporte de cobranza'!G:BL,34,FALSE),"")</f>
        <v>03/11/2025</v>
      </c>
      <c r="O73" s="30">
        <f>IF(AI73="Desertor sin mora",0,VLOOKUP(C73,ANTIGÜEDAD!A:BJ,44,FALSE))</f>
        <v>54341.33</v>
      </c>
      <c r="P73" s="30">
        <f t="shared" si="15"/>
        <v>173889.6</v>
      </c>
      <c r="Q73" s="30">
        <f t="shared" ca="1" si="11"/>
        <v>54341.33</v>
      </c>
      <c r="R73" s="30">
        <f>IF(AI73="Desertor sin mora",0,VLOOKUP(C73,ANTIGÜEDAD!A:BJ,26,FALSE))</f>
        <v>44688.340000000004</v>
      </c>
      <c r="S73" s="30">
        <f t="shared" ca="1" si="16"/>
        <v>0</v>
      </c>
      <c r="T73" s="30">
        <f>IF(V73&gt;0,IF(VLOOKUP(TEXT(C73,"000000"),Ahorros_concentrado!B:D,3,0)+F73*0.1&gt;V73,V73,VLOOKUP(TEXT(C73,"000000"),Ahorros_concentrado!B:D,3,0)+F73*0.1),0)</f>
        <v>0</v>
      </c>
      <c r="U73" s="30">
        <f t="shared" si="17"/>
        <v>0</v>
      </c>
      <c r="V73" s="30">
        <f>IF(AI73="Desertor sin mora",0,VLOOKUP(C73,'SITUACIÓN DE CARTERA'!A:AR,26,FALSE))</f>
        <v>0</v>
      </c>
      <c r="W73" s="134">
        <f>IF(AI73="Desertor sin mora",0,VLOOKUP(C73,'SITUACIÓN DE CARTERA'!A:AR,27,FALSE))/100</f>
        <v>0</v>
      </c>
      <c r="X73" s="30">
        <f>IF(V73&gt;0,VLOOKUP(C73,ANTIGÜEDAD!A:BE,26,FALSE),0)</f>
        <v>0</v>
      </c>
      <c r="Z73" s="34">
        <f>IF(AI73="Desertor sin mora",VLOOKUP(C73,ANTIGÜEDAD!A:Q,17,0)/AA73,F73/AA73)</f>
        <v>28600</v>
      </c>
      <c r="AA73" s="19">
        <f>IF(AI73="Desertor sin mora",VLOOKUP(C73,ANTIGÜEDAD!A:M,13,0),VLOOKUP(C73,'SITUACIÓN DE CARTERA'!A:AR,43,FALSE))</f>
        <v>5</v>
      </c>
      <c r="AB73" s="19">
        <f t="shared" ca="1" si="12"/>
        <v>11</v>
      </c>
      <c r="AC73" s="42">
        <f>IF(AI73="Desertor sin mora",0,(VLOOKUP(C73,'SITUACIÓN DE CARTERA'!A:AS,45,FALSE))/M73)</f>
        <v>10.999917188837056</v>
      </c>
      <c r="AD73" s="19">
        <f>IF(AI73="Desertor sin mora",0,VLOOKUP(C73,'Reporte de cobranza'!G:BL,35,FALSE))</f>
        <v>5</v>
      </c>
      <c r="AE73" s="19">
        <f>IF(AI73="Desertor sin mora",I73,VLOOKUP(C73,'Reporte de cobranza'!G:BL,36,FALSE))</f>
        <v>16</v>
      </c>
      <c r="AF73" s="19">
        <f>VLOOKUP(C73,ANTIGÜEDAD!A:BE,18,FALSE)</f>
        <v>0</v>
      </c>
      <c r="AG73" s="30">
        <f>IFERROR(VLOOKUP(C73,Ahorros_concentrado!B:D,3,FALSE),0)</f>
        <v>11655.8</v>
      </c>
      <c r="AH73" s="43">
        <f t="shared" ca="1" si="13"/>
        <v>9.7498015459756684E-2</v>
      </c>
      <c r="AI73" s="19" t="str">
        <f>IF(VLOOKUP(C73,ANTIGÜEDAD!A:AG,33,0)="Entregado","Vigente",IF(VLOOKUP(C73,ANTIGÜEDAD!A:AG,33,0)="Liquidado","Desertor sin mora",""))</f>
        <v>Vigente</v>
      </c>
      <c r="AJ73" s="98" t="str">
        <f t="shared" si="14"/>
        <v>000000701</v>
      </c>
    </row>
    <row r="74" spans="1:36" x14ac:dyDescent="0.3">
      <c r="A74" s="19" t="str">
        <f>VLOOKUP(C74,ANTIGÜEDAD!A:BJ,4,FALSE)</f>
        <v>ADRIANA ALEJALDRE GUZMAN</v>
      </c>
      <c r="B74" s="19" t="str">
        <f>IFERROR(VLOOKUP(ANTIGÜEDAD!F73,'Parche Promotores'!A:B,2,0),ANTIGÜEDAD!F73)</f>
        <v>Juarez Palma Ma Ines</v>
      </c>
      <c r="C74" s="6" t="str">
        <f>TEXT(ANTIGÜEDAD!I73,"000000")</f>
        <v>000110</v>
      </c>
      <c r="D74" s="6" t="str">
        <f>ANTIGÜEDAD!K73</f>
        <v>MORITA</v>
      </c>
      <c r="E74" s="29" t="str">
        <f>IFERROR(VLOOKUP(C74,'SITUACIÓN DE CARTERA'!A:AR,12,FALSE),VLOOKUP(C74,ANTIGÜEDAD!A:J,10,0))</f>
        <v>01</v>
      </c>
      <c r="F74" s="30">
        <f>VLOOKUP(C74,ANTIGÜEDAD!A:BE,17,FALSE)</f>
        <v>125000</v>
      </c>
      <c r="G74" s="30" t="str">
        <f>VLOOKUP(C74,ANTIGÜEDAD!A:BE,12,FALSE)</f>
        <v>MIGRADO</v>
      </c>
      <c r="H74" s="31">
        <f>VLOOKUP(C74,ANTIGÜEDAD!A:BE,14,FALSE)</f>
        <v>45924</v>
      </c>
      <c r="I74" s="19">
        <f>VLOOKUP(C74,ANTIGÜEDAD!A:BE,19,FALSE)</f>
        <v>16</v>
      </c>
      <c r="J74" s="31" t="str">
        <f>VLOOKUP(C74,ANTIGÜEDAD!A:BE,56,FALSE)</f>
        <v>Miércoles</v>
      </c>
      <c r="K74" s="32" t="str">
        <f>VLOOKUP(C74,ANTIGÜEDAD!A:BE,57,FALSE)</f>
        <v>10:00</v>
      </c>
      <c r="L74" s="19" t="str">
        <f>VLOOKUP(C74,ANTIGÜEDAD!A:BE,20,FALSE)</f>
        <v>Semanal</v>
      </c>
      <c r="M74" s="30">
        <f>VLOOKUP(C74,ANTIGÜEDAD!A:BE,21,FALSE)</f>
        <v>9500.08</v>
      </c>
      <c r="N74" s="33" t="str">
        <f>IFERROR(VLOOKUP(C74,'Reporte de cobranza'!G:BL,34,FALSE),"")</f>
        <v>05/11/2025</v>
      </c>
      <c r="O74" s="30">
        <f>IF(AI74="Desertor sin mora",0,VLOOKUP(C74,ANTIGÜEDAD!A:BJ,44,FALSE))</f>
        <v>104475.33</v>
      </c>
      <c r="P74" s="30">
        <f t="shared" si="15"/>
        <v>152001.28</v>
      </c>
      <c r="Q74" s="30">
        <f t="shared" ca="1" si="11"/>
        <v>104500.88</v>
      </c>
      <c r="R74" s="30">
        <f>IF(AI74="Desertor sin mora",0,VLOOKUP(C74,ANTIGÜEDAD!A:BJ,26,FALSE))</f>
        <v>85937.5</v>
      </c>
      <c r="S74" s="30">
        <f t="shared" ca="1" si="16"/>
        <v>-25.55000000000291</v>
      </c>
      <c r="T74" s="30">
        <f>IF(V74&gt;0,IF(VLOOKUP(TEXT(C74,"000000"),Ahorros_concentrado!B:D,3,0)+F74*0.1&gt;V74,V74,VLOOKUP(TEXT(C74,"000000"),Ahorros_concentrado!B:D,3,0)+F74*0.1),0)</f>
        <v>0</v>
      </c>
      <c r="U74" s="30">
        <f t="shared" si="17"/>
        <v>0</v>
      </c>
      <c r="V74" s="30">
        <f>IF(AI74="Desertor sin mora",0,VLOOKUP(C74,'SITUACIÓN DE CARTERA'!A:AR,26,FALSE))</f>
        <v>0</v>
      </c>
      <c r="W74" s="134">
        <f>IF(AI74="Desertor sin mora",0,VLOOKUP(C74,'SITUACIÓN DE CARTERA'!A:AR,27,FALSE))/100</f>
        <v>0</v>
      </c>
      <c r="X74" s="30">
        <f>IF(V74&gt;0,VLOOKUP(C74,ANTIGÜEDAD!A:BE,26,FALSE),0)</f>
        <v>0</v>
      </c>
      <c r="Z74" s="34">
        <f>IF(AI74="Desertor sin mora",VLOOKUP(C74,ANTIGÜEDAD!A:Q,17,0)/AA74,F74/AA74)</f>
        <v>15625</v>
      </c>
      <c r="AA74" s="19">
        <f>IF(AI74="Desertor sin mora",VLOOKUP(C74,ANTIGÜEDAD!A:M,13,0),VLOOKUP(C74,'SITUACIÓN DE CARTERA'!A:AR,43,FALSE))</f>
        <v>8</v>
      </c>
      <c r="AB74" s="19">
        <f t="shared" ca="1" si="12"/>
        <v>5</v>
      </c>
      <c r="AC74" s="42">
        <f>IF(AI74="Desertor sin mora",0,(VLOOKUP(C74,'SITUACIÓN DE CARTERA'!A:AS,45,FALSE))/M74)</f>
        <v>5.0026947141497757</v>
      </c>
      <c r="AD74" s="19">
        <f>IF(AI74="Desertor sin mora",0,VLOOKUP(C74,'Reporte de cobranza'!G:BL,35,FALSE))</f>
        <v>11</v>
      </c>
      <c r="AE74" s="19">
        <f>IF(AI74="Desertor sin mora",I74,VLOOKUP(C74,'Reporte de cobranza'!G:BL,36,FALSE))</f>
        <v>16</v>
      </c>
      <c r="AF74" s="19">
        <f>VLOOKUP(C74,ANTIGÜEDAD!A:BE,18,FALSE)</f>
        <v>0</v>
      </c>
      <c r="AG74" s="30">
        <f>IFERROR(VLOOKUP(C74,Ahorros_concentrado!B:D,3,FALSE),0)</f>
        <v>2511</v>
      </c>
      <c r="AH74" s="43">
        <f t="shared" ca="1" si="13"/>
        <v>5.2862712735050651E-2</v>
      </c>
      <c r="AI74" s="19" t="str">
        <f>IF(VLOOKUP(C74,ANTIGÜEDAD!A:AG,33,0)="Entregado","Vigente",IF(VLOOKUP(C74,ANTIGÜEDAD!A:AG,33,0)="Liquidado","Desertor sin mora",""))</f>
        <v>Vigente</v>
      </c>
      <c r="AJ74" s="98" t="str">
        <f t="shared" si="14"/>
        <v>000011001</v>
      </c>
    </row>
    <row r="75" spans="1:36" x14ac:dyDescent="0.3">
      <c r="A75" s="19" t="str">
        <f>VLOOKUP(C75,ANTIGÜEDAD!A:BJ,4,FALSE)</f>
        <v>JUAN EDMUNDO LUNA AGUILLON</v>
      </c>
      <c r="B75" s="19" t="str">
        <f>IFERROR(VLOOKUP(ANTIGÜEDAD!F74,'Parche Promotores'!A:B,2,0),ANTIGÜEDAD!F74)</f>
        <v>Martinez Bañuelos Nallely Sarahi</v>
      </c>
      <c r="C75" s="6" t="str">
        <f>TEXT(ANTIGÜEDAD!I74,"000000")</f>
        <v>000030</v>
      </c>
      <c r="D75" s="6" t="str">
        <f>ANTIGÜEDAD!K74</f>
        <v>FLORECITAS</v>
      </c>
      <c r="E75" s="29" t="str">
        <f>IFERROR(VLOOKUP(C75,'SITUACIÓN DE CARTERA'!A:AR,12,FALSE),VLOOKUP(C75,ANTIGÜEDAD!A:J,10,0))</f>
        <v>01</v>
      </c>
      <c r="F75" s="30">
        <f>VLOOKUP(C75,ANTIGÜEDAD!A:BE,17,FALSE)</f>
        <v>134000</v>
      </c>
      <c r="G75" s="30" t="str">
        <f>VLOOKUP(C75,ANTIGÜEDAD!A:BE,12,FALSE)</f>
        <v>MIGRADO</v>
      </c>
      <c r="H75" s="31">
        <f>VLOOKUP(C75,ANTIGÜEDAD!A:BE,14,FALSE)</f>
        <v>45894</v>
      </c>
      <c r="I75" s="19">
        <f>VLOOKUP(C75,ANTIGÜEDAD!A:BE,19,FALSE)</f>
        <v>16</v>
      </c>
      <c r="J75" s="31" t="str">
        <f>VLOOKUP(C75,ANTIGÜEDAD!A:BE,56,FALSE)</f>
        <v>Lunes</v>
      </c>
      <c r="K75" s="32" t="str">
        <f>VLOOKUP(C75,ANTIGÜEDAD!A:BE,57,FALSE)</f>
        <v>1200</v>
      </c>
      <c r="L75" s="19" t="str">
        <f>VLOOKUP(C75,ANTIGÜEDAD!A:BE,20,FALSE)</f>
        <v>Semanal</v>
      </c>
      <c r="M75" s="30">
        <f>VLOOKUP(C75,ANTIGÜEDAD!A:BE,21,FALSE)</f>
        <v>10184.09</v>
      </c>
      <c r="N75" s="33" t="str">
        <f>IFERROR(VLOOKUP(C75,'Reporte de cobranza'!G:BL,34,FALSE),"")</f>
        <v>03/11/2025</v>
      </c>
      <c r="O75" s="30">
        <f>IF(AI75="Desertor sin mora",0,VLOOKUP(C75,ANTIGÜEDAD!A:BJ,44,FALSE))</f>
        <v>71288.66</v>
      </c>
      <c r="P75" s="30">
        <f t="shared" si="15"/>
        <v>162945.44</v>
      </c>
      <c r="Q75" s="30">
        <f t="shared" ca="1" si="11"/>
        <v>71288.66</v>
      </c>
      <c r="R75" s="30">
        <f>IF(AI75="Desertor sin mora",0,VLOOKUP(C75,ANTIGÜEDAD!A:BJ,26,FALSE))</f>
        <v>58625.03</v>
      </c>
      <c r="S75" s="30">
        <f t="shared" ca="1" si="16"/>
        <v>0</v>
      </c>
      <c r="T75" s="30">
        <f>IF(V75&gt;0,IF(VLOOKUP(TEXT(C75,"000000"),Ahorros_concentrado!B:D,3,0)+F75*0.1&gt;V75,V75,VLOOKUP(TEXT(C75,"000000"),Ahorros_concentrado!B:D,3,0)+F75*0.1),0)</f>
        <v>0</v>
      </c>
      <c r="U75" s="30">
        <f t="shared" si="17"/>
        <v>0</v>
      </c>
      <c r="V75" s="30">
        <f>IF(AI75="Desertor sin mora",0,VLOOKUP(C75,'SITUACIÓN DE CARTERA'!A:AR,26,FALSE))</f>
        <v>0</v>
      </c>
      <c r="W75" s="134">
        <f>IF(AI75="Desertor sin mora",0,VLOOKUP(C75,'SITUACIÓN DE CARTERA'!A:AR,27,FALSE))/100</f>
        <v>0</v>
      </c>
      <c r="X75" s="30">
        <f>IF(V75&gt;0,VLOOKUP(C75,ANTIGÜEDAD!A:BE,26,FALSE),0)</f>
        <v>0</v>
      </c>
      <c r="Z75" s="34">
        <f>IF(AI75="Desertor sin mora",VLOOKUP(C75,ANTIGÜEDAD!A:Q,17,0)/AA75,F75/AA75)</f>
        <v>19142.857142857141</v>
      </c>
      <c r="AA75" s="19">
        <f>IF(AI75="Desertor sin mora",VLOOKUP(C75,ANTIGÜEDAD!A:M,13,0),VLOOKUP(C75,'SITUACIÓN DE CARTERA'!A:AR,43,FALSE))</f>
        <v>7</v>
      </c>
      <c r="AB75" s="19">
        <f t="shared" ca="1" si="12"/>
        <v>9</v>
      </c>
      <c r="AC75" s="42">
        <f>IF(AI75="Desertor sin mora",0,(VLOOKUP(C75,'SITUACIÓN DE CARTERA'!A:AS,45,FALSE))/M75)</f>
        <v>8.9999960723049384</v>
      </c>
      <c r="AD75" s="19">
        <f>IF(AI75="Desertor sin mora",0,VLOOKUP(C75,'Reporte de cobranza'!G:BL,35,FALSE))</f>
        <v>7</v>
      </c>
      <c r="AE75" s="19">
        <f>IF(AI75="Desertor sin mora",I75,VLOOKUP(C75,'Reporte de cobranza'!G:BL,36,FALSE))</f>
        <v>16</v>
      </c>
      <c r="AF75" s="19">
        <f>VLOOKUP(C75,ANTIGÜEDAD!A:BE,18,FALSE)</f>
        <v>0</v>
      </c>
      <c r="AG75" s="30">
        <f>IFERROR(VLOOKUP(C75,Ahorros_concentrado!B:D,3,FALSE),0)</f>
        <v>4580.1899999999987</v>
      </c>
      <c r="AH75" s="43">
        <f t="shared" ca="1" si="13"/>
        <v>4.9971082345108872E-2</v>
      </c>
      <c r="AI75" s="19" t="str">
        <f>IF(VLOOKUP(C75,ANTIGÜEDAD!A:AG,33,0)="Entregado","Vigente",IF(VLOOKUP(C75,ANTIGÜEDAD!A:AG,33,0)="Liquidado","Desertor sin mora",""))</f>
        <v>Vigente</v>
      </c>
      <c r="AJ75" s="98" t="str">
        <f t="shared" si="14"/>
        <v>000003001</v>
      </c>
    </row>
    <row r="76" spans="1:36" x14ac:dyDescent="0.3">
      <c r="A76" s="19" t="str">
        <f>VLOOKUP(C76,ANTIGÜEDAD!A:BJ,4,FALSE)</f>
        <v>JUDITH PATRICIA SERRANO HERRER</v>
      </c>
      <c r="B76" s="19" t="str">
        <f>IFERROR(VLOOKUP(ANTIGÜEDAD!F75,'Parche Promotores'!A:B,2,0),ANTIGÜEDAD!F75)</f>
        <v>Cabrera Flores Viridiana</v>
      </c>
      <c r="C76" s="6" t="str">
        <f>TEXT(ANTIGÜEDAD!I75,"000000")</f>
        <v>000032</v>
      </c>
      <c r="D76" s="6" t="str">
        <f>ANTIGÜEDAD!K75</f>
        <v>LOS EFECTIVOS</v>
      </c>
      <c r="E76" s="29" t="str">
        <f>IFERROR(VLOOKUP(C76,'SITUACIÓN DE CARTERA'!A:AR,12,FALSE),VLOOKUP(C76,ANTIGÜEDAD!A:J,10,0))</f>
        <v>01</v>
      </c>
      <c r="F76" s="30">
        <f>VLOOKUP(C76,ANTIGÜEDAD!A:BE,17,FALSE)</f>
        <v>167000</v>
      </c>
      <c r="G76" s="30" t="str">
        <f>VLOOKUP(C76,ANTIGÜEDAD!A:BE,12,FALSE)</f>
        <v>MIGRADO</v>
      </c>
      <c r="H76" s="31">
        <f>VLOOKUP(C76,ANTIGÜEDAD!A:BE,14,FALSE)</f>
        <v>45891</v>
      </c>
      <c r="I76" s="19">
        <f>VLOOKUP(C76,ANTIGÜEDAD!A:BE,19,FALSE)</f>
        <v>16</v>
      </c>
      <c r="J76" s="31" t="str">
        <f>VLOOKUP(C76,ANTIGÜEDAD!A:BE,56,FALSE)</f>
        <v>Viernes</v>
      </c>
      <c r="K76" s="32" t="str">
        <f>VLOOKUP(C76,ANTIGÜEDAD!A:BE,57,FALSE)</f>
        <v>12:00</v>
      </c>
      <c r="L76" s="19" t="str">
        <f>VLOOKUP(C76,ANTIGÜEDAD!A:BE,20,FALSE)</f>
        <v>Semanal</v>
      </c>
      <c r="M76" s="30">
        <f>VLOOKUP(C76,ANTIGÜEDAD!A:BE,21,FALSE)</f>
        <v>12692.11</v>
      </c>
      <c r="N76" s="33" t="str">
        <f>IFERROR(VLOOKUP(C76,'Reporte de cobranza'!G:BL,34,FALSE),"")</f>
        <v>07/11/2025</v>
      </c>
      <c r="O76" s="30">
        <f>IF(AI76="Desertor sin mora",0,VLOOKUP(C76,ANTIGÜEDAD!A:BJ,44,FALSE))</f>
        <v>88813.78</v>
      </c>
      <c r="P76" s="30">
        <f t="shared" si="15"/>
        <v>203073.76</v>
      </c>
      <c r="Q76" s="30">
        <f t="shared" ca="1" si="11"/>
        <v>88813.78</v>
      </c>
      <c r="R76" s="30">
        <f>IF(AI76="Desertor sin mora",0,VLOOKUP(C76,ANTIGÜEDAD!A:BJ,26,FALSE))</f>
        <v>73062.5</v>
      </c>
      <c r="S76" s="30">
        <f t="shared" ca="1" si="16"/>
        <v>0</v>
      </c>
      <c r="T76" s="30">
        <f>IF(V76&gt;0,IF(VLOOKUP(TEXT(C76,"000000"),Ahorros_concentrado!B:D,3,0)+F76*0.1&gt;V76,V76,VLOOKUP(TEXT(C76,"000000"),Ahorros_concentrado!B:D,3,0)+F76*0.1),0)</f>
        <v>10437.5</v>
      </c>
      <c r="U76" s="30">
        <f t="shared" si="17"/>
        <v>0</v>
      </c>
      <c r="V76" s="30">
        <f>IF(AI76="Desertor sin mora",0,VLOOKUP(C76,'SITUACIÓN DE CARTERA'!A:AR,26,FALSE))</f>
        <v>10437.5</v>
      </c>
      <c r="W76" s="134">
        <f>IF(AI76="Desertor sin mora",0,VLOOKUP(C76,'SITUACIÓN DE CARTERA'!A:AR,27,FALSE))/100</f>
        <v>0.14285714285714288</v>
      </c>
      <c r="X76" s="30">
        <f>IF(V76&gt;0,VLOOKUP(C76,ANTIGÜEDAD!A:BE,26,FALSE),0)</f>
        <v>73062.5</v>
      </c>
      <c r="Z76" s="34">
        <f>IF(AI76="Desertor sin mora",VLOOKUP(C76,ANTIGÜEDAD!A:Q,17,0)/AA76,F76/AA76)</f>
        <v>27833.333333333332</v>
      </c>
      <c r="AA76" s="19">
        <f>IF(AI76="Desertor sin mora",VLOOKUP(C76,ANTIGÜEDAD!A:M,13,0),VLOOKUP(C76,'SITUACIÓN DE CARTERA'!A:AR,43,FALSE))</f>
        <v>6</v>
      </c>
      <c r="AB76" s="19">
        <f t="shared" ca="1" si="12"/>
        <v>10</v>
      </c>
      <c r="AC76" s="42">
        <f>IF(AI76="Desertor sin mora",0,(VLOOKUP(C76,'SITUACIÓN DE CARTERA'!A:AS,45,FALSE))/M76)</f>
        <v>9.0024432501766842</v>
      </c>
      <c r="AD76" s="19">
        <f>IF(AI76="Desertor sin mora",0,VLOOKUP(C76,'Reporte de cobranza'!G:BL,35,FALSE))</f>
        <v>6</v>
      </c>
      <c r="AE76" s="19">
        <f>IF(AI76="Desertor sin mora",I76,VLOOKUP(C76,'Reporte de cobranza'!G:BL,36,FALSE))</f>
        <v>16</v>
      </c>
      <c r="AF76" s="19">
        <f>VLOOKUP(C76,ANTIGÜEDAD!A:BE,18,FALSE)</f>
        <v>0</v>
      </c>
      <c r="AG76" s="30">
        <f>IFERROR(VLOOKUP(C76,Ahorros_concentrado!B:D,3,FALSE),0)</f>
        <v>12452</v>
      </c>
      <c r="AH76" s="43">
        <f t="shared" ca="1" si="13"/>
        <v>9.8108194776124688E-2</v>
      </c>
      <c r="AI76" s="19" t="str">
        <f>IF(VLOOKUP(C76,ANTIGÜEDAD!A:AG,33,0)="Entregado","Vigente",IF(VLOOKUP(C76,ANTIGÜEDAD!A:AG,33,0)="Liquidado","Desertor sin mora",""))</f>
        <v>Vigente</v>
      </c>
      <c r="AJ76" s="98" t="str">
        <f t="shared" si="14"/>
        <v>000003201</v>
      </c>
    </row>
    <row r="77" spans="1:36" x14ac:dyDescent="0.3">
      <c r="A77" s="19" t="str">
        <f>VLOOKUP(C77,ANTIGÜEDAD!A:BJ,4,FALSE)</f>
        <v>ADRIANA ALEJALDRE GUZMAN</v>
      </c>
      <c r="B77" s="19" t="str">
        <f>IFERROR(VLOOKUP(ANTIGÜEDAD!F76,'Parche Promotores'!A:B,2,0),ANTIGÜEDAD!F76)</f>
        <v>Juarez Palma Ma Ines</v>
      </c>
      <c r="C77" s="6" t="str">
        <f>TEXT(ANTIGÜEDAD!I76,"000000")</f>
        <v>000045</v>
      </c>
      <c r="D77" s="6" t="str">
        <f>ANTIGÜEDAD!K76</f>
        <v>LEONIDAS 1</v>
      </c>
      <c r="E77" s="29" t="str">
        <f>IFERROR(VLOOKUP(C77,'SITUACIÓN DE CARTERA'!A:AR,12,FALSE),VLOOKUP(C77,ANTIGÜEDAD!A:J,10,0))</f>
        <v>01</v>
      </c>
      <c r="F77" s="30">
        <f>VLOOKUP(C77,ANTIGÜEDAD!A:BE,17,FALSE)</f>
        <v>115000</v>
      </c>
      <c r="G77" s="30" t="str">
        <f>VLOOKUP(C77,ANTIGÜEDAD!A:BE,12,FALSE)</f>
        <v>MIGRADO</v>
      </c>
      <c r="H77" s="31">
        <f>VLOOKUP(C77,ANTIGÜEDAD!A:BE,14,FALSE)</f>
        <v>45896</v>
      </c>
      <c r="I77" s="19">
        <f>VLOOKUP(C77,ANTIGÜEDAD!A:BE,19,FALSE)</f>
        <v>16</v>
      </c>
      <c r="J77" s="31" t="str">
        <f>VLOOKUP(C77,ANTIGÜEDAD!A:BE,56,FALSE)</f>
        <v>Miércoles</v>
      </c>
      <c r="K77" s="32" t="str">
        <f>VLOOKUP(C77,ANTIGÜEDAD!A:BE,57,FALSE)</f>
        <v>1:00</v>
      </c>
      <c r="L77" s="19" t="str">
        <f>VLOOKUP(C77,ANTIGÜEDAD!A:BE,20,FALSE)</f>
        <v>Semanal</v>
      </c>
      <c r="M77" s="30">
        <f>VLOOKUP(C77,ANTIGÜEDAD!A:BE,21,FALSE)</f>
        <v>8740.08</v>
      </c>
      <c r="N77" s="33" t="str">
        <f>IFERROR(VLOOKUP(C77,'Reporte de cobranza'!G:BL,34,FALSE),"")</f>
        <v>05/11/2025</v>
      </c>
      <c r="O77" s="30">
        <f>IF(AI77="Desertor sin mora",0,VLOOKUP(C77,ANTIGÜEDAD!A:BJ,44,FALSE))</f>
        <v>60999.23</v>
      </c>
      <c r="P77" s="30">
        <f t="shared" si="15"/>
        <v>139841.28</v>
      </c>
      <c r="Q77" s="30">
        <f t="shared" ca="1" si="11"/>
        <v>61180.56</v>
      </c>
      <c r="R77" s="30">
        <f>IF(AI77="Desertor sin mora",0,VLOOKUP(C77,ANTIGÜEDAD!A:BJ,26,FALSE))</f>
        <v>50312.5</v>
      </c>
      <c r="S77" s="30">
        <f t="shared" ca="1" si="16"/>
        <v>-181.32999999999447</v>
      </c>
      <c r="T77" s="30">
        <f>IF(V77&gt;0,IF(VLOOKUP(TEXT(C77,"000000"),Ahorros_concentrado!B:D,3,0)+F77*0.1&gt;V77,V77,VLOOKUP(TEXT(C77,"000000"),Ahorros_concentrado!B:D,3,0)+F77*0.1),0)</f>
        <v>0</v>
      </c>
      <c r="U77" s="30">
        <f t="shared" si="17"/>
        <v>0</v>
      </c>
      <c r="V77" s="30">
        <f>IF(AI77="Desertor sin mora",0,VLOOKUP(C77,'SITUACIÓN DE CARTERA'!A:AR,26,FALSE))</f>
        <v>0</v>
      </c>
      <c r="W77" s="134">
        <f>IF(AI77="Desertor sin mora",0,VLOOKUP(C77,'SITUACIÓN DE CARTERA'!A:AR,27,FALSE))/100</f>
        <v>0</v>
      </c>
      <c r="X77" s="30">
        <f>IF(V77&gt;0,VLOOKUP(C77,ANTIGÜEDAD!A:BE,26,FALSE),0)</f>
        <v>0</v>
      </c>
      <c r="Z77" s="34">
        <f>IF(AI77="Desertor sin mora",VLOOKUP(C77,ANTIGÜEDAD!A:Q,17,0)/AA77,F77/AA77)</f>
        <v>12777.777777777777</v>
      </c>
      <c r="AA77" s="19">
        <f>IF(AI77="Desertor sin mora",VLOOKUP(C77,ANTIGÜEDAD!A:M,13,0),VLOOKUP(C77,'SITUACIÓN DE CARTERA'!A:AR,43,FALSE))</f>
        <v>9</v>
      </c>
      <c r="AB77" s="19">
        <f t="shared" ca="1" si="12"/>
        <v>9</v>
      </c>
      <c r="AC77" s="42">
        <f>IF(AI77="Desertor sin mora",0,(VLOOKUP(C77,'SITUACIÓN DE CARTERA'!A:AS,45,FALSE))/M77)</f>
        <v>9.020741228913236</v>
      </c>
      <c r="AD77" s="19">
        <f>IF(AI77="Desertor sin mora",0,VLOOKUP(C77,'Reporte de cobranza'!G:BL,35,FALSE))</f>
        <v>7</v>
      </c>
      <c r="AE77" s="19">
        <f>IF(AI77="Desertor sin mora",I77,VLOOKUP(C77,'Reporte de cobranza'!G:BL,36,FALSE))</f>
        <v>16</v>
      </c>
      <c r="AF77" s="19">
        <f>VLOOKUP(C77,ANTIGÜEDAD!A:BE,18,FALSE)</f>
        <v>0</v>
      </c>
      <c r="AG77" s="30">
        <f>IFERROR(VLOOKUP(C77,Ahorros_concentrado!B:D,3,FALSE),0)</f>
        <v>4907</v>
      </c>
      <c r="AH77" s="43">
        <f t="shared" ca="1" si="13"/>
        <v>6.2381834287812264E-2</v>
      </c>
      <c r="AI77" s="19" t="str">
        <f>IF(VLOOKUP(C77,ANTIGÜEDAD!A:AG,33,0)="Entregado","Vigente",IF(VLOOKUP(C77,ANTIGÜEDAD!A:AG,33,0)="Liquidado","Desertor sin mora",""))</f>
        <v>Vigente</v>
      </c>
      <c r="AJ77" s="98" t="str">
        <f t="shared" si="14"/>
        <v>000004501</v>
      </c>
    </row>
    <row r="78" spans="1:36" x14ac:dyDescent="0.3">
      <c r="A78" s="19" t="str">
        <f>VLOOKUP(C78,ANTIGÜEDAD!A:BJ,4,FALSE)</f>
        <v>JUDITH PATRICIA SERRANO HERRER</v>
      </c>
      <c r="B78" s="19" t="str">
        <f>IFERROR(VLOOKUP(ANTIGÜEDAD!F77,'Parche Promotores'!A:B,2,0),ANTIGÜEDAD!F77)</f>
        <v>ORTEGA FORTANEL GABRIELA</v>
      </c>
      <c r="C78" s="6" t="str">
        <f>TEXT(ANTIGÜEDAD!I77,"000000")</f>
        <v>000086</v>
      </c>
      <c r="D78" s="6" t="str">
        <f>ANTIGÜEDAD!K77</f>
        <v>VECINOS</v>
      </c>
      <c r="E78" s="29" t="str">
        <f>IFERROR(VLOOKUP(C78,'SITUACIÓN DE CARTERA'!A:AR,12,FALSE),VLOOKUP(C78,ANTIGÜEDAD!A:J,10,0))</f>
        <v>01</v>
      </c>
      <c r="F78" s="30">
        <f>VLOOKUP(C78,ANTIGÜEDAD!A:BE,17,FALSE)</f>
        <v>60000</v>
      </c>
      <c r="G78" s="30" t="str">
        <f>VLOOKUP(C78,ANTIGÜEDAD!A:BE,12,FALSE)</f>
        <v>MIGRADO</v>
      </c>
      <c r="H78" s="31">
        <f>VLOOKUP(C78,ANTIGÜEDAD!A:BE,14,FALSE)</f>
        <v>45912</v>
      </c>
      <c r="I78" s="19">
        <f>VLOOKUP(C78,ANTIGÜEDAD!A:BE,19,FALSE)</f>
        <v>16</v>
      </c>
      <c r="J78" s="31" t="str">
        <f>VLOOKUP(C78,ANTIGÜEDAD!A:BE,56,FALSE)</f>
        <v>Viernes</v>
      </c>
      <c r="K78" s="32" t="str">
        <f>VLOOKUP(C78,ANTIGÜEDAD!A:BE,57,FALSE)</f>
        <v>12:00</v>
      </c>
      <c r="L78" s="19" t="str">
        <f>VLOOKUP(C78,ANTIGÜEDAD!A:BE,20,FALSE)</f>
        <v>Semanal</v>
      </c>
      <c r="M78" s="30">
        <f>VLOOKUP(C78,ANTIGÜEDAD!A:BE,21,FALSE)</f>
        <v>4560.04</v>
      </c>
      <c r="N78" s="33" t="str">
        <f>IFERROR(VLOOKUP(C78,'Reporte de cobranza'!G:BL,34,FALSE),"")</f>
        <v>07/11/2025</v>
      </c>
      <c r="O78" s="30">
        <f>IF(AI78="Desertor sin mora",0,VLOOKUP(C78,ANTIGÜEDAD!A:BJ,44,FALSE))</f>
        <v>41037.64</v>
      </c>
      <c r="P78" s="30">
        <f t="shared" si="15"/>
        <v>72960.639999999999</v>
      </c>
      <c r="Q78" s="30">
        <f t="shared" ca="1" si="11"/>
        <v>41040.36</v>
      </c>
      <c r="R78" s="30">
        <f>IF(AI78="Desertor sin mora",0,VLOOKUP(C78,ANTIGÜEDAD!A:BJ,26,FALSE))</f>
        <v>33750</v>
      </c>
      <c r="S78" s="30">
        <f t="shared" ca="1" si="16"/>
        <v>-2.7200000000011642</v>
      </c>
      <c r="T78" s="30">
        <f>IF(V78&gt;0,IF(VLOOKUP(TEXT(C78,"000000"),Ahorros_concentrado!B:D,3,0)+F78*0.1&gt;V78,V78,VLOOKUP(TEXT(C78,"000000"),Ahorros_concentrado!B:D,3,0)+F78*0.1),0)</f>
        <v>0</v>
      </c>
      <c r="U78" s="30">
        <f t="shared" si="17"/>
        <v>0</v>
      </c>
      <c r="V78" s="30">
        <f>IF(AI78="Desertor sin mora",0,VLOOKUP(C78,'SITUACIÓN DE CARTERA'!A:AR,26,FALSE))</f>
        <v>0</v>
      </c>
      <c r="W78" s="134">
        <f>IF(AI78="Desertor sin mora",0,VLOOKUP(C78,'SITUACIÓN DE CARTERA'!A:AR,27,FALSE))/100</f>
        <v>0</v>
      </c>
      <c r="X78" s="30">
        <f>IF(V78&gt;0,VLOOKUP(C78,ANTIGÜEDAD!A:BE,26,FALSE),0)</f>
        <v>0</v>
      </c>
      <c r="Z78" s="34">
        <f>IF(AI78="Desertor sin mora",VLOOKUP(C78,ANTIGÜEDAD!A:Q,17,0)/AA78,F78/AA78)</f>
        <v>10000</v>
      </c>
      <c r="AA78" s="19">
        <f>IF(AI78="Desertor sin mora",VLOOKUP(C78,ANTIGÜEDAD!A:M,13,0),VLOOKUP(C78,'SITUACIÓN DE CARTERA'!A:AR,43,FALSE))</f>
        <v>6</v>
      </c>
      <c r="AB78" s="19">
        <f t="shared" ca="1" si="12"/>
        <v>7</v>
      </c>
      <c r="AC78" s="42">
        <f>IF(AI78="Desertor sin mora",0,(VLOOKUP(C78,'SITUACIÓN DE CARTERA'!A:AS,45,FALSE))/M78)</f>
        <v>7.0005964859957368</v>
      </c>
      <c r="AD78" s="19">
        <f>IF(AI78="Desertor sin mora",0,VLOOKUP(C78,'Reporte de cobranza'!G:BL,35,FALSE))</f>
        <v>9</v>
      </c>
      <c r="AE78" s="19">
        <f>IF(AI78="Desertor sin mora",I78,VLOOKUP(C78,'Reporte de cobranza'!G:BL,36,FALSE))</f>
        <v>16</v>
      </c>
      <c r="AF78" s="19">
        <f>VLOOKUP(C78,ANTIGÜEDAD!A:BE,18,FALSE)</f>
        <v>0</v>
      </c>
      <c r="AG78" s="30">
        <f>IFERROR(VLOOKUP(C78,Ahorros_concentrado!B:D,3,FALSE),0)</f>
        <v>612</v>
      </c>
      <c r="AH78" s="43">
        <f t="shared" ca="1" si="13"/>
        <v>1.9172764148685413E-2</v>
      </c>
      <c r="AI78" s="19" t="str">
        <f>IF(VLOOKUP(C78,ANTIGÜEDAD!A:AG,33,0)="Entregado","Vigente",IF(VLOOKUP(C78,ANTIGÜEDAD!A:AG,33,0)="Liquidado","Desertor sin mora",""))</f>
        <v>Vigente</v>
      </c>
      <c r="AJ78" s="98" t="str">
        <f t="shared" si="14"/>
        <v>000008601</v>
      </c>
    </row>
    <row r="79" spans="1:36" x14ac:dyDescent="0.3">
      <c r="A79" s="19" t="str">
        <f>VLOOKUP(C79,ANTIGÜEDAD!A:BJ,4,FALSE)</f>
        <v>ADRIANA ALEJALDRE GUZMAN</v>
      </c>
      <c r="B79" s="19" t="str">
        <f>IFERROR(VLOOKUP(ANTIGÜEDAD!F78,'Parche Promotores'!A:B,2,0),ANTIGÜEDAD!F78)</f>
        <v>Juarez Palma Ma Ines</v>
      </c>
      <c r="C79" s="6" t="str">
        <f>TEXT(ANTIGÜEDAD!I78,"000000")</f>
        <v>000199</v>
      </c>
      <c r="D79" s="6" t="str">
        <f>ANTIGÜEDAD!K78</f>
        <v>GENESIS</v>
      </c>
      <c r="E79" s="29" t="str">
        <f>IFERROR(VLOOKUP(C79,'SITUACIÓN DE CARTERA'!A:AR,12,FALSE),VLOOKUP(C79,ANTIGÜEDAD!A:J,10,0))</f>
        <v>01</v>
      </c>
      <c r="F79" s="30">
        <f>VLOOKUP(C79,ANTIGÜEDAD!A:BE,17,FALSE)</f>
        <v>64000</v>
      </c>
      <c r="G79" s="30" t="str">
        <f>VLOOKUP(C79,ANTIGÜEDAD!A:BE,12,FALSE)</f>
        <v>MIGRADO</v>
      </c>
      <c r="H79" s="31">
        <f>VLOOKUP(C79,ANTIGÜEDAD!A:BE,14,FALSE)</f>
        <v>45960</v>
      </c>
      <c r="I79" s="19">
        <f>VLOOKUP(C79,ANTIGÜEDAD!A:BE,19,FALSE)</f>
        <v>16</v>
      </c>
      <c r="J79" s="31" t="str">
        <f>VLOOKUP(C79,ANTIGÜEDAD!A:BE,56,FALSE)</f>
        <v>Jueves</v>
      </c>
      <c r="K79" s="32" t="str">
        <f>VLOOKUP(C79,ANTIGÜEDAD!A:BE,57,FALSE)</f>
        <v>14:00</v>
      </c>
      <c r="L79" s="19" t="str">
        <f>VLOOKUP(C79,ANTIGÜEDAD!A:BE,20,FALSE)</f>
        <v>Semanal</v>
      </c>
      <c r="M79" s="30">
        <f>VLOOKUP(C79,ANTIGÜEDAD!A:BE,21,FALSE)</f>
        <v>4864.04</v>
      </c>
      <c r="N79" s="33" t="str">
        <f>IFERROR(VLOOKUP(C79,'Reporte de cobranza'!G:BL,34,FALSE),"")</f>
        <v>06/11/2025</v>
      </c>
      <c r="O79" s="30">
        <f>IF(AI79="Desertor sin mora",0,VLOOKUP(C79,ANTIGÜEDAD!A:BJ,44,FALSE))</f>
        <v>77824.680000000008</v>
      </c>
      <c r="P79" s="30">
        <f t="shared" si="15"/>
        <v>77824.639999999999</v>
      </c>
      <c r="Q79" s="30">
        <f t="shared" ca="1" si="11"/>
        <v>77824.680000000008</v>
      </c>
      <c r="R79" s="30">
        <f>IF(AI79="Desertor sin mora",0,VLOOKUP(C79,ANTIGÜEDAD!A:BJ,26,FALSE))</f>
        <v>64000</v>
      </c>
      <c r="S79" s="30">
        <f t="shared" ca="1" si="16"/>
        <v>0</v>
      </c>
      <c r="T79" s="30">
        <f>IF(V79&gt;0,IF(VLOOKUP(TEXT(C79,"000000"),Ahorros_concentrado!B:D,3,0)+F79*0.1&gt;V79,V79,VLOOKUP(TEXT(C79,"000000"),Ahorros_concentrado!B:D,3,0)+F79*0.1),0)</f>
        <v>0</v>
      </c>
      <c r="U79" s="30">
        <f t="shared" si="17"/>
        <v>0</v>
      </c>
      <c r="V79" s="30">
        <f>IF(AI79="Desertor sin mora",0,VLOOKUP(C79,'SITUACIÓN DE CARTERA'!A:AR,26,FALSE))</f>
        <v>0</v>
      </c>
      <c r="W79" s="134">
        <f>IF(AI79="Desertor sin mora",0,VLOOKUP(C79,'SITUACIÓN DE CARTERA'!A:AR,27,FALSE))/100</f>
        <v>0</v>
      </c>
      <c r="X79" s="30">
        <f>IF(V79&gt;0,VLOOKUP(C79,ANTIGÜEDAD!A:BE,26,FALSE),0)</f>
        <v>0</v>
      </c>
      <c r="Z79" s="34">
        <f>IF(AI79="Desertor sin mora",VLOOKUP(C79,ANTIGÜEDAD!A:Q,17,0)/AA79,F79/AA79)</f>
        <v>10666.666666666666</v>
      </c>
      <c r="AA79" s="19">
        <f>IF(AI79="Desertor sin mora",VLOOKUP(C79,ANTIGÜEDAD!A:M,13,0),VLOOKUP(C79,'SITUACIÓN DE CARTERA'!A:AR,43,FALSE))</f>
        <v>6</v>
      </c>
      <c r="AB79" s="19">
        <f t="shared" ca="1" si="12"/>
        <v>0</v>
      </c>
      <c r="AC79" s="42">
        <f>IF(AI79="Desertor sin mora",0,(VLOOKUP(C79,'SITUACIÓN DE CARTERA'!A:AS,45,FALSE))/M79)</f>
        <v>0</v>
      </c>
      <c r="AD79" s="19">
        <f>IF(AI79="Desertor sin mora",0,VLOOKUP(C79,'Reporte de cobranza'!G:BL,35,FALSE))</f>
        <v>16</v>
      </c>
      <c r="AE79" s="19">
        <f>IF(AI79="Desertor sin mora",I79,VLOOKUP(C79,'Reporte de cobranza'!G:BL,36,FALSE))</f>
        <v>16</v>
      </c>
      <c r="AF79" s="19">
        <f>VLOOKUP(C79,ANTIGÜEDAD!A:BE,18,FALSE)</f>
        <v>0</v>
      </c>
      <c r="AG79" s="30">
        <f>IFERROR(VLOOKUP(C79,Ahorros_concentrado!B:D,3,FALSE),0)</f>
        <v>0</v>
      </c>
      <c r="AH79" s="43">
        <f t="shared" ca="1" si="13"/>
        <v>0</v>
      </c>
      <c r="AI79" s="19" t="str">
        <f>IF(VLOOKUP(C79,ANTIGÜEDAD!A:AG,33,0)="Entregado","Vigente",IF(VLOOKUP(C79,ANTIGÜEDAD!A:AG,33,0)="Liquidado","Desertor sin mora",""))</f>
        <v>Vigente</v>
      </c>
      <c r="AJ79" s="98" t="str">
        <f t="shared" si="14"/>
        <v>000019901</v>
      </c>
    </row>
    <row r="80" spans="1:36" x14ac:dyDescent="0.3">
      <c r="A80" s="19" t="str">
        <f>VLOOKUP(C80,ANTIGÜEDAD!A:BJ,4,FALSE)</f>
        <v>IRVIN URIEL MORA VELAZCO</v>
      </c>
      <c r="B80" s="19" t="str">
        <f>IFERROR(VLOOKUP(ANTIGÜEDAD!F79,'Parche Promotores'!A:B,2,0),ANTIGÜEDAD!F79)</f>
        <v>Olivares Morales Josue Edgar</v>
      </c>
      <c r="C80" s="6" t="str">
        <f>TEXT(ANTIGÜEDAD!I79,"000000")</f>
        <v>000169</v>
      </c>
      <c r="D80" s="6" t="str">
        <f>ANTIGÜEDAD!K79</f>
        <v>LA GUADALUPANA</v>
      </c>
      <c r="E80" s="29" t="str">
        <f>IFERROR(VLOOKUP(C80,'SITUACIÓN DE CARTERA'!A:AR,12,FALSE),VLOOKUP(C80,ANTIGÜEDAD!A:J,10,0))</f>
        <v>01</v>
      </c>
      <c r="F80" s="30">
        <f>VLOOKUP(C80,ANTIGÜEDAD!A:BE,17,FALSE)</f>
        <v>123500</v>
      </c>
      <c r="G80" s="30" t="str">
        <f>VLOOKUP(C80,ANTIGÜEDAD!A:BE,12,FALSE)</f>
        <v>MIGRADO</v>
      </c>
      <c r="H80" s="31">
        <f>VLOOKUP(C80,ANTIGÜEDAD!A:BE,14,FALSE)</f>
        <v>45951</v>
      </c>
      <c r="I80" s="19">
        <f>VLOOKUP(C80,ANTIGÜEDAD!A:BE,19,FALSE)</f>
        <v>16</v>
      </c>
      <c r="J80" s="31" t="str">
        <f>VLOOKUP(C80,ANTIGÜEDAD!A:BE,56,FALSE)</f>
        <v>Martes</v>
      </c>
      <c r="K80" s="32" t="str">
        <f>VLOOKUP(C80,ANTIGÜEDAD!A:BE,57,FALSE)</f>
        <v>13:30</v>
      </c>
      <c r="L80" s="19" t="str">
        <f>VLOOKUP(C80,ANTIGÜEDAD!A:BE,20,FALSE)</f>
        <v>Semanal</v>
      </c>
      <c r="M80" s="30">
        <f>VLOOKUP(C80,ANTIGÜEDAD!A:BE,21,FALSE)</f>
        <v>9386.08</v>
      </c>
      <c r="N80" s="33" t="str">
        <f>IFERROR(VLOOKUP(C80,'Reporte de cobranza'!G:BL,34,FALSE),"")</f>
        <v>04/11/2025</v>
      </c>
      <c r="O80" s="30">
        <f>IF(AI80="Desertor sin mora",0,VLOOKUP(C80,ANTIGÜEDAD!A:BJ,44,FALSE))</f>
        <v>140791.32</v>
      </c>
      <c r="P80" s="30">
        <f t="shared" si="15"/>
        <v>150177.28</v>
      </c>
      <c r="Q80" s="30">
        <f t="shared" ca="1" si="11"/>
        <v>140791.32</v>
      </c>
      <c r="R80" s="30">
        <f>IF(AI80="Desertor sin mora",0,VLOOKUP(C80,ANTIGÜEDAD!A:BJ,26,FALSE))</f>
        <v>115781.35</v>
      </c>
      <c r="S80" s="30">
        <f t="shared" ca="1" si="16"/>
        <v>0</v>
      </c>
      <c r="T80" s="30">
        <f>IF(V80&gt;0,IF(VLOOKUP(TEXT(C80,"000000"),Ahorros_concentrado!B:D,3,0)+F80*0.1&gt;V80,V80,VLOOKUP(TEXT(C80,"000000"),Ahorros_concentrado!B:D,3,0)+F80*0.1),0)</f>
        <v>0</v>
      </c>
      <c r="U80" s="30">
        <f t="shared" si="17"/>
        <v>0</v>
      </c>
      <c r="V80" s="30">
        <f>IF(AI80="Desertor sin mora",0,VLOOKUP(C80,'SITUACIÓN DE CARTERA'!A:AR,26,FALSE))</f>
        <v>0</v>
      </c>
      <c r="W80" s="134">
        <f>IF(AI80="Desertor sin mora",0,VLOOKUP(C80,'SITUACIÓN DE CARTERA'!A:AR,27,FALSE))/100</f>
        <v>0</v>
      </c>
      <c r="X80" s="30">
        <f>IF(V80&gt;0,VLOOKUP(C80,ANTIGÜEDAD!A:BE,26,FALSE),0)</f>
        <v>0</v>
      </c>
      <c r="Z80" s="34">
        <f>IF(AI80="Desertor sin mora",VLOOKUP(C80,ANTIGÜEDAD!A:Q,17,0)/AA80,F80/AA80)</f>
        <v>20583.333333333332</v>
      </c>
      <c r="AA80" s="19">
        <f>IF(AI80="Desertor sin mora",VLOOKUP(C80,ANTIGÜEDAD!A:M,13,0),VLOOKUP(C80,'SITUACIÓN DE CARTERA'!A:AR,43,FALSE))</f>
        <v>6</v>
      </c>
      <c r="AB80" s="19">
        <f t="shared" ca="1" si="12"/>
        <v>1</v>
      </c>
      <c r="AC80" s="42">
        <f>IF(AI80="Desertor sin mora",0,(VLOOKUP(C80,'SITUACIÓN DE CARTERA'!A:AS,45,FALSE))/M80)</f>
        <v>0.99999147674002353</v>
      </c>
      <c r="AD80" s="19">
        <f>IF(AI80="Desertor sin mora",0,VLOOKUP(C80,'Reporte de cobranza'!G:BL,35,FALSE))</f>
        <v>15</v>
      </c>
      <c r="AE80" s="19">
        <f>IF(AI80="Desertor sin mora",I80,VLOOKUP(C80,'Reporte de cobranza'!G:BL,36,FALSE))</f>
        <v>16</v>
      </c>
      <c r="AF80" s="19">
        <f>VLOOKUP(C80,ANTIGÜEDAD!A:BE,18,FALSE)</f>
        <v>0</v>
      </c>
      <c r="AG80" s="30">
        <f>IFERROR(VLOOKUP(C80,Ahorros_concentrado!B:D,3,FALSE),0)</f>
        <v>470</v>
      </c>
      <c r="AH80" s="43">
        <f t="shared" ca="1" si="13"/>
        <v>5.007415236179534E-2</v>
      </c>
      <c r="AI80" s="19" t="str">
        <f>IF(VLOOKUP(C80,ANTIGÜEDAD!A:AG,33,0)="Entregado","Vigente",IF(VLOOKUP(C80,ANTIGÜEDAD!A:AG,33,0)="Liquidado","Desertor sin mora",""))</f>
        <v>Vigente</v>
      </c>
      <c r="AJ80" s="98" t="str">
        <f t="shared" si="14"/>
        <v>000016901</v>
      </c>
    </row>
    <row r="81" spans="1:36" x14ac:dyDescent="0.3">
      <c r="A81" s="19" t="str">
        <f>VLOOKUP(C81,ANTIGÜEDAD!A:BJ,4,FALSE)</f>
        <v>ADRIANA ALEJALDRE GUZMAN</v>
      </c>
      <c r="B81" s="19" t="str">
        <f>IFERROR(VLOOKUP(ANTIGÜEDAD!F80,'Parche Promotores'!A:B,2,0),ANTIGÜEDAD!F80)</f>
        <v>Contreras Martinez Jose Luis</v>
      </c>
      <c r="C81" s="6" t="str">
        <f>TEXT(ANTIGÜEDAD!I80,"000000")</f>
        <v>000163</v>
      </c>
      <c r="D81" s="6" t="str">
        <f>ANTIGÜEDAD!K80</f>
        <v>GOYITA</v>
      </c>
      <c r="E81" s="29" t="str">
        <f>IFERROR(VLOOKUP(C81,'SITUACIÓN DE CARTERA'!A:AR,12,FALSE),VLOOKUP(C81,ANTIGÜEDAD!A:J,10,0))</f>
        <v>01</v>
      </c>
      <c r="F81" s="30">
        <f>VLOOKUP(C81,ANTIGÜEDAD!A:BE,17,FALSE)</f>
        <v>109000</v>
      </c>
      <c r="G81" s="30" t="str">
        <f>VLOOKUP(C81,ANTIGÜEDAD!A:BE,12,FALSE)</f>
        <v>MIGRADO</v>
      </c>
      <c r="H81" s="31">
        <f>VLOOKUP(C81,ANTIGÜEDAD!A:BE,14,FALSE)</f>
        <v>45947</v>
      </c>
      <c r="I81" s="19">
        <f>VLOOKUP(C81,ANTIGÜEDAD!A:BE,19,FALSE)</f>
        <v>16</v>
      </c>
      <c r="J81" s="31" t="str">
        <f>VLOOKUP(C81,ANTIGÜEDAD!A:BE,56,FALSE)</f>
        <v>Viernes</v>
      </c>
      <c r="K81" s="32" t="str">
        <f>VLOOKUP(C81,ANTIGÜEDAD!A:BE,57,FALSE)</f>
        <v>11:00</v>
      </c>
      <c r="L81" s="19" t="str">
        <f>VLOOKUP(C81,ANTIGÜEDAD!A:BE,20,FALSE)</f>
        <v>Semanal</v>
      </c>
      <c r="M81" s="30">
        <f>VLOOKUP(C81,ANTIGÜEDAD!A:BE,21,FALSE)</f>
        <v>8284.07</v>
      </c>
      <c r="N81" s="33" t="str">
        <f>IFERROR(VLOOKUP(C81,'Reporte de cobranza'!G:BL,34,FALSE),"")</f>
        <v>07/11/2025</v>
      </c>
      <c r="O81" s="30">
        <f>IF(AI81="Desertor sin mora",0,VLOOKUP(C81,ANTIGÜEDAD!A:BJ,44,FALSE))</f>
        <v>115975.16</v>
      </c>
      <c r="P81" s="30">
        <f t="shared" si="15"/>
        <v>132545.12</v>
      </c>
      <c r="Q81" s="30">
        <f t="shared" ca="1" si="11"/>
        <v>115976.98</v>
      </c>
      <c r="R81" s="30">
        <f>IF(AI81="Desertor sin mora",0,VLOOKUP(C81,ANTIGÜEDAD!A:BJ,26,FALSE))</f>
        <v>95375</v>
      </c>
      <c r="S81" s="30">
        <f t="shared" ca="1" si="16"/>
        <v>-1.819999999992433</v>
      </c>
      <c r="T81" s="30">
        <f>IF(V81&gt;0,IF(VLOOKUP(TEXT(C81,"000000"),Ahorros_concentrado!B:D,3,0)+F81*0.1&gt;V81,V81,VLOOKUP(TEXT(C81,"000000"),Ahorros_concentrado!B:D,3,0)+F81*0.1),0)</f>
        <v>0</v>
      </c>
      <c r="U81" s="30">
        <f t="shared" si="17"/>
        <v>0</v>
      </c>
      <c r="V81" s="30">
        <f>IF(AI81="Desertor sin mora",0,VLOOKUP(C81,'SITUACIÓN DE CARTERA'!A:AR,26,FALSE))</f>
        <v>0</v>
      </c>
      <c r="W81" s="134">
        <f>IF(AI81="Desertor sin mora",0,VLOOKUP(C81,'SITUACIÓN DE CARTERA'!A:AR,27,FALSE))/100</f>
        <v>0</v>
      </c>
      <c r="X81" s="30">
        <f>IF(V81&gt;0,VLOOKUP(C81,ANTIGÜEDAD!A:BE,26,FALSE),0)</f>
        <v>0</v>
      </c>
      <c r="Z81" s="34">
        <f>IF(AI81="Desertor sin mora",VLOOKUP(C81,ANTIGÜEDAD!A:Q,17,0)/AA81,F81/AA81)</f>
        <v>21800</v>
      </c>
      <c r="AA81" s="19">
        <f>IF(AI81="Desertor sin mora",VLOOKUP(C81,ANTIGÜEDAD!A:M,13,0),VLOOKUP(C81,'SITUACIÓN DE CARTERA'!A:AR,43,FALSE))</f>
        <v>5</v>
      </c>
      <c r="AB81" s="19">
        <f t="shared" ca="1" si="12"/>
        <v>2</v>
      </c>
      <c r="AC81" s="42">
        <f>IF(AI81="Desertor sin mora",0,(VLOOKUP(C81,'SITUACIÓN DE CARTERA'!A:AS,45,FALSE))/M81)</f>
        <v>2.0002245273156793</v>
      </c>
      <c r="AD81" s="19">
        <f>IF(AI81="Desertor sin mora",0,VLOOKUP(C81,'Reporte de cobranza'!G:BL,35,FALSE))</f>
        <v>14</v>
      </c>
      <c r="AE81" s="19">
        <f>IF(AI81="Desertor sin mora",I81,VLOOKUP(C81,'Reporte de cobranza'!G:BL,36,FALSE))</f>
        <v>16</v>
      </c>
      <c r="AF81" s="19">
        <f>VLOOKUP(C81,ANTIGÜEDAD!A:BE,18,FALSE)</f>
        <v>0</v>
      </c>
      <c r="AG81" s="30">
        <f>IFERROR(VLOOKUP(C81,Ahorros_concentrado!B:D,3,FALSE),0)</f>
        <v>872</v>
      </c>
      <c r="AH81" s="43">
        <f t="shared" ca="1" si="13"/>
        <v>5.2631134213013651E-2</v>
      </c>
      <c r="AI81" s="19" t="str">
        <f>IF(VLOOKUP(C81,ANTIGÜEDAD!A:AG,33,0)="Entregado","Vigente",IF(VLOOKUP(C81,ANTIGÜEDAD!A:AG,33,0)="Liquidado","Desertor sin mora",""))</f>
        <v>Vigente</v>
      </c>
      <c r="AJ81" s="98" t="str">
        <f t="shared" si="14"/>
        <v>000016301</v>
      </c>
    </row>
    <row r="82" spans="1:36" x14ac:dyDescent="0.3">
      <c r="A82" s="19" t="str">
        <f>VLOOKUP(C82,ANTIGÜEDAD!A:BJ,4,FALSE)</f>
        <v>JUAN EDMUNDO LUNA AGUILLON</v>
      </c>
      <c r="B82" s="19" t="str">
        <f>IFERROR(VLOOKUP(ANTIGÜEDAD!F81,'Parche Promotores'!A:B,2,0),ANTIGÜEDAD!F81)</f>
        <v>Sanchez Posada Jose Olimpo</v>
      </c>
      <c r="C82" s="6" t="str">
        <f>TEXT(ANTIGÜEDAD!I81,"000000")</f>
        <v>000167</v>
      </c>
      <c r="D82" s="6" t="str">
        <f>ANTIGÜEDAD!K81</f>
        <v>HORTENSIAS</v>
      </c>
      <c r="E82" s="29" t="str">
        <f>IFERROR(VLOOKUP(C82,'SITUACIÓN DE CARTERA'!A:AR,12,FALSE),VLOOKUP(C82,ANTIGÜEDAD!A:J,10,0))</f>
        <v>01</v>
      </c>
      <c r="F82" s="30">
        <f>VLOOKUP(C82,ANTIGÜEDAD!A:BE,17,FALSE)</f>
        <v>85000</v>
      </c>
      <c r="G82" s="30" t="str">
        <f>VLOOKUP(C82,ANTIGÜEDAD!A:BE,12,FALSE)</f>
        <v>MIGRADO</v>
      </c>
      <c r="H82" s="31">
        <f>VLOOKUP(C82,ANTIGÜEDAD!A:BE,14,FALSE)</f>
        <v>45950</v>
      </c>
      <c r="I82" s="19">
        <f>VLOOKUP(C82,ANTIGÜEDAD!A:BE,19,FALSE)</f>
        <v>16</v>
      </c>
      <c r="J82" s="31" t="str">
        <f>VLOOKUP(C82,ANTIGÜEDAD!A:BE,56,FALSE)</f>
        <v>Lunes</v>
      </c>
      <c r="K82" s="32" t="str">
        <f>VLOOKUP(C82,ANTIGÜEDAD!A:BE,57,FALSE)</f>
        <v>11:00</v>
      </c>
      <c r="L82" s="19" t="str">
        <f>VLOOKUP(C82,ANTIGÜEDAD!A:BE,20,FALSE)</f>
        <v>Semanal</v>
      </c>
      <c r="M82" s="30">
        <f>VLOOKUP(C82,ANTIGÜEDAD!A:BE,21,FALSE)</f>
        <v>6460.06</v>
      </c>
      <c r="N82" s="33" t="str">
        <f>IFERROR(VLOOKUP(C82,'Reporte de cobranza'!G:BL,34,FALSE),"")</f>
        <v>03/11/2025</v>
      </c>
      <c r="O82" s="30">
        <f>IF(AI82="Desertor sin mora",0,VLOOKUP(C82,ANTIGÜEDAD!A:BJ,44,FALSE))</f>
        <v>96895.91</v>
      </c>
      <c r="P82" s="30">
        <f t="shared" si="15"/>
        <v>103360.96000000001</v>
      </c>
      <c r="Q82" s="30">
        <f t="shared" ca="1" si="11"/>
        <v>96900.900000000009</v>
      </c>
      <c r="R82" s="30">
        <f>IF(AI82="Desertor sin mora",0,VLOOKUP(C82,ANTIGÜEDAD!A:BJ,26,FALSE))</f>
        <v>79687.5</v>
      </c>
      <c r="S82" s="30">
        <f t="shared" ca="1" si="16"/>
        <v>-4.9900000000052387</v>
      </c>
      <c r="T82" s="30">
        <f>IF(V82&gt;0,IF(VLOOKUP(TEXT(C82,"000000"),Ahorros_concentrado!B:D,3,0)+F82*0.1&gt;V82,V82,VLOOKUP(TEXT(C82,"000000"),Ahorros_concentrado!B:D,3,0)+F82*0.1),0)</f>
        <v>0</v>
      </c>
      <c r="U82" s="30">
        <f t="shared" si="17"/>
        <v>0</v>
      </c>
      <c r="V82" s="30">
        <f>IF(AI82="Desertor sin mora",0,VLOOKUP(C82,'SITUACIÓN DE CARTERA'!A:AR,26,FALSE))</f>
        <v>0</v>
      </c>
      <c r="W82" s="134">
        <f>IF(AI82="Desertor sin mora",0,VLOOKUP(C82,'SITUACIÓN DE CARTERA'!A:AR,27,FALSE))/100</f>
        <v>0</v>
      </c>
      <c r="X82" s="30">
        <f>IF(V82&gt;0,VLOOKUP(C82,ANTIGÜEDAD!A:BE,26,FALSE),0)</f>
        <v>0</v>
      </c>
      <c r="Z82" s="34">
        <f>IF(AI82="Desertor sin mora",VLOOKUP(C82,ANTIGÜEDAD!A:Q,17,0)/AA82,F82/AA82)</f>
        <v>14166.666666666666</v>
      </c>
      <c r="AA82" s="19">
        <f>IF(AI82="Desertor sin mora",VLOOKUP(C82,ANTIGÜEDAD!A:M,13,0),VLOOKUP(C82,'SITUACIÓN DE CARTERA'!A:AR,43,FALSE))</f>
        <v>6</v>
      </c>
      <c r="AB82" s="19">
        <f t="shared" ca="1" si="12"/>
        <v>1</v>
      </c>
      <c r="AC82" s="42">
        <f>IF(AI82="Desertor sin mora",0,(VLOOKUP(C82,'SITUACIÓN DE CARTERA'!A:AS,45,FALSE))/M82)</f>
        <v>1.0007646987798875</v>
      </c>
      <c r="AD82" s="19">
        <f>IF(AI82="Desertor sin mora",0,VLOOKUP(C82,'Reporte de cobranza'!G:BL,35,FALSE))</f>
        <v>15</v>
      </c>
      <c r="AE82" s="19">
        <f>IF(AI82="Desertor sin mora",I82,VLOOKUP(C82,'Reporte de cobranza'!G:BL,36,FALSE))</f>
        <v>16</v>
      </c>
      <c r="AF82" s="19">
        <f>VLOOKUP(C82,ANTIGÜEDAD!A:BE,18,FALSE)</f>
        <v>0</v>
      </c>
      <c r="AG82" s="30">
        <f>IFERROR(VLOOKUP(C82,Ahorros_concentrado!B:D,3,FALSE),0)</f>
        <v>464</v>
      </c>
      <c r="AH82" s="43">
        <f t="shared" ca="1" si="13"/>
        <v>7.1825958272833376E-2</v>
      </c>
      <c r="AI82" s="19" t="str">
        <f>IF(VLOOKUP(C82,ANTIGÜEDAD!A:AG,33,0)="Entregado","Vigente",IF(VLOOKUP(C82,ANTIGÜEDAD!A:AG,33,0)="Liquidado","Desertor sin mora",""))</f>
        <v>Vigente</v>
      </c>
      <c r="AJ82" s="98" t="str">
        <f t="shared" si="14"/>
        <v>000016701</v>
      </c>
    </row>
    <row r="83" spans="1:36" x14ac:dyDescent="0.3">
      <c r="A83" s="19" t="str">
        <f>VLOOKUP(C83,ANTIGÜEDAD!A:BJ,4,FALSE)</f>
        <v>IRVIN URIEL MORA VELAZCO</v>
      </c>
      <c r="B83" s="19" t="str">
        <f>IFERROR(VLOOKUP(ANTIGÜEDAD!F82,'Parche Promotores'!A:B,2,0),ANTIGÜEDAD!F82)</f>
        <v>Flores Mendez Veronica</v>
      </c>
      <c r="C83" s="6" t="str">
        <f>TEXT(ANTIGÜEDAD!I82,"000000")</f>
        <v>000070</v>
      </c>
      <c r="D83" s="6" t="str">
        <f>ANTIGÜEDAD!K82</f>
        <v>PINOS</v>
      </c>
      <c r="E83" s="29" t="str">
        <f>IFERROR(VLOOKUP(C83,'SITUACIÓN DE CARTERA'!A:AR,12,FALSE),VLOOKUP(C83,ANTIGÜEDAD!A:J,10,0))</f>
        <v>01</v>
      </c>
      <c r="F83" s="30">
        <f>VLOOKUP(C83,ANTIGÜEDAD!A:BE,17,FALSE)</f>
        <v>116000</v>
      </c>
      <c r="G83" s="30" t="str">
        <f>VLOOKUP(C83,ANTIGÜEDAD!A:BE,12,FALSE)</f>
        <v>MIGRADO</v>
      </c>
      <c r="H83" s="31">
        <f>VLOOKUP(C83,ANTIGÜEDAD!A:BE,14,FALSE)</f>
        <v>45911</v>
      </c>
      <c r="I83" s="19">
        <f>VLOOKUP(C83,ANTIGÜEDAD!A:BE,19,FALSE)</f>
        <v>16</v>
      </c>
      <c r="J83" s="31" t="str">
        <f>VLOOKUP(C83,ANTIGÜEDAD!A:BE,56,FALSE)</f>
        <v>Jueves</v>
      </c>
      <c r="K83" s="32" t="str">
        <f>VLOOKUP(C83,ANTIGÜEDAD!A:BE,57,FALSE)</f>
        <v>09:30</v>
      </c>
      <c r="L83" s="19" t="str">
        <f>VLOOKUP(C83,ANTIGÜEDAD!A:BE,20,FALSE)</f>
        <v>Semanal</v>
      </c>
      <c r="M83" s="30">
        <f>VLOOKUP(C83,ANTIGÜEDAD!A:BE,21,FALSE)</f>
        <v>8816.08</v>
      </c>
      <c r="N83" s="33" t="str">
        <f>IFERROR(VLOOKUP(C83,'Reporte de cobranza'!G:BL,34,FALSE),"")</f>
        <v>06/11/2025</v>
      </c>
      <c r="O83" s="30">
        <f>IF(AI83="Desertor sin mora",0,VLOOKUP(C83,ANTIGÜEDAD!A:BJ,44,FALSE))</f>
        <v>79339.240000000005</v>
      </c>
      <c r="P83" s="30">
        <f t="shared" si="15"/>
        <v>141057.28</v>
      </c>
      <c r="Q83" s="30">
        <f t="shared" ca="1" si="11"/>
        <v>79344.72</v>
      </c>
      <c r="R83" s="30">
        <f>IF(AI83="Desertor sin mora",0,VLOOKUP(C83,ANTIGÜEDAD!A:BJ,26,FALSE))</f>
        <v>65250</v>
      </c>
      <c r="S83" s="30">
        <f t="shared" ca="1" si="16"/>
        <v>-5.4799999999959255</v>
      </c>
      <c r="T83" s="30">
        <f>IF(V83&gt;0,IF(VLOOKUP(TEXT(C83,"000000"),Ahorros_concentrado!B:D,3,0)+F83*0.1&gt;V83,V83,VLOOKUP(TEXT(C83,"000000"),Ahorros_concentrado!B:D,3,0)+F83*0.1),0)</f>
        <v>0</v>
      </c>
      <c r="U83" s="30">
        <f t="shared" si="17"/>
        <v>0</v>
      </c>
      <c r="V83" s="30">
        <f>IF(AI83="Desertor sin mora",0,VLOOKUP(C83,'SITUACIÓN DE CARTERA'!A:AR,26,FALSE))</f>
        <v>0</v>
      </c>
      <c r="W83" s="134">
        <f>IF(AI83="Desertor sin mora",0,VLOOKUP(C83,'SITUACIÓN DE CARTERA'!A:AR,27,FALSE))/100</f>
        <v>0</v>
      </c>
      <c r="X83" s="30">
        <f>IF(V83&gt;0,VLOOKUP(C83,ANTIGÜEDAD!A:BE,26,FALSE),0)</f>
        <v>0</v>
      </c>
      <c r="Z83" s="34">
        <f>IF(AI83="Desertor sin mora",VLOOKUP(C83,ANTIGÜEDAD!A:Q,17,0)/AA83,F83/AA83)</f>
        <v>19333.333333333332</v>
      </c>
      <c r="AA83" s="19">
        <f>IF(AI83="Desertor sin mora",VLOOKUP(C83,ANTIGÜEDAD!A:M,13,0),VLOOKUP(C83,'SITUACIÓN DE CARTERA'!A:AR,43,FALSE))</f>
        <v>6</v>
      </c>
      <c r="AB83" s="19">
        <f t="shared" ca="1" si="12"/>
        <v>7</v>
      </c>
      <c r="AC83" s="42">
        <f>IF(AI83="Desertor sin mora",0,(VLOOKUP(C83,'SITUACIÓN DE CARTERA'!A:AS,45,FALSE))/M83)</f>
        <v>7.0006170542917037</v>
      </c>
      <c r="AD83" s="19">
        <f>IF(AI83="Desertor sin mora",0,VLOOKUP(C83,'Reporte de cobranza'!G:BL,35,FALSE))</f>
        <v>9</v>
      </c>
      <c r="AE83" s="19">
        <f>IF(AI83="Desertor sin mora",I83,VLOOKUP(C83,'Reporte de cobranza'!G:BL,36,FALSE))</f>
        <v>16</v>
      </c>
      <c r="AF83" s="19">
        <f>VLOOKUP(C83,ANTIGÜEDAD!A:BE,18,FALSE)</f>
        <v>0</v>
      </c>
      <c r="AG83" s="30">
        <f>IFERROR(VLOOKUP(C83,Ahorros_concentrado!B:D,3,FALSE),0)</f>
        <v>3392</v>
      </c>
      <c r="AH83" s="43">
        <f t="shared" ca="1" si="13"/>
        <v>5.4964499933238875E-2</v>
      </c>
      <c r="AI83" s="19" t="str">
        <f>IF(VLOOKUP(C83,ANTIGÜEDAD!A:AG,33,0)="Entregado","Vigente",IF(VLOOKUP(C83,ANTIGÜEDAD!A:AG,33,0)="Liquidado","Desertor sin mora",""))</f>
        <v>Vigente</v>
      </c>
      <c r="AJ83" s="98" t="str">
        <f t="shared" si="14"/>
        <v>000007001</v>
      </c>
    </row>
    <row r="84" spans="1:36" x14ac:dyDescent="0.3">
      <c r="A84" s="19" t="str">
        <f>VLOOKUP(C84,ANTIGÜEDAD!A:BJ,4,FALSE)</f>
        <v>IRVIN URIEL MORA VELAZCO</v>
      </c>
      <c r="B84" s="19" t="str">
        <f>IFERROR(VLOOKUP(ANTIGÜEDAD!F83,'Parche Promotores'!A:B,2,0),ANTIGÜEDAD!F83)</f>
        <v>Flores Mendez Veronica</v>
      </c>
      <c r="C84" s="6" t="str">
        <f>TEXT(ANTIGÜEDAD!I83,"000000")</f>
        <v>000126</v>
      </c>
      <c r="D84" s="6" t="str">
        <f>ANTIGÜEDAD!K83</f>
        <v>CENTENARIOS</v>
      </c>
      <c r="E84" s="29" t="str">
        <f>IFERROR(VLOOKUP(C84,'SITUACIÓN DE CARTERA'!A:AR,12,FALSE),VLOOKUP(C84,ANTIGÜEDAD!A:J,10,0))</f>
        <v>01</v>
      </c>
      <c r="F84" s="30">
        <f>VLOOKUP(C84,ANTIGÜEDAD!A:BE,17,FALSE)</f>
        <v>40000</v>
      </c>
      <c r="G84" s="30" t="str">
        <f>VLOOKUP(C84,ANTIGÜEDAD!A:BE,12,FALSE)</f>
        <v>MIGRADO</v>
      </c>
      <c r="H84" s="31">
        <f>VLOOKUP(C84,ANTIGÜEDAD!A:BE,14,FALSE)</f>
        <v>45931</v>
      </c>
      <c r="I84" s="19">
        <f>VLOOKUP(C84,ANTIGÜEDAD!A:BE,19,FALSE)</f>
        <v>16</v>
      </c>
      <c r="J84" s="31" t="str">
        <f>VLOOKUP(C84,ANTIGÜEDAD!A:BE,56,FALSE)</f>
        <v>Miércoles</v>
      </c>
      <c r="K84" s="32" t="str">
        <f>VLOOKUP(C84,ANTIGÜEDAD!A:BE,57,FALSE)</f>
        <v>11:00</v>
      </c>
      <c r="L84" s="19" t="str">
        <f>VLOOKUP(C84,ANTIGÜEDAD!A:BE,20,FALSE)</f>
        <v>Semanal</v>
      </c>
      <c r="M84" s="30">
        <f>VLOOKUP(C84,ANTIGÜEDAD!A:BE,21,FALSE)</f>
        <v>3040.03</v>
      </c>
      <c r="N84" s="33" t="str">
        <f>IFERROR(VLOOKUP(C84,'Reporte de cobranza'!G:BL,34,FALSE),"")</f>
        <v>05/11/2025</v>
      </c>
      <c r="O84" s="30">
        <f>IF(AI84="Desertor sin mora",0,VLOOKUP(C84,ANTIGÜEDAD!A:BJ,44,FALSE))</f>
        <v>36480.43</v>
      </c>
      <c r="P84" s="30">
        <f t="shared" si="15"/>
        <v>48640.480000000003</v>
      </c>
      <c r="Q84" s="30">
        <f t="shared" ca="1" si="11"/>
        <v>36480.43</v>
      </c>
      <c r="R84" s="30">
        <f>IF(AI84="Desertor sin mora",0,VLOOKUP(C84,ANTIGÜEDAD!A:BJ,26,FALSE))</f>
        <v>30000.100000000002</v>
      </c>
      <c r="S84" s="30">
        <f t="shared" ca="1" si="16"/>
        <v>0</v>
      </c>
      <c r="T84" s="30">
        <f>IF(V84&gt;0,IF(VLOOKUP(TEXT(C84,"000000"),Ahorros_concentrado!B:D,3,0)+F84*0.1&gt;V84,V84,VLOOKUP(TEXT(C84,"000000"),Ahorros_concentrado!B:D,3,0)+F84*0.1),0)</f>
        <v>0</v>
      </c>
      <c r="U84" s="30">
        <f t="shared" si="17"/>
        <v>0</v>
      </c>
      <c r="V84" s="30">
        <f>IF(AI84="Desertor sin mora",0,VLOOKUP(C84,'SITUACIÓN DE CARTERA'!A:AR,26,FALSE))</f>
        <v>0</v>
      </c>
      <c r="W84" s="134">
        <f>IF(AI84="Desertor sin mora",0,VLOOKUP(C84,'SITUACIÓN DE CARTERA'!A:AR,27,FALSE))/100</f>
        <v>0</v>
      </c>
      <c r="X84" s="30">
        <f>IF(V84&gt;0,VLOOKUP(C84,ANTIGÜEDAD!A:BE,26,FALSE),0)</f>
        <v>0</v>
      </c>
      <c r="Z84" s="34">
        <f>IF(AI84="Desertor sin mora",VLOOKUP(C84,ANTIGÜEDAD!A:Q,17,0)/AA84,F84/AA84)</f>
        <v>8000</v>
      </c>
      <c r="AA84" s="19">
        <f>IF(AI84="Desertor sin mora",VLOOKUP(C84,ANTIGÜEDAD!A:M,13,0),VLOOKUP(C84,'SITUACIÓN DE CARTERA'!A:AR,43,FALSE))</f>
        <v>5</v>
      </c>
      <c r="AB84" s="19">
        <f t="shared" ca="1" si="12"/>
        <v>4</v>
      </c>
      <c r="AC84" s="42">
        <f>IF(AI84="Desertor sin mora",0,(VLOOKUP(C84,'SITUACIÓN DE CARTERA'!A:AS,45,FALSE))/M84)</f>
        <v>3.9999605267053284</v>
      </c>
      <c r="AD84" s="19">
        <f>IF(AI84="Desertor sin mora",0,VLOOKUP(C84,'Reporte de cobranza'!G:BL,35,FALSE))</f>
        <v>12</v>
      </c>
      <c r="AE84" s="19">
        <f>IF(AI84="Desertor sin mora",I84,VLOOKUP(C84,'Reporte de cobranza'!G:BL,36,FALSE))</f>
        <v>16</v>
      </c>
      <c r="AF84" s="19">
        <f>VLOOKUP(C84,ANTIGÜEDAD!A:BE,18,FALSE)</f>
        <v>0</v>
      </c>
      <c r="AG84" s="30">
        <f>IFERROR(VLOOKUP(C84,Ahorros_concentrado!B:D,3,FALSE),0)</f>
        <v>614</v>
      </c>
      <c r="AH84" s="43">
        <f t="shared" ca="1" si="13"/>
        <v>5.0492922767209528E-2</v>
      </c>
      <c r="AI84" s="19" t="str">
        <f>IF(VLOOKUP(C84,ANTIGÜEDAD!A:AG,33,0)="Entregado","Vigente",IF(VLOOKUP(C84,ANTIGÜEDAD!A:AG,33,0)="Liquidado","Desertor sin mora",""))</f>
        <v>Vigente</v>
      </c>
      <c r="AJ84" s="98" t="str">
        <f t="shared" si="14"/>
        <v>000012601</v>
      </c>
    </row>
    <row r="85" spans="1:36" x14ac:dyDescent="0.3">
      <c r="A85" s="19" t="str">
        <f>VLOOKUP(C85,ANTIGÜEDAD!A:BJ,4,FALSE)</f>
        <v>JUDITH PATRICIA SERRANO HERRER</v>
      </c>
      <c r="B85" s="19" t="str">
        <f>IFERROR(VLOOKUP(ANTIGÜEDAD!F84,'Parche Promotores'!A:B,2,0),ANTIGÜEDAD!F84)</f>
        <v>Cabrera Flores Viridiana</v>
      </c>
      <c r="C85" s="6" t="str">
        <f>TEXT(ANTIGÜEDAD!I84,"000000")</f>
        <v>000035</v>
      </c>
      <c r="D85" s="6" t="str">
        <f>ANTIGÜEDAD!K84</f>
        <v>2 DE ABRIL</v>
      </c>
      <c r="E85" s="29" t="str">
        <f>IFERROR(VLOOKUP(C85,'SITUACIÓN DE CARTERA'!A:AR,12,FALSE),VLOOKUP(C85,ANTIGÜEDAD!A:J,10,0))</f>
        <v>01</v>
      </c>
      <c r="F85" s="30">
        <f>VLOOKUP(C85,ANTIGÜEDAD!A:BE,17,FALSE)</f>
        <v>129000</v>
      </c>
      <c r="G85" s="30" t="str">
        <f>VLOOKUP(C85,ANTIGÜEDAD!A:BE,12,FALSE)</f>
        <v>MIGRADO</v>
      </c>
      <c r="H85" s="31">
        <f>VLOOKUP(C85,ANTIGÜEDAD!A:BE,14,FALSE)</f>
        <v>45895</v>
      </c>
      <c r="I85" s="19">
        <f>VLOOKUP(C85,ANTIGÜEDAD!A:BE,19,FALSE)</f>
        <v>16</v>
      </c>
      <c r="J85" s="31" t="str">
        <f>VLOOKUP(C85,ANTIGÜEDAD!A:BE,56,FALSE)</f>
        <v>Martes</v>
      </c>
      <c r="K85" s="32" t="str">
        <f>VLOOKUP(C85,ANTIGÜEDAD!A:BE,57,FALSE)</f>
        <v>16:30</v>
      </c>
      <c r="L85" s="19" t="str">
        <f>VLOOKUP(C85,ANTIGÜEDAD!A:BE,20,FALSE)</f>
        <v>Semanal</v>
      </c>
      <c r="M85" s="30">
        <f>VLOOKUP(C85,ANTIGÜEDAD!A:BE,21,FALSE)</f>
        <v>9804.09</v>
      </c>
      <c r="N85" s="33" t="str">
        <f>IFERROR(VLOOKUP(C85,'Reporte de cobranza'!G:BL,34,FALSE),"")</f>
        <v>04/11/2025</v>
      </c>
      <c r="O85" s="30">
        <f>IF(AI85="Desertor sin mora",0,VLOOKUP(C85,ANTIGÜEDAD!A:BJ,44,FALSE))</f>
        <v>68629.38</v>
      </c>
      <c r="P85" s="30">
        <f t="shared" si="15"/>
        <v>156865.44</v>
      </c>
      <c r="Q85" s="30">
        <f t="shared" ca="1" si="11"/>
        <v>68629.38</v>
      </c>
      <c r="R85" s="30">
        <f>IF(AI85="Desertor sin mora",0,VLOOKUP(C85,ANTIGÜEDAD!A:BJ,26,FALSE))</f>
        <v>56438.26</v>
      </c>
      <c r="S85" s="30">
        <f t="shared" ca="1" si="16"/>
        <v>0</v>
      </c>
      <c r="T85" s="30">
        <f>IF(V85&gt;0,IF(VLOOKUP(TEXT(C85,"000000"),Ahorros_concentrado!B:D,3,0)+F85*0.1&gt;V85,V85,VLOOKUP(TEXT(C85,"000000"),Ahorros_concentrado!B:D,3,0)+F85*0.1),0)</f>
        <v>0</v>
      </c>
      <c r="U85" s="30">
        <f t="shared" si="17"/>
        <v>0</v>
      </c>
      <c r="V85" s="30">
        <f>IF(AI85="Desertor sin mora",0,VLOOKUP(C85,'SITUACIÓN DE CARTERA'!A:AR,26,FALSE))</f>
        <v>0</v>
      </c>
      <c r="W85" s="134">
        <f>IF(AI85="Desertor sin mora",0,VLOOKUP(C85,'SITUACIÓN DE CARTERA'!A:AR,27,FALSE))/100</f>
        <v>0</v>
      </c>
      <c r="X85" s="30">
        <f>IF(V85&gt;0,VLOOKUP(C85,ANTIGÜEDAD!A:BE,26,FALSE),0)</f>
        <v>0</v>
      </c>
      <c r="Z85" s="34">
        <f>IF(AI85="Desertor sin mora",VLOOKUP(C85,ANTIGÜEDAD!A:Q,17,0)/AA85,F85/AA85)</f>
        <v>18428.571428571428</v>
      </c>
      <c r="AA85" s="19">
        <f>IF(AI85="Desertor sin mora",VLOOKUP(C85,ANTIGÜEDAD!A:M,13,0),VLOOKUP(C85,'SITUACIÓN DE CARTERA'!A:AR,43,FALSE))</f>
        <v>7</v>
      </c>
      <c r="AB85" s="19">
        <f t="shared" ca="1" si="12"/>
        <v>9</v>
      </c>
      <c r="AC85" s="42">
        <f>IF(AI85="Desertor sin mora",0,(VLOOKUP(C85,'SITUACIÓN DE CARTERA'!A:AS,45,FALSE))/M85)</f>
        <v>8.9999173814193867</v>
      </c>
      <c r="AD85" s="19">
        <f>IF(AI85="Desertor sin mora",0,VLOOKUP(C85,'Reporte de cobranza'!G:BL,35,FALSE))</f>
        <v>7</v>
      </c>
      <c r="AE85" s="19">
        <f>IF(AI85="Desertor sin mora",I85,VLOOKUP(C85,'Reporte de cobranza'!G:BL,36,FALSE))</f>
        <v>16</v>
      </c>
      <c r="AF85" s="19">
        <f>VLOOKUP(C85,ANTIGÜEDAD!A:BE,18,FALSE)</f>
        <v>0</v>
      </c>
      <c r="AG85" s="30">
        <f>IFERROR(VLOOKUP(C85,Ahorros_concentrado!B:D,3,FALSE),0)</f>
        <v>5337</v>
      </c>
      <c r="AH85" s="43">
        <f t="shared" ca="1" si="13"/>
        <v>6.0484960868372281E-2</v>
      </c>
      <c r="AI85" s="19" t="str">
        <f>IF(VLOOKUP(C85,ANTIGÜEDAD!A:AG,33,0)="Entregado","Vigente",IF(VLOOKUP(C85,ANTIGÜEDAD!A:AG,33,0)="Liquidado","Desertor sin mora",""))</f>
        <v>Vigente</v>
      </c>
      <c r="AJ85" s="98" t="str">
        <f t="shared" si="14"/>
        <v>000003501</v>
      </c>
    </row>
    <row r="86" spans="1:36" x14ac:dyDescent="0.3">
      <c r="A86" s="19" t="str">
        <f>VLOOKUP(C86,ANTIGÜEDAD!A:BJ,4,FALSE)</f>
        <v>ADRIANA ALEJALDRE GUZMAN</v>
      </c>
      <c r="B86" s="19" t="str">
        <f>IFERROR(VLOOKUP(ANTIGÜEDAD!F85,'Parche Promotores'!A:B,2,0),ANTIGÜEDAD!F85)</f>
        <v>Contreras Martinez Jose Luis</v>
      </c>
      <c r="C86" s="6" t="str">
        <f>TEXT(ANTIGÜEDAD!I85,"000000")</f>
        <v>000192</v>
      </c>
      <c r="D86" s="6" t="str">
        <f>ANTIGÜEDAD!K85</f>
        <v>PERLA</v>
      </c>
      <c r="E86" s="29" t="str">
        <f>IFERROR(VLOOKUP(C86,'SITUACIÓN DE CARTERA'!A:AR,12,FALSE),VLOOKUP(C86,ANTIGÜEDAD!A:J,10,0))</f>
        <v>01</v>
      </c>
      <c r="F86" s="30">
        <f>VLOOKUP(C86,ANTIGÜEDAD!A:BE,17,FALSE)</f>
        <v>41000</v>
      </c>
      <c r="G86" s="30" t="str">
        <f>VLOOKUP(C86,ANTIGÜEDAD!A:BE,12,FALSE)</f>
        <v>MIGRADO</v>
      </c>
      <c r="H86" s="31">
        <f>VLOOKUP(C86,ANTIGÜEDAD!A:BE,14,FALSE)</f>
        <v>45959</v>
      </c>
      <c r="I86" s="19">
        <f>VLOOKUP(C86,ANTIGÜEDAD!A:BE,19,FALSE)</f>
        <v>16</v>
      </c>
      <c r="J86" s="31" t="str">
        <f>VLOOKUP(C86,ANTIGÜEDAD!A:BE,56,FALSE)</f>
        <v>Miércoles</v>
      </c>
      <c r="K86" s="32" t="str">
        <f>VLOOKUP(C86,ANTIGÜEDAD!A:BE,57,FALSE)</f>
        <v>13:00</v>
      </c>
      <c r="L86" s="19" t="str">
        <f>VLOOKUP(C86,ANTIGÜEDAD!A:BE,20,FALSE)</f>
        <v>Semanal</v>
      </c>
      <c r="M86" s="30">
        <f>VLOOKUP(C86,ANTIGÜEDAD!A:BE,21,FALSE)</f>
        <v>3116.03</v>
      </c>
      <c r="N86" s="33" t="str">
        <f>IFERROR(VLOOKUP(C86,'Reporte de cobranza'!G:BL,34,FALSE),"")</f>
        <v>05/11/2025</v>
      </c>
      <c r="O86" s="30">
        <f>IF(AI86="Desertor sin mora",0,VLOOKUP(C86,ANTIGÜEDAD!A:BJ,44,FALSE))</f>
        <v>49856.44</v>
      </c>
      <c r="P86" s="30">
        <f t="shared" si="15"/>
        <v>49856.480000000003</v>
      </c>
      <c r="Q86" s="30">
        <f t="shared" ca="1" si="11"/>
        <v>49856.480000000003</v>
      </c>
      <c r="R86" s="30">
        <f>IF(AI86="Desertor sin mora",0,VLOOKUP(C86,ANTIGÜEDAD!A:BJ,26,FALSE))</f>
        <v>41000</v>
      </c>
      <c r="S86" s="30">
        <f t="shared" ca="1" si="16"/>
        <v>-4.0000000000873115E-2</v>
      </c>
      <c r="T86" s="30">
        <f>IF(V86&gt;0,IF(VLOOKUP(TEXT(C86,"000000"),Ahorros_concentrado!B:D,3,0)+F86*0.1&gt;V86,V86,VLOOKUP(TEXT(C86,"000000"),Ahorros_concentrado!B:D,3,0)+F86*0.1),0)</f>
        <v>0</v>
      </c>
      <c r="U86" s="30">
        <f t="shared" si="17"/>
        <v>0</v>
      </c>
      <c r="V86" s="30">
        <f>IF(AI86="Desertor sin mora",0,VLOOKUP(C86,'SITUACIÓN DE CARTERA'!A:AR,26,FALSE))</f>
        <v>0</v>
      </c>
      <c r="W86" s="134">
        <f>IF(AI86="Desertor sin mora",0,VLOOKUP(C86,'SITUACIÓN DE CARTERA'!A:AR,27,FALSE))/100</f>
        <v>0</v>
      </c>
      <c r="X86" s="30">
        <f>IF(V86&gt;0,VLOOKUP(C86,ANTIGÜEDAD!A:BE,26,FALSE),0)</f>
        <v>0</v>
      </c>
      <c r="Z86" s="34">
        <f>IF(AI86="Desertor sin mora",VLOOKUP(C86,ANTIGÜEDAD!A:Q,17,0)/AA86,F86/AA86)</f>
        <v>8200</v>
      </c>
      <c r="AA86" s="19">
        <f>IF(AI86="Desertor sin mora",VLOOKUP(C86,ANTIGÜEDAD!A:M,13,0),VLOOKUP(C86,'SITUACIÓN DE CARTERA'!A:AR,43,FALSE))</f>
        <v>5</v>
      </c>
      <c r="AB86" s="19">
        <f t="shared" ca="1" si="12"/>
        <v>0</v>
      </c>
      <c r="AC86" s="42">
        <f>IF(AI86="Desertor sin mora",0,(VLOOKUP(C86,'SITUACIÓN DE CARTERA'!A:AS,45,FALSE))/M86)</f>
        <v>0</v>
      </c>
      <c r="AD86" s="19">
        <f>IF(AI86="Desertor sin mora",0,VLOOKUP(C86,'Reporte de cobranza'!G:BL,35,FALSE))</f>
        <v>16</v>
      </c>
      <c r="AE86" s="19">
        <f>IF(AI86="Desertor sin mora",I86,VLOOKUP(C86,'Reporte de cobranza'!G:BL,36,FALSE))</f>
        <v>16</v>
      </c>
      <c r="AF86" s="19">
        <f>VLOOKUP(C86,ANTIGÜEDAD!A:BE,18,FALSE)</f>
        <v>0</v>
      </c>
      <c r="AG86" s="30">
        <f>IFERROR(VLOOKUP(C86,Ahorros_concentrado!B:D,3,FALSE),0)</f>
        <v>0</v>
      </c>
      <c r="AH86" s="43">
        <f t="shared" ca="1" si="13"/>
        <v>0</v>
      </c>
      <c r="AI86" s="19" t="str">
        <f>IF(VLOOKUP(C86,ANTIGÜEDAD!A:AG,33,0)="Entregado","Vigente",IF(VLOOKUP(C86,ANTIGÜEDAD!A:AG,33,0)="Liquidado","Desertor sin mora",""))</f>
        <v>Vigente</v>
      </c>
      <c r="AJ86" s="98" t="str">
        <f t="shared" si="14"/>
        <v>000019201</v>
      </c>
    </row>
    <row r="87" spans="1:36" x14ac:dyDescent="0.3">
      <c r="A87" s="19" t="str">
        <f>VLOOKUP(C87,ANTIGÜEDAD!A:BJ,4,FALSE)</f>
        <v>JUAN EDMUNDO LUNA AGUILLON</v>
      </c>
      <c r="B87" s="19" t="str">
        <f>IFERROR(VLOOKUP(ANTIGÜEDAD!F86,'Parche Promotores'!A:B,2,0),ANTIGÜEDAD!F86)</f>
        <v>Martinez Bañuelos Nallely Sarahi</v>
      </c>
      <c r="C87" s="6" t="str">
        <f>TEXT(ANTIGÜEDAD!I86,"000000")</f>
        <v>000133</v>
      </c>
      <c r="D87" s="6" t="str">
        <f>ANTIGÜEDAD!K86</f>
        <v>ARRAYANES</v>
      </c>
      <c r="E87" s="29" t="str">
        <f>IFERROR(VLOOKUP(C87,'SITUACIÓN DE CARTERA'!A:AR,12,FALSE),VLOOKUP(C87,ANTIGÜEDAD!A:J,10,0))</f>
        <v>01</v>
      </c>
      <c r="F87" s="30">
        <f>VLOOKUP(C87,ANTIGÜEDAD!A:BE,17,FALSE)</f>
        <v>83000</v>
      </c>
      <c r="G87" s="30" t="str">
        <f>VLOOKUP(C87,ANTIGÜEDAD!A:BE,12,FALSE)</f>
        <v>MIGRADO</v>
      </c>
      <c r="H87" s="31">
        <f>VLOOKUP(C87,ANTIGÜEDAD!A:BE,14,FALSE)</f>
        <v>45932</v>
      </c>
      <c r="I87" s="19">
        <f>VLOOKUP(C87,ANTIGÜEDAD!A:BE,19,FALSE)</f>
        <v>16</v>
      </c>
      <c r="J87" s="31" t="str">
        <f>VLOOKUP(C87,ANTIGÜEDAD!A:BE,56,FALSE)</f>
        <v>Jueves</v>
      </c>
      <c r="K87" s="32" t="str">
        <f>VLOOKUP(C87,ANTIGÜEDAD!A:BE,57,FALSE)</f>
        <v>11:00</v>
      </c>
      <c r="L87" s="19" t="str">
        <f>VLOOKUP(C87,ANTIGÜEDAD!A:BE,20,FALSE)</f>
        <v>Semanal</v>
      </c>
      <c r="M87" s="30">
        <f>VLOOKUP(C87,ANTIGÜEDAD!A:BE,21,FALSE)</f>
        <v>6308.06</v>
      </c>
      <c r="N87" s="33" t="str">
        <f>IFERROR(VLOOKUP(C87,'Reporte de cobranza'!G:BL,34,FALSE),"")</f>
        <v>06/11/2025</v>
      </c>
      <c r="O87" s="30">
        <f>IF(AI87="Desertor sin mora",0,VLOOKUP(C87,ANTIGÜEDAD!A:BJ,44,FALSE))</f>
        <v>75696.650000000009</v>
      </c>
      <c r="P87" s="30">
        <f t="shared" si="15"/>
        <v>100928.96000000001</v>
      </c>
      <c r="Q87" s="30">
        <f t="shared" ca="1" si="11"/>
        <v>75696.72</v>
      </c>
      <c r="R87" s="30">
        <f>IF(AI87="Desertor sin mora",0,VLOOKUP(C87,ANTIGÜEDAD!A:BJ,26,FALSE))</f>
        <v>62250</v>
      </c>
      <c r="S87" s="30">
        <f t="shared" ca="1" si="16"/>
        <v>-6.9999999992433004E-2</v>
      </c>
      <c r="T87" s="30">
        <f>IF(V87&gt;0,IF(VLOOKUP(TEXT(C87,"000000"),Ahorros_concentrado!B:D,3,0)+F87*0.1&gt;V87,V87,VLOOKUP(TEXT(C87,"000000"),Ahorros_concentrado!B:D,3,0)+F87*0.1),0)</f>
        <v>0</v>
      </c>
      <c r="U87" s="30">
        <f t="shared" si="17"/>
        <v>0</v>
      </c>
      <c r="V87" s="30">
        <f>IF(AI87="Desertor sin mora",0,VLOOKUP(C87,'SITUACIÓN DE CARTERA'!A:AR,26,FALSE))</f>
        <v>0</v>
      </c>
      <c r="W87" s="134">
        <f>IF(AI87="Desertor sin mora",0,VLOOKUP(C87,'SITUACIÓN DE CARTERA'!A:AR,27,FALSE))/100</f>
        <v>0</v>
      </c>
      <c r="X87" s="30">
        <f>IF(V87&gt;0,VLOOKUP(C87,ANTIGÜEDAD!A:BE,26,FALSE),0)</f>
        <v>0</v>
      </c>
      <c r="Z87" s="34">
        <f>IF(AI87="Desertor sin mora",VLOOKUP(C87,ANTIGÜEDAD!A:Q,17,0)/AA87,F87/AA87)</f>
        <v>13833.333333333334</v>
      </c>
      <c r="AA87" s="19">
        <f>IF(AI87="Desertor sin mora",VLOOKUP(C87,ANTIGÜEDAD!A:M,13,0),VLOOKUP(C87,'SITUACIÓN DE CARTERA'!A:AR,43,FALSE))</f>
        <v>6</v>
      </c>
      <c r="AB87" s="19">
        <f t="shared" ca="1" si="12"/>
        <v>4</v>
      </c>
      <c r="AC87" s="42">
        <f>IF(AI87="Desertor sin mora",0,(VLOOKUP(C87,'SITUACIÓN DE CARTERA'!A:AS,45,FALSE))/M87)</f>
        <v>3.9999999999999996</v>
      </c>
      <c r="AD87" s="19">
        <f>IF(AI87="Desertor sin mora",0,VLOOKUP(C87,'Reporte de cobranza'!G:BL,35,FALSE))</f>
        <v>12</v>
      </c>
      <c r="AE87" s="19">
        <f>IF(AI87="Desertor sin mora",I87,VLOOKUP(C87,'Reporte de cobranza'!G:BL,36,FALSE))</f>
        <v>16</v>
      </c>
      <c r="AF87" s="19">
        <f>VLOOKUP(C87,ANTIGÜEDAD!A:BE,18,FALSE)</f>
        <v>0</v>
      </c>
      <c r="AG87" s="30">
        <f>IFERROR(VLOOKUP(C87,Ahorros_concentrado!B:D,3,FALSE),0)</f>
        <v>1835.7599999999984</v>
      </c>
      <c r="AH87" s="43">
        <f t="shared" ca="1" si="13"/>
        <v>7.2754539430506304E-2</v>
      </c>
      <c r="AI87" s="19" t="str">
        <f>IF(VLOOKUP(C87,ANTIGÜEDAD!A:AG,33,0)="Entregado","Vigente",IF(VLOOKUP(C87,ANTIGÜEDAD!A:AG,33,0)="Liquidado","Desertor sin mora",""))</f>
        <v>Vigente</v>
      </c>
      <c r="AJ87" s="98" t="str">
        <f t="shared" si="14"/>
        <v>000013301</v>
      </c>
    </row>
    <row r="88" spans="1:36" x14ac:dyDescent="0.3">
      <c r="A88" s="19" t="str">
        <f>VLOOKUP(C88,ANTIGÜEDAD!A:BJ,4,FALSE)</f>
        <v>ADRIANA ALEJALDRE GUZMAN</v>
      </c>
      <c r="B88" s="19" t="str">
        <f>IFERROR(VLOOKUP(ANTIGÜEDAD!F87,'Parche Promotores'!A:B,2,0),ANTIGÜEDAD!F87)</f>
        <v>Juarez Palma Ma Ines</v>
      </c>
      <c r="C88" s="6" t="str">
        <f>TEXT(ANTIGÜEDAD!I87,"000000")</f>
        <v>000033</v>
      </c>
      <c r="D88" s="6" t="str">
        <f>ANTIGÜEDAD!K87</f>
        <v>CUPIDO</v>
      </c>
      <c r="E88" s="29" t="str">
        <f>IFERROR(VLOOKUP(C88,'SITUACIÓN DE CARTERA'!A:AR,12,FALSE),VLOOKUP(C88,ANTIGÜEDAD!A:J,10,0))</f>
        <v>01</v>
      </c>
      <c r="F88" s="30">
        <f>VLOOKUP(C88,ANTIGÜEDAD!A:BE,17,FALSE)</f>
        <v>70000</v>
      </c>
      <c r="G88" s="30" t="str">
        <f>VLOOKUP(C88,ANTIGÜEDAD!A:BE,12,FALSE)</f>
        <v>MIGRADO</v>
      </c>
      <c r="H88" s="31">
        <f>VLOOKUP(C88,ANTIGÜEDAD!A:BE,14,FALSE)</f>
        <v>45894</v>
      </c>
      <c r="I88" s="19">
        <f>VLOOKUP(C88,ANTIGÜEDAD!A:BE,19,FALSE)</f>
        <v>16</v>
      </c>
      <c r="J88" s="31" t="str">
        <f>VLOOKUP(C88,ANTIGÜEDAD!A:BE,56,FALSE)</f>
        <v>Lunes</v>
      </c>
      <c r="K88" s="32" t="str">
        <f>VLOOKUP(C88,ANTIGÜEDAD!A:BE,57,FALSE)</f>
        <v>11</v>
      </c>
      <c r="L88" s="19" t="str">
        <f>VLOOKUP(C88,ANTIGÜEDAD!A:BE,20,FALSE)</f>
        <v>Semanal</v>
      </c>
      <c r="M88" s="30">
        <f>VLOOKUP(C88,ANTIGÜEDAD!A:BE,21,FALSE)</f>
        <v>5320.05</v>
      </c>
      <c r="N88" s="33" t="str">
        <f>IFERROR(VLOOKUP(C88,'Reporte de cobranza'!G:BL,34,FALSE),"")</f>
        <v>03/11/2025</v>
      </c>
      <c r="O88" s="30">
        <f>IF(AI88="Desertor sin mora",0,VLOOKUP(C88,ANTIGÜEDAD!A:BJ,44,FALSE))</f>
        <v>28850.639999999999</v>
      </c>
      <c r="P88" s="30">
        <f t="shared" si="15"/>
        <v>85120.8</v>
      </c>
      <c r="Q88" s="30">
        <f t="shared" ca="1" si="11"/>
        <v>37240.35</v>
      </c>
      <c r="R88" s="30">
        <f>IF(AI88="Desertor sin mora",0,VLOOKUP(C88,ANTIGÜEDAD!A:BJ,26,FALSE))</f>
        <v>24375</v>
      </c>
      <c r="S88" s="30">
        <f t="shared" ca="1" si="16"/>
        <v>-8389.7099999999991</v>
      </c>
      <c r="T88" s="30">
        <f>IF(V88&gt;0,IF(VLOOKUP(TEXT(C88,"000000"),Ahorros_concentrado!B:D,3,0)+F88*0.1&gt;V88,V88,VLOOKUP(TEXT(C88,"000000"),Ahorros_concentrado!B:D,3,0)+F88*0.1),0)</f>
        <v>0</v>
      </c>
      <c r="U88" s="30">
        <f t="shared" si="17"/>
        <v>0</v>
      </c>
      <c r="V88" s="30">
        <f>IF(AI88="Desertor sin mora",0,VLOOKUP(C88,'SITUACIÓN DE CARTERA'!A:AR,26,FALSE))</f>
        <v>0</v>
      </c>
      <c r="W88" s="134">
        <f>IF(AI88="Desertor sin mora",0,VLOOKUP(C88,'SITUACIÓN DE CARTERA'!A:AR,27,FALSE))/100</f>
        <v>0</v>
      </c>
      <c r="X88" s="30">
        <f>IF(V88&gt;0,VLOOKUP(C88,ANTIGÜEDAD!A:BE,26,FALSE),0)</f>
        <v>0</v>
      </c>
      <c r="Z88" s="34">
        <f>IF(AI88="Desertor sin mora",VLOOKUP(C88,ANTIGÜEDAD!A:Q,17,0)/AA88,F88/AA88)</f>
        <v>14000</v>
      </c>
      <c r="AA88" s="19">
        <f>IF(AI88="Desertor sin mora",VLOOKUP(C88,ANTIGÜEDAD!A:M,13,0),VLOOKUP(C88,'SITUACIÓN DE CARTERA'!A:AR,43,FALSE))</f>
        <v>5</v>
      </c>
      <c r="AB88" s="19">
        <f t="shared" ca="1" si="12"/>
        <v>9</v>
      </c>
      <c r="AC88" s="42">
        <f>IF(AI88="Desertor sin mora",0,(VLOOKUP(C88,'SITUACIÓN DE CARTERA'!A:AS,45,FALSE))/M88)</f>
        <v>10.576988938073891</v>
      </c>
      <c r="AD88" s="19">
        <f>IF(AI88="Desertor sin mora",0,VLOOKUP(C88,'Reporte de cobranza'!G:BL,35,FALSE))</f>
        <v>7</v>
      </c>
      <c r="AE88" s="19">
        <f>IF(AI88="Desertor sin mora",I88,VLOOKUP(C88,'Reporte de cobranza'!G:BL,36,FALSE))</f>
        <v>16</v>
      </c>
      <c r="AF88" s="19">
        <f>VLOOKUP(C88,ANTIGÜEDAD!A:BE,18,FALSE)</f>
        <v>0</v>
      </c>
      <c r="AG88" s="30">
        <f>IFERROR(VLOOKUP(C88,Ahorros_concentrado!B:D,3,FALSE),0)</f>
        <v>3219</v>
      </c>
      <c r="AH88" s="43">
        <f t="shared" ca="1" si="13"/>
        <v>6.7229944580721346E-2</v>
      </c>
      <c r="AI88" s="19" t="str">
        <f>IF(VLOOKUP(C88,ANTIGÜEDAD!A:AG,33,0)="Entregado","Vigente",IF(VLOOKUP(C88,ANTIGÜEDAD!A:AG,33,0)="Liquidado","Desertor sin mora",""))</f>
        <v>Vigente</v>
      </c>
      <c r="AJ88" s="98" t="str">
        <f t="shared" si="14"/>
        <v>000003301</v>
      </c>
    </row>
    <row r="89" spans="1:36" x14ac:dyDescent="0.3">
      <c r="A89" s="19" t="str">
        <f>VLOOKUP(C89,ANTIGÜEDAD!A:BJ,4,FALSE)</f>
        <v>JUAN EDMUNDO LUNA AGUILLON</v>
      </c>
      <c r="B89" s="19" t="str">
        <f>IFERROR(VLOOKUP(ANTIGÜEDAD!F88,'Parche Promotores'!A:B,2,0),ANTIGÜEDAD!F88)</f>
        <v>Sanchez Posada Jose Olimpo</v>
      </c>
      <c r="C89" s="6" t="str">
        <f>TEXT(ANTIGÜEDAD!I88,"000000")</f>
        <v>000050</v>
      </c>
      <c r="D89" s="6" t="str">
        <f>ANTIGÜEDAD!K88</f>
        <v>BUGAMBILIAS</v>
      </c>
      <c r="E89" s="29" t="str">
        <f>IFERROR(VLOOKUP(C89,'SITUACIÓN DE CARTERA'!A:AR,12,FALSE),VLOOKUP(C89,ANTIGÜEDAD!A:J,10,0))</f>
        <v>01</v>
      </c>
      <c r="F89" s="30">
        <f>VLOOKUP(C89,ANTIGÜEDAD!A:BE,17,FALSE)</f>
        <v>79000</v>
      </c>
      <c r="G89" s="30" t="str">
        <f>VLOOKUP(C89,ANTIGÜEDAD!A:BE,12,FALSE)</f>
        <v>MIGRADO</v>
      </c>
      <c r="H89" s="31">
        <f>VLOOKUP(C89,ANTIGÜEDAD!A:BE,14,FALSE)</f>
        <v>45898</v>
      </c>
      <c r="I89" s="19">
        <f>VLOOKUP(C89,ANTIGÜEDAD!A:BE,19,FALSE)</f>
        <v>16</v>
      </c>
      <c r="J89" s="31" t="str">
        <f>VLOOKUP(C89,ANTIGÜEDAD!A:BE,56,FALSE)</f>
        <v>Viernes</v>
      </c>
      <c r="K89" s="32" t="str">
        <f>VLOOKUP(C89,ANTIGÜEDAD!A:BE,57,FALSE)</f>
        <v>14:00</v>
      </c>
      <c r="L89" s="19" t="str">
        <f>VLOOKUP(C89,ANTIGÜEDAD!A:BE,20,FALSE)</f>
        <v>Semanal</v>
      </c>
      <c r="M89" s="30">
        <f>VLOOKUP(C89,ANTIGÜEDAD!A:BE,21,FALSE)</f>
        <v>6004.05</v>
      </c>
      <c r="N89" s="33" t="str">
        <f>IFERROR(VLOOKUP(C89,'Reporte de cobranza'!G:BL,34,FALSE),"")</f>
        <v>07/11/2025</v>
      </c>
      <c r="O89" s="30">
        <f>IF(AI89="Desertor sin mora",0,VLOOKUP(C89,ANTIGÜEDAD!A:BJ,44,FALSE))</f>
        <v>42028.39</v>
      </c>
      <c r="P89" s="30">
        <f t="shared" si="15"/>
        <v>96064.8</v>
      </c>
      <c r="Q89" s="30">
        <f t="shared" ca="1" si="11"/>
        <v>42028.39</v>
      </c>
      <c r="R89" s="30">
        <f>IF(AI89="Desertor sin mora",0,VLOOKUP(C89,ANTIGÜEDAD!A:BJ,26,FALSE))</f>
        <v>34562.53</v>
      </c>
      <c r="S89" s="30">
        <f t="shared" ca="1" si="16"/>
        <v>0</v>
      </c>
      <c r="T89" s="30">
        <f>IF(V89&gt;0,IF(VLOOKUP(TEXT(C89,"000000"),Ahorros_concentrado!B:D,3,0)+F89*0.1&gt;V89,V89,VLOOKUP(TEXT(C89,"000000"),Ahorros_concentrado!B:D,3,0)+F89*0.1),0)</f>
        <v>0</v>
      </c>
      <c r="U89" s="30">
        <f t="shared" si="17"/>
        <v>0</v>
      </c>
      <c r="V89" s="30">
        <f>IF(AI89="Desertor sin mora",0,VLOOKUP(C89,'SITUACIÓN DE CARTERA'!A:AR,26,FALSE))</f>
        <v>0</v>
      </c>
      <c r="W89" s="134">
        <f>IF(AI89="Desertor sin mora",0,VLOOKUP(C89,'SITUACIÓN DE CARTERA'!A:AR,27,FALSE))/100</f>
        <v>0</v>
      </c>
      <c r="X89" s="30">
        <f>IF(V89&gt;0,VLOOKUP(C89,ANTIGÜEDAD!A:BE,26,FALSE),0)</f>
        <v>0</v>
      </c>
      <c r="Z89" s="34">
        <f>IF(AI89="Desertor sin mora",VLOOKUP(C89,ANTIGÜEDAD!A:Q,17,0)/AA89,F89/AA89)</f>
        <v>11285.714285714286</v>
      </c>
      <c r="AA89" s="19">
        <f>IF(AI89="Desertor sin mora",VLOOKUP(C89,ANTIGÜEDAD!A:M,13,0),VLOOKUP(C89,'SITUACIÓN DE CARTERA'!A:AR,43,FALSE))</f>
        <v>7</v>
      </c>
      <c r="AB89" s="19">
        <f t="shared" ca="1" si="12"/>
        <v>9</v>
      </c>
      <c r="AC89" s="42">
        <f>IF(AI89="Desertor sin mora",0,(VLOOKUP(C89,'SITUACIÓN DE CARTERA'!A:AS,45,FALSE))/M89)</f>
        <v>9</v>
      </c>
      <c r="AD89" s="19">
        <f>IF(AI89="Desertor sin mora",0,VLOOKUP(C89,'Reporte de cobranza'!G:BL,35,FALSE))</f>
        <v>7</v>
      </c>
      <c r="AE89" s="19">
        <f>IF(AI89="Desertor sin mora",I89,VLOOKUP(C89,'Reporte de cobranza'!G:BL,36,FALSE))</f>
        <v>16</v>
      </c>
      <c r="AF89" s="19">
        <f>VLOOKUP(C89,ANTIGÜEDAD!A:BE,18,FALSE)</f>
        <v>0</v>
      </c>
      <c r="AG89" s="30">
        <f>IFERROR(VLOOKUP(C89,Ahorros_concentrado!B:D,3,FALSE),0)</f>
        <v>3031.5999999999985</v>
      </c>
      <c r="AH89" s="43">
        <f t="shared" ca="1" si="13"/>
        <v>5.6102871302611455E-2</v>
      </c>
      <c r="AI89" s="19" t="str">
        <f>IF(VLOOKUP(C89,ANTIGÜEDAD!A:AG,33,0)="Entregado","Vigente",IF(VLOOKUP(C89,ANTIGÜEDAD!A:AG,33,0)="Liquidado","Desertor sin mora",""))</f>
        <v>Vigente</v>
      </c>
      <c r="AJ89" s="98" t="str">
        <f t="shared" si="14"/>
        <v>000005001</v>
      </c>
    </row>
    <row r="90" spans="1:36" x14ac:dyDescent="0.3">
      <c r="A90" s="19" t="str">
        <f>VLOOKUP(C90,ANTIGÜEDAD!A:BJ,4,FALSE)</f>
        <v>ADRIANA ALEJALDRE GUZMAN</v>
      </c>
      <c r="B90" s="19" t="str">
        <f>IFERROR(VLOOKUP(ANTIGÜEDAD!F89,'Parche Promotores'!A:B,2,0),ANTIGÜEDAD!F89)</f>
        <v>Lopez Cabrera Edith Alejandra</v>
      </c>
      <c r="C90" s="6" t="str">
        <f>TEXT(ANTIGÜEDAD!I89,"000000")</f>
        <v>000159</v>
      </c>
      <c r="D90" s="6" t="str">
        <f>ANTIGÜEDAD!K89</f>
        <v>ORTIZ</v>
      </c>
      <c r="E90" s="29" t="str">
        <f>IFERROR(VLOOKUP(C90,'SITUACIÓN DE CARTERA'!A:AR,12,FALSE),VLOOKUP(C90,ANTIGÜEDAD!A:J,10,0))</f>
        <v>01</v>
      </c>
      <c r="F90" s="30">
        <f>VLOOKUP(C90,ANTIGÜEDAD!A:BE,17,FALSE)</f>
        <v>54000</v>
      </c>
      <c r="G90" s="30" t="str">
        <f>VLOOKUP(C90,ANTIGÜEDAD!A:BE,12,FALSE)</f>
        <v>MIGRADO</v>
      </c>
      <c r="H90" s="31">
        <f>VLOOKUP(C90,ANTIGÜEDAD!A:BE,14,FALSE)</f>
        <v>45945</v>
      </c>
      <c r="I90" s="19">
        <f>VLOOKUP(C90,ANTIGÜEDAD!A:BE,19,FALSE)</f>
        <v>16</v>
      </c>
      <c r="J90" s="31" t="str">
        <f>VLOOKUP(C90,ANTIGÜEDAD!A:BE,56,FALSE)</f>
        <v>Miércoles</v>
      </c>
      <c r="K90" s="32" t="str">
        <f>VLOOKUP(C90,ANTIGÜEDAD!A:BE,57,FALSE)</f>
        <v>13:00</v>
      </c>
      <c r="L90" s="19" t="str">
        <f>VLOOKUP(C90,ANTIGÜEDAD!A:BE,20,FALSE)</f>
        <v>Semanal</v>
      </c>
      <c r="M90" s="30">
        <f>VLOOKUP(C90,ANTIGÜEDAD!A:BE,21,FALSE)</f>
        <v>4104.04</v>
      </c>
      <c r="N90" s="33" t="str">
        <f>IFERROR(VLOOKUP(C90,'Reporte de cobranza'!G:BL,34,FALSE),"")</f>
        <v>05/11/2025</v>
      </c>
      <c r="O90" s="30">
        <f>IF(AI90="Desertor sin mora",0,VLOOKUP(C90,ANTIGÜEDAD!A:BJ,44,FALSE))</f>
        <v>57444.58</v>
      </c>
      <c r="P90" s="30">
        <f t="shared" si="15"/>
        <v>65664.639999999999</v>
      </c>
      <c r="Q90" s="30">
        <f t="shared" ca="1" si="11"/>
        <v>57456.56</v>
      </c>
      <c r="R90" s="30">
        <f>IF(AI90="Desertor sin mora",0,VLOOKUP(C90,ANTIGÜEDAD!A:BJ,26,FALSE))</f>
        <v>47250</v>
      </c>
      <c r="S90" s="30">
        <f t="shared" ca="1" si="16"/>
        <v>-11.979999999995925</v>
      </c>
      <c r="T90" s="30">
        <f>IF(V90&gt;0,IF(VLOOKUP(TEXT(C90,"000000"),Ahorros_concentrado!B:D,3,0)+F90*0.1&gt;V90,V90,VLOOKUP(TEXT(C90,"000000"),Ahorros_concentrado!B:D,3,0)+F90*0.1),0)</f>
        <v>0</v>
      </c>
      <c r="U90" s="30">
        <f t="shared" si="17"/>
        <v>0</v>
      </c>
      <c r="V90" s="30">
        <f>IF(AI90="Desertor sin mora",0,VLOOKUP(C90,'SITUACIÓN DE CARTERA'!A:AR,26,FALSE))</f>
        <v>0</v>
      </c>
      <c r="W90" s="134">
        <f>IF(AI90="Desertor sin mora",0,VLOOKUP(C90,'SITUACIÓN DE CARTERA'!A:AR,27,FALSE))/100</f>
        <v>0</v>
      </c>
      <c r="X90" s="30">
        <f>IF(V90&gt;0,VLOOKUP(C90,ANTIGÜEDAD!A:BE,26,FALSE),0)</f>
        <v>0</v>
      </c>
      <c r="Z90" s="34">
        <f>IF(AI90="Desertor sin mora",VLOOKUP(C90,ANTIGÜEDAD!A:Q,17,0)/AA90,F90/AA90)</f>
        <v>9000</v>
      </c>
      <c r="AA90" s="19">
        <f>IF(AI90="Desertor sin mora",VLOOKUP(C90,ANTIGÜEDAD!A:M,13,0),VLOOKUP(C90,'SITUACIÓN DE CARTERA'!A:AR,43,FALSE))</f>
        <v>6</v>
      </c>
      <c r="AB90" s="19">
        <f t="shared" ca="1" si="12"/>
        <v>2</v>
      </c>
      <c r="AC90" s="42">
        <f>IF(AI90="Desertor sin mora",0,(VLOOKUP(C90,'SITUACIÓN DE CARTERA'!A:AS,45,FALSE))/M90)</f>
        <v>2.0029044551222697</v>
      </c>
      <c r="AD90" s="19">
        <f>IF(AI90="Desertor sin mora",0,VLOOKUP(C90,'Reporte de cobranza'!G:BL,35,FALSE))</f>
        <v>14</v>
      </c>
      <c r="AE90" s="19">
        <f>IF(AI90="Desertor sin mora",I90,VLOOKUP(C90,'Reporte de cobranza'!G:BL,36,FALSE))</f>
        <v>16</v>
      </c>
      <c r="AF90" s="19">
        <f>VLOOKUP(C90,ANTIGÜEDAD!A:BE,18,FALSE)</f>
        <v>0</v>
      </c>
      <c r="AG90" s="30">
        <f>IFERROR(VLOOKUP(C90,Ahorros_concentrado!B:D,3,FALSE),0)</f>
        <v>456</v>
      </c>
      <c r="AH90" s="43">
        <f t="shared" ca="1" si="13"/>
        <v>5.5555014083683393E-2</v>
      </c>
      <c r="AI90" s="19" t="str">
        <f>IF(VLOOKUP(C90,ANTIGÜEDAD!A:AG,33,0)="Entregado","Vigente",IF(VLOOKUP(C90,ANTIGÜEDAD!A:AG,33,0)="Liquidado","Desertor sin mora",""))</f>
        <v>Vigente</v>
      </c>
      <c r="AJ90" s="98" t="str">
        <f t="shared" si="14"/>
        <v>000015901</v>
      </c>
    </row>
    <row r="91" spans="1:36" x14ac:dyDescent="0.3">
      <c r="A91" s="19" t="str">
        <f>VLOOKUP(C91,ANTIGÜEDAD!A:BJ,4,FALSE)</f>
        <v>JUAN EDMUNDO LUNA AGUILLON</v>
      </c>
      <c r="B91" s="19" t="str">
        <f>IFERROR(VLOOKUP(ANTIGÜEDAD!F90,'Parche Promotores'!A:B,2,0),ANTIGÜEDAD!F90)</f>
        <v>Martinez Bañuelos Nallely Sarahi</v>
      </c>
      <c r="C91" s="6" t="str">
        <f>TEXT(ANTIGÜEDAD!I90,"000000")</f>
        <v>000160</v>
      </c>
      <c r="D91" s="6" t="str">
        <f>ANTIGÜEDAD!K90</f>
        <v>AZUCENAS</v>
      </c>
      <c r="E91" s="29" t="str">
        <f>IFERROR(VLOOKUP(C91,'SITUACIÓN DE CARTERA'!A:AR,12,FALSE),VLOOKUP(C91,ANTIGÜEDAD!A:J,10,0))</f>
        <v>01</v>
      </c>
      <c r="F91" s="30">
        <f>VLOOKUP(C91,ANTIGÜEDAD!A:BE,17,FALSE)</f>
        <v>150000</v>
      </c>
      <c r="G91" s="30" t="str">
        <f>VLOOKUP(C91,ANTIGÜEDAD!A:BE,12,FALSE)</f>
        <v>MIGRADO</v>
      </c>
      <c r="H91" s="31">
        <f>VLOOKUP(C91,ANTIGÜEDAD!A:BE,14,FALSE)</f>
        <v>45945</v>
      </c>
      <c r="I91" s="19">
        <f>VLOOKUP(C91,ANTIGÜEDAD!A:BE,19,FALSE)</f>
        <v>16</v>
      </c>
      <c r="J91" s="31" t="str">
        <f>VLOOKUP(C91,ANTIGÜEDAD!A:BE,56,FALSE)</f>
        <v>Miércoles</v>
      </c>
      <c r="K91" s="32" t="str">
        <f>VLOOKUP(C91,ANTIGÜEDAD!A:BE,57,FALSE)</f>
        <v>16:00</v>
      </c>
      <c r="L91" s="19" t="str">
        <f>VLOOKUP(C91,ANTIGÜEDAD!A:BE,20,FALSE)</f>
        <v>Semanal</v>
      </c>
      <c r="M91" s="30">
        <f>VLOOKUP(C91,ANTIGÜEDAD!A:BE,21,FALSE)</f>
        <v>11400.1</v>
      </c>
      <c r="N91" s="33" t="str">
        <f>IFERROR(VLOOKUP(C91,'Reporte de cobranza'!G:BL,34,FALSE),"")</f>
        <v>05/11/2025</v>
      </c>
      <c r="O91" s="30">
        <f>IF(AI91="Desertor sin mora",0,VLOOKUP(C91,ANTIGÜEDAD!A:BJ,44,FALSE))</f>
        <v>159601.4</v>
      </c>
      <c r="P91" s="30">
        <f t="shared" si="15"/>
        <v>182401.6</v>
      </c>
      <c r="Q91" s="30">
        <f t="shared" ca="1" si="11"/>
        <v>159601.4</v>
      </c>
      <c r="R91" s="30">
        <f>IF(AI91="Desertor sin mora",0,VLOOKUP(C91,ANTIGÜEDAD!A:BJ,26,FALSE))</f>
        <v>131250</v>
      </c>
      <c r="S91" s="30">
        <f t="shared" ca="1" si="16"/>
        <v>0</v>
      </c>
      <c r="T91" s="30">
        <f>IF(V91&gt;0,IF(VLOOKUP(TEXT(C91,"000000"),Ahorros_concentrado!B:D,3,0)+F91*0.1&gt;V91,V91,VLOOKUP(TEXT(C91,"000000"),Ahorros_concentrado!B:D,3,0)+F91*0.1),0)</f>
        <v>0</v>
      </c>
      <c r="U91" s="30">
        <f t="shared" si="17"/>
        <v>0</v>
      </c>
      <c r="V91" s="30">
        <f>IF(AI91="Desertor sin mora",0,VLOOKUP(C91,'SITUACIÓN DE CARTERA'!A:AR,26,FALSE))</f>
        <v>0</v>
      </c>
      <c r="W91" s="134">
        <f>IF(AI91="Desertor sin mora",0,VLOOKUP(C91,'SITUACIÓN DE CARTERA'!A:AR,27,FALSE))/100</f>
        <v>0</v>
      </c>
      <c r="X91" s="30">
        <f>IF(V91&gt;0,VLOOKUP(C91,ANTIGÜEDAD!A:BE,26,FALSE),0)</f>
        <v>0</v>
      </c>
      <c r="Z91" s="34">
        <f>IF(AI91="Desertor sin mora",VLOOKUP(C91,ANTIGÜEDAD!A:Q,17,0)/AA91,F91/AA91)</f>
        <v>18750</v>
      </c>
      <c r="AA91" s="19">
        <f>IF(AI91="Desertor sin mora",VLOOKUP(C91,ANTIGÜEDAD!A:M,13,0),VLOOKUP(C91,'SITUACIÓN DE CARTERA'!A:AR,43,FALSE))</f>
        <v>8</v>
      </c>
      <c r="AB91" s="19">
        <f t="shared" ca="1" si="12"/>
        <v>2</v>
      </c>
      <c r="AC91" s="42">
        <f>IF(AI91="Desertor sin mora",0,(VLOOKUP(C91,'SITUACIÓN DE CARTERA'!A:AS,45,FALSE))/M91)</f>
        <v>2</v>
      </c>
      <c r="AD91" s="19">
        <f>IF(AI91="Desertor sin mora",0,VLOOKUP(C91,'Reporte de cobranza'!G:BL,35,FALSE))</f>
        <v>14</v>
      </c>
      <c r="AE91" s="19">
        <f>IF(AI91="Desertor sin mora",I91,VLOOKUP(C91,'Reporte de cobranza'!G:BL,36,FALSE))</f>
        <v>16</v>
      </c>
      <c r="AF91" s="19">
        <f>VLOOKUP(C91,ANTIGÜEDAD!A:BE,18,FALSE)</f>
        <v>0</v>
      </c>
      <c r="AG91" s="30">
        <f>IFERROR(VLOOKUP(C91,Ahorros_concentrado!B:D,3,FALSE),0)</f>
        <v>1643.7999999999993</v>
      </c>
      <c r="AH91" s="43">
        <f t="shared" ca="1" si="13"/>
        <v>7.209585880825603E-2</v>
      </c>
      <c r="AI91" s="19" t="str">
        <f>IF(VLOOKUP(C91,ANTIGÜEDAD!A:AG,33,0)="Entregado","Vigente",IF(VLOOKUP(C91,ANTIGÜEDAD!A:AG,33,0)="Liquidado","Desertor sin mora",""))</f>
        <v>Vigente</v>
      </c>
      <c r="AJ91" s="98" t="str">
        <f t="shared" si="14"/>
        <v>000016001</v>
      </c>
    </row>
    <row r="92" spans="1:36" x14ac:dyDescent="0.3">
      <c r="A92" s="19" t="str">
        <f>VLOOKUP(C92,ANTIGÜEDAD!A:BJ,4,FALSE)</f>
        <v>JUAN EDMUNDO LUNA AGUILLON</v>
      </c>
      <c r="B92" s="19" t="str">
        <f>IFERROR(VLOOKUP(ANTIGÜEDAD!F91,'Parche Promotores'!A:B,2,0),ANTIGÜEDAD!F91)</f>
        <v>Sanchez Posada Jose Olimpo</v>
      </c>
      <c r="C92" s="6" t="str">
        <f>TEXT(ANTIGÜEDAD!I91,"000000")</f>
        <v>000183</v>
      </c>
      <c r="D92" s="6" t="str">
        <f>ANTIGÜEDAD!K91</f>
        <v>TULIPANES ECATEPEC</v>
      </c>
      <c r="E92" s="29" t="str">
        <f>IFERROR(VLOOKUP(C92,'SITUACIÓN DE CARTERA'!A:AR,12,FALSE),VLOOKUP(C92,ANTIGÜEDAD!A:J,10,0))</f>
        <v>01</v>
      </c>
      <c r="F92" s="30">
        <f>VLOOKUP(C92,ANTIGÜEDAD!A:BE,17,FALSE)</f>
        <v>100000</v>
      </c>
      <c r="G92" s="30" t="str">
        <f>VLOOKUP(C92,ANTIGÜEDAD!A:BE,12,FALSE)</f>
        <v>MIGRADO</v>
      </c>
      <c r="H92" s="31">
        <f>VLOOKUP(C92,ANTIGÜEDAD!A:BE,14,FALSE)</f>
        <v>45954</v>
      </c>
      <c r="I92" s="19">
        <f>VLOOKUP(C92,ANTIGÜEDAD!A:BE,19,FALSE)</f>
        <v>16</v>
      </c>
      <c r="J92" s="31" t="str">
        <f>VLOOKUP(C92,ANTIGÜEDAD!A:BE,56,FALSE)</f>
        <v>Viernes</v>
      </c>
      <c r="K92" s="32" t="str">
        <f>VLOOKUP(C92,ANTIGÜEDAD!A:BE,57,FALSE)</f>
        <v>15:30</v>
      </c>
      <c r="L92" s="19" t="str">
        <f>VLOOKUP(C92,ANTIGÜEDAD!A:BE,20,FALSE)</f>
        <v>Semanal</v>
      </c>
      <c r="M92" s="30">
        <f>VLOOKUP(C92,ANTIGÜEDAD!A:BE,21,FALSE)</f>
        <v>7600.07</v>
      </c>
      <c r="N92" s="33" t="str">
        <f>IFERROR(VLOOKUP(C92,'Reporte de cobranza'!G:BL,34,FALSE),"")</f>
        <v>07/11/2025</v>
      </c>
      <c r="O92" s="30">
        <f>IF(AI92="Desertor sin mora",0,VLOOKUP(C92,ANTIGÜEDAD!A:BJ,44,FALSE))</f>
        <v>114001</v>
      </c>
      <c r="P92" s="30">
        <f t="shared" si="15"/>
        <v>121601.12</v>
      </c>
      <c r="Q92" s="30">
        <f t="shared" ca="1" si="11"/>
        <v>114001.04999999999</v>
      </c>
      <c r="R92" s="30">
        <f>IF(AI92="Desertor sin mora",0,VLOOKUP(C92,ANTIGÜEDAD!A:BJ,26,FALSE))</f>
        <v>93750</v>
      </c>
      <c r="S92" s="30">
        <f t="shared" ca="1" si="16"/>
        <v>-4.9999999988358468E-2</v>
      </c>
      <c r="T92" s="30">
        <f>IF(V92&gt;0,IF(VLOOKUP(TEXT(C92,"000000"),Ahorros_concentrado!B:D,3,0)+F92*0.1&gt;V92,V92,VLOOKUP(TEXT(C92,"000000"),Ahorros_concentrado!B:D,3,0)+F92*0.1),0)</f>
        <v>0</v>
      </c>
      <c r="U92" s="30">
        <f t="shared" si="17"/>
        <v>0</v>
      </c>
      <c r="V92" s="30">
        <f>IF(AI92="Desertor sin mora",0,VLOOKUP(C92,'SITUACIÓN DE CARTERA'!A:AR,26,FALSE))</f>
        <v>0</v>
      </c>
      <c r="W92" s="134">
        <f>IF(AI92="Desertor sin mora",0,VLOOKUP(C92,'SITUACIÓN DE CARTERA'!A:AR,27,FALSE))/100</f>
        <v>0</v>
      </c>
      <c r="X92" s="30">
        <f>IF(V92&gt;0,VLOOKUP(C92,ANTIGÜEDAD!A:BE,26,FALSE),0)</f>
        <v>0</v>
      </c>
      <c r="Z92" s="34">
        <f>IF(AI92="Desertor sin mora",VLOOKUP(C92,ANTIGÜEDAD!A:Q,17,0)/AA92,F92/AA92)</f>
        <v>20000</v>
      </c>
      <c r="AA92" s="19">
        <f>IF(AI92="Desertor sin mora",VLOOKUP(C92,ANTIGÜEDAD!A:M,13,0),VLOOKUP(C92,'SITUACIÓN DE CARTERA'!A:AR,43,FALSE))</f>
        <v>5</v>
      </c>
      <c r="AB92" s="19">
        <f t="shared" ca="1" si="12"/>
        <v>1</v>
      </c>
      <c r="AC92" s="42">
        <f>IF(AI92="Desertor sin mora",0,(VLOOKUP(C92,'SITUACIÓN DE CARTERA'!A:AS,45,FALSE))/M92)</f>
        <v>1</v>
      </c>
      <c r="AD92" s="19">
        <f>IF(AI92="Desertor sin mora",0,VLOOKUP(C92,'Reporte de cobranza'!G:BL,35,FALSE))</f>
        <v>15</v>
      </c>
      <c r="AE92" s="19">
        <f>IF(AI92="Desertor sin mora",I92,VLOOKUP(C92,'Reporte de cobranza'!G:BL,36,FALSE))</f>
        <v>16</v>
      </c>
      <c r="AF92" s="19">
        <f>VLOOKUP(C92,ANTIGÜEDAD!A:BE,18,FALSE)</f>
        <v>0</v>
      </c>
      <c r="AG92" s="30">
        <f>IFERROR(VLOOKUP(C92,Ahorros_concentrado!B:D,3,FALSE),0)</f>
        <v>544.93000000000029</v>
      </c>
      <c r="AH92" s="43">
        <f t="shared" ca="1" si="13"/>
        <v>7.1700655388700407E-2</v>
      </c>
      <c r="AI92" s="19" t="str">
        <f>IF(VLOOKUP(C92,ANTIGÜEDAD!A:AG,33,0)="Entregado","Vigente",IF(VLOOKUP(C92,ANTIGÜEDAD!A:AG,33,0)="Liquidado","Desertor sin mora",""))</f>
        <v>Vigente</v>
      </c>
      <c r="AJ92" s="98" t="str">
        <f t="shared" si="14"/>
        <v>000018301</v>
      </c>
    </row>
    <row r="93" spans="1:36" x14ac:dyDescent="0.3">
      <c r="A93" s="19" t="str">
        <f>VLOOKUP(C93,ANTIGÜEDAD!A:BJ,4,FALSE)</f>
        <v>JUDITH PATRICIA SERRANO HERRER</v>
      </c>
      <c r="B93" s="19" t="str">
        <f>IFERROR(VLOOKUP(ANTIGÜEDAD!F92,'Parche Promotores'!A:B,2,0),ANTIGÜEDAD!F92)</f>
        <v>Betancourt Rojas Jacqueline</v>
      </c>
      <c r="C93" s="6" t="str">
        <f>TEXT(ANTIGÜEDAD!I92,"000000")</f>
        <v>000189</v>
      </c>
      <c r="D93" s="6" t="str">
        <f>ANTIGÜEDAD!K92</f>
        <v>LOS SOLIDARIOS DEL VALLE</v>
      </c>
      <c r="E93" s="29" t="str">
        <f>IFERROR(VLOOKUP(C93,'SITUACIÓN DE CARTERA'!A:AR,12,FALSE),VLOOKUP(C93,ANTIGÜEDAD!A:J,10,0))</f>
        <v>01</v>
      </c>
      <c r="F93" s="30">
        <f>VLOOKUP(C93,ANTIGÜEDAD!A:BE,17,FALSE)</f>
        <v>510000</v>
      </c>
      <c r="G93" s="30" t="str">
        <f>VLOOKUP(C93,ANTIGÜEDAD!A:BE,12,FALSE)</f>
        <v>MIGRADO</v>
      </c>
      <c r="H93" s="31">
        <f>VLOOKUP(C93,ANTIGÜEDAD!A:BE,14,FALSE)</f>
        <v>45958</v>
      </c>
      <c r="I93" s="19">
        <f>VLOOKUP(C93,ANTIGÜEDAD!A:BE,19,FALSE)</f>
        <v>16</v>
      </c>
      <c r="J93" s="31" t="str">
        <f>VLOOKUP(C93,ANTIGÜEDAD!A:BE,56,FALSE)</f>
        <v>Martes</v>
      </c>
      <c r="K93" s="32" t="str">
        <f>VLOOKUP(C93,ANTIGÜEDAD!A:BE,57,FALSE)</f>
        <v>12:00</v>
      </c>
      <c r="L93" s="19" t="str">
        <f>VLOOKUP(C93,ANTIGÜEDAD!A:BE,20,FALSE)</f>
        <v>Semanal</v>
      </c>
      <c r="M93" s="30">
        <f>VLOOKUP(C93,ANTIGÜEDAD!A:BE,21,FALSE)</f>
        <v>38760.340000000004</v>
      </c>
      <c r="N93" s="33" t="str">
        <f>IFERROR(VLOOKUP(C93,'Reporte de cobranza'!G:BL,34,FALSE),"")</f>
        <v>04/11/2025</v>
      </c>
      <c r="O93" s="30">
        <f>IF(AI93="Desertor sin mora",0,VLOOKUP(C93,ANTIGÜEDAD!A:BJ,44,FALSE))</f>
        <v>620165.44000000006</v>
      </c>
      <c r="P93" s="30">
        <f t="shared" si="15"/>
        <v>620165.44000000006</v>
      </c>
      <c r="Q93" s="30">
        <f t="shared" ca="1" si="11"/>
        <v>620165.44000000006</v>
      </c>
      <c r="R93" s="30">
        <f>IF(AI93="Desertor sin mora",0,VLOOKUP(C93,ANTIGÜEDAD!A:BJ,26,FALSE))</f>
        <v>510000</v>
      </c>
      <c r="S93" s="30">
        <f t="shared" ca="1" si="16"/>
        <v>0</v>
      </c>
      <c r="T93" s="30">
        <f>IF(V93&gt;0,IF(VLOOKUP(TEXT(C93,"000000"),Ahorros_concentrado!B:D,3,0)+F93*0.1&gt;V93,V93,VLOOKUP(TEXT(C93,"000000"),Ahorros_concentrado!B:D,3,0)+F93*0.1),0)</f>
        <v>0</v>
      </c>
      <c r="U93" s="30">
        <f t="shared" si="17"/>
        <v>0</v>
      </c>
      <c r="V93" s="30">
        <f>IF(AI93="Desertor sin mora",0,VLOOKUP(C93,'SITUACIÓN DE CARTERA'!A:AR,26,FALSE))</f>
        <v>0</v>
      </c>
      <c r="W93" s="134">
        <f>IF(AI93="Desertor sin mora",0,VLOOKUP(C93,'SITUACIÓN DE CARTERA'!A:AR,27,FALSE))/100</f>
        <v>0</v>
      </c>
      <c r="X93" s="30">
        <f>IF(V93&gt;0,VLOOKUP(C93,ANTIGÜEDAD!A:BE,26,FALSE),0)</f>
        <v>0</v>
      </c>
      <c r="Z93" s="34">
        <f>IF(AI93="Desertor sin mora",VLOOKUP(C93,ANTIGÜEDAD!A:Q,17,0)/AA93,F93/AA93)</f>
        <v>85000</v>
      </c>
      <c r="AA93" s="19">
        <f>IF(AI93="Desertor sin mora",VLOOKUP(C93,ANTIGÜEDAD!A:M,13,0),VLOOKUP(C93,'SITUACIÓN DE CARTERA'!A:AR,43,FALSE))</f>
        <v>6</v>
      </c>
      <c r="AB93" s="19">
        <f t="shared" ca="1" si="12"/>
        <v>0</v>
      </c>
      <c r="AC93" s="42">
        <f>IF(AI93="Desertor sin mora",0,(VLOOKUP(C93,'SITUACIÓN DE CARTERA'!A:AS,45,FALSE))/M93)</f>
        <v>0</v>
      </c>
      <c r="AD93" s="19">
        <f>IF(AI93="Desertor sin mora",0,VLOOKUP(C93,'Reporte de cobranza'!G:BL,35,FALSE))</f>
        <v>16</v>
      </c>
      <c r="AE93" s="19">
        <f>IF(AI93="Desertor sin mora",I93,VLOOKUP(C93,'Reporte de cobranza'!G:BL,36,FALSE))</f>
        <v>16</v>
      </c>
      <c r="AF93" s="19">
        <f>VLOOKUP(C93,ANTIGÜEDAD!A:BE,18,FALSE)</f>
        <v>0</v>
      </c>
      <c r="AG93" s="30">
        <f>IFERROR(VLOOKUP(C93,Ahorros_concentrado!B:D,3,FALSE),0)</f>
        <v>0</v>
      </c>
      <c r="AH93" s="43">
        <f t="shared" ca="1" si="13"/>
        <v>0</v>
      </c>
      <c r="AI93" s="19" t="str">
        <f>IF(VLOOKUP(C93,ANTIGÜEDAD!A:AG,33,0)="Entregado","Vigente",IF(VLOOKUP(C93,ANTIGÜEDAD!A:AG,33,0)="Liquidado","Desertor sin mora",""))</f>
        <v>Vigente</v>
      </c>
      <c r="AJ93" s="98" t="str">
        <f t="shared" si="14"/>
        <v>000018901</v>
      </c>
    </row>
    <row r="94" spans="1:36" x14ac:dyDescent="0.3">
      <c r="A94" s="19" t="str">
        <f>VLOOKUP(C94,ANTIGÜEDAD!A:BJ,4,FALSE)</f>
        <v>IRVIN URIEL MORA VELAZCO</v>
      </c>
      <c r="B94" s="19" t="str">
        <f>IFERROR(VLOOKUP(ANTIGÜEDAD!F93,'Parche Promotores'!A:B,2,0),ANTIGÜEDAD!F93)</f>
        <v>Olivares Morales Josue Edgar</v>
      </c>
      <c r="C94" s="6" t="str">
        <f>TEXT(ANTIGÜEDAD!I93,"000000")</f>
        <v>000013</v>
      </c>
      <c r="D94" s="6" t="str">
        <f>ANTIGÜEDAD!K93</f>
        <v>SAN PEDRO</v>
      </c>
      <c r="E94" s="29" t="str">
        <f>IFERROR(VLOOKUP(C94,'SITUACIÓN DE CARTERA'!A:AR,12,FALSE),VLOOKUP(C94,ANTIGÜEDAD!A:J,10,0))</f>
        <v>01</v>
      </c>
      <c r="F94" s="30">
        <f>VLOOKUP(C94,ANTIGÜEDAD!A:BE,17,FALSE)</f>
        <v>170000</v>
      </c>
      <c r="G94" s="30" t="str">
        <f>VLOOKUP(C94,ANTIGÜEDAD!A:BE,12,FALSE)</f>
        <v>MIGRADO</v>
      </c>
      <c r="H94" s="31">
        <f>VLOOKUP(C94,ANTIGÜEDAD!A:BE,14,FALSE)</f>
        <v>45883</v>
      </c>
      <c r="I94" s="19">
        <f>VLOOKUP(C94,ANTIGÜEDAD!A:BE,19,FALSE)</f>
        <v>16</v>
      </c>
      <c r="J94" s="31" t="str">
        <f>VLOOKUP(C94,ANTIGÜEDAD!A:BE,56,FALSE)</f>
        <v>Jueves</v>
      </c>
      <c r="K94" s="32" t="str">
        <f>VLOOKUP(C94,ANTIGÜEDAD!A:BE,57,FALSE)</f>
        <v>11:00</v>
      </c>
      <c r="L94" s="19" t="str">
        <f>VLOOKUP(C94,ANTIGÜEDAD!A:BE,20,FALSE)</f>
        <v>Semanal</v>
      </c>
      <c r="M94" s="30">
        <f>VLOOKUP(C94,ANTIGÜEDAD!A:BE,21,FALSE)</f>
        <v>12920.11</v>
      </c>
      <c r="N94" s="33" t="str">
        <f>IFERROR(VLOOKUP(C94,'Reporte de cobranza'!G:BL,34,FALSE),"")</f>
        <v>06/11/2025</v>
      </c>
      <c r="O94" s="30">
        <f>IF(AI94="Desertor sin mora",0,VLOOKUP(C94,ANTIGÜEDAD!A:BJ,44,FALSE))</f>
        <v>64600.590000000004</v>
      </c>
      <c r="P94" s="30">
        <f t="shared" si="15"/>
        <v>206721.76</v>
      </c>
      <c r="Q94" s="30">
        <f t="shared" ca="1" si="11"/>
        <v>64600.590000000004</v>
      </c>
      <c r="R94" s="30">
        <f>IF(AI94="Desertor sin mora",0,VLOOKUP(C94,ANTIGÜEDAD!A:BJ,26,FALSE))</f>
        <v>53125.04</v>
      </c>
      <c r="S94" s="30">
        <f t="shared" ca="1" si="16"/>
        <v>0</v>
      </c>
      <c r="T94" s="30">
        <f>IF(V94&gt;0,IF(VLOOKUP(TEXT(C94,"000000"),Ahorros_concentrado!B:D,3,0)+F94*0.1&gt;V94,V94,VLOOKUP(TEXT(C94,"000000"),Ahorros_concentrado!B:D,3,0)+F94*0.1),0)</f>
        <v>0</v>
      </c>
      <c r="U94" s="30">
        <f t="shared" si="17"/>
        <v>0</v>
      </c>
      <c r="V94" s="30">
        <f>IF(AI94="Desertor sin mora",0,VLOOKUP(C94,'SITUACIÓN DE CARTERA'!A:AR,26,FALSE))</f>
        <v>0</v>
      </c>
      <c r="W94" s="134">
        <f>IF(AI94="Desertor sin mora",0,VLOOKUP(C94,'SITUACIÓN DE CARTERA'!A:AR,27,FALSE))/100</f>
        <v>0</v>
      </c>
      <c r="X94" s="30">
        <f>IF(V94&gt;0,VLOOKUP(C94,ANTIGÜEDAD!A:BE,26,FALSE),0)</f>
        <v>0</v>
      </c>
      <c r="Z94" s="34">
        <f>IF(AI94="Desertor sin mora",VLOOKUP(C94,ANTIGÜEDAD!A:Q,17,0)/AA94,F94/AA94)</f>
        <v>28333.333333333332</v>
      </c>
      <c r="AA94" s="19">
        <f>IF(AI94="Desertor sin mora",VLOOKUP(C94,ANTIGÜEDAD!A:M,13,0),VLOOKUP(C94,'SITUACIÓN DE CARTERA'!A:AR,43,FALSE))</f>
        <v>6</v>
      </c>
      <c r="AB94" s="19">
        <f t="shared" ca="1" si="12"/>
        <v>11</v>
      </c>
      <c r="AC94" s="42">
        <f>IF(AI94="Desertor sin mora",0,(VLOOKUP(C94,'SITUACIÓN DE CARTERA'!A:AS,45,FALSE))/M94)</f>
        <v>11.000000773987217</v>
      </c>
      <c r="AD94" s="19">
        <f>IF(AI94="Desertor sin mora",0,VLOOKUP(C94,'Reporte de cobranza'!G:BL,35,FALSE))</f>
        <v>5</v>
      </c>
      <c r="AE94" s="19">
        <f>IF(AI94="Desertor sin mora",I94,VLOOKUP(C94,'Reporte de cobranza'!G:BL,36,FALSE))</f>
        <v>16</v>
      </c>
      <c r="AF94" s="19">
        <f>VLOOKUP(C94,ANTIGÜEDAD!A:BE,18,FALSE)</f>
        <v>0</v>
      </c>
      <c r="AG94" s="30">
        <f>IFERROR(VLOOKUP(C94,Ahorros_concentrado!B:D,3,FALSE),0)</f>
        <v>9491.7799999999988</v>
      </c>
      <c r="AH94" s="43">
        <f t="shared" ca="1" si="13"/>
        <v>6.6786512723892508E-2</v>
      </c>
      <c r="AI94" s="19" t="str">
        <f>IF(VLOOKUP(C94,ANTIGÜEDAD!A:AG,33,0)="Entregado","Vigente",IF(VLOOKUP(C94,ANTIGÜEDAD!A:AG,33,0)="Liquidado","Desertor sin mora",""))</f>
        <v>Vigente</v>
      </c>
      <c r="AJ94" s="98" t="str">
        <f t="shared" si="14"/>
        <v>000001301</v>
      </c>
    </row>
    <row r="95" spans="1:36" x14ac:dyDescent="0.3">
      <c r="A95" s="19" t="str">
        <f>VLOOKUP(C95,ANTIGÜEDAD!A:BJ,4,FALSE)</f>
        <v>JUAN EDMUNDO LUNA AGUILLON</v>
      </c>
      <c r="B95" s="19" t="str">
        <f>IFERROR(VLOOKUP(ANTIGÜEDAD!F94,'Parche Promotores'!A:B,2,0),ANTIGÜEDAD!F94)</f>
        <v>Sanchez Posada Jose Olimpo</v>
      </c>
      <c r="C95" s="6" t="str">
        <f>TEXT(ANTIGÜEDAD!I94,"000000")</f>
        <v>000011</v>
      </c>
      <c r="D95" s="6" t="str">
        <f>ANTIGÜEDAD!K94</f>
        <v>ECHEGUREN</v>
      </c>
      <c r="E95" s="29" t="str">
        <f>IFERROR(VLOOKUP(C95,'SITUACIÓN DE CARTERA'!A:AR,12,FALSE),VLOOKUP(C95,ANTIGÜEDAD!A:J,10,0))</f>
        <v>01</v>
      </c>
      <c r="F95" s="30">
        <f>VLOOKUP(C95,ANTIGÜEDAD!A:BE,17,FALSE)</f>
        <v>62000</v>
      </c>
      <c r="G95" s="30" t="str">
        <f>VLOOKUP(C95,ANTIGÜEDAD!A:BE,12,FALSE)</f>
        <v>MIGRADO</v>
      </c>
      <c r="H95" s="31">
        <f>VLOOKUP(C95,ANTIGÜEDAD!A:BE,14,FALSE)</f>
        <v>45883</v>
      </c>
      <c r="I95" s="19">
        <f>VLOOKUP(C95,ANTIGÜEDAD!A:BE,19,FALSE)</f>
        <v>16</v>
      </c>
      <c r="J95" s="31" t="str">
        <f>VLOOKUP(C95,ANTIGÜEDAD!A:BE,56,FALSE)</f>
        <v>Jueves</v>
      </c>
      <c r="K95" s="32" t="str">
        <f>VLOOKUP(C95,ANTIGÜEDAD!A:BE,57,FALSE)</f>
        <v>12:00</v>
      </c>
      <c r="L95" s="19" t="str">
        <f>VLOOKUP(C95,ANTIGÜEDAD!A:BE,20,FALSE)</f>
        <v>Semanal</v>
      </c>
      <c r="M95" s="30">
        <f>VLOOKUP(C95,ANTIGÜEDAD!A:BE,21,FALSE)</f>
        <v>4712.04</v>
      </c>
      <c r="N95" s="33" t="str">
        <f>IFERROR(VLOOKUP(C95,'Reporte de cobranza'!G:BL,34,FALSE),"")</f>
        <v>06/11/2025</v>
      </c>
      <c r="O95" s="30">
        <f>IF(AI95="Desertor sin mora",0,VLOOKUP(C95,ANTIGÜEDAD!A:BJ,44,FALSE))</f>
        <v>23552.22</v>
      </c>
      <c r="P95" s="30">
        <f t="shared" si="15"/>
        <v>75392.639999999999</v>
      </c>
      <c r="Q95" s="30">
        <f t="shared" ca="1" si="11"/>
        <v>23560.199999999997</v>
      </c>
      <c r="R95" s="30">
        <f>IF(AI95="Desertor sin mora",0,VLOOKUP(C95,ANTIGÜEDAD!A:BJ,26,FALSE))</f>
        <v>19375</v>
      </c>
      <c r="S95" s="30">
        <f t="shared" ca="1" si="16"/>
        <v>-7.9799999999959255</v>
      </c>
      <c r="T95" s="30">
        <f>IF(V95&gt;0,IF(VLOOKUP(TEXT(C95,"000000"),Ahorros_concentrado!B:D,3,0)+F95*0.1&gt;V95,V95,VLOOKUP(TEXT(C95,"000000"),Ahorros_concentrado!B:D,3,0)+F95*0.1),0)</f>
        <v>0</v>
      </c>
      <c r="U95" s="30">
        <f t="shared" si="17"/>
        <v>0</v>
      </c>
      <c r="V95" s="30">
        <f>IF(AI95="Desertor sin mora",0,VLOOKUP(C95,'SITUACIÓN DE CARTERA'!A:AR,26,FALSE))</f>
        <v>0</v>
      </c>
      <c r="W95" s="134">
        <f>IF(AI95="Desertor sin mora",0,VLOOKUP(C95,'SITUACIÓN DE CARTERA'!A:AR,27,FALSE))/100</f>
        <v>0</v>
      </c>
      <c r="X95" s="30">
        <f>IF(V95&gt;0,VLOOKUP(C95,ANTIGÜEDAD!A:BE,26,FALSE),0)</f>
        <v>0</v>
      </c>
      <c r="Z95" s="34">
        <f>IF(AI95="Desertor sin mora",VLOOKUP(C95,ANTIGÜEDAD!A:Q,17,0)/AA95,F95/AA95)</f>
        <v>12400</v>
      </c>
      <c r="AA95" s="19">
        <f>IF(AI95="Desertor sin mora",VLOOKUP(C95,ANTIGÜEDAD!A:M,13,0),VLOOKUP(C95,'SITUACIÓN DE CARTERA'!A:AR,43,FALSE))</f>
        <v>5</v>
      </c>
      <c r="AB95" s="19">
        <f t="shared" ca="1" si="12"/>
        <v>11</v>
      </c>
      <c r="AC95" s="42">
        <f>IF(AI95="Desertor sin mora",0,(VLOOKUP(C95,'SITUACIÓN DE CARTERA'!A:AS,45,FALSE))/M95)</f>
        <v>11.00169777845689</v>
      </c>
      <c r="AD95" s="19">
        <f>IF(AI95="Desertor sin mora",0,VLOOKUP(C95,'Reporte de cobranza'!G:BL,35,FALSE))</f>
        <v>5</v>
      </c>
      <c r="AE95" s="19">
        <f>IF(AI95="Desertor sin mora",I95,VLOOKUP(C95,'Reporte de cobranza'!G:BL,36,FALSE))</f>
        <v>16</v>
      </c>
      <c r="AF95" s="19">
        <f>VLOOKUP(C95,ANTIGÜEDAD!A:BE,18,FALSE)</f>
        <v>0</v>
      </c>
      <c r="AG95" s="30">
        <f>IFERROR(VLOOKUP(C95,Ahorros_concentrado!B:D,3,FALSE),0)</f>
        <v>2668.5600000000004</v>
      </c>
      <c r="AH95" s="43">
        <f t="shared" ca="1" si="13"/>
        <v>5.1484359987683394E-2</v>
      </c>
      <c r="AI95" s="19" t="str">
        <f>IF(VLOOKUP(C95,ANTIGÜEDAD!A:AG,33,0)="Entregado","Vigente",IF(VLOOKUP(C95,ANTIGÜEDAD!A:AG,33,0)="Liquidado","Desertor sin mora",""))</f>
        <v>Vigente</v>
      </c>
      <c r="AJ95" s="98" t="str">
        <f t="shared" si="14"/>
        <v>000001101</v>
      </c>
    </row>
    <row r="96" spans="1:36" x14ac:dyDescent="0.3">
      <c r="A96" s="19" t="str">
        <f>VLOOKUP(C96,ANTIGÜEDAD!A:BJ,4,FALSE)</f>
        <v>JUDITH PATRICIA SERRANO HERRER</v>
      </c>
      <c r="B96" s="19" t="str">
        <f>IFERROR(VLOOKUP(ANTIGÜEDAD!F95,'Parche Promotores'!A:B,2,0),ANTIGÜEDAD!F95)</f>
        <v>Cabrera Flores Viridiana</v>
      </c>
      <c r="C96" s="6" t="str">
        <f>TEXT(ANTIGÜEDAD!I95,"000000")</f>
        <v>000175</v>
      </c>
      <c r="D96" s="6" t="str">
        <f>ANTIGÜEDAD!K95</f>
        <v>LIBELULAS</v>
      </c>
      <c r="E96" s="29" t="str">
        <f>IFERROR(VLOOKUP(C96,'SITUACIÓN DE CARTERA'!A:AR,12,FALSE),VLOOKUP(C96,ANTIGÜEDAD!A:J,10,0))</f>
        <v>01</v>
      </c>
      <c r="F96" s="30">
        <f>VLOOKUP(C96,ANTIGÜEDAD!A:BE,17,FALSE)</f>
        <v>60000</v>
      </c>
      <c r="G96" s="30" t="str">
        <f>VLOOKUP(C96,ANTIGÜEDAD!A:BE,12,FALSE)</f>
        <v>MIGRADO</v>
      </c>
      <c r="H96" s="31">
        <f>VLOOKUP(C96,ANTIGÜEDAD!A:BE,14,FALSE)</f>
        <v>45954</v>
      </c>
      <c r="I96" s="19">
        <f>VLOOKUP(C96,ANTIGÜEDAD!A:BE,19,FALSE)</f>
        <v>16</v>
      </c>
      <c r="J96" s="31" t="str">
        <f>VLOOKUP(C96,ANTIGÜEDAD!A:BE,56,FALSE)</f>
        <v>Viernes</v>
      </c>
      <c r="K96" s="32" t="str">
        <f>VLOOKUP(C96,ANTIGÜEDAD!A:BE,57,FALSE)</f>
        <v>17:00</v>
      </c>
      <c r="L96" s="19" t="str">
        <f>VLOOKUP(C96,ANTIGÜEDAD!A:BE,20,FALSE)</f>
        <v>Semanal</v>
      </c>
      <c r="M96" s="30">
        <f>VLOOKUP(C96,ANTIGÜEDAD!A:BE,21,FALSE)</f>
        <v>4560.04</v>
      </c>
      <c r="N96" s="33" t="str">
        <f>IFERROR(VLOOKUP(C96,'Reporte de cobranza'!G:BL,34,FALSE),"")</f>
        <v>07/11/2025</v>
      </c>
      <c r="O96" s="30">
        <f>IF(AI96="Desertor sin mora",0,VLOOKUP(C96,ANTIGÜEDAD!A:BJ,44,FALSE))</f>
        <v>72960.639999999999</v>
      </c>
      <c r="P96" s="30">
        <f t="shared" si="15"/>
        <v>72960.639999999999</v>
      </c>
      <c r="Q96" s="30">
        <f t="shared" ca="1" si="11"/>
        <v>72960.639999999999</v>
      </c>
      <c r="R96" s="30">
        <f>IF(AI96="Desertor sin mora",0,VLOOKUP(C96,ANTIGÜEDAD!A:BJ,26,FALSE))</f>
        <v>60000</v>
      </c>
      <c r="S96" s="30">
        <f t="shared" ca="1" si="16"/>
        <v>0</v>
      </c>
      <c r="T96" s="30">
        <f>IF(V96&gt;0,IF(VLOOKUP(TEXT(C96,"000000"),Ahorros_concentrado!B:D,3,0)+F96*0.1&gt;V96,V96,VLOOKUP(TEXT(C96,"000000"),Ahorros_concentrado!B:D,3,0)+F96*0.1),0)</f>
        <v>3750</v>
      </c>
      <c r="U96" s="30">
        <f t="shared" si="17"/>
        <v>0</v>
      </c>
      <c r="V96" s="30">
        <f>IF(AI96="Desertor sin mora",0,VLOOKUP(C96,'SITUACIÓN DE CARTERA'!A:AR,26,FALSE))</f>
        <v>3750</v>
      </c>
      <c r="W96" s="134">
        <f>IF(AI96="Desertor sin mora",0,VLOOKUP(C96,'SITUACIÓN DE CARTERA'!A:AR,27,FALSE))/100</f>
        <v>6.25E-2</v>
      </c>
      <c r="X96" s="30">
        <f>IF(V96&gt;0,VLOOKUP(C96,ANTIGÜEDAD!A:BE,26,FALSE),0)</f>
        <v>60000</v>
      </c>
      <c r="Z96" s="34">
        <f>IF(AI96="Desertor sin mora",VLOOKUP(C96,ANTIGÜEDAD!A:Q,17,0)/AA96,F96/AA96)</f>
        <v>12000</v>
      </c>
      <c r="AA96" s="19">
        <f>IF(AI96="Desertor sin mora",VLOOKUP(C96,ANTIGÜEDAD!A:M,13,0),VLOOKUP(C96,'SITUACIÓN DE CARTERA'!A:AR,43,FALSE))</f>
        <v>5</v>
      </c>
      <c r="AB96" s="19">
        <f t="shared" ca="1" si="12"/>
        <v>1</v>
      </c>
      <c r="AC96" s="42">
        <f>IF(AI96="Desertor sin mora",0,(VLOOKUP(C96,'SITUACIÓN DE CARTERA'!A:AS,45,FALSE))/M96)</f>
        <v>0</v>
      </c>
      <c r="AD96" s="19">
        <f>IF(AI96="Desertor sin mora",0,VLOOKUP(C96,'Reporte de cobranza'!G:BL,35,FALSE))</f>
        <v>15</v>
      </c>
      <c r="AE96" s="19">
        <f>IF(AI96="Desertor sin mora",I96,VLOOKUP(C96,'Reporte de cobranza'!G:BL,36,FALSE))</f>
        <v>16</v>
      </c>
      <c r="AF96" s="19">
        <f>VLOOKUP(C96,ANTIGÜEDAD!A:BE,18,FALSE)</f>
        <v>0</v>
      </c>
      <c r="AG96" s="30">
        <f>IFERROR(VLOOKUP(C96,Ahorros_concentrado!B:D,3,FALSE),0)</f>
        <v>0</v>
      </c>
      <c r="AH96" s="43">
        <f t="shared" ca="1" si="13"/>
        <v>0</v>
      </c>
      <c r="AI96" s="19" t="str">
        <f>IF(VLOOKUP(C96,ANTIGÜEDAD!A:AG,33,0)="Entregado","Vigente",IF(VLOOKUP(C96,ANTIGÜEDAD!A:AG,33,0)="Liquidado","Desertor sin mora",""))</f>
        <v>Vigente</v>
      </c>
      <c r="AJ96" s="98" t="str">
        <f t="shared" si="14"/>
        <v>000017501</v>
      </c>
    </row>
    <row r="97" spans="1:36" x14ac:dyDescent="0.3">
      <c r="A97" s="19" t="str">
        <f>VLOOKUP(C97,ANTIGÜEDAD!A:BJ,4,FALSE)</f>
        <v>JUDITH PATRICIA SERRANO HERRER</v>
      </c>
      <c r="B97" s="19" t="str">
        <f>IFERROR(VLOOKUP(ANTIGÜEDAD!F96,'Parche Promotores'!A:B,2,0),ANTIGÜEDAD!F96)</f>
        <v>ORTEGA FORTANEL GABRIELA</v>
      </c>
      <c r="C97" s="6" t="str">
        <f>TEXT(ANTIGÜEDAD!I96,"000000")</f>
        <v>000213</v>
      </c>
      <c r="D97" s="6" t="str">
        <f>ANTIGÜEDAD!K96</f>
        <v>LAS REBELDES</v>
      </c>
      <c r="E97" s="29" t="str">
        <f>IFERROR(VLOOKUP(C97,'SITUACIÓN DE CARTERA'!A:AR,12,FALSE),VLOOKUP(C97,ANTIGÜEDAD!A:J,10,0))</f>
        <v>01</v>
      </c>
      <c r="F97" s="30">
        <f>VLOOKUP(C97,ANTIGÜEDAD!A:BE,17,FALSE)</f>
        <v>64000</v>
      </c>
      <c r="G97" s="30" t="str">
        <f>VLOOKUP(C97,ANTIGÜEDAD!A:BE,12,FALSE)</f>
        <v>MIGRADO</v>
      </c>
      <c r="H97" s="31">
        <f>VLOOKUP(C97,ANTIGÜEDAD!A:BE,14,FALSE)</f>
        <v>45961</v>
      </c>
      <c r="I97" s="19">
        <f>VLOOKUP(C97,ANTIGÜEDAD!A:BE,19,FALSE)</f>
        <v>16</v>
      </c>
      <c r="J97" s="31" t="str">
        <f>VLOOKUP(C97,ANTIGÜEDAD!A:BE,56,FALSE)</f>
        <v>Viernes</v>
      </c>
      <c r="K97" s="32" t="str">
        <f>VLOOKUP(C97,ANTIGÜEDAD!A:BE,57,FALSE)</f>
        <v>12:00</v>
      </c>
      <c r="L97" s="19" t="str">
        <f>VLOOKUP(C97,ANTIGÜEDAD!A:BE,20,FALSE)</f>
        <v>Semanal</v>
      </c>
      <c r="M97" s="30">
        <f>VLOOKUP(C97,ANTIGÜEDAD!A:BE,21,FALSE)</f>
        <v>4864.04</v>
      </c>
      <c r="N97" s="33" t="str">
        <f>IFERROR(VLOOKUP(C97,'Reporte de cobranza'!G:BL,34,FALSE),"")</f>
        <v>07/11/2025</v>
      </c>
      <c r="O97" s="30">
        <f>IF(AI97="Desertor sin mora",0,VLOOKUP(C97,ANTIGÜEDAD!A:BJ,44,FALSE))</f>
        <v>77824.680000000008</v>
      </c>
      <c r="P97" s="30">
        <f t="shared" si="15"/>
        <v>77824.639999999999</v>
      </c>
      <c r="Q97" s="30">
        <f t="shared" ca="1" si="11"/>
        <v>77824.680000000008</v>
      </c>
      <c r="R97" s="30">
        <f>IF(AI97="Desertor sin mora",0,VLOOKUP(C97,ANTIGÜEDAD!A:BJ,26,FALSE))</f>
        <v>64000</v>
      </c>
      <c r="S97" s="30">
        <f t="shared" ca="1" si="16"/>
        <v>0</v>
      </c>
      <c r="T97" s="30">
        <f>IF(V97&gt;0,IF(VLOOKUP(TEXT(C97,"000000"),Ahorros_concentrado!B:D,3,0)+F97*0.1&gt;V97,V97,VLOOKUP(TEXT(C97,"000000"),Ahorros_concentrado!B:D,3,0)+F97*0.1),0)</f>
        <v>0</v>
      </c>
      <c r="U97" s="30">
        <f t="shared" si="17"/>
        <v>0</v>
      </c>
      <c r="V97" s="30">
        <f>IF(AI97="Desertor sin mora",0,VLOOKUP(C97,'SITUACIÓN DE CARTERA'!A:AR,26,FALSE))</f>
        <v>0</v>
      </c>
      <c r="W97" s="134">
        <f>IF(AI97="Desertor sin mora",0,VLOOKUP(C97,'SITUACIÓN DE CARTERA'!A:AR,27,FALSE))/100</f>
        <v>0</v>
      </c>
      <c r="X97" s="30">
        <f>IF(V97&gt;0,VLOOKUP(C97,ANTIGÜEDAD!A:BE,26,FALSE),0)</f>
        <v>0</v>
      </c>
      <c r="Z97" s="34">
        <f>IF(AI97="Desertor sin mora",VLOOKUP(C97,ANTIGÜEDAD!A:Q,17,0)/AA97,F97/AA97)</f>
        <v>10666.666666666666</v>
      </c>
      <c r="AA97" s="19">
        <f>IF(AI97="Desertor sin mora",VLOOKUP(C97,ANTIGÜEDAD!A:M,13,0),VLOOKUP(C97,'SITUACIÓN DE CARTERA'!A:AR,43,FALSE))</f>
        <v>6</v>
      </c>
      <c r="AB97" s="19">
        <f t="shared" ca="1" si="12"/>
        <v>0</v>
      </c>
      <c r="AC97" s="42">
        <f>IF(AI97="Desertor sin mora",0,(VLOOKUP(C97,'SITUACIÓN DE CARTERA'!A:AS,45,FALSE))/M97)</f>
        <v>0</v>
      </c>
      <c r="AD97" s="19">
        <f>IF(AI97="Desertor sin mora",0,VLOOKUP(C97,'Reporte de cobranza'!G:BL,35,FALSE))</f>
        <v>16</v>
      </c>
      <c r="AE97" s="19">
        <f>IF(AI97="Desertor sin mora",I97,VLOOKUP(C97,'Reporte de cobranza'!G:BL,36,FALSE))</f>
        <v>16</v>
      </c>
      <c r="AF97" s="19">
        <f>VLOOKUP(C97,ANTIGÜEDAD!A:BE,18,FALSE)</f>
        <v>0</v>
      </c>
      <c r="AG97" s="30">
        <f>IFERROR(VLOOKUP(C97,Ahorros_concentrado!B:D,3,FALSE),0)</f>
        <v>0</v>
      </c>
      <c r="AH97" s="43">
        <f t="shared" ca="1" si="13"/>
        <v>0</v>
      </c>
      <c r="AI97" s="19" t="str">
        <f>IF(VLOOKUP(C97,ANTIGÜEDAD!A:AG,33,0)="Entregado","Vigente",IF(VLOOKUP(C97,ANTIGÜEDAD!A:AG,33,0)="Liquidado","Desertor sin mora",""))</f>
        <v>Vigente</v>
      </c>
      <c r="AJ97" s="98" t="str">
        <f t="shared" si="14"/>
        <v>000021301</v>
      </c>
    </row>
    <row r="98" spans="1:36" x14ac:dyDescent="0.3">
      <c r="A98" s="19" t="str">
        <f>VLOOKUP(C98,ANTIGÜEDAD!A:BJ,4,FALSE)</f>
        <v>JUDITH PATRICIA SERRANO HERRER</v>
      </c>
      <c r="B98" s="19" t="str">
        <f>IFERROR(VLOOKUP(ANTIGÜEDAD!F97,'Parche Promotores'!A:B,2,0),ANTIGÜEDAD!F97)</f>
        <v>Cabrera Flores Viridiana</v>
      </c>
      <c r="C98" s="6" t="str">
        <f>TEXT(ANTIGÜEDAD!I97,"000000")</f>
        <v>000103</v>
      </c>
      <c r="D98" s="6" t="str">
        <f>ANTIGÜEDAD!K97</f>
        <v>DUBAI</v>
      </c>
      <c r="E98" s="29" t="str">
        <f>IFERROR(VLOOKUP(C98,'SITUACIÓN DE CARTERA'!A:AR,12,FALSE),VLOOKUP(C98,ANTIGÜEDAD!A:J,10,0))</f>
        <v>01</v>
      </c>
      <c r="F98" s="30">
        <f>VLOOKUP(C98,ANTIGÜEDAD!A:BE,17,FALSE)</f>
        <v>51000</v>
      </c>
      <c r="G98" s="30" t="str">
        <f>VLOOKUP(C98,ANTIGÜEDAD!A:BE,12,FALSE)</f>
        <v>MIGRADO</v>
      </c>
      <c r="H98" s="31">
        <f>VLOOKUP(C98,ANTIGÜEDAD!A:BE,14,FALSE)</f>
        <v>45924</v>
      </c>
      <c r="I98" s="19">
        <f>VLOOKUP(C98,ANTIGÜEDAD!A:BE,19,FALSE)</f>
        <v>16</v>
      </c>
      <c r="J98" s="31" t="str">
        <f>VLOOKUP(C98,ANTIGÜEDAD!A:BE,56,FALSE)</f>
        <v>Miércoles</v>
      </c>
      <c r="K98" s="32" t="str">
        <f>VLOOKUP(C98,ANTIGÜEDAD!A:BE,57,FALSE)</f>
        <v>11:00</v>
      </c>
      <c r="L98" s="19" t="str">
        <f>VLOOKUP(C98,ANTIGÜEDAD!A:BE,20,FALSE)</f>
        <v>Semanal</v>
      </c>
      <c r="M98" s="30">
        <f>VLOOKUP(C98,ANTIGÜEDAD!A:BE,21,FALSE)</f>
        <v>3876.03</v>
      </c>
      <c r="N98" s="33" t="str">
        <f>IFERROR(VLOOKUP(C98,'Reporte de cobranza'!G:BL,34,FALSE),"")</f>
        <v>05/11/2025</v>
      </c>
      <c r="O98" s="30">
        <f>IF(AI98="Desertor sin mora",0,VLOOKUP(C98,ANTIGÜEDAD!A:BJ,44,FALSE))</f>
        <v>42635.42</v>
      </c>
      <c r="P98" s="30">
        <f t="shared" si="15"/>
        <v>62016.480000000003</v>
      </c>
      <c r="Q98" s="30">
        <f t="shared" ca="1" si="11"/>
        <v>42636.33</v>
      </c>
      <c r="R98" s="30">
        <f>IF(AI98="Desertor sin mora",0,VLOOKUP(C98,ANTIGÜEDAD!A:BJ,26,FALSE))</f>
        <v>35062.5</v>
      </c>
      <c r="S98" s="30">
        <f t="shared" ca="1" si="16"/>
        <v>-0.91000000000349246</v>
      </c>
      <c r="T98" s="30">
        <f>IF(V98&gt;0,IF(VLOOKUP(TEXT(C98,"000000"),Ahorros_concentrado!B:D,3,0)+F98*0.1&gt;V98,V98,VLOOKUP(TEXT(C98,"000000"),Ahorros_concentrado!B:D,3,0)+F98*0.1),0)</f>
        <v>0</v>
      </c>
      <c r="U98" s="30">
        <f t="shared" si="17"/>
        <v>0</v>
      </c>
      <c r="V98" s="30">
        <f>IF(AI98="Desertor sin mora",0,VLOOKUP(C98,'SITUACIÓN DE CARTERA'!A:AR,26,FALSE))</f>
        <v>0</v>
      </c>
      <c r="W98" s="134">
        <f>IF(AI98="Desertor sin mora",0,VLOOKUP(C98,'SITUACIÓN DE CARTERA'!A:AR,27,FALSE))/100</f>
        <v>0</v>
      </c>
      <c r="X98" s="30">
        <f>IF(V98&gt;0,VLOOKUP(C98,ANTIGÜEDAD!A:BE,26,FALSE),0)</f>
        <v>0</v>
      </c>
      <c r="Z98" s="34">
        <f>IF(AI98="Desertor sin mora",VLOOKUP(C98,ANTIGÜEDAD!A:Q,17,0)/AA98,F98/AA98)</f>
        <v>10200</v>
      </c>
      <c r="AA98" s="19">
        <f>IF(AI98="Desertor sin mora",VLOOKUP(C98,ANTIGÜEDAD!A:M,13,0),VLOOKUP(C98,'SITUACIÓN DE CARTERA'!A:AR,43,FALSE))</f>
        <v>5</v>
      </c>
      <c r="AB98" s="19">
        <f t="shared" ca="1" si="12"/>
        <v>5</v>
      </c>
      <c r="AC98" s="42">
        <f>IF(AI98="Desertor sin mora",0,(VLOOKUP(C98,'SITUACIÓN DE CARTERA'!A:AS,45,FALSE))/M98)</f>
        <v>5.0002502560609692</v>
      </c>
      <c r="AD98" s="19">
        <f>IF(AI98="Desertor sin mora",0,VLOOKUP(C98,'Reporte de cobranza'!G:BL,35,FALSE))</f>
        <v>11</v>
      </c>
      <c r="AE98" s="19">
        <f>IF(AI98="Desertor sin mora",I98,VLOOKUP(C98,'Reporte de cobranza'!G:BL,36,FALSE))</f>
        <v>16</v>
      </c>
      <c r="AF98" s="19">
        <f>VLOOKUP(C98,ANTIGÜEDAD!A:BE,18,FALSE)</f>
        <v>0</v>
      </c>
      <c r="AG98" s="30">
        <f>IFERROR(VLOOKUP(C98,Ahorros_concentrado!B:D,3,FALSE),0)</f>
        <v>4153.9399999999987</v>
      </c>
      <c r="AH98" s="43">
        <f t="shared" ca="1" si="13"/>
        <v>0.21433993028949719</v>
      </c>
      <c r="AI98" s="19" t="str">
        <f>IF(VLOOKUP(C98,ANTIGÜEDAD!A:AG,33,0)="Entregado","Vigente",IF(VLOOKUP(C98,ANTIGÜEDAD!A:AG,33,0)="Liquidado","Desertor sin mora",""))</f>
        <v>Vigente</v>
      </c>
      <c r="AJ98" s="98" t="str">
        <f t="shared" si="14"/>
        <v>000010301</v>
      </c>
    </row>
    <row r="99" spans="1:36" x14ac:dyDescent="0.3">
      <c r="A99" s="19" t="str">
        <f>VLOOKUP(C99,ANTIGÜEDAD!A:BJ,4,FALSE)</f>
        <v>JUAN EDMUNDO LUNA AGUILLON</v>
      </c>
      <c r="B99" s="19" t="str">
        <f>IFERROR(VLOOKUP(ANTIGÜEDAD!F98,'Parche Promotores'!A:B,2,0),ANTIGÜEDAD!F98)</f>
        <v>Sanchez Posada Jose Olimpo</v>
      </c>
      <c r="C99" s="6" t="str">
        <f>TEXT(ANTIGÜEDAD!I98,"000000")</f>
        <v>000115</v>
      </c>
      <c r="D99" s="6" t="str">
        <f>ANTIGÜEDAD!K98</f>
        <v>LA CRUZ</v>
      </c>
      <c r="E99" s="29" t="str">
        <f>IFERROR(VLOOKUP(C99,'SITUACIÓN DE CARTERA'!A:AR,12,FALSE),VLOOKUP(C99,ANTIGÜEDAD!A:J,10,0))</f>
        <v>01</v>
      </c>
      <c r="F99" s="30">
        <f>VLOOKUP(C99,ANTIGÜEDAD!A:BE,17,FALSE)</f>
        <v>55000</v>
      </c>
      <c r="G99" s="30" t="str">
        <f>VLOOKUP(C99,ANTIGÜEDAD!A:BE,12,FALSE)</f>
        <v>MIGRADO</v>
      </c>
      <c r="H99" s="31">
        <f>VLOOKUP(C99,ANTIGÜEDAD!A:BE,14,FALSE)</f>
        <v>45926</v>
      </c>
      <c r="I99" s="19">
        <f>VLOOKUP(C99,ANTIGÜEDAD!A:BE,19,FALSE)</f>
        <v>16</v>
      </c>
      <c r="J99" s="31" t="str">
        <f>VLOOKUP(C99,ANTIGÜEDAD!A:BE,56,FALSE)</f>
        <v>Viernes</v>
      </c>
      <c r="K99" s="32" t="str">
        <f>VLOOKUP(C99,ANTIGÜEDAD!A:BE,57,FALSE)</f>
        <v>12:30</v>
      </c>
      <c r="L99" s="19" t="str">
        <f>VLOOKUP(C99,ANTIGÜEDAD!A:BE,20,FALSE)</f>
        <v>Semanal</v>
      </c>
      <c r="M99" s="30">
        <f>VLOOKUP(C99,ANTIGÜEDAD!A:BE,21,FALSE)</f>
        <v>4180.04</v>
      </c>
      <c r="N99" s="33" t="str">
        <f>IFERROR(VLOOKUP(C99,'Reporte de cobranza'!G:BL,34,FALSE),"")</f>
        <v>07/11/2025</v>
      </c>
      <c r="O99" s="30">
        <f>IF(AI99="Desertor sin mora",0,VLOOKUP(C99,ANTIGÜEDAD!A:BJ,44,FALSE))</f>
        <v>45980.39</v>
      </c>
      <c r="P99" s="30">
        <f t="shared" si="15"/>
        <v>66880.639999999999</v>
      </c>
      <c r="Q99" s="30">
        <f t="shared" ca="1" si="11"/>
        <v>45980.44</v>
      </c>
      <c r="R99" s="30">
        <f>IF(AI99="Desertor sin mora",0,VLOOKUP(C99,ANTIGÜEDAD!A:BJ,26,FALSE))</f>
        <v>37812.5</v>
      </c>
      <c r="S99" s="30">
        <f t="shared" ca="1" si="16"/>
        <v>-5.0000000002910383E-2</v>
      </c>
      <c r="T99" s="30">
        <f>IF(V99&gt;0,IF(VLOOKUP(TEXT(C99,"000000"),Ahorros_concentrado!B:D,3,0)+F99*0.1&gt;V99,V99,VLOOKUP(TEXT(C99,"000000"),Ahorros_concentrado!B:D,3,0)+F99*0.1),0)</f>
        <v>0</v>
      </c>
      <c r="U99" s="30">
        <f t="shared" si="17"/>
        <v>0</v>
      </c>
      <c r="V99" s="30">
        <f>IF(AI99="Desertor sin mora",0,VLOOKUP(C99,'SITUACIÓN DE CARTERA'!A:AR,26,FALSE))</f>
        <v>0</v>
      </c>
      <c r="W99" s="134">
        <f>IF(AI99="Desertor sin mora",0,VLOOKUP(C99,'SITUACIÓN DE CARTERA'!A:AR,27,FALSE))/100</f>
        <v>0</v>
      </c>
      <c r="X99" s="30">
        <f>IF(V99&gt;0,VLOOKUP(C99,ANTIGÜEDAD!A:BE,26,FALSE),0)</f>
        <v>0</v>
      </c>
      <c r="Z99" s="34">
        <f>IF(AI99="Desertor sin mora",VLOOKUP(C99,ANTIGÜEDAD!A:Q,17,0)/AA99,F99/AA99)</f>
        <v>11000</v>
      </c>
      <c r="AA99" s="19">
        <f>IF(AI99="Desertor sin mora",VLOOKUP(C99,ANTIGÜEDAD!A:M,13,0),VLOOKUP(C99,'SITUACIÓN DE CARTERA'!A:AR,43,FALSE))</f>
        <v>5</v>
      </c>
      <c r="AB99" s="19">
        <f t="shared" ca="1" si="12"/>
        <v>5</v>
      </c>
      <c r="AC99" s="42">
        <f>IF(AI99="Desertor sin mora",0,(VLOOKUP(C99,'SITUACIÓN DE CARTERA'!A:AS,45,FALSE))/M99)</f>
        <v>5</v>
      </c>
      <c r="AD99" s="19">
        <f>IF(AI99="Desertor sin mora",0,VLOOKUP(C99,'Reporte de cobranza'!G:BL,35,FALSE))</f>
        <v>11</v>
      </c>
      <c r="AE99" s="19">
        <f>IF(AI99="Desertor sin mora",I99,VLOOKUP(C99,'Reporte de cobranza'!G:BL,36,FALSE))</f>
        <v>16</v>
      </c>
      <c r="AF99" s="19">
        <f>VLOOKUP(C99,ANTIGÜEDAD!A:BE,18,FALSE)</f>
        <v>0</v>
      </c>
      <c r="AG99" s="30">
        <f>IFERROR(VLOOKUP(C99,Ahorros_concentrado!B:D,3,FALSE),0)</f>
        <v>1524.8000000000002</v>
      </c>
      <c r="AH99" s="43">
        <f t="shared" ca="1" si="13"/>
        <v>7.2956239653209062E-2</v>
      </c>
      <c r="AI99" s="19" t="str">
        <f>IF(VLOOKUP(C99,ANTIGÜEDAD!A:AG,33,0)="Entregado","Vigente",IF(VLOOKUP(C99,ANTIGÜEDAD!A:AG,33,0)="Liquidado","Desertor sin mora",""))</f>
        <v>Vigente</v>
      </c>
      <c r="AJ99" s="98" t="str">
        <f t="shared" si="14"/>
        <v>000011501</v>
      </c>
    </row>
    <row r="100" spans="1:36" x14ac:dyDescent="0.3">
      <c r="A100" s="19" t="str">
        <f>VLOOKUP(C100,ANTIGÜEDAD!A:BJ,4,FALSE)</f>
        <v>JUDITH PATRICIA SERRANO HERRER</v>
      </c>
      <c r="B100" s="19" t="str">
        <f>IFERROR(VLOOKUP(ANTIGÜEDAD!F99,'Parche Promotores'!A:B,2,0),ANTIGÜEDAD!F99)</f>
        <v>Cabrera Flores Viridiana</v>
      </c>
      <c r="C100" s="6" t="str">
        <f>TEXT(ANTIGÜEDAD!I99,"000000")</f>
        <v>000090</v>
      </c>
      <c r="D100" s="6" t="str">
        <f>ANTIGÜEDAD!K99</f>
        <v>LOS MISMOS DE SIEMPRE</v>
      </c>
      <c r="E100" s="29" t="str">
        <f>IFERROR(VLOOKUP(C100,'SITUACIÓN DE CARTERA'!A:AR,12,FALSE),VLOOKUP(C100,ANTIGÜEDAD!A:J,10,0))</f>
        <v>01</v>
      </c>
      <c r="F100" s="30">
        <f>VLOOKUP(C100,ANTIGÜEDAD!A:BE,17,FALSE)</f>
        <v>60000</v>
      </c>
      <c r="G100" s="30" t="str">
        <f>VLOOKUP(C100,ANTIGÜEDAD!A:BE,12,FALSE)</f>
        <v>MIGRADO</v>
      </c>
      <c r="H100" s="31">
        <f>VLOOKUP(C100,ANTIGÜEDAD!A:BE,14,FALSE)</f>
        <v>45922</v>
      </c>
      <c r="I100" s="19">
        <f>VLOOKUP(C100,ANTIGÜEDAD!A:BE,19,FALSE)</f>
        <v>16</v>
      </c>
      <c r="J100" s="31" t="str">
        <f>VLOOKUP(C100,ANTIGÜEDAD!A:BE,56,FALSE)</f>
        <v>Lunes</v>
      </c>
      <c r="K100" s="32" t="str">
        <f>VLOOKUP(C100,ANTIGÜEDAD!A:BE,57,FALSE)</f>
        <v>11:00</v>
      </c>
      <c r="L100" s="19" t="str">
        <f>VLOOKUP(C100,ANTIGÜEDAD!A:BE,20,FALSE)</f>
        <v>Semanal</v>
      </c>
      <c r="M100" s="30">
        <f>VLOOKUP(C100,ANTIGÜEDAD!A:BE,21,FALSE)</f>
        <v>4560.04</v>
      </c>
      <c r="N100" s="33" t="str">
        <f>IFERROR(VLOOKUP(C100,'Reporte de cobranza'!G:BL,34,FALSE),"")</f>
        <v>03/11/2025</v>
      </c>
      <c r="O100" s="30">
        <f>IF(AI100="Desertor sin mora",0,VLOOKUP(C100,ANTIGÜEDAD!A:BJ,44,FALSE))</f>
        <v>50157.56</v>
      </c>
      <c r="P100" s="30">
        <f t="shared" si="15"/>
        <v>72960.639999999999</v>
      </c>
      <c r="Q100" s="30">
        <f t="shared" ca="1" si="11"/>
        <v>50160.44</v>
      </c>
      <c r="R100" s="30">
        <f>IF(AI100="Desertor sin mora",0,VLOOKUP(C100,ANTIGÜEDAD!A:BJ,26,FALSE))</f>
        <v>41250</v>
      </c>
      <c r="S100" s="30">
        <f t="shared" ca="1" si="16"/>
        <v>-2.8800000000046566</v>
      </c>
      <c r="T100" s="30">
        <f>IF(V100&gt;0,IF(VLOOKUP(TEXT(C100,"000000"),Ahorros_concentrado!B:D,3,0)+F100*0.1&gt;V100,V100,VLOOKUP(TEXT(C100,"000000"),Ahorros_concentrado!B:D,3,0)+F100*0.1),0)</f>
        <v>0</v>
      </c>
      <c r="U100" s="30">
        <f t="shared" si="17"/>
        <v>0</v>
      </c>
      <c r="V100" s="30">
        <f>IF(AI100="Desertor sin mora",0,VLOOKUP(C100,'SITUACIÓN DE CARTERA'!A:AR,26,FALSE))</f>
        <v>0</v>
      </c>
      <c r="W100" s="134">
        <f>IF(AI100="Desertor sin mora",0,VLOOKUP(C100,'SITUACIÓN DE CARTERA'!A:AR,27,FALSE))/100</f>
        <v>0</v>
      </c>
      <c r="X100" s="30">
        <f>IF(V100&gt;0,VLOOKUP(C100,ANTIGÜEDAD!A:BE,26,FALSE),0)</f>
        <v>0</v>
      </c>
      <c r="Z100" s="34">
        <f>IF(AI100="Desertor sin mora",VLOOKUP(C100,ANTIGÜEDAD!A:Q,17,0)/AA100,F100/AA100)</f>
        <v>10000</v>
      </c>
      <c r="AA100" s="19">
        <f>IF(AI100="Desertor sin mora",VLOOKUP(C100,ANTIGÜEDAD!A:M,13,0),VLOOKUP(C100,'SITUACIÓN DE CARTERA'!A:AR,43,FALSE))</f>
        <v>6</v>
      </c>
      <c r="AB100" s="19">
        <f t="shared" ca="1" si="12"/>
        <v>5</v>
      </c>
      <c r="AC100" s="42">
        <f>IF(AI100="Desertor sin mora",0,(VLOOKUP(C100,'SITUACIÓN DE CARTERA'!A:AS,45,FALSE))/M100)</f>
        <v>5.0006315734072508</v>
      </c>
      <c r="AD100" s="19">
        <f>IF(AI100="Desertor sin mora",0,VLOOKUP(C100,'Reporte de cobranza'!G:BL,35,FALSE))</f>
        <v>11</v>
      </c>
      <c r="AE100" s="19">
        <f>IF(AI100="Desertor sin mora",I100,VLOOKUP(C100,'Reporte de cobranza'!G:BL,36,FALSE))</f>
        <v>16</v>
      </c>
      <c r="AF100" s="19">
        <f>VLOOKUP(C100,ANTIGÜEDAD!A:BE,18,FALSE)</f>
        <v>0</v>
      </c>
      <c r="AG100" s="30">
        <f>IFERROR(VLOOKUP(C100,Ahorros_concentrado!B:D,3,FALSE),0)</f>
        <v>1516.92</v>
      </c>
      <c r="AH100" s="43">
        <f t="shared" ca="1" si="13"/>
        <v>6.6530995342146126E-2</v>
      </c>
      <c r="AI100" s="19" t="str">
        <f>IF(VLOOKUP(C100,ANTIGÜEDAD!A:AG,33,0)="Entregado","Vigente",IF(VLOOKUP(C100,ANTIGÜEDAD!A:AG,33,0)="Liquidado","Desertor sin mora",""))</f>
        <v>Vigente</v>
      </c>
      <c r="AJ100" s="98" t="str">
        <f t="shared" si="14"/>
        <v>000009001</v>
      </c>
    </row>
    <row r="101" spans="1:36" x14ac:dyDescent="0.3">
      <c r="A101" s="19" t="str">
        <f>VLOOKUP(C101,ANTIGÜEDAD!A:BJ,4,FALSE)</f>
        <v>JUAN EDMUNDO LUNA AGUILLON</v>
      </c>
      <c r="B101" s="19" t="str">
        <f>IFERROR(VLOOKUP(ANTIGÜEDAD!F100,'Parche Promotores'!A:B,2,0),ANTIGÜEDAD!F100)</f>
        <v>Sanchez Posada Jose Olimpo</v>
      </c>
      <c r="C101" s="6" t="str">
        <f>TEXT(ANTIGÜEDAD!I100,"000000")</f>
        <v>000202</v>
      </c>
      <c r="D101" s="6" t="str">
        <f>ANTIGÜEDAD!K100</f>
        <v>LUNA</v>
      </c>
      <c r="E101" s="29" t="str">
        <f>IFERROR(VLOOKUP(C101,'SITUACIÓN DE CARTERA'!A:AR,12,FALSE),VLOOKUP(C101,ANTIGÜEDAD!A:J,10,0))</f>
        <v>01</v>
      </c>
      <c r="F101" s="30">
        <f>VLOOKUP(C101,ANTIGÜEDAD!A:BE,17,FALSE)</f>
        <v>71000</v>
      </c>
      <c r="G101" s="30" t="str">
        <f>VLOOKUP(C101,ANTIGÜEDAD!A:BE,12,FALSE)</f>
        <v>MIGRADO</v>
      </c>
      <c r="H101" s="31">
        <f>VLOOKUP(C101,ANTIGÜEDAD!A:BE,14,FALSE)</f>
        <v>45961</v>
      </c>
      <c r="I101" s="19">
        <f>VLOOKUP(C101,ANTIGÜEDAD!A:BE,19,FALSE)</f>
        <v>16</v>
      </c>
      <c r="J101" s="31" t="str">
        <f>VLOOKUP(C101,ANTIGÜEDAD!A:BE,56,FALSE)</f>
        <v>Viernes</v>
      </c>
      <c r="K101" s="32" t="str">
        <f>VLOOKUP(C101,ANTIGÜEDAD!A:BE,57,FALSE)</f>
        <v>10:30</v>
      </c>
      <c r="L101" s="19" t="str">
        <f>VLOOKUP(C101,ANTIGÜEDAD!A:BE,20,FALSE)</f>
        <v>Semanal</v>
      </c>
      <c r="M101" s="30">
        <f>VLOOKUP(C101,ANTIGÜEDAD!A:BE,21,FALSE)</f>
        <v>5396.05</v>
      </c>
      <c r="N101" s="33" t="str">
        <f>IFERROR(VLOOKUP(C101,'Reporte de cobranza'!G:BL,34,FALSE),"")</f>
        <v>07/11/2025</v>
      </c>
      <c r="O101" s="30">
        <f>IF(AI101="Desertor sin mora",0,VLOOKUP(C101,ANTIGÜEDAD!A:BJ,44,FALSE))</f>
        <v>86336.76</v>
      </c>
      <c r="P101" s="30">
        <f t="shared" si="15"/>
        <v>86336.8</v>
      </c>
      <c r="Q101" s="30">
        <f t="shared" ca="1" si="11"/>
        <v>86336.8</v>
      </c>
      <c r="R101" s="30">
        <f>IF(AI101="Desertor sin mora",0,VLOOKUP(C101,ANTIGÜEDAD!A:BJ,26,FALSE))</f>
        <v>71000</v>
      </c>
      <c r="S101" s="30">
        <f t="shared" ca="1" si="16"/>
        <v>-4.0000000008149073E-2</v>
      </c>
      <c r="T101" s="30">
        <f>IF(V101&gt;0,IF(VLOOKUP(TEXT(C101,"000000"),Ahorros_concentrado!B:D,3,0)+F101*0.1&gt;V101,V101,VLOOKUP(TEXT(C101,"000000"),Ahorros_concentrado!B:D,3,0)+F101*0.1),0)</f>
        <v>0</v>
      </c>
      <c r="U101" s="30">
        <f t="shared" si="17"/>
        <v>0</v>
      </c>
      <c r="V101" s="30">
        <f>IF(AI101="Desertor sin mora",0,VLOOKUP(C101,'SITUACIÓN DE CARTERA'!A:AR,26,FALSE))</f>
        <v>0</v>
      </c>
      <c r="W101" s="134">
        <f>IF(AI101="Desertor sin mora",0,VLOOKUP(C101,'SITUACIÓN DE CARTERA'!A:AR,27,FALSE))/100</f>
        <v>0</v>
      </c>
      <c r="X101" s="30">
        <f>IF(V101&gt;0,VLOOKUP(C101,ANTIGÜEDAD!A:BE,26,FALSE),0)</f>
        <v>0</v>
      </c>
      <c r="Z101" s="34">
        <f>IF(AI101="Desertor sin mora",VLOOKUP(C101,ANTIGÜEDAD!A:Q,17,0)/AA101,F101/AA101)</f>
        <v>11833.333333333334</v>
      </c>
      <c r="AA101" s="19">
        <f>IF(AI101="Desertor sin mora",VLOOKUP(C101,ANTIGÜEDAD!A:M,13,0),VLOOKUP(C101,'SITUACIÓN DE CARTERA'!A:AR,43,FALSE))</f>
        <v>6</v>
      </c>
      <c r="AB101" s="19">
        <f t="shared" ca="1" si="12"/>
        <v>0</v>
      </c>
      <c r="AC101" s="42">
        <f>IF(AI101="Desertor sin mora",0,(VLOOKUP(C101,'SITUACIÓN DE CARTERA'!A:AS,45,FALSE))/M101)</f>
        <v>0</v>
      </c>
      <c r="AD101" s="19">
        <f>IF(AI101="Desertor sin mora",0,VLOOKUP(C101,'Reporte de cobranza'!G:BL,35,FALSE))</f>
        <v>16</v>
      </c>
      <c r="AE101" s="19">
        <f>IF(AI101="Desertor sin mora",I101,VLOOKUP(C101,'Reporte de cobranza'!G:BL,36,FALSE))</f>
        <v>16</v>
      </c>
      <c r="AF101" s="19">
        <f>VLOOKUP(C101,ANTIGÜEDAD!A:BE,18,FALSE)</f>
        <v>0</v>
      </c>
      <c r="AG101" s="30">
        <f>IFERROR(VLOOKUP(C101,Ahorros_concentrado!B:D,3,FALSE),0)</f>
        <v>0</v>
      </c>
      <c r="AH101" s="43">
        <f t="shared" ca="1" si="13"/>
        <v>0</v>
      </c>
      <c r="AI101" s="19" t="str">
        <f>IF(VLOOKUP(C101,ANTIGÜEDAD!A:AG,33,0)="Entregado","Vigente",IF(VLOOKUP(C101,ANTIGÜEDAD!A:AG,33,0)="Liquidado","Desertor sin mora",""))</f>
        <v>Vigente</v>
      </c>
      <c r="AJ101" s="98" t="str">
        <f t="shared" si="14"/>
        <v>000020201</v>
      </c>
    </row>
    <row r="102" spans="1:36" x14ac:dyDescent="0.3">
      <c r="A102" s="19" t="str">
        <f>VLOOKUP(C102,ANTIGÜEDAD!A:BJ,4,FALSE)</f>
        <v>ADRIANA ALEJALDRE GUZMAN</v>
      </c>
      <c r="B102" s="19" t="str">
        <f>IFERROR(VLOOKUP(ANTIGÜEDAD!F101,'Parche Promotores'!A:B,2,0),ANTIGÜEDAD!F101)</f>
        <v>Juarez Palma Ma Ines</v>
      </c>
      <c r="C102" s="6" t="str">
        <f>TEXT(ANTIGÜEDAD!I101,"000000")</f>
        <v>000161</v>
      </c>
      <c r="D102" s="6" t="str">
        <f>ANTIGÜEDAD!K101</f>
        <v>JOYAS DEL TRIUNFO</v>
      </c>
      <c r="E102" s="29" t="str">
        <f>IFERROR(VLOOKUP(C102,'SITUACIÓN DE CARTERA'!A:AR,12,FALSE),VLOOKUP(C102,ANTIGÜEDAD!A:J,10,0))</f>
        <v>01</v>
      </c>
      <c r="F102" s="30">
        <f>VLOOKUP(C102,ANTIGÜEDAD!A:BE,17,FALSE)</f>
        <v>126000</v>
      </c>
      <c r="G102" s="30" t="str">
        <f>VLOOKUP(C102,ANTIGÜEDAD!A:BE,12,FALSE)</f>
        <v>MIGRADO</v>
      </c>
      <c r="H102" s="31">
        <f>VLOOKUP(C102,ANTIGÜEDAD!A:BE,14,FALSE)</f>
        <v>45946</v>
      </c>
      <c r="I102" s="19">
        <f>VLOOKUP(C102,ANTIGÜEDAD!A:BE,19,FALSE)</f>
        <v>16</v>
      </c>
      <c r="J102" s="31" t="str">
        <f>VLOOKUP(C102,ANTIGÜEDAD!A:BE,56,FALSE)</f>
        <v>Jueves</v>
      </c>
      <c r="K102" s="32" t="str">
        <f>VLOOKUP(C102,ANTIGÜEDAD!A:BE,57,FALSE)</f>
        <v>13:00</v>
      </c>
      <c r="L102" s="19" t="str">
        <f>VLOOKUP(C102,ANTIGÜEDAD!A:BE,20,FALSE)</f>
        <v>Semanal</v>
      </c>
      <c r="M102" s="30">
        <f>VLOOKUP(C102,ANTIGÜEDAD!A:BE,21,FALSE)</f>
        <v>9576.08</v>
      </c>
      <c r="N102" s="33" t="str">
        <f>IFERROR(VLOOKUP(C102,'Reporte de cobranza'!G:BL,34,FALSE),"")</f>
        <v>06/11/2025</v>
      </c>
      <c r="O102" s="30">
        <f>IF(AI102="Desertor sin mora",0,VLOOKUP(C102,ANTIGÜEDAD!A:BJ,44,FALSE))</f>
        <v>134056.34</v>
      </c>
      <c r="P102" s="30">
        <f t="shared" si="15"/>
        <v>153217.28</v>
      </c>
      <c r="Q102" s="30">
        <f t="shared" ca="1" si="11"/>
        <v>134065.12</v>
      </c>
      <c r="R102" s="30">
        <f>IF(AI102="Desertor sin mora",0,VLOOKUP(C102,ANTIGÜEDAD!A:BJ,26,FALSE))</f>
        <v>110250</v>
      </c>
      <c r="S102" s="30">
        <f t="shared" ca="1" si="16"/>
        <v>-8.7799999999988358</v>
      </c>
      <c r="T102" s="30">
        <f>IF(V102&gt;0,IF(VLOOKUP(TEXT(C102,"000000"),Ahorros_concentrado!B:D,3,0)+F102*0.1&gt;V102,V102,VLOOKUP(TEXT(C102,"000000"),Ahorros_concentrado!B:D,3,0)+F102*0.1),0)</f>
        <v>0</v>
      </c>
      <c r="U102" s="30">
        <f t="shared" si="17"/>
        <v>0</v>
      </c>
      <c r="V102" s="30">
        <f>IF(AI102="Desertor sin mora",0,VLOOKUP(C102,'SITUACIÓN DE CARTERA'!A:AR,26,FALSE))</f>
        <v>0</v>
      </c>
      <c r="W102" s="134">
        <f>IF(AI102="Desertor sin mora",0,VLOOKUP(C102,'SITUACIÓN DE CARTERA'!A:AR,27,FALSE))/100</f>
        <v>0</v>
      </c>
      <c r="X102" s="30">
        <f>IF(V102&gt;0,VLOOKUP(C102,ANTIGÜEDAD!A:BE,26,FALSE),0)</f>
        <v>0</v>
      </c>
      <c r="Z102" s="34">
        <f>IF(AI102="Desertor sin mora",VLOOKUP(C102,ANTIGÜEDAD!A:Q,17,0)/AA102,F102/AA102)</f>
        <v>15750</v>
      </c>
      <c r="AA102" s="19">
        <f>IF(AI102="Desertor sin mora",VLOOKUP(C102,ANTIGÜEDAD!A:M,13,0),VLOOKUP(C102,'SITUACIÓN DE CARTERA'!A:AR,43,FALSE))</f>
        <v>8</v>
      </c>
      <c r="AB102" s="19">
        <f t="shared" ca="1" si="12"/>
        <v>2</v>
      </c>
      <c r="AC102" s="42">
        <f>IF(AI102="Desertor sin mora",0,(VLOOKUP(C102,'SITUACIÓN DE CARTERA'!A:AS,45,FALSE))/M102)</f>
        <v>2.0009231334742399</v>
      </c>
      <c r="AD102" s="19">
        <f>IF(AI102="Desertor sin mora",0,VLOOKUP(C102,'Reporte de cobranza'!G:BL,35,FALSE))</f>
        <v>14</v>
      </c>
      <c r="AE102" s="19">
        <f>IF(AI102="Desertor sin mora",I102,VLOOKUP(C102,'Reporte de cobranza'!G:BL,36,FALSE))</f>
        <v>16</v>
      </c>
      <c r="AF102" s="19">
        <f>VLOOKUP(C102,ANTIGÜEDAD!A:BE,18,FALSE)</f>
        <v>0</v>
      </c>
      <c r="AG102" s="30">
        <f>IFERROR(VLOOKUP(C102,Ahorros_concentrado!B:D,3,FALSE),0)</f>
        <v>965</v>
      </c>
      <c r="AH102" s="43">
        <f t="shared" ca="1" si="13"/>
        <v>5.038596168787228E-2</v>
      </c>
      <c r="AI102" s="19" t="str">
        <f>IF(VLOOKUP(C102,ANTIGÜEDAD!A:AG,33,0)="Entregado","Vigente",IF(VLOOKUP(C102,ANTIGÜEDAD!A:AG,33,0)="Liquidado","Desertor sin mora",""))</f>
        <v>Vigente</v>
      </c>
      <c r="AJ102" s="98" t="str">
        <f t="shared" si="14"/>
        <v>000016101</v>
      </c>
    </row>
    <row r="103" spans="1:36" x14ac:dyDescent="0.3">
      <c r="A103" s="19" t="str">
        <f>VLOOKUP(C103,ANTIGÜEDAD!A:BJ,4,FALSE)</f>
        <v>IRVIN URIEL MORA VELAZCO</v>
      </c>
      <c r="B103" s="19" t="str">
        <f>IFERROR(VLOOKUP(ANTIGÜEDAD!F102,'Parche Promotores'!A:B,2,0),ANTIGÜEDAD!F102)</f>
        <v>Olivares Morales Josue Edgar</v>
      </c>
      <c r="C103" s="6" t="str">
        <f>TEXT(ANTIGÜEDAD!I102,"000000")</f>
        <v>000062</v>
      </c>
      <c r="D103" s="6" t="str">
        <f>ANTIGÜEDAD!K102</f>
        <v>TREBOL</v>
      </c>
      <c r="E103" s="29" t="str">
        <f>IFERROR(VLOOKUP(C103,'SITUACIÓN DE CARTERA'!A:AR,12,FALSE),VLOOKUP(C103,ANTIGÜEDAD!A:J,10,0))</f>
        <v>01</v>
      </c>
      <c r="F103" s="30">
        <f>VLOOKUP(C103,ANTIGÜEDAD!A:BE,17,FALSE)</f>
        <v>85000</v>
      </c>
      <c r="G103" s="30" t="str">
        <f>VLOOKUP(C103,ANTIGÜEDAD!A:BE,12,FALSE)</f>
        <v>MIGRADO</v>
      </c>
      <c r="H103" s="31">
        <f>VLOOKUP(C103,ANTIGÜEDAD!A:BE,14,FALSE)</f>
        <v>45908</v>
      </c>
      <c r="I103" s="19">
        <f>VLOOKUP(C103,ANTIGÜEDAD!A:BE,19,FALSE)</f>
        <v>16</v>
      </c>
      <c r="J103" s="31" t="str">
        <f>VLOOKUP(C103,ANTIGÜEDAD!A:BE,56,FALSE)</f>
        <v>Lunes</v>
      </c>
      <c r="K103" s="32" t="str">
        <f>VLOOKUP(C103,ANTIGÜEDAD!A:BE,57,FALSE)</f>
        <v>11:00</v>
      </c>
      <c r="L103" s="19" t="str">
        <f>VLOOKUP(C103,ANTIGÜEDAD!A:BE,20,FALSE)</f>
        <v>Semanal</v>
      </c>
      <c r="M103" s="30">
        <f>VLOOKUP(C103,ANTIGÜEDAD!A:BE,21,FALSE)</f>
        <v>6460.06</v>
      </c>
      <c r="N103" s="33" t="str">
        <f>IFERROR(VLOOKUP(C103,'Reporte de cobranza'!G:BL,34,FALSE),"")</f>
        <v>03/11/2025</v>
      </c>
      <c r="O103" s="30">
        <f>IF(AI103="Desertor sin mora",0,VLOOKUP(C103,ANTIGÜEDAD!A:BJ,44,FALSE))</f>
        <v>58140.91</v>
      </c>
      <c r="P103" s="30">
        <f t="shared" si="15"/>
        <v>103360.96000000001</v>
      </c>
      <c r="Q103" s="30">
        <f t="shared" ca="1" si="11"/>
        <v>58140.91</v>
      </c>
      <c r="R103" s="30">
        <f>IF(AI103="Desertor sin mora",0,VLOOKUP(C103,ANTIGÜEDAD!A:BJ,26,FALSE))</f>
        <v>47812.91</v>
      </c>
      <c r="S103" s="30">
        <f t="shared" ca="1" si="16"/>
        <v>0</v>
      </c>
      <c r="T103" s="30">
        <f>IF(V103&gt;0,IF(VLOOKUP(TEXT(C103,"000000"),Ahorros_concentrado!B:D,3,0)+F103*0.1&gt;V103,V103,VLOOKUP(TEXT(C103,"000000"),Ahorros_concentrado!B:D,3,0)+F103*0.1),0)</f>
        <v>0</v>
      </c>
      <c r="U103" s="30">
        <f t="shared" si="17"/>
        <v>0</v>
      </c>
      <c r="V103" s="30">
        <f>IF(AI103="Desertor sin mora",0,VLOOKUP(C103,'SITUACIÓN DE CARTERA'!A:AR,26,FALSE))</f>
        <v>0</v>
      </c>
      <c r="W103" s="134">
        <f>IF(AI103="Desertor sin mora",0,VLOOKUP(C103,'SITUACIÓN DE CARTERA'!A:AR,27,FALSE))/100</f>
        <v>0</v>
      </c>
      <c r="X103" s="30">
        <f>IF(V103&gt;0,VLOOKUP(C103,ANTIGÜEDAD!A:BE,26,FALSE),0)</f>
        <v>0</v>
      </c>
      <c r="Z103" s="34">
        <f>IF(AI103="Desertor sin mora",VLOOKUP(C103,ANTIGÜEDAD!A:Q,17,0)/AA103,F103/AA103)</f>
        <v>14166.666666666666</v>
      </c>
      <c r="AA103" s="19">
        <f>IF(AI103="Desertor sin mora",VLOOKUP(C103,ANTIGÜEDAD!A:M,13,0),VLOOKUP(C103,'SITUACIÓN DE CARTERA'!A:AR,43,FALSE))</f>
        <v>6</v>
      </c>
      <c r="AB103" s="19">
        <f t="shared" ref="AB103:AB134" ca="1" si="18">IF(AI103="Desertor sin mora",INT((TODAY()-H103)/7),AE103-AD103)</f>
        <v>7</v>
      </c>
      <c r="AC103" s="42">
        <f>IF(AI103="Desertor sin mora",0,(VLOOKUP(C103,'SITUACIÓN DE CARTERA'!A:AS,45,FALSE))/M103)</f>
        <v>6.9999349851239767</v>
      </c>
      <c r="AD103" s="19">
        <f>IF(AI103="Desertor sin mora",0,VLOOKUP(C103,'Reporte de cobranza'!G:BL,35,FALSE))</f>
        <v>9</v>
      </c>
      <c r="AE103" s="19">
        <f>IF(AI103="Desertor sin mora",I103,VLOOKUP(C103,'Reporte de cobranza'!G:BL,36,FALSE))</f>
        <v>16</v>
      </c>
      <c r="AF103" s="19">
        <f>VLOOKUP(C103,ANTIGÜEDAD!A:BE,18,FALSE)</f>
        <v>0</v>
      </c>
      <c r="AG103" s="30">
        <f>IFERROR(VLOOKUP(C103,Ahorros_concentrado!B:D,3,FALSE),0)</f>
        <v>2339</v>
      </c>
      <c r="AH103" s="43">
        <f t="shared" ref="AH103:AH134" ca="1" si="19">IFERROR((AG103/M103)/AB103,0)</f>
        <v>5.1724420073940049E-2</v>
      </c>
      <c r="AI103" s="19" t="str">
        <f>IF(VLOOKUP(C103,ANTIGÜEDAD!A:AG,33,0)="Entregado","Vigente",IF(VLOOKUP(C103,ANTIGÜEDAD!A:AG,33,0)="Liquidado","Desertor sin mora",""))</f>
        <v>Vigente</v>
      </c>
      <c r="AJ103" s="98" t="str">
        <f t="shared" ref="AJ103:AJ134" si="20">"0"&amp;TEXT(C103,"000000")&amp;TEXT(E103,"00")</f>
        <v>000006201</v>
      </c>
    </row>
    <row r="104" spans="1:36" x14ac:dyDescent="0.3">
      <c r="A104" s="19" t="str">
        <f>VLOOKUP(C104,ANTIGÜEDAD!A:BJ,4,FALSE)</f>
        <v>ADRIANA ALEJALDRE GUZMAN</v>
      </c>
      <c r="B104" s="19" t="str">
        <f>IFERROR(VLOOKUP(ANTIGÜEDAD!F103,'Parche Promotores'!A:B,2,0),ANTIGÜEDAD!F103)</f>
        <v>Lopez Cabrera Edith Alejandra</v>
      </c>
      <c r="C104" s="6" t="str">
        <f>TEXT(ANTIGÜEDAD!I103,"000000")</f>
        <v>000088</v>
      </c>
      <c r="D104" s="6" t="str">
        <f>ANTIGÜEDAD!K103</f>
        <v>VALIENTES</v>
      </c>
      <c r="E104" s="29" t="str">
        <f>IFERROR(VLOOKUP(C104,'SITUACIÓN DE CARTERA'!A:AR,12,FALSE),VLOOKUP(C104,ANTIGÜEDAD!A:J,10,0))</f>
        <v>01</v>
      </c>
      <c r="F104" s="30">
        <f>VLOOKUP(C104,ANTIGÜEDAD!A:BE,17,FALSE)</f>
        <v>69000</v>
      </c>
      <c r="G104" s="30" t="str">
        <f>VLOOKUP(C104,ANTIGÜEDAD!A:BE,12,FALSE)</f>
        <v>MIGRADO</v>
      </c>
      <c r="H104" s="31">
        <f>VLOOKUP(C104,ANTIGÜEDAD!A:BE,14,FALSE)</f>
        <v>45917</v>
      </c>
      <c r="I104" s="19">
        <f>VLOOKUP(C104,ANTIGÜEDAD!A:BE,19,FALSE)</f>
        <v>16</v>
      </c>
      <c r="J104" s="31" t="str">
        <f>VLOOKUP(C104,ANTIGÜEDAD!A:BE,56,FALSE)</f>
        <v>Miércoles</v>
      </c>
      <c r="K104" s="32" t="str">
        <f>VLOOKUP(C104,ANTIGÜEDAD!A:BE,57,FALSE)</f>
        <v>11:00</v>
      </c>
      <c r="L104" s="19" t="str">
        <f>VLOOKUP(C104,ANTIGÜEDAD!A:BE,20,FALSE)</f>
        <v>Semanal</v>
      </c>
      <c r="M104" s="30">
        <f>VLOOKUP(C104,ANTIGÜEDAD!A:BE,21,FALSE)</f>
        <v>5244.05</v>
      </c>
      <c r="N104" s="33" t="str">
        <f>IFERROR(VLOOKUP(C104,'Reporte de cobranza'!G:BL,34,FALSE),"")</f>
        <v>05/11/2025</v>
      </c>
      <c r="O104" s="30">
        <f>IF(AI104="Desertor sin mora",0,VLOOKUP(C104,ANTIGÜEDAD!A:BJ,44,FALSE))</f>
        <v>52434.74</v>
      </c>
      <c r="P104" s="30">
        <f t="shared" si="15"/>
        <v>83904.8</v>
      </c>
      <c r="Q104" s="30">
        <f t="shared" ca="1" si="11"/>
        <v>52440.5</v>
      </c>
      <c r="R104" s="30">
        <f>IF(AI104="Desertor sin mora",0,VLOOKUP(C104,ANTIGÜEDAD!A:BJ,26,FALSE))</f>
        <v>43125</v>
      </c>
      <c r="S104" s="30">
        <f t="shared" ca="1" si="16"/>
        <v>-5.7600000000020373</v>
      </c>
      <c r="T104" s="30">
        <f>IF(V104&gt;0,IF(VLOOKUP(TEXT(C104,"000000"),Ahorros_concentrado!B:D,3,0)+F104*0.1&gt;V104,V104,VLOOKUP(TEXT(C104,"000000"),Ahorros_concentrado!B:D,3,0)+F104*0.1),0)</f>
        <v>0</v>
      </c>
      <c r="U104" s="30">
        <f t="shared" si="17"/>
        <v>0</v>
      </c>
      <c r="V104" s="30">
        <f>IF(AI104="Desertor sin mora",0,VLOOKUP(C104,'SITUACIÓN DE CARTERA'!A:AR,26,FALSE))</f>
        <v>0</v>
      </c>
      <c r="W104" s="134">
        <f>IF(AI104="Desertor sin mora",0,VLOOKUP(C104,'SITUACIÓN DE CARTERA'!A:AR,27,FALSE))/100</f>
        <v>0</v>
      </c>
      <c r="X104" s="30">
        <f>IF(V104&gt;0,VLOOKUP(C104,ANTIGÜEDAD!A:BE,26,FALSE),0)</f>
        <v>0</v>
      </c>
      <c r="Z104" s="34">
        <f>IF(AI104="Desertor sin mora",VLOOKUP(C104,ANTIGÜEDAD!A:Q,17,0)/AA104,F104/AA104)</f>
        <v>9857.1428571428569</v>
      </c>
      <c r="AA104" s="19">
        <f>IF(AI104="Desertor sin mora",VLOOKUP(C104,ANTIGÜEDAD!A:M,13,0),VLOOKUP(C104,'SITUACIÓN DE CARTERA'!A:AR,43,FALSE))</f>
        <v>7</v>
      </c>
      <c r="AB104" s="19">
        <f t="shared" ca="1" si="18"/>
        <v>6</v>
      </c>
      <c r="AC104" s="42">
        <f>IF(AI104="Desertor sin mora",0,(VLOOKUP(C104,'SITUACIÓN DE CARTERA'!A:AS,45,FALSE))/M104)</f>
        <v>6.0010869461580265</v>
      </c>
      <c r="AD104" s="19">
        <f>IF(AI104="Desertor sin mora",0,VLOOKUP(C104,'Reporte de cobranza'!G:BL,35,FALSE))</f>
        <v>10</v>
      </c>
      <c r="AE104" s="19">
        <f>IF(AI104="Desertor sin mora",I104,VLOOKUP(C104,'Reporte de cobranza'!G:BL,36,FALSE))</f>
        <v>16</v>
      </c>
      <c r="AF104" s="19">
        <f>VLOOKUP(C104,ANTIGÜEDAD!A:BE,18,FALSE)</f>
        <v>0</v>
      </c>
      <c r="AG104" s="30">
        <f>IFERROR(VLOOKUP(C104,Ahorros_concentrado!B:D,3,FALSE),0)</f>
        <v>1566</v>
      </c>
      <c r="AH104" s="43">
        <f t="shared" ca="1" si="19"/>
        <v>4.9770692499118051E-2</v>
      </c>
      <c r="AI104" s="19" t="str">
        <f>IF(VLOOKUP(C104,ANTIGÜEDAD!A:AG,33,0)="Entregado","Vigente",IF(VLOOKUP(C104,ANTIGÜEDAD!A:AG,33,0)="Liquidado","Desertor sin mora",""))</f>
        <v>Vigente</v>
      </c>
      <c r="AJ104" s="98" t="str">
        <f t="shared" si="20"/>
        <v>000008801</v>
      </c>
    </row>
    <row r="105" spans="1:36" x14ac:dyDescent="0.3">
      <c r="A105" s="19" t="str">
        <f>VLOOKUP(C105,ANTIGÜEDAD!A:BJ,4,FALSE)</f>
        <v>IRVIN URIEL MORA VELAZCO</v>
      </c>
      <c r="B105" s="19" t="str">
        <f>IFERROR(VLOOKUP(ANTIGÜEDAD!F104,'Parche Promotores'!A:B,2,0),ANTIGÜEDAD!F104)</f>
        <v>Flores Mendez Veronica</v>
      </c>
      <c r="C105" s="6" t="str">
        <f>TEXT(ANTIGÜEDAD!I104,"000000")</f>
        <v>000168</v>
      </c>
      <c r="D105" s="6" t="str">
        <f>ANTIGÜEDAD!K104</f>
        <v>COLIBRI</v>
      </c>
      <c r="E105" s="29" t="str">
        <f>IFERROR(VLOOKUP(C105,'SITUACIÓN DE CARTERA'!A:AR,12,FALSE),VLOOKUP(C105,ANTIGÜEDAD!A:J,10,0))</f>
        <v>01</v>
      </c>
      <c r="F105" s="30">
        <f>VLOOKUP(C105,ANTIGÜEDAD!A:BE,17,FALSE)</f>
        <v>70000</v>
      </c>
      <c r="G105" s="30" t="str">
        <f>VLOOKUP(C105,ANTIGÜEDAD!A:BE,12,FALSE)</f>
        <v>MIGRADO</v>
      </c>
      <c r="H105" s="31">
        <f>VLOOKUP(C105,ANTIGÜEDAD!A:BE,14,FALSE)</f>
        <v>45950</v>
      </c>
      <c r="I105" s="19">
        <f>VLOOKUP(C105,ANTIGÜEDAD!A:BE,19,FALSE)</f>
        <v>16</v>
      </c>
      <c r="J105" s="31" t="str">
        <f>VLOOKUP(C105,ANTIGÜEDAD!A:BE,56,FALSE)</f>
        <v>Lunes</v>
      </c>
      <c r="K105" s="32" t="str">
        <f>VLOOKUP(C105,ANTIGÜEDAD!A:BE,57,FALSE)</f>
        <v>13:00</v>
      </c>
      <c r="L105" s="19" t="str">
        <f>VLOOKUP(C105,ANTIGÜEDAD!A:BE,20,FALSE)</f>
        <v>Semanal</v>
      </c>
      <c r="M105" s="30">
        <f>VLOOKUP(C105,ANTIGÜEDAD!A:BE,21,FALSE)</f>
        <v>5320.05</v>
      </c>
      <c r="N105" s="33" t="str">
        <f>IFERROR(VLOOKUP(C105,'Reporte de cobranza'!G:BL,34,FALSE),"")</f>
        <v>03/11/2025</v>
      </c>
      <c r="O105" s="30">
        <f>IF(AI105="Desertor sin mora",0,VLOOKUP(C105,ANTIGÜEDAD!A:BJ,44,FALSE))</f>
        <v>79800.75</v>
      </c>
      <c r="P105" s="30">
        <f t="shared" si="15"/>
        <v>85120.8</v>
      </c>
      <c r="Q105" s="30">
        <f t="shared" ca="1" si="11"/>
        <v>79800.75</v>
      </c>
      <c r="R105" s="30">
        <f>IF(AI105="Desertor sin mora",0,VLOOKUP(C105,ANTIGÜEDAD!A:BJ,26,FALSE))</f>
        <v>65625.05</v>
      </c>
      <c r="S105" s="30">
        <f t="shared" ca="1" si="16"/>
        <v>0</v>
      </c>
      <c r="T105" s="30">
        <f>IF(V105&gt;0,IF(VLOOKUP(TEXT(C105,"000000"),Ahorros_concentrado!B:D,3,0)+F105*0.1&gt;V105,V105,VLOOKUP(TEXT(C105,"000000"),Ahorros_concentrado!B:D,3,0)+F105*0.1),0)</f>
        <v>0</v>
      </c>
      <c r="U105" s="30">
        <f t="shared" si="17"/>
        <v>0</v>
      </c>
      <c r="V105" s="30">
        <f>IF(AI105="Desertor sin mora",0,VLOOKUP(C105,'SITUACIÓN DE CARTERA'!A:AR,26,FALSE))</f>
        <v>0</v>
      </c>
      <c r="W105" s="134">
        <f>IF(AI105="Desertor sin mora",0,VLOOKUP(C105,'SITUACIÓN DE CARTERA'!A:AR,27,FALSE))/100</f>
        <v>0</v>
      </c>
      <c r="X105" s="30">
        <f>IF(V105&gt;0,VLOOKUP(C105,ANTIGÜEDAD!A:BE,26,FALSE),0)</f>
        <v>0</v>
      </c>
      <c r="Z105" s="34">
        <f>IF(AI105="Desertor sin mora",VLOOKUP(C105,ANTIGÜEDAD!A:Q,17,0)/AA105,F105/AA105)</f>
        <v>11666.666666666666</v>
      </c>
      <c r="AA105" s="19">
        <f>IF(AI105="Desertor sin mora",VLOOKUP(C105,ANTIGÜEDAD!A:M,13,0),VLOOKUP(C105,'SITUACIÓN DE CARTERA'!A:AR,43,FALSE))</f>
        <v>6</v>
      </c>
      <c r="AB105" s="19">
        <f t="shared" ca="1" si="18"/>
        <v>1</v>
      </c>
      <c r="AC105" s="42">
        <f>IF(AI105="Desertor sin mora",0,(VLOOKUP(C105,'SITUACIÓN DE CARTERA'!A:AS,45,FALSE))/M105)</f>
        <v>0.9999906015920903</v>
      </c>
      <c r="AD105" s="19">
        <f>IF(AI105="Desertor sin mora",0,VLOOKUP(C105,'Reporte de cobranza'!G:BL,35,FALSE))</f>
        <v>15</v>
      </c>
      <c r="AE105" s="19">
        <f>IF(AI105="Desertor sin mora",I105,VLOOKUP(C105,'Reporte de cobranza'!G:BL,36,FALSE))</f>
        <v>16</v>
      </c>
      <c r="AF105" s="19">
        <f>VLOOKUP(C105,ANTIGÜEDAD!A:BE,18,FALSE)</f>
        <v>0</v>
      </c>
      <c r="AG105" s="30">
        <f>IFERROR(VLOOKUP(C105,Ahorros_concentrado!B:D,3,FALSE),0)</f>
        <v>282</v>
      </c>
      <c r="AH105" s="43">
        <f t="shared" ca="1" si="19"/>
        <v>5.3007020610708541E-2</v>
      </c>
      <c r="AI105" s="19" t="str">
        <f>IF(VLOOKUP(C105,ANTIGÜEDAD!A:AG,33,0)="Entregado","Vigente",IF(VLOOKUP(C105,ANTIGÜEDAD!A:AG,33,0)="Liquidado","Desertor sin mora",""))</f>
        <v>Vigente</v>
      </c>
      <c r="AJ105" s="98" t="str">
        <f t="shared" si="20"/>
        <v>000016801</v>
      </c>
    </row>
    <row r="106" spans="1:36" x14ac:dyDescent="0.3">
      <c r="A106" s="19" t="str">
        <f>VLOOKUP(C106,ANTIGÜEDAD!A:BJ,4,FALSE)</f>
        <v>JUDITH PATRICIA SERRANO HERRER</v>
      </c>
      <c r="B106" s="19" t="str">
        <f>IFERROR(VLOOKUP(ANTIGÜEDAD!F105,'Parche Promotores'!A:B,2,0),ANTIGÜEDAD!F105)</f>
        <v>Cabrera Flores Viridiana</v>
      </c>
      <c r="C106" s="6" t="str">
        <f>TEXT(ANTIGÜEDAD!I105,"000000")</f>
        <v>000008</v>
      </c>
      <c r="D106" s="6" t="str">
        <f>ANTIGÜEDAD!K105</f>
        <v>LIDERES UNIDOS</v>
      </c>
      <c r="E106" s="29" t="str">
        <f>IFERROR(VLOOKUP(C106,'SITUACIÓN DE CARTERA'!A:AR,12,FALSE),VLOOKUP(C106,ANTIGÜEDAD!A:J,10,0))</f>
        <v>01</v>
      </c>
      <c r="F106" s="30">
        <f>VLOOKUP(C106,ANTIGÜEDAD!A:BE,17,FALSE)</f>
        <v>125000</v>
      </c>
      <c r="G106" s="30" t="str">
        <f>VLOOKUP(C106,ANTIGÜEDAD!A:BE,12,FALSE)</f>
        <v>MIGRADO</v>
      </c>
      <c r="H106" s="31">
        <f>VLOOKUP(C106,ANTIGÜEDAD!A:BE,14,FALSE)</f>
        <v>45880</v>
      </c>
      <c r="I106" s="19">
        <f>VLOOKUP(C106,ANTIGÜEDAD!A:BE,19,FALSE)</f>
        <v>16</v>
      </c>
      <c r="J106" s="31" t="str">
        <f>VLOOKUP(C106,ANTIGÜEDAD!A:BE,56,FALSE)</f>
        <v>Lunes</v>
      </c>
      <c r="K106" s="32" t="str">
        <f>VLOOKUP(C106,ANTIGÜEDAD!A:BE,57,FALSE)</f>
        <v>10:00</v>
      </c>
      <c r="L106" s="19" t="str">
        <f>VLOOKUP(C106,ANTIGÜEDAD!A:BE,20,FALSE)</f>
        <v>Semanal</v>
      </c>
      <c r="M106" s="30">
        <f>VLOOKUP(C106,ANTIGÜEDAD!A:BE,21,FALSE)</f>
        <v>9500.08</v>
      </c>
      <c r="N106" s="33" t="str">
        <f>IFERROR(VLOOKUP(C106,'Reporte de cobranza'!G:BL,34,FALSE),"")</f>
        <v>03/11/2025</v>
      </c>
      <c r="O106" s="30">
        <f>IF(AI106="Desertor sin mora",0,VLOOKUP(C106,ANTIGÜEDAD!A:BJ,44,FALSE))</f>
        <v>47501.17</v>
      </c>
      <c r="P106" s="30">
        <f t="shared" si="15"/>
        <v>152001.28</v>
      </c>
      <c r="Q106" s="30">
        <f t="shared" ca="1" si="11"/>
        <v>47501.17</v>
      </c>
      <c r="R106" s="30">
        <f>IF(AI106="Desertor sin mora",0,VLOOKUP(C106,ANTIGÜEDAD!A:BJ,26,FALSE))</f>
        <v>39063.26</v>
      </c>
      <c r="S106" s="30">
        <f t="shared" ca="1" si="16"/>
        <v>0</v>
      </c>
      <c r="T106" s="30">
        <f>IF(V106&gt;0,IF(VLOOKUP(TEXT(C106,"000000"),Ahorros_concentrado!B:D,3,0)+F106*0.1&gt;V106,V106,VLOOKUP(TEXT(C106,"000000"),Ahorros_concentrado!B:D,3,0)+F106*0.1),0)</f>
        <v>0</v>
      </c>
      <c r="U106" s="30">
        <f t="shared" si="17"/>
        <v>0</v>
      </c>
      <c r="V106" s="30">
        <f>IF(AI106="Desertor sin mora",0,VLOOKUP(C106,'SITUACIÓN DE CARTERA'!A:AR,26,FALSE))</f>
        <v>0</v>
      </c>
      <c r="W106" s="134">
        <f>IF(AI106="Desertor sin mora",0,VLOOKUP(C106,'SITUACIÓN DE CARTERA'!A:AR,27,FALSE))/100</f>
        <v>0</v>
      </c>
      <c r="X106" s="30">
        <f>IF(V106&gt;0,VLOOKUP(C106,ANTIGÜEDAD!A:BE,26,FALSE),0)</f>
        <v>0</v>
      </c>
      <c r="Z106" s="34">
        <f>IF(AI106="Desertor sin mora",VLOOKUP(C106,ANTIGÜEDAD!A:Q,17,0)/AA106,F106/AA106)</f>
        <v>10416.666666666666</v>
      </c>
      <c r="AA106" s="19">
        <f>IF(AI106="Desertor sin mora",VLOOKUP(C106,ANTIGÜEDAD!A:M,13,0),VLOOKUP(C106,'SITUACIÓN DE CARTERA'!A:AR,43,FALSE))</f>
        <v>12</v>
      </c>
      <c r="AB106" s="19">
        <f t="shared" ca="1" si="18"/>
        <v>11</v>
      </c>
      <c r="AC106" s="42">
        <f>IF(AI106="Desertor sin mora",0,(VLOOKUP(C106,'SITUACIÓN DE CARTERA'!A:AS,45,FALSE))/M106)</f>
        <v>10.999924211164538</v>
      </c>
      <c r="AD106" s="19">
        <f>IF(AI106="Desertor sin mora",0,VLOOKUP(C106,'Reporte de cobranza'!G:BL,35,FALSE))</f>
        <v>5</v>
      </c>
      <c r="AE106" s="19">
        <f>IF(AI106="Desertor sin mora",I106,VLOOKUP(C106,'Reporte de cobranza'!G:BL,36,FALSE))</f>
        <v>16</v>
      </c>
      <c r="AF106" s="19">
        <f>VLOOKUP(C106,ANTIGÜEDAD!A:BE,18,FALSE)</f>
        <v>0</v>
      </c>
      <c r="AG106" s="30">
        <f>IFERROR(VLOOKUP(C106,Ahorros_concentrado!B:D,3,FALSE),0)</f>
        <v>8069.84</v>
      </c>
      <c r="AH106" s="43">
        <f t="shared" ca="1" si="19"/>
        <v>7.7222698985884131E-2</v>
      </c>
      <c r="AI106" s="19" t="str">
        <f>IF(VLOOKUP(C106,ANTIGÜEDAD!A:AG,33,0)="Entregado","Vigente",IF(VLOOKUP(C106,ANTIGÜEDAD!A:AG,33,0)="Liquidado","Desertor sin mora",""))</f>
        <v>Vigente</v>
      </c>
      <c r="AJ106" s="98" t="str">
        <f t="shared" si="20"/>
        <v>000000801</v>
      </c>
    </row>
    <row r="107" spans="1:36" x14ac:dyDescent="0.3">
      <c r="A107" s="19" t="str">
        <f>VLOOKUP(C107,ANTIGÜEDAD!A:BJ,4,FALSE)</f>
        <v>Adriana Alejaldre Guzman</v>
      </c>
      <c r="B107" s="19" t="str">
        <f>IFERROR(VLOOKUP(ANTIGÜEDAD!F106,'Parche Promotores'!A:B,2,0),ANTIGÜEDAD!F106)</f>
        <v>Lopez Cabrera Edith Alejandra</v>
      </c>
      <c r="C107" s="6" t="str">
        <f>TEXT(ANTIGÜEDAD!I106,"000000")</f>
        <v>000075</v>
      </c>
      <c r="D107" s="6" t="str">
        <f>ANTIGÜEDAD!K106</f>
        <v>SERPENTINA</v>
      </c>
      <c r="E107" s="29" t="str">
        <f>IFERROR(VLOOKUP(C107,'SITUACIÓN DE CARTERA'!A:AR,12,FALSE),VLOOKUP(C107,ANTIGÜEDAD!A:J,10,0))</f>
        <v>01</v>
      </c>
      <c r="F107" s="30">
        <f>VLOOKUP(C107,ANTIGÜEDAD!A:BE,17,FALSE)</f>
        <v>150000</v>
      </c>
      <c r="G107" s="30" t="str">
        <f>VLOOKUP(C107,ANTIGÜEDAD!A:BE,12,FALSE)</f>
        <v>MIGRADO</v>
      </c>
      <c r="H107" s="31">
        <f>VLOOKUP(C107,ANTIGÜEDAD!A:BE,14,FALSE)</f>
        <v>45911</v>
      </c>
      <c r="I107" s="19">
        <f>VLOOKUP(C107,ANTIGÜEDAD!A:BE,19,FALSE)</f>
        <v>16</v>
      </c>
      <c r="J107" s="31" t="str">
        <f>VLOOKUP(C107,ANTIGÜEDAD!A:BE,56,FALSE)</f>
        <v>Lunes</v>
      </c>
      <c r="K107" s="32" t="str">
        <f>VLOOKUP(C107,ANTIGÜEDAD!A:BE,57,FALSE)</f>
        <v>16:00</v>
      </c>
      <c r="L107" s="19" t="str">
        <f>VLOOKUP(C107,ANTIGÜEDAD!A:BE,20,FALSE)</f>
        <v>Semanal</v>
      </c>
      <c r="M107" s="30">
        <f>VLOOKUP(C107,ANTIGÜEDAD!A:BE,21,FALSE)</f>
        <v>11400.1</v>
      </c>
      <c r="N107" s="33" t="str">
        <f>IFERROR(VLOOKUP(C107,'Reporte de cobranza'!G:BL,34,FALSE),"")</f>
        <v>03/11/2025</v>
      </c>
      <c r="O107" s="30">
        <f>IF(AI107="Desertor sin mora",0,VLOOKUP(C107,ANTIGÜEDAD!A:BJ,44,FALSE))</f>
        <v>102552.6</v>
      </c>
      <c r="P107" s="30">
        <f t="shared" si="15"/>
        <v>182401.6</v>
      </c>
      <c r="Q107" s="30">
        <f t="shared" ca="1" si="11"/>
        <v>114001</v>
      </c>
      <c r="R107" s="30">
        <f>IF(AI107="Desertor sin mora",0,VLOOKUP(C107,ANTIGÜEDAD!A:BJ,26,FALSE))</f>
        <v>84375</v>
      </c>
      <c r="S107" s="30">
        <f t="shared" ca="1" si="16"/>
        <v>-11448.399999999994</v>
      </c>
      <c r="T107" s="30">
        <f>IF(V107&gt;0,IF(VLOOKUP(TEXT(C107,"000000"),Ahorros_concentrado!B:D,3,0)+F107*0.1&gt;V107,V107,VLOOKUP(TEXT(C107,"000000"),Ahorros_concentrado!B:D,3,0)+F107*0.1),0)</f>
        <v>0</v>
      </c>
      <c r="U107" s="30">
        <f t="shared" si="17"/>
        <v>0</v>
      </c>
      <c r="V107" s="30">
        <f>IF(AI107="Desertor sin mora",0,VLOOKUP(C107,'SITUACIÓN DE CARTERA'!A:AR,26,FALSE))</f>
        <v>0</v>
      </c>
      <c r="W107" s="134">
        <f>IF(AI107="Desertor sin mora",0,VLOOKUP(C107,'SITUACIÓN DE CARTERA'!A:AR,27,FALSE))/100</f>
        <v>0</v>
      </c>
      <c r="X107" s="30">
        <f>IF(V107&gt;0,VLOOKUP(C107,ANTIGÜEDAD!A:BE,26,FALSE),0)</f>
        <v>0</v>
      </c>
      <c r="Z107" s="34">
        <f>IF(AI107="Desertor sin mora",VLOOKUP(C107,ANTIGÜEDAD!A:Q,17,0)/AA107,F107/AA107)</f>
        <v>21428.571428571428</v>
      </c>
      <c r="AA107" s="19">
        <f>IF(AI107="Desertor sin mora",VLOOKUP(C107,ANTIGÜEDAD!A:M,13,0),VLOOKUP(C107,'SITUACIÓN DE CARTERA'!A:AR,43,FALSE))</f>
        <v>7</v>
      </c>
      <c r="AB107" s="19">
        <f t="shared" ca="1" si="18"/>
        <v>6</v>
      </c>
      <c r="AC107" s="42">
        <f>IF(AI107="Desertor sin mora",0,(VLOOKUP(C107,'SITUACIÓN DE CARTERA'!A:AS,45,FALSE))/M107)</f>
        <v>7.004236804940307</v>
      </c>
      <c r="AD107" s="19">
        <f>IF(AI107="Desertor sin mora",0,VLOOKUP(C107,'Reporte de cobranza'!G:BL,35,FALSE))</f>
        <v>10</v>
      </c>
      <c r="AE107" s="19">
        <f>IF(AI107="Desertor sin mora",I107,VLOOKUP(C107,'Reporte de cobranza'!G:BL,36,FALSE))</f>
        <v>16</v>
      </c>
      <c r="AF107" s="19">
        <f>VLOOKUP(C107,ANTIGÜEDAD!A:BE,18,FALSE)</f>
        <v>0</v>
      </c>
      <c r="AG107" s="30">
        <f>IFERROR(VLOOKUP(C107,Ahorros_concentrado!B:D,3,FALSE),0)</f>
        <v>3941</v>
      </c>
      <c r="AH107" s="43">
        <f t="shared" ca="1" si="19"/>
        <v>5.7616453656839262E-2</v>
      </c>
      <c r="AI107" s="19" t="str">
        <f>IF(VLOOKUP(C107,ANTIGÜEDAD!A:AG,33,0)="Entregado","Vigente",IF(VLOOKUP(C107,ANTIGÜEDAD!A:AG,33,0)="Liquidado","Desertor sin mora",""))</f>
        <v>Vigente</v>
      </c>
      <c r="AJ107" s="98" t="str">
        <f t="shared" si="20"/>
        <v>000007501</v>
      </c>
    </row>
    <row r="108" spans="1:36" x14ac:dyDescent="0.3">
      <c r="A108" s="19" t="str">
        <f>VLOOKUP(C108,ANTIGÜEDAD!A:BJ,4,FALSE)</f>
        <v>ADRIANA ALEJALDRE GUZMAN</v>
      </c>
      <c r="B108" s="19" t="str">
        <f>IFERROR(VLOOKUP(ANTIGÜEDAD!F107,'Parche Promotores'!A:B,2,0),ANTIGÜEDAD!F107)</f>
        <v>Contreras Martinez Jose Luis</v>
      </c>
      <c r="C108" s="6" t="str">
        <f>TEXT(ANTIGÜEDAD!I107,"000000")</f>
        <v>000073</v>
      </c>
      <c r="D108" s="6" t="str">
        <f>ANTIGÜEDAD!K107</f>
        <v>LENTEJUELAS</v>
      </c>
      <c r="E108" s="29" t="str">
        <f>IFERROR(VLOOKUP(C108,'SITUACIÓN DE CARTERA'!A:AR,12,FALSE),VLOOKUP(C108,ANTIGÜEDAD!A:J,10,0))</f>
        <v>01</v>
      </c>
      <c r="F108" s="30">
        <f>VLOOKUP(C108,ANTIGÜEDAD!A:BE,17,FALSE)</f>
        <v>142000</v>
      </c>
      <c r="G108" s="30" t="str">
        <f>VLOOKUP(C108,ANTIGÜEDAD!A:BE,12,FALSE)</f>
        <v>MIGRADO</v>
      </c>
      <c r="H108" s="31">
        <f>VLOOKUP(C108,ANTIGÜEDAD!A:BE,14,FALSE)</f>
        <v>45912</v>
      </c>
      <c r="I108" s="19">
        <f>VLOOKUP(C108,ANTIGÜEDAD!A:BE,19,FALSE)</f>
        <v>16</v>
      </c>
      <c r="J108" s="31" t="str">
        <f>VLOOKUP(C108,ANTIGÜEDAD!A:BE,56,FALSE)</f>
        <v>Viernes</v>
      </c>
      <c r="K108" s="32" t="str">
        <f>VLOOKUP(C108,ANTIGÜEDAD!A:BE,57,FALSE)</f>
        <v>14:00</v>
      </c>
      <c r="L108" s="19" t="str">
        <f>VLOOKUP(C108,ANTIGÜEDAD!A:BE,20,FALSE)</f>
        <v>Semanal</v>
      </c>
      <c r="M108" s="30">
        <f>VLOOKUP(C108,ANTIGÜEDAD!A:BE,21,FALSE)</f>
        <v>10792.09</v>
      </c>
      <c r="N108" s="33" t="str">
        <f>IFERROR(VLOOKUP(C108,'Reporte de cobranza'!G:BL,34,FALSE),"")</f>
        <v>07/11/2025</v>
      </c>
      <c r="O108" s="30">
        <f>IF(AI108="Desertor sin mora",0,VLOOKUP(C108,ANTIGÜEDAD!A:BJ,44,FALSE))</f>
        <v>97059.51</v>
      </c>
      <c r="P108" s="30">
        <f t="shared" si="15"/>
        <v>172673.44</v>
      </c>
      <c r="Q108" s="30">
        <f t="shared" ca="1" si="11"/>
        <v>97128.81</v>
      </c>
      <c r="R108" s="30">
        <f>IF(AI108="Desertor sin mora",0,VLOOKUP(C108,ANTIGÜEDAD!A:BJ,26,FALSE))</f>
        <v>79875</v>
      </c>
      <c r="S108" s="30">
        <f t="shared" ca="1" si="16"/>
        <v>-69.30000000000291</v>
      </c>
      <c r="T108" s="30">
        <f>IF(V108&gt;0,IF(VLOOKUP(TEXT(C108,"000000"),Ahorros_concentrado!B:D,3,0)+F108*0.1&gt;V108,V108,VLOOKUP(TEXT(C108,"000000"),Ahorros_concentrado!B:D,3,0)+F108*0.1),0)</f>
        <v>0</v>
      </c>
      <c r="U108" s="30">
        <f t="shared" si="17"/>
        <v>0</v>
      </c>
      <c r="V108" s="30">
        <f>IF(AI108="Desertor sin mora",0,VLOOKUP(C108,'SITUACIÓN DE CARTERA'!A:AR,26,FALSE))</f>
        <v>0</v>
      </c>
      <c r="W108" s="134">
        <f>IF(AI108="Desertor sin mora",0,VLOOKUP(C108,'SITUACIÓN DE CARTERA'!A:AR,27,FALSE))/100</f>
        <v>0</v>
      </c>
      <c r="X108" s="30">
        <f>IF(V108&gt;0,VLOOKUP(C108,ANTIGÜEDAD!A:BE,26,FALSE),0)</f>
        <v>0</v>
      </c>
      <c r="Z108" s="34">
        <f>IF(AI108="Desertor sin mora",VLOOKUP(C108,ANTIGÜEDAD!A:Q,17,0)/AA108,F108/AA108)</f>
        <v>14200</v>
      </c>
      <c r="AA108" s="19">
        <f>IF(AI108="Desertor sin mora",VLOOKUP(C108,ANTIGÜEDAD!A:M,13,0),VLOOKUP(C108,'SITUACIÓN DE CARTERA'!A:AR,43,FALSE))</f>
        <v>10</v>
      </c>
      <c r="AB108" s="19">
        <f t="shared" ca="1" si="18"/>
        <v>7</v>
      </c>
      <c r="AC108" s="42">
        <f>IF(AI108="Desertor sin mora",0,(VLOOKUP(C108,'SITUACIÓN DE CARTERA'!A:AS,45,FALSE))/M108)</f>
        <v>7.0064278559574653</v>
      </c>
      <c r="AD108" s="19">
        <f>IF(AI108="Desertor sin mora",0,VLOOKUP(C108,'Reporte de cobranza'!G:BL,35,FALSE))</f>
        <v>9</v>
      </c>
      <c r="AE108" s="19">
        <f>IF(AI108="Desertor sin mora",I108,VLOOKUP(C108,'Reporte de cobranza'!G:BL,36,FALSE))</f>
        <v>16</v>
      </c>
      <c r="AF108" s="19">
        <f>VLOOKUP(C108,ANTIGÜEDAD!A:BE,18,FALSE)</f>
        <v>0</v>
      </c>
      <c r="AG108" s="30">
        <f>IFERROR(VLOOKUP(C108,Ahorros_concentrado!B:D,3,FALSE),0)</f>
        <v>540</v>
      </c>
      <c r="AH108" s="43">
        <f t="shared" ca="1" si="19"/>
        <v>7.1480924587227438E-3</v>
      </c>
      <c r="AI108" s="19" t="str">
        <f>IF(VLOOKUP(C108,ANTIGÜEDAD!A:AG,33,0)="Entregado","Vigente",IF(VLOOKUP(C108,ANTIGÜEDAD!A:AG,33,0)="Liquidado","Desertor sin mora",""))</f>
        <v>Vigente</v>
      </c>
      <c r="AJ108" s="98" t="str">
        <f t="shared" si="20"/>
        <v>000007301</v>
      </c>
    </row>
    <row r="109" spans="1:36" x14ac:dyDescent="0.3">
      <c r="A109" s="19" t="str">
        <f>VLOOKUP(C109,ANTIGÜEDAD!A:BJ,4,FALSE)</f>
        <v>ADRIANA ALEJALDRE GUZMAN</v>
      </c>
      <c r="B109" s="19" t="str">
        <f>IFERROR(VLOOKUP(ANTIGÜEDAD!F108,'Parche Promotores'!A:B,2,0),ANTIGÜEDAD!F108)</f>
        <v>Contreras Martinez Jose Luis</v>
      </c>
      <c r="C109" s="6" t="str">
        <f>TEXT(ANTIGÜEDAD!I108,"000000")</f>
        <v>000102</v>
      </c>
      <c r="D109" s="6" t="str">
        <f>ANTIGÜEDAD!K108</f>
        <v>PEONIAS</v>
      </c>
      <c r="E109" s="29" t="str">
        <f>IFERROR(VLOOKUP(C109,'SITUACIÓN DE CARTERA'!A:AR,12,FALSE),VLOOKUP(C109,ANTIGÜEDAD!A:J,10,0))</f>
        <v>01</v>
      </c>
      <c r="F109" s="30">
        <f>VLOOKUP(C109,ANTIGÜEDAD!A:BE,17,FALSE)</f>
        <v>114000</v>
      </c>
      <c r="G109" s="30" t="str">
        <f>VLOOKUP(C109,ANTIGÜEDAD!A:BE,12,FALSE)</f>
        <v>MIGRADO</v>
      </c>
      <c r="H109" s="31">
        <f>VLOOKUP(C109,ANTIGÜEDAD!A:BE,14,FALSE)</f>
        <v>45923</v>
      </c>
      <c r="I109" s="19">
        <f>VLOOKUP(C109,ANTIGÜEDAD!A:BE,19,FALSE)</f>
        <v>16</v>
      </c>
      <c r="J109" s="31" t="str">
        <f>VLOOKUP(C109,ANTIGÜEDAD!A:BE,56,FALSE)</f>
        <v>Martes</v>
      </c>
      <c r="K109" s="32" t="str">
        <f>VLOOKUP(C109,ANTIGÜEDAD!A:BE,57,FALSE)</f>
        <v>13:00</v>
      </c>
      <c r="L109" s="19" t="str">
        <f>VLOOKUP(C109,ANTIGÜEDAD!A:BE,20,FALSE)</f>
        <v>Semanal</v>
      </c>
      <c r="M109" s="30">
        <f>VLOOKUP(C109,ANTIGÜEDAD!A:BE,21,FALSE)</f>
        <v>8664.08</v>
      </c>
      <c r="N109" s="33" t="str">
        <f>IFERROR(VLOOKUP(C109,'Reporte de cobranza'!G:BL,34,FALSE),"")</f>
        <v>04/11/2025</v>
      </c>
      <c r="O109" s="30">
        <f>IF(AI109="Desertor sin mora",0,VLOOKUP(C109,ANTIGÜEDAD!A:BJ,44,FALSE))</f>
        <v>95072.74</v>
      </c>
      <c r="P109" s="30">
        <f t="shared" si="15"/>
        <v>138625.28</v>
      </c>
      <c r="Q109" s="30">
        <f t="shared" ca="1" si="11"/>
        <v>95304.88</v>
      </c>
      <c r="R109" s="30">
        <f>IF(AI109="Desertor sin mora",0,VLOOKUP(C109,ANTIGÜEDAD!A:BJ,26,FALSE))</f>
        <v>78375</v>
      </c>
      <c r="S109" s="30">
        <f t="shared" ca="1" si="16"/>
        <v>-232.13999999999942</v>
      </c>
      <c r="T109" s="30">
        <f>IF(V109&gt;0,IF(VLOOKUP(TEXT(C109,"000000"),Ahorros_concentrado!B:D,3,0)+F109*0.1&gt;V109,V109,VLOOKUP(TEXT(C109,"000000"),Ahorros_concentrado!B:D,3,0)+F109*0.1),0)</f>
        <v>0</v>
      </c>
      <c r="U109" s="30">
        <f t="shared" si="17"/>
        <v>0</v>
      </c>
      <c r="V109" s="30">
        <f>IF(AI109="Desertor sin mora",0,VLOOKUP(C109,'SITUACIÓN DE CARTERA'!A:AR,26,FALSE))</f>
        <v>0</v>
      </c>
      <c r="W109" s="134">
        <f>IF(AI109="Desertor sin mora",0,VLOOKUP(C109,'SITUACIÓN DE CARTERA'!A:AR,27,FALSE))/100</f>
        <v>0</v>
      </c>
      <c r="X109" s="30">
        <f>IF(V109&gt;0,VLOOKUP(C109,ANTIGÜEDAD!A:BE,26,FALSE),0)</f>
        <v>0</v>
      </c>
      <c r="Z109" s="34">
        <f>IF(AI109="Desertor sin mora",VLOOKUP(C109,ANTIGÜEDAD!A:Q,17,0)/AA109,F109/AA109)</f>
        <v>12666.666666666666</v>
      </c>
      <c r="AA109" s="19">
        <f>IF(AI109="Desertor sin mora",VLOOKUP(C109,ANTIGÜEDAD!A:M,13,0),VLOOKUP(C109,'SITUACIÓN DE CARTERA'!A:AR,43,FALSE))</f>
        <v>9</v>
      </c>
      <c r="AB109" s="19">
        <f t="shared" ca="1" si="18"/>
        <v>5</v>
      </c>
      <c r="AC109" s="42">
        <f>IF(AI109="Desertor sin mora",0,(VLOOKUP(C109,'SITUACIÓN DE CARTERA'!A:AS,45,FALSE))/M109)</f>
        <v>5.026786456265409</v>
      </c>
      <c r="AD109" s="19">
        <f>IF(AI109="Desertor sin mora",0,VLOOKUP(C109,'Reporte de cobranza'!G:BL,35,FALSE))</f>
        <v>11</v>
      </c>
      <c r="AE109" s="19">
        <f>IF(AI109="Desertor sin mora",I109,VLOOKUP(C109,'Reporte de cobranza'!G:BL,36,FALSE))</f>
        <v>16</v>
      </c>
      <c r="AF109" s="19">
        <f>VLOOKUP(C109,ANTIGÜEDAD!A:BE,18,FALSE)</f>
        <v>0</v>
      </c>
      <c r="AG109" s="30">
        <f>IFERROR(VLOOKUP(C109,Ahorros_concentrado!B:D,3,FALSE),0)</f>
        <v>2607.0299999999988</v>
      </c>
      <c r="AH109" s="43">
        <f t="shared" ca="1" si="19"/>
        <v>6.0180192241992204E-2</v>
      </c>
      <c r="AI109" s="19" t="str">
        <f>IF(VLOOKUP(C109,ANTIGÜEDAD!A:AG,33,0)="Entregado","Vigente",IF(VLOOKUP(C109,ANTIGÜEDAD!A:AG,33,0)="Liquidado","Desertor sin mora",""))</f>
        <v>Vigente</v>
      </c>
      <c r="AJ109" s="98" t="str">
        <f t="shared" si="20"/>
        <v>000010201</v>
      </c>
    </row>
    <row r="110" spans="1:36" x14ac:dyDescent="0.3">
      <c r="A110" s="19" t="str">
        <f>VLOOKUP(C110,ANTIGÜEDAD!A:BJ,4,FALSE)</f>
        <v>IRVIN URIEL MORA VELAZCO</v>
      </c>
      <c r="B110" s="19" t="str">
        <f>IFERROR(VLOOKUP(ANTIGÜEDAD!F109,'Parche Promotores'!A:B,2,0),ANTIGÜEDAD!F109)</f>
        <v>Cuautle Pacheco Jheimy</v>
      </c>
      <c r="C110" s="6" t="str">
        <f>TEXT(ANTIGÜEDAD!I109,"000000")</f>
        <v>000198</v>
      </c>
      <c r="D110" s="6" t="str">
        <f>ANTIGÜEDAD!K109</f>
        <v>ELOHIM</v>
      </c>
      <c r="E110" s="29" t="str">
        <f>IFERROR(VLOOKUP(C110,'SITUACIÓN DE CARTERA'!A:AR,12,FALSE),VLOOKUP(C110,ANTIGÜEDAD!A:J,10,0))</f>
        <v>01</v>
      </c>
      <c r="F110" s="30">
        <f>VLOOKUP(C110,ANTIGÜEDAD!A:BE,17,FALSE)</f>
        <v>192000</v>
      </c>
      <c r="G110" s="30" t="str">
        <f>VLOOKUP(C110,ANTIGÜEDAD!A:BE,12,FALSE)</f>
        <v>MIGRADO</v>
      </c>
      <c r="H110" s="31">
        <f>VLOOKUP(C110,ANTIGÜEDAD!A:BE,14,FALSE)</f>
        <v>45959</v>
      </c>
      <c r="I110" s="19">
        <f>VLOOKUP(C110,ANTIGÜEDAD!A:BE,19,FALSE)</f>
        <v>16</v>
      </c>
      <c r="J110" s="31" t="str">
        <f>VLOOKUP(C110,ANTIGÜEDAD!A:BE,56,FALSE)</f>
        <v>Miércoles</v>
      </c>
      <c r="K110" s="32" t="str">
        <f>VLOOKUP(C110,ANTIGÜEDAD!A:BE,57,FALSE)</f>
        <v>10:00</v>
      </c>
      <c r="L110" s="19" t="str">
        <f>VLOOKUP(C110,ANTIGÜEDAD!A:BE,20,FALSE)</f>
        <v>Semanal</v>
      </c>
      <c r="M110" s="30">
        <f>VLOOKUP(C110,ANTIGÜEDAD!A:BE,21,FALSE)</f>
        <v>14592.130000000001</v>
      </c>
      <c r="N110" s="33" t="str">
        <f>IFERROR(VLOOKUP(C110,'Reporte de cobranza'!G:BL,34,FALSE),"")</f>
        <v>05/11/2025</v>
      </c>
      <c r="O110" s="30">
        <f>IF(AI110="Desertor sin mora",0,VLOOKUP(C110,ANTIGÜEDAD!A:BJ,44,FALSE))</f>
        <v>233474.05000000002</v>
      </c>
      <c r="P110" s="30">
        <f t="shared" si="15"/>
        <v>233474.08000000002</v>
      </c>
      <c r="Q110" s="30">
        <f t="shared" ca="1" si="11"/>
        <v>233474.08000000002</v>
      </c>
      <c r="R110" s="30">
        <f>IF(AI110="Desertor sin mora",0,VLOOKUP(C110,ANTIGÜEDAD!A:BJ,26,FALSE))</f>
        <v>192000</v>
      </c>
      <c r="S110" s="30">
        <f t="shared" ca="1" si="16"/>
        <v>-2.9999999998835847E-2</v>
      </c>
      <c r="T110" s="30">
        <f>IF(V110&gt;0,IF(VLOOKUP(TEXT(C110,"000000"),Ahorros_concentrado!B:D,3,0)+F110*0.1&gt;V110,V110,VLOOKUP(TEXT(C110,"000000"),Ahorros_concentrado!B:D,3,0)+F110*0.1),0)</f>
        <v>0</v>
      </c>
      <c r="U110" s="30">
        <f t="shared" si="17"/>
        <v>0</v>
      </c>
      <c r="V110" s="30">
        <f>IF(AI110="Desertor sin mora",0,VLOOKUP(C110,'SITUACIÓN DE CARTERA'!A:AR,26,FALSE))</f>
        <v>0</v>
      </c>
      <c r="W110" s="134">
        <f>IF(AI110="Desertor sin mora",0,VLOOKUP(C110,'SITUACIÓN DE CARTERA'!A:AR,27,FALSE))/100</f>
        <v>0</v>
      </c>
      <c r="X110" s="30">
        <f>IF(V110&gt;0,VLOOKUP(C110,ANTIGÜEDAD!A:BE,26,FALSE),0)</f>
        <v>0</v>
      </c>
      <c r="Z110" s="34">
        <f>IF(AI110="Desertor sin mora",VLOOKUP(C110,ANTIGÜEDAD!A:Q,17,0)/AA110,F110/AA110)</f>
        <v>32000</v>
      </c>
      <c r="AA110" s="19">
        <f>IF(AI110="Desertor sin mora",VLOOKUP(C110,ANTIGÜEDAD!A:M,13,0),VLOOKUP(C110,'SITUACIÓN DE CARTERA'!A:AR,43,FALSE))</f>
        <v>6</v>
      </c>
      <c r="AB110" s="19">
        <f t="shared" ca="1" si="18"/>
        <v>0</v>
      </c>
      <c r="AC110" s="42">
        <f>IF(AI110="Desertor sin mora",0,(VLOOKUP(C110,'SITUACIÓN DE CARTERA'!A:AS,45,FALSE))/M110)</f>
        <v>0</v>
      </c>
      <c r="AD110" s="19">
        <f>IF(AI110="Desertor sin mora",0,VLOOKUP(C110,'Reporte de cobranza'!G:BL,35,FALSE))</f>
        <v>16</v>
      </c>
      <c r="AE110" s="19">
        <f>IF(AI110="Desertor sin mora",I110,VLOOKUP(C110,'Reporte de cobranza'!G:BL,36,FALSE))</f>
        <v>16</v>
      </c>
      <c r="AF110" s="19">
        <f>VLOOKUP(C110,ANTIGÜEDAD!A:BE,18,FALSE)</f>
        <v>0</v>
      </c>
      <c r="AG110" s="30">
        <f>IFERROR(VLOOKUP(C110,Ahorros_concentrado!B:D,3,FALSE),0)</f>
        <v>0</v>
      </c>
      <c r="AH110" s="43">
        <f t="shared" ca="1" si="19"/>
        <v>0</v>
      </c>
      <c r="AI110" s="19" t="str">
        <f>IF(VLOOKUP(C110,ANTIGÜEDAD!A:AG,33,0)="Entregado","Vigente",IF(VLOOKUP(C110,ANTIGÜEDAD!A:AG,33,0)="Liquidado","Desertor sin mora",""))</f>
        <v>Vigente</v>
      </c>
      <c r="AJ110" s="98" t="str">
        <f t="shared" si="20"/>
        <v>000019801</v>
      </c>
    </row>
    <row r="111" spans="1:36" x14ac:dyDescent="0.3">
      <c r="A111" s="19" t="str">
        <f>VLOOKUP(C111,ANTIGÜEDAD!A:BJ,4,FALSE)</f>
        <v>JUDITH PATRICIA SERRANO HERRER</v>
      </c>
      <c r="B111" s="19" t="str">
        <f>IFERROR(VLOOKUP(ANTIGÜEDAD!F110,'Parche Promotores'!A:B,2,0),ANTIGÜEDAD!F110)</f>
        <v>ORTEGA FORTANEL GABRIELA</v>
      </c>
      <c r="C111" s="6" t="str">
        <f>TEXT(ANTIGÜEDAD!I110,"000000")</f>
        <v>000057</v>
      </c>
      <c r="D111" s="6" t="str">
        <f>ANTIGÜEDAD!K110</f>
        <v>TRIUNFADORAS</v>
      </c>
      <c r="E111" s="29" t="str">
        <f>IFERROR(VLOOKUP(C111,'SITUACIÓN DE CARTERA'!A:AR,12,FALSE),VLOOKUP(C111,ANTIGÜEDAD!A:J,10,0))</f>
        <v>01</v>
      </c>
      <c r="F111" s="30">
        <f>VLOOKUP(C111,ANTIGÜEDAD!A:BE,17,FALSE)</f>
        <v>210000</v>
      </c>
      <c r="G111" s="30" t="str">
        <f>VLOOKUP(C111,ANTIGÜEDAD!A:BE,12,FALSE)</f>
        <v>MIGRADO</v>
      </c>
      <c r="H111" s="31">
        <f>VLOOKUP(C111,ANTIGÜEDAD!A:BE,14,FALSE)</f>
        <v>45903</v>
      </c>
      <c r="I111" s="19">
        <f>VLOOKUP(C111,ANTIGÜEDAD!A:BE,19,FALSE)</f>
        <v>16</v>
      </c>
      <c r="J111" s="31" t="str">
        <f>VLOOKUP(C111,ANTIGÜEDAD!A:BE,56,FALSE)</f>
        <v>Miércoles</v>
      </c>
      <c r="K111" s="32" t="str">
        <f>VLOOKUP(C111,ANTIGÜEDAD!A:BE,57,FALSE)</f>
        <v>11:00</v>
      </c>
      <c r="L111" s="19" t="str">
        <f>VLOOKUP(C111,ANTIGÜEDAD!A:BE,20,FALSE)</f>
        <v>Semanal</v>
      </c>
      <c r="M111" s="30">
        <f>VLOOKUP(C111,ANTIGÜEDAD!A:BE,21,FALSE)</f>
        <v>15960.140000000001</v>
      </c>
      <c r="N111" s="33" t="str">
        <f>IFERROR(VLOOKUP(C111,'Reporte de cobranza'!G:BL,34,FALSE),"")</f>
        <v>05/11/2025</v>
      </c>
      <c r="O111" s="30">
        <f>IF(AI111="Desertor sin mora",0,VLOOKUP(C111,ANTIGÜEDAD!A:BJ,44,FALSE))</f>
        <v>127677.24</v>
      </c>
      <c r="P111" s="30">
        <f t="shared" si="15"/>
        <v>255362.24000000002</v>
      </c>
      <c r="Q111" s="30">
        <f t="shared" ca="1" si="11"/>
        <v>127681.12000000001</v>
      </c>
      <c r="R111" s="30">
        <f>IF(AI111="Desertor sin mora",0,VLOOKUP(C111,ANTIGÜEDAD!A:BJ,26,FALSE))</f>
        <v>105000</v>
      </c>
      <c r="S111" s="30">
        <f t="shared" ca="1" si="16"/>
        <v>-3.8800000000046566</v>
      </c>
      <c r="T111" s="30">
        <f>IF(V111&gt;0,IF(VLOOKUP(TEXT(C111,"000000"),Ahorros_concentrado!B:D,3,0)+F111*0.1&gt;V111,V111,VLOOKUP(TEXT(C111,"000000"),Ahorros_concentrado!B:D,3,0)+F111*0.1),0)</f>
        <v>0</v>
      </c>
      <c r="U111" s="30">
        <f t="shared" si="17"/>
        <v>0</v>
      </c>
      <c r="V111" s="30">
        <f>IF(AI111="Desertor sin mora",0,VLOOKUP(C111,'SITUACIÓN DE CARTERA'!A:AR,26,FALSE))</f>
        <v>0</v>
      </c>
      <c r="W111" s="134">
        <f>IF(AI111="Desertor sin mora",0,VLOOKUP(C111,'SITUACIÓN DE CARTERA'!A:AR,27,FALSE))/100</f>
        <v>0</v>
      </c>
      <c r="X111" s="30">
        <f>IF(V111&gt;0,VLOOKUP(C111,ANTIGÜEDAD!A:BE,26,FALSE),0)</f>
        <v>0</v>
      </c>
      <c r="Z111" s="34">
        <f>IF(AI111="Desertor sin mora",VLOOKUP(C111,ANTIGÜEDAD!A:Q,17,0)/AA111,F111/AA111)</f>
        <v>30000</v>
      </c>
      <c r="AA111" s="19">
        <f>IF(AI111="Desertor sin mora",VLOOKUP(C111,ANTIGÜEDAD!A:M,13,0),VLOOKUP(C111,'SITUACIÓN DE CARTERA'!A:AR,43,FALSE))</f>
        <v>7</v>
      </c>
      <c r="AB111" s="19">
        <f t="shared" ca="1" si="18"/>
        <v>8</v>
      </c>
      <c r="AC111" s="42">
        <f>IF(AI111="Desertor sin mora",0,(VLOOKUP(C111,'SITUACIÓN DE CARTERA'!A:AS,45,FALSE))/M111)</f>
        <v>8.0002431056369172</v>
      </c>
      <c r="AD111" s="19">
        <f>IF(AI111="Desertor sin mora",0,VLOOKUP(C111,'Reporte de cobranza'!G:BL,35,FALSE))</f>
        <v>8</v>
      </c>
      <c r="AE111" s="19">
        <f>IF(AI111="Desertor sin mora",I111,VLOOKUP(C111,'Reporte de cobranza'!G:BL,36,FALSE))</f>
        <v>16</v>
      </c>
      <c r="AF111" s="19">
        <f>VLOOKUP(C111,ANTIGÜEDAD!A:BE,18,FALSE)</f>
        <v>0</v>
      </c>
      <c r="AG111" s="30">
        <f>IFERROR(VLOOKUP(C111,Ahorros_concentrado!B:D,3,FALSE),0)</f>
        <v>7029</v>
      </c>
      <c r="AH111" s="43">
        <f t="shared" ca="1" si="19"/>
        <v>5.505120882398274E-2</v>
      </c>
      <c r="AI111" s="19" t="str">
        <f>IF(VLOOKUP(C111,ANTIGÜEDAD!A:AG,33,0)="Entregado","Vigente",IF(VLOOKUP(C111,ANTIGÜEDAD!A:AG,33,0)="Liquidado","Desertor sin mora",""))</f>
        <v>Vigente</v>
      </c>
      <c r="AJ111" s="98" t="str">
        <f t="shared" si="20"/>
        <v>000005701</v>
      </c>
    </row>
    <row r="112" spans="1:36" x14ac:dyDescent="0.3">
      <c r="A112" s="19" t="str">
        <f>VLOOKUP(C112,ANTIGÜEDAD!A:BJ,4,FALSE)</f>
        <v>JUAN EDMUNDO LUNA AGUILLON</v>
      </c>
      <c r="B112" s="19" t="str">
        <f>IFERROR(VLOOKUP(ANTIGÜEDAD!F111,'Parche Promotores'!A:B,2,0),ANTIGÜEDAD!F111)</f>
        <v>Sanchez Posada Jose Olimpo</v>
      </c>
      <c r="C112" s="6" t="str">
        <f>TEXT(ANTIGÜEDAD!I111,"000000")</f>
        <v>000122</v>
      </c>
      <c r="D112" s="6" t="str">
        <f>ANTIGÜEDAD!K111</f>
        <v>HOROSCOPOS</v>
      </c>
      <c r="E112" s="29" t="str">
        <f>IFERROR(VLOOKUP(C112,'SITUACIÓN DE CARTERA'!A:AR,12,FALSE),VLOOKUP(C112,ANTIGÜEDAD!A:J,10,0))</f>
        <v>01</v>
      </c>
      <c r="F112" s="30">
        <f>VLOOKUP(C112,ANTIGÜEDAD!A:BE,17,FALSE)</f>
        <v>65000</v>
      </c>
      <c r="G112" s="30" t="str">
        <f>VLOOKUP(C112,ANTIGÜEDAD!A:BE,12,FALSE)</f>
        <v>MIGRADO</v>
      </c>
      <c r="H112" s="31">
        <f>VLOOKUP(C112,ANTIGÜEDAD!A:BE,14,FALSE)</f>
        <v>45930</v>
      </c>
      <c r="I112" s="19">
        <f>VLOOKUP(C112,ANTIGÜEDAD!A:BE,19,FALSE)</f>
        <v>16</v>
      </c>
      <c r="J112" s="31" t="str">
        <f>VLOOKUP(C112,ANTIGÜEDAD!A:BE,56,FALSE)</f>
        <v>Martes</v>
      </c>
      <c r="K112" s="32" t="str">
        <f>VLOOKUP(C112,ANTIGÜEDAD!A:BE,57,FALSE)</f>
        <v>14:00</v>
      </c>
      <c r="L112" s="19" t="str">
        <f>VLOOKUP(C112,ANTIGÜEDAD!A:BE,20,FALSE)</f>
        <v>Semanal</v>
      </c>
      <c r="M112" s="30">
        <f>VLOOKUP(C112,ANTIGÜEDAD!A:BE,21,FALSE)</f>
        <v>4940.04</v>
      </c>
      <c r="N112" s="33" t="str">
        <f>IFERROR(VLOOKUP(C112,'Reporte de cobranza'!G:BL,34,FALSE),"")</f>
        <v>04/11/2025</v>
      </c>
      <c r="O112" s="30">
        <f>IF(AI112="Desertor sin mora",0,VLOOKUP(C112,ANTIGÜEDAD!A:BJ,44,FALSE))</f>
        <v>62860.65</v>
      </c>
      <c r="P112" s="30">
        <f t="shared" si="15"/>
        <v>79040.639999999999</v>
      </c>
      <c r="Q112" s="30">
        <f t="shared" ca="1" si="11"/>
        <v>62860.65</v>
      </c>
      <c r="R112" s="30">
        <f>IF(AI112="Desertor sin mora",0,VLOOKUP(C112,ANTIGÜEDAD!A:BJ,26,FALSE))</f>
        <v>52330.130000000005</v>
      </c>
      <c r="S112" s="30">
        <f t="shared" ca="1" si="16"/>
        <v>0</v>
      </c>
      <c r="T112" s="30">
        <f>IF(V112&gt;0,IF(VLOOKUP(TEXT(C112,"000000"),Ahorros_concentrado!B:D,3,0)+F112*0.1&gt;V112,V112,VLOOKUP(TEXT(C112,"000000"),Ahorros_concentrado!B:D,3,0)+F112*0.1),0)</f>
        <v>3580.13</v>
      </c>
      <c r="U112" s="30">
        <f t="shared" si="17"/>
        <v>0</v>
      </c>
      <c r="V112" s="30">
        <f>IF(AI112="Desertor sin mora",0,VLOOKUP(C112,'SITUACIÓN DE CARTERA'!A:AR,26,FALSE))</f>
        <v>3580.13</v>
      </c>
      <c r="W112" s="134">
        <f>IF(AI112="Desertor sin mora",0,VLOOKUP(C112,'SITUACIÓN DE CARTERA'!A:AR,27,FALSE))/100</f>
        <v>6.8414315041831542E-2</v>
      </c>
      <c r="X112" s="30">
        <f>IF(V112&gt;0,VLOOKUP(C112,ANTIGÜEDAD!A:BE,26,FALSE),0)</f>
        <v>52330.130000000005</v>
      </c>
      <c r="Z112" s="34">
        <f>IF(AI112="Desertor sin mora",VLOOKUP(C112,ANTIGÜEDAD!A:Q,17,0)/AA112,F112/AA112)</f>
        <v>13000</v>
      </c>
      <c r="AA112" s="19">
        <f>IF(AI112="Desertor sin mora",VLOOKUP(C112,ANTIGÜEDAD!A:M,13,0),VLOOKUP(C112,'SITUACIÓN DE CARTERA'!A:AR,43,FALSE))</f>
        <v>5</v>
      </c>
      <c r="AB112" s="19">
        <f t="shared" ca="1" si="18"/>
        <v>4</v>
      </c>
      <c r="AC112" s="42">
        <f>IF(AI112="Desertor sin mora",0,(VLOOKUP(C112,'SITUACIÓN DE CARTERA'!A:AS,45,FALSE))/M112)</f>
        <v>3.2752852203625884</v>
      </c>
      <c r="AD112" s="19">
        <f>IF(AI112="Desertor sin mora",0,VLOOKUP(C112,'Reporte de cobranza'!G:BL,35,FALSE))</f>
        <v>12</v>
      </c>
      <c r="AE112" s="19">
        <f>IF(AI112="Desertor sin mora",I112,VLOOKUP(C112,'Reporte de cobranza'!G:BL,36,FALSE))</f>
        <v>16</v>
      </c>
      <c r="AF112" s="19">
        <f>VLOOKUP(C112,ANTIGÜEDAD!A:BE,18,FALSE)</f>
        <v>3</v>
      </c>
      <c r="AG112" s="30">
        <f>IFERROR(VLOOKUP(C112,Ahorros_concentrado!B:D,3,FALSE),0)</f>
        <v>930.96</v>
      </c>
      <c r="AH112" s="43">
        <f t="shared" ca="1" si="19"/>
        <v>4.7112978842276582E-2</v>
      </c>
      <c r="AI112" s="19" t="str">
        <f>IF(VLOOKUP(C112,ANTIGÜEDAD!A:AG,33,0)="Entregado","Vigente",IF(VLOOKUP(C112,ANTIGÜEDAD!A:AG,33,0)="Liquidado","Desertor sin mora",""))</f>
        <v>Vigente</v>
      </c>
      <c r="AJ112" s="98" t="str">
        <f t="shared" si="20"/>
        <v>000012201</v>
      </c>
    </row>
    <row r="113" spans="1:36" x14ac:dyDescent="0.3">
      <c r="A113" s="19" t="str">
        <f>VLOOKUP(C113,ANTIGÜEDAD!A:BJ,4,FALSE)</f>
        <v>JUDITH PATRICIA SERRANO HERRER</v>
      </c>
      <c r="B113" s="19" t="str">
        <f>IFERROR(VLOOKUP(ANTIGÜEDAD!F112,'Parche Promotores'!A:B,2,0),ANTIGÜEDAD!F112)</f>
        <v>Cabrera Flores Viridiana</v>
      </c>
      <c r="C113" s="6" t="str">
        <f>TEXT(ANTIGÜEDAD!I112,"000000")</f>
        <v>000121</v>
      </c>
      <c r="D113" s="6" t="str">
        <f>ANTIGÜEDAD!K112</f>
        <v>ESPERANZA</v>
      </c>
      <c r="E113" s="29" t="str">
        <f>IFERROR(VLOOKUP(C113,'SITUACIÓN DE CARTERA'!A:AR,12,FALSE),VLOOKUP(C113,ANTIGÜEDAD!A:J,10,0))</f>
        <v>01</v>
      </c>
      <c r="F113" s="30">
        <f>VLOOKUP(C113,ANTIGÜEDAD!A:BE,17,FALSE)</f>
        <v>57000</v>
      </c>
      <c r="G113" s="30" t="str">
        <f>VLOOKUP(C113,ANTIGÜEDAD!A:BE,12,FALSE)</f>
        <v>MIGRADO</v>
      </c>
      <c r="H113" s="31">
        <f>VLOOKUP(C113,ANTIGÜEDAD!A:BE,14,FALSE)</f>
        <v>45930</v>
      </c>
      <c r="I113" s="19">
        <f>VLOOKUP(C113,ANTIGÜEDAD!A:BE,19,FALSE)</f>
        <v>16</v>
      </c>
      <c r="J113" s="31" t="str">
        <f>VLOOKUP(C113,ANTIGÜEDAD!A:BE,56,FALSE)</f>
        <v>Martes</v>
      </c>
      <c r="K113" s="32" t="str">
        <f>VLOOKUP(C113,ANTIGÜEDAD!A:BE,57,FALSE)</f>
        <v>12:00</v>
      </c>
      <c r="L113" s="19" t="str">
        <f>VLOOKUP(C113,ANTIGÜEDAD!A:BE,20,FALSE)</f>
        <v>Semanal</v>
      </c>
      <c r="M113" s="30">
        <f>VLOOKUP(C113,ANTIGÜEDAD!A:BE,21,FALSE)</f>
        <v>4332.04</v>
      </c>
      <c r="N113" s="33" t="str">
        <f>IFERROR(VLOOKUP(C113,'Reporte de cobranza'!G:BL,34,FALSE),"")</f>
        <v>04/11/2025</v>
      </c>
      <c r="O113" s="30">
        <f>IF(AI113="Desertor sin mora",0,VLOOKUP(C113,ANTIGÜEDAD!A:BJ,44,FALSE))</f>
        <v>51982.57</v>
      </c>
      <c r="P113" s="30">
        <f t="shared" si="15"/>
        <v>69312.639999999999</v>
      </c>
      <c r="Q113" s="30">
        <f t="shared" ca="1" si="11"/>
        <v>51984.479999999996</v>
      </c>
      <c r="R113" s="30">
        <f>IF(AI113="Desertor sin mora",0,VLOOKUP(C113,ANTIGÜEDAD!A:BJ,26,FALSE))</f>
        <v>42750</v>
      </c>
      <c r="S113" s="30">
        <f t="shared" ca="1" si="16"/>
        <v>-1.9099999999962165</v>
      </c>
      <c r="T113" s="30">
        <f>IF(V113&gt;0,IF(VLOOKUP(TEXT(C113,"000000"),Ahorros_concentrado!B:D,3,0)+F113*0.1&gt;V113,V113,VLOOKUP(TEXT(C113,"000000"),Ahorros_concentrado!B:D,3,0)+F113*0.1),0)</f>
        <v>0</v>
      </c>
      <c r="U113" s="30">
        <f t="shared" si="17"/>
        <v>0</v>
      </c>
      <c r="V113" s="30">
        <f>IF(AI113="Desertor sin mora",0,VLOOKUP(C113,'SITUACIÓN DE CARTERA'!A:AR,26,FALSE))</f>
        <v>0</v>
      </c>
      <c r="W113" s="134">
        <f>IF(AI113="Desertor sin mora",0,VLOOKUP(C113,'SITUACIÓN DE CARTERA'!A:AR,27,FALSE))/100</f>
        <v>0</v>
      </c>
      <c r="X113" s="30">
        <f>IF(V113&gt;0,VLOOKUP(C113,ANTIGÜEDAD!A:BE,26,FALSE),0)</f>
        <v>0</v>
      </c>
      <c r="Z113" s="34">
        <f>IF(AI113="Desertor sin mora",VLOOKUP(C113,ANTIGÜEDAD!A:Q,17,0)/AA113,F113/AA113)</f>
        <v>11400</v>
      </c>
      <c r="AA113" s="19">
        <f>IF(AI113="Desertor sin mora",VLOOKUP(C113,ANTIGÜEDAD!A:M,13,0),VLOOKUP(C113,'SITUACIÓN DE CARTERA'!A:AR,43,FALSE))</f>
        <v>5</v>
      </c>
      <c r="AB113" s="19">
        <f t="shared" ca="1" si="18"/>
        <v>4</v>
      </c>
      <c r="AC113" s="42">
        <f>IF(AI113="Desertor sin mora",0,(VLOOKUP(C113,'SITUACIÓN DE CARTERA'!A:AS,45,FALSE))/M113)</f>
        <v>4.0004339756788951</v>
      </c>
      <c r="AD113" s="19">
        <f>IF(AI113="Desertor sin mora",0,VLOOKUP(C113,'Reporte de cobranza'!G:BL,35,FALSE))</f>
        <v>12</v>
      </c>
      <c r="AE113" s="19">
        <f>IF(AI113="Desertor sin mora",I113,VLOOKUP(C113,'Reporte de cobranza'!G:BL,36,FALSE))</f>
        <v>16</v>
      </c>
      <c r="AF113" s="19">
        <f>VLOOKUP(C113,ANTIGÜEDAD!A:BE,18,FALSE)</f>
        <v>0</v>
      </c>
      <c r="AG113" s="30">
        <f>IFERROR(VLOOKUP(C113,Ahorros_concentrado!B:D,3,FALSE),0)</f>
        <v>1196.96</v>
      </c>
      <c r="AH113" s="43">
        <f t="shared" ca="1" si="19"/>
        <v>6.9076001144957114E-2</v>
      </c>
      <c r="AI113" s="19" t="str">
        <f>IF(VLOOKUP(C113,ANTIGÜEDAD!A:AG,33,0)="Entregado","Vigente",IF(VLOOKUP(C113,ANTIGÜEDAD!A:AG,33,0)="Liquidado","Desertor sin mora",""))</f>
        <v>Vigente</v>
      </c>
      <c r="AJ113" s="98" t="str">
        <f t="shared" si="20"/>
        <v>000012101</v>
      </c>
    </row>
    <row r="114" spans="1:36" x14ac:dyDescent="0.3">
      <c r="A114" s="19" t="str">
        <f>VLOOKUP(C114,ANTIGÜEDAD!A:BJ,4,FALSE)</f>
        <v>IRVIN URIEL MORA VELAZCO</v>
      </c>
      <c r="B114" s="19" t="str">
        <f>IFERROR(VLOOKUP(ANTIGÜEDAD!F113,'Parche Promotores'!A:B,2,0),ANTIGÜEDAD!F113)</f>
        <v>Olivares Morales Josue Edgar</v>
      </c>
      <c r="C114" s="6" t="str">
        <f>TEXT(ANTIGÜEDAD!I113,"000000")</f>
        <v>000047</v>
      </c>
      <c r="D114" s="6" t="str">
        <f>ANTIGÜEDAD!K113</f>
        <v>KIRA</v>
      </c>
      <c r="E114" s="29" t="str">
        <f>IFERROR(VLOOKUP(C114,'SITUACIÓN DE CARTERA'!A:AR,12,FALSE),VLOOKUP(C114,ANTIGÜEDAD!A:J,10,0))</f>
        <v>01</v>
      </c>
      <c r="F114" s="30">
        <f>VLOOKUP(C114,ANTIGÜEDAD!A:BE,17,FALSE)</f>
        <v>85000</v>
      </c>
      <c r="G114" s="30" t="str">
        <f>VLOOKUP(C114,ANTIGÜEDAD!A:BE,12,FALSE)</f>
        <v>MIGRADO</v>
      </c>
      <c r="H114" s="31">
        <f>VLOOKUP(C114,ANTIGÜEDAD!A:BE,14,FALSE)</f>
        <v>45897</v>
      </c>
      <c r="I114" s="19">
        <f>VLOOKUP(C114,ANTIGÜEDAD!A:BE,19,FALSE)</f>
        <v>16</v>
      </c>
      <c r="J114" s="31" t="str">
        <f>VLOOKUP(C114,ANTIGÜEDAD!A:BE,56,FALSE)</f>
        <v>Jueves</v>
      </c>
      <c r="K114" s="32" t="str">
        <f>VLOOKUP(C114,ANTIGÜEDAD!A:BE,57,FALSE)</f>
        <v>12:00</v>
      </c>
      <c r="L114" s="19" t="str">
        <f>VLOOKUP(C114,ANTIGÜEDAD!A:BE,20,FALSE)</f>
        <v>Semanal</v>
      </c>
      <c r="M114" s="30">
        <f>VLOOKUP(C114,ANTIGÜEDAD!A:BE,21,FALSE)</f>
        <v>6460.06</v>
      </c>
      <c r="N114" s="33" t="str">
        <f>IFERROR(VLOOKUP(C114,'Reporte de cobranza'!G:BL,34,FALSE),"")</f>
        <v>06/11/2025</v>
      </c>
      <c r="O114" s="30">
        <f>IF(AI114="Desertor sin mora",0,VLOOKUP(C114,ANTIGÜEDAD!A:BJ,44,FALSE))</f>
        <v>39900.800000000003</v>
      </c>
      <c r="P114" s="30">
        <f t="shared" si="15"/>
        <v>103360.96000000001</v>
      </c>
      <c r="Q114" s="30">
        <f t="shared" ca="1" si="11"/>
        <v>45220.420000000006</v>
      </c>
      <c r="R114" s="30">
        <f>IF(AI114="Desertor sin mora",0,VLOOKUP(C114,ANTIGÜEDAD!A:BJ,26,FALSE))</f>
        <v>32812.980000000003</v>
      </c>
      <c r="S114" s="30">
        <f t="shared" ca="1" si="16"/>
        <v>-5319.6200000000026</v>
      </c>
      <c r="T114" s="30">
        <f>IF(V114&gt;0,IF(VLOOKUP(TEXT(C114,"000000"),Ahorros_concentrado!B:D,3,0)+F114*0.1&gt;V114,V114,VLOOKUP(TEXT(C114,"000000"),Ahorros_concentrado!B:D,3,0)+F114*0.1),0)</f>
        <v>0</v>
      </c>
      <c r="U114" s="30">
        <f t="shared" si="17"/>
        <v>0</v>
      </c>
      <c r="V114" s="30">
        <f>IF(AI114="Desertor sin mora",0,VLOOKUP(C114,'SITUACIÓN DE CARTERA'!A:AR,26,FALSE))</f>
        <v>0</v>
      </c>
      <c r="W114" s="134">
        <f>IF(AI114="Desertor sin mora",0,VLOOKUP(C114,'SITUACIÓN DE CARTERA'!A:AR,27,FALSE))/100</f>
        <v>0</v>
      </c>
      <c r="X114" s="30">
        <f>IF(V114&gt;0,VLOOKUP(C114,ANTIGÜEDAD!A:BE,26,FALSE),0)</f>
        <v>0</v>
      </c>
      <c r="Z114" s="34">
        <f>IF(AI114="Desertor sin mora",VLOOKUP(C114,ANTIGÜEDAD!A:Q,17,0)/AA114,F114/AA114)</f>
        <v>10625</v>
      </c>
      <c r="AA114" s="19">
        <f>IF(AI114="Desertor sin mora",VLOOKUP(C114,ANTIGÜEDAD!A:M,13,0),VLOOKUP(C114,'SITUACIÓN DE CARTERA'!A:AR,43,FALSE))</f>
        <v>8</v>
      </c>
      <c r="AB114" s="19">
        <f t="shared" ca="1" si="18"/>
        <v>9</v>
      </c>
      <c r="AC114" s="42">
        <f>IF(AI114="Desertor sin mora",0,(VLOOKUP(C114,'SITUACIÓN DE CARTERA'!A:AS,45,FALSE))/M114)</f>
        <v>9.8234552001064994</v>
      </c>
      <c r="AD114" s="19">
        <f>IF(AI114="Desertor sin mora",0,VLOOKUP(C114,'Reporte de cobranza'!G:BL,35,FALSE))</f>
        <v>7</v>
      </c>
      <c r="AE114" s="19">
        <f>IF(AI114="Desertor sin mora",I114,VLOOKUP(C114,'Reporte de cobranza'!G:BL,36,FALSE))</f>
        <v>16</v>
      </c>
      <c r="AF114" s="19">
        <f>VLOOKUP(C114,ANTIGÜEDAD!A:BE,18,FALSE)</f>
        <v>0</v>
      </c>
      <c r="AG114" s="30">
        <f>IFERROR(VLOOKUP(C114,Ahorros_concentrado!B:D,3,FALSE),0)</f>
        <v>2949</v>
      </c>
      <c r="AH114" s="43">
        <f t="shared" ca="1" si="19"/>
        <v>5.0721923119393109E-2</v>
      </c>
      <c r="AI114" s="19" t="str">
        <f>IF(VLOOKUP(C114,ANTIGÜEDAD!A:AG,33,0)="Entregado","Vigente",IF(VLOOKUP(C114,ANTIGÜEDAD!A:AG,33,0)="Liquidado","Desertor sin mora",""))</f>
        <v>Vigente</v>
      </c>
      <c r="AJ114" s="98" t="str">
        <f t="shared" si="20"/>
        <v>000004701</v>
      </c>
    </row>
    <row r="115" spans="1:36" x14ac:dyDescent="0.3">
      <c r="A115" s="19" t="str">
        <f>VLOOKUP(C115,ANTIGÜEDAD!A:BJ,4,FALSE)</f>
        <v>JUDITH PATRICIA SERRANO HERRER</v>
      </c>
      <c r="B115" s="19" t="str">
        <f>IFERROR(VLOOKUP(ANTIGÜEDAD!F114,'Parche Promotores'!A:B,2,0),ANTIGÜEDAD!F114)</f>
        <v>Becerril Aguirre Jonathan</v>
      </c>
      <c r="C115" s="6" t="str">
        <f>TEXT(ANTIGÜEDAD!I114,"000000")</f>
        <v>000049</v>
      </c>
      <c r="D115" s="6" t="str">
        <f>ANTIGÜEDAD!K114</f>
        <v>LOS SOLTERONES</v>
      </c>
      <c r="E115" s="29" t="str">
        <f>IFERROR(VLOOKUP(C115,'SITUACIÓN DE CARTERA'!A:AR,12,FALSE),VLOOKUP(C115,ANTIGÜEDAD!A:J,10,0))</f>
        <v>01</v>
      </c>
      <c r="F115" s="30">
        <f>VLOOKUP(C115,ANTIGÜEDAD!A:BE,17,FALSE)</f>
        <v>100000</v>
      </c>
      <c r="G115" s="30" t="str">
        <f>VLOOKUP(C115,ANTIGÜEDAD!A:BE,12,FALSE)</f>
        <v>MIGRADO</v>
      </c>
      <c r="H115" s="31">
        <f>VLOOKUP(C115,ANTIGÜEDAD!A:BE,14,FALSE)</f>
        <v>45898</v>
      </c>
      <c r="I115" s="19">
        <f>VLOOKUP(C115,ANTIGÜEDAD!A:BE,19,FALSE)</f>
        <v>16</v>
      </c>
      <c r="J115" s="31" t="str">
        <f>VLOOKUP(C115,ANTIGÜEDAD!A:BE,56,FALSE)</f>
        <v>Viernes</v>
      </c>
      <c r="K115" s="32" t="str">
        <f>VLOOKUP(C115,ANTIGÜEDAD!A:BE,57,FALSE)</f>
        <v>14:00</v>
      </c>
      <c r="L115" s="19" t="str">
        <f>VLOOKUP(C115,ANTIGÜEDAD!A:BE,20,FALSE)</f>
        <v>Semanal</v>
      </c>
      <c r="M115" s="30">
        <f>VLOOKUP(C115,ANTIGÜEDAD!A:BE,21,FALSE)</f>
        <v>7600.07</v>
      </c>
      <c r="N115" s="33" t="str">
        <f>IFERROR(VLOOKUP(C115,'Reporte de cobranza'!G:BL,34,FALSE),"")</f>
        <v>07/11/2025</v>
      </c>
      <c r="O115" s="30">
        <f>IF(AI115="Desertor sin mora",0,VLOOKUP(C115,ANTIGÜEDAD!A:BJ,44,FALSE))</f>
        <v>53201.07</v>
      </c>
      <c r="P115" s="30">
        <f t="shared" si="15"/>
        <v>121601.12</v>
      </c>
      <c r="Q115" s="30">
        <f t="shared" ca="1" si="11"/>
        <v>53201.07</v>
      </c>
      <c r="R115" s="30">
        <f>IF(AI115="Desertor sin mora",0,VLOOKUP(C115,ANTIGÜEDAD!A:BJ,26,FALSE))</f>
        <v>43750.61</v>
      </c>
      <c r="S115" s="30">
        <f t="shared" ca="1" si="16"/>
        <v>0</v>
      </c>
      <c r="T115" s="30">
        <f>IF(V115&gt;0,IF(VLOOKUP(TEXT(C115,"000000"),Ahorros_concentrado!B:D,3,0)+F115*0.1&gt;V115,V115,VLOOKUP(TEXT(C115,"000000"),Ahorros_concentrado!B:D,3,0)+F115*0.1),0)</f>
        <v>0</v>
      </c>
      <c r="U115" s="30">
        <f t="shared" si="17"/>
        <v>0</v>
      </c>
      <c r="V115" s="30">
        <f>IF(AI115="Desertor sin mora",0,VLOOKUP(C115,'SITUACIÓN DE CARTERA'!A:AR,26,FALSE))</f>
        <v>0</v>
      </c>
      <c r="W115" s="134">
        <f>IF(AI115="Desertor sin mora",0,VLOOKUP(C115,'SITUACIÓN DE CARTERA'!A:AR,27,FALSE))/100</f>
        <v>0</v>
      </c>
      <c r="X115" s="30">
        <f>IF(V115&gt;0,VLOOKUP(C115,ANTIGÜEDAD!A:BE,26,FALSE),0)</f>
        <v>0</v>
      </c>
      <c r="Z115" s="34">
        <f>IF(AI115="Desertor sin mora",VLOOKUP(C115,ANTIGÜEDAD!A:Q,17,0)/AA115,F115/AA115)</f>
        <v>16666.666666666668</v>
      </c>
      <c r="AA115" s="19">
        <f>IF(AI115="Desertor sin mora",VLOOKUP(C115,ANTIGÜEDAD!A:M,13,0),VLOOKUP(C115,'SITUACIÓN DE CARTERA'!A:AR,43,FALSE))</f>
        <v>6</v>
      </c>
      <c r="AB115" s="19">
        <f t="shared" ca="1" si="18"/>
        <v>9</v>
      </c>
      <c r="AC115" s="42">
        <f>IF(AI115="Desertor sin mora",0,(VLOOKUP(C115,'SITUACIÓN DE CARTERA'!A:AS,45,FALSE))/M115)</f>
        <v>8.9999171060266558</v>
      </c>
      <c r="AD115" s="19">
        <f>IF(AI115="Desertor sin mora",0,VLOOKUP(C115,'Reporte de cobranza'!G:BL,35,FALSE))</f>
        <v>7</v>
      </c>
      <c r="AE115" s="19">
        <f>IF(AI115="Desertor sin mora",I115,VLOOKUP(C115,'Reporte de cobranza'!G:BL,36,FALSE))</f>
        <v>16</v>
      </c>
      <c r="AF115" s="19">
        <f>VLOOKUP(C115,ANTIGÜEDAD!A:BE,18,FALSE)</f>
        <v>0</v>
      </c>
      <c r="AG115" s="30">
        <f>IFERROR(VLOOKUP(C115,Ahorros_concentrado!B:D,3,FALSE),0)</f>
        <v>53900</v>
      </c>
      <c r="AH115" s="43">
        <f t="shared" ca="1" si="19"/>
        <v>0.78800443797081998</v>
      </c>
      <c r="AI115" s="19" t="str">
        <f>IF(VLOOKUP(C115,ANTIGÜEDAD!A:AG,33,0)="Entregado","Vigente",IF(VLOOKUP(C115,ANTIGÜEDAD!A:AG,33,0)="Liquidado","Desertor sin mora",""))</f>
        <v>Vigente</v>
      </c>
      <c r="AJ115" s="98" t="str">
        <f t="shared" si="20"/>
        <v>000004901</v>
      </c>
    </row>
    <row r="116" spans="1:36" x14ac:dyDescent="0.3">
      <c r="A116" s="19" t="str">
        <f>VLOOKUP(C116,ANTIGÜEDAD!A:BJ,4,FALSE)</f>
        <v>ADRIANA ALEJALDRE GUZMAN</v>
      </c>
      <c r="B116" s="19" t="str">
        <f>IFERROR(VLOOKUP(ANTIGÜEDAD!F115,'Parche Promotores'!A:B,2,0),ANTIGÜEDAD!F115)</f>
        <v>Lopez Cabrera Edith Alejandra</v>
      </c>
      <c r="C116" s="6" t="str">
        <f>TEXT(ANTIGÜEDAD!I115,"000000")</f>
        <v>000179</v>
      </c>
      <c r="D116" s="6" t="str">
        <f>ANTIGÜEDAD!K115</f>
        <v>TOVARCITO</v>
      </c>
      <c r="E116" s="29" t="str">
        <f>IFERROR(VLOOKUP(C116,'SITUACIÓN DE CARTERA'!A:AR,12,FALSE),VLOOKUP(C116,ANTIGÜEDAD!A:J,10,0))</f>
        <v>01</v>
      </c>
      <c r="F116" s="30">
        <f>VLOOKUP(C116,ANTIGÜEDAD!A:BE,17,FALSE)</f>
        <v>50000</v>
      </c>
      <c r="G116" s="30" t="str">
        <f>VLOOKUP(C116,ANTIGÜEDAD!A:BE,12,FALSE)</f>
        <v>MIGRADO</v>
      </c>
      <c r="H116" s="31">
        <f>VLOOKUP(C116,ANTIGÜEDAD!A:BE,14,FALSE)</f>
        <v>45953</v>
      </c>
      <c r="I116" s="19">
        <f>VLOOKUP(C116,ANTIGÜEDAD!A:BE,19,FALSE)</f>
        <v>16</v>
      </c>
      <c r="J116" s="31" t="str">
        <f>VLOOKUP(C116,ANTIGÜEDAD!A:BE,56,FALSE)</f>
        <v>Jueves</v>
      </c>
      <c r="K116" s="32" t="str">
        <f>VLOOKUP(C116,ANTIGÜEDAD!A:BE,57,FALSE)</f>
        <v>13:00</v>
      </c>
      <c r="L116" s="19" t="str">
        <f>VLOOKUP(C116,ANTIGÜEDAD!A:BE,20,FALSE)</f>
        <v>Semanal</v>
      </c>
      <c r="M116" s="30">
        <f>VLOOKUP(C116,ANTIGÜEDAD!A:BE,21,FALSE)</f>
        <v>3800.03</v>
      </c>
      <c r="N116" s="33" t="str">
        <f>IFERROR(VLOOKUP(C116,'Reporte de cobranza'!G:BL,34,FALSE),"")</f>
        <v>06/11/2025</v>
      </c>
      <c r="O116" s="30">
        <f>IF(AI116="Desertor sin mora",0,VLOOKUP(C116,ANTIGÜEDAD!A:BJ,44,FALSE))</f>
        <v>56995.53</v>
      </c>
      <c r="P116" s="30">
        <f t="shared" si="15"/>
        <v>60800.480000000003</v>
      </c>
      <c r="Q116" s="30">
        <f t="shared" ca="1" si="11"/>
        <v>57000.450000000004</v>
      </c>
      <c r="R116" s="30">
        <f>IF(AI116="Desertor sin mora",0,VLOOKUP(C116,ANTIGÜEDAD!A:BJ,26,FALSE))</f>
        <v>46875</v>
      </c>
      <c r="S116" s="30">
        <f t="shared" ca="1" si="16"/>
        <v>-4.9200000000055297</v>
      </c>
      <c r="T116" s="30">
        <f>IF(V116&gt;0,IF(VLOOKUP(TEXT(C116,"000000"),Ahorros_concentrado!B:D,3,0)+F116*0.1&gt;V116,V116,VLOOKUP(TEXT(C116,"000000"),Ahorros_concentrado!B:D,3,0)+F116*0.1),0)</f>
        <v>0</v>
      </c>
      <c r="U116" s="30">
        <f t="shared" si="17"/>
        <v>0</v>
      </c>
      <c r="V116" s="30">
        <f>IF(AI116="Desertor sin mora",0,VLOOKUP(C116,'SITUACIÓN DE CARTERA'!A:AR,26,FALSE))</f>
        <v>0</v>
      </c>
      <c r="W116" s="134">
        <f>IF(AI116="Desertor sin mora",0,VLOOKUP(C116,'SITUACIÓN DE CARTERA'!A:AR,27,FALSE))/100</f>
        <v>0</v>
      </c>
      <c r="X116" s="30">
        <f>IF(V116&gt;0,VLOOKUP(C116,ANTIGÜEDAD!A:BE,26,FALSE),0)</f>
        <v>0</v>
      </c>
      <c r="Z116" s="34">
        <f>IF(AI116="Desertor sin mora",VLOOKUP(C116,ANTIGÜEDAD!A:Q,17,0)/AA116,F116/AA116)</f>
        <v>10000</v>
      </c>
      <c r="AA116" s="19">
        <f>IF(AI116="Desertor sin mora",VLOOKUP(C116,ANTIGÜEDAD!A:M,13,0),VLOOKUP(C116,'SITUACIÓN DE CARTERA'!A:AR,43,FALSE))</f>
        <v>5</v>
      </c>
      <c r="AB116" s="19">
        <f t="shared" ca="1" si="18"/>
        <v>1</v>
      </c>
      <c r="AC116" s="42">
        <f>IF(AI116="Desertor sin mora",0,(VLOOKUP(C116,'SITUACIÓN DE CARTERA'!A:AS,45,FALSE))/M116)</f>
        <v>1.0013078844114387</v>
      </c>
      <c r="AD116" s="19">
        <f>IF(AI116="Desertor sin mora",0,VLOOKUP(C116,'Reporte de cobranza'!G:BL,35,FALSE))</f>
        <v>15</v>
      </c>
      <c r="AE116" s="19">
        <f>IF(AI116="Desertor sin mora",I116,VLOOKUP(C116,'Reporte de cobranza'!G:BL,36,FALSE))</f>
        <v>16</v>
      </c>
      <c r="AF116" s="19">
        <f>VLOOKUP(C116,ANTIGÜEDAD!A:BE,18,FALSE)</f>
        <v>0</v>
      </c>
      <c r="AG116" s="30">
        <f>IFERROR(VLOOKUP(C116,Ahorros_concentrado!B:D,3,FALSE),0)</f>
        <v>195</v>
      </c>
      <c r="AH116" s="43">
        <f t="shared" ca="1" si="19"/>
        <v>5.1315384352228793E-2</v>
      </c>
      <c r="AI116" s="19" t="str">
        <f>IF(VLOOKUP(C116,ANTIGÜEDAD!A:AG,33,0)="Entregado","Vigente",IF(VLOOKUP(C116,ANTIGÜEDAD!A:AG,33,0)="Liquidado","Desertor sin mora",""))</f>
        <v>Vigente</v>
      </c>
      <c r="AJ116" s="98" t="str">
        <f t="shared" si="20"/>
        <v>000017901</v>
      </c>
    </row>
    <row r="117" spans="1:36" x14ac:dyDescent="0.3">
      <c r="A117" s="19" t="str">
        <f>VLOOKUP(C117,ANTIGÜEDAD!A:BJ,4,FALSE)</f>
        <v>JUAN EDMUNDO LUNA AGUILLON</v>
      </c>
      <c r="B117" s="19" t="str">
        <f>IFERROR(VLOOKUP(ANTIGÜEDAD!F116,'Parche Promotores'!A:B,2,0),ANTIGÜEDAD!F116)</f>
        <v>Sanchez Posada Jose Olimpo</v>
      </c>
      <c r="C117" s="6" t="str">
        <f>TEXT(ANTIGÜEDAD!I116,"000000")</f>
        <v>000180</v>
      </c>
      <c r="D117" s="6" t="str">
        <f>ANTIGÜEDAD!K116</f>
        <v>GARITA</v>
      </c>
      <c r="E117" s="29" t="str">
        <f>IFERROR(VLOOKUP(C117,'SITUACIÓN DE CARTERA'!A:AR,12,FALSE),VLOOKUP(C117,ANTIGÜEDAD!A:J,10,0))</f>
        <v>01</v>
      </c>
      <c r="F117" s="30">
        <f>VLOOKUP(C117,ANTIGÜEDAD!A:BE,17,FALSE)</f>
        <v>32000</v>
      </c>
      <c r="G117" s="30" t="str">
        <f>VLOOKUP(C117,ANTIGÜEDAD!A:BE,12,FALSE)</f>
        <v>MIGRADO</v>
      </c>
      <c r="H117" s="31">
        <f>VLOOKUP(C117,ANTIGÜEDAD!A:BE,14,FALSE)</f>
        <v>45954</v>
      </c>
      <c r="I117" s="19">
        <f>VLOOKUP(C117,ANTIGÜEDAD!A:BE,19,FALSE)</f>
        <v>16</v>
      </c>
      <c r="J117" s="31" t="str">
        <f>VLOOKUP(C117,ANTIGÜEDAD!A:BE,56,FALSE)</f>
        <v>Viernes</v>
      </c>
      <c r="K117" s="32" t="str">
        <f>VLOOKUP(C117,ANTIGÜEDAD!A:BE,57,FALSE)</f>
        <v>11:00</v>
      </c>
      <c r="L117" s="19" t="str">
        <f>VLOOKUP(C117,ANTIGÜEDAD!A:BE,20,FALSE)</f>
        <v>Semanal</v>
      </c>
      <c r="M117" s="30">
        <f>VLOOKUP(C117,ANTIGÜEDAD!A:BE,21,FALSE)</f>
        <v>2432.02</v>
      </c>
      <c r="N117" s="33" t="str">
        <f>IFERROR(VLOOKUP(C117,'Reporte de cobranza'!G:BL,34,FALSE),"")</f>
        <v>07/11/2025</v>
      </c>
      <c r="O117" s="30">
        <f>IF(AI117="Desertor sin mora",0,VLOOKUP(C117,ANTIGÜEDAD!A:BJ,44,FALSE))</f>
        <v>36480.32</v>
      </c>
      <c r="P117" s="30">
        <f t="shared" si="15"/>
        <v>38912.32</v>
      </c>
      <c r="Q117" s="30">
        <f t="shared" ca="1" si="11"/>
        <v>36480.32</v>
      </c>
      <c r="R117" s="30">
        <f>IF(AI117="Desertor sin mora",0,VLOOKUP(C117,ANTIGÜEDAD!A:BJ,26,FALSE))</f>
        <v>30000</v>
      </c>
      <c r="S117" s="30">
        <f t="shared" ca="1" si="16"/>
        <v>0</v>
      </c>
      <c r="T117" s="30">
        <f>IF(V117&gt;0,IF(VLOOKUP(TEXT(C117,"000000"),Ahorros_concentrado!B:D,3,0)+F117*0.1&gt;V117,V117,VLOOKUP(TEXT(C117,"000000"),Ahorros_concentrado!B:D,3,0)+F117*0.1),0)</f>
        <v>0</v>
      </c>
      <c r="U117" s="30">
        <f t="shared" si="17"/>
        <v>0</v>
      </c>
      <c r="V117" s="30">
        <f>IF(AI117="Desertor sin mora",0,VLOOKUP(C117,'SITUACIÓN DE CARTERA'!A:AR,26,FALSE))</f>
        <v>0</v>
      </c>
      <c r="W117" s="134">
        <f>IF(AI117="Desertor sin mora",0,VLOOKUP(C117,'SITUACIÓN DE CARTERA'!A:AR,27,FALSE))/100</f>
        <v>0</v>
      </c>
      <c r="X117" s="30">
        <f>IF(V117&gt;0,VLOOKUP(C117,ANTIGÜEDAD!A:BE,26,FALSE),0)</f>
        <v>0</v>
      </c>
      <c r="Z117" s="34">
        <f>IF(AI117="Desertor sin mora",VLOOKUP(C117,ANTIGÜEDAD!A:Q,17,0)/AA117,F117/AA117)</f>
        <v>6400</v>
      </c>
      <c r="AA117" s="19">
        <f>IF(AI117="Desertor sin mora",VLOOKUP(C117,ANTIGÜEDAD!A:M,13,0),VLOOKUP(C117,'SITUACIÓN DE CARTERA'!A:AR,43,FALSE))</f>
        <v>5</v>
      </c>
      <c r="AB117" s="19">
        <f t="shared" ca="1" si="18"/>
        <v>1</v>
      </c>
      <c r="AC117" s="42">
        <f>IF(AI117="Desertor sin mora",0,(VLOOKUP(C117,'SITUACIÓN DE CARTERA'!A:AS,45,FALSE))/M117)</f>
        <v>1</v>
      </c>
      <c r="AD117" s="19">
        <f>IF(AI117="Desertor sin mora",0,VLOOKUP(C117,'Reporte de cobranza'!G:BL,35,FALSE))</f>
        <v>15</v>
      </c>
      <c r="AE117" s="19">
        <f>IF(AI117="Desertor sin mora",I117,VLOOKUP(C117,'Reporte de cobranza'!G:BL,36,FALSE))</f>
        <v>16</v>
      </c>
      <c r="AF117" s="19">
        <f>VLOOKUP(C117,ANTIGÜEDAD!A:BE,18,FALSE)</f>
        <v>0</v>
      </c>
      <c r="AG117" s="30">
        <f>IFERROR(VLOOKUP(C117,Ahorros_concentrado!B:D,3,FALSE),0)</f>
        <v>176.98000000000002</v>
      </c>
      <c r="AH117" s="43">
        <f t="shared" ca="1" si="19"/>
        <v>7.2770783135007122E-2</v>
      </c>
      <c r="AI117" s="19" t="str">
        <f>IF(VLOOKUP(C117,ANTIGÜEDAD!A:AG,33,0)="Entregado","Vigente",IF(VLOOKUP(C117,ANTIGÜEDAD!A:AG,33,0)="Liquidado","Desertor sin mora",""))</f>
        <v>Vigente</v>
      </c>
      <c r="AJ117" s="98" t="str">
        <f t="shared" si="20"/>
        <v>000018001</v>
      </c>
    </row>
    <row r="118" spans="1:36" x14ac:dyDescent="0.3">
      <c r="A118" s="19" t="str">
        <f>VLOOKUP(C118,ANTIGÜEDAD!A:BJ,4,FALSE)</f>
        <v>ADRIANA ALEJALDRE GUZMAN</v>
      </c>
      <c r="B118" s="19" t="str">
        <f>IFERROR(VLOOKUP(ANTIGÜEDAD!F117,'Parche Promotores'!A:B,2,0),ANTIGÜEDAD!F117)</f>
        <v>Juarez Palma Ma Ines</v>
      </c>
      <c r="C118" s="6" t="str">
        <f>TEXT(ANTIGÜEDAD!I117,"000000")</f>
        <v>000181</v>
      </c>
      <c r="D118" s="6" t="str">
        <f>ANTIGÜEDAD!K117</f>
        <v>ZULA</v>
      </c>
      <c r="E118" s="29" t="str">
        <f>IFERROR(VLOOKUP(C118,'SITUACIÓN DE CARTERA'!A:AR,12,FALSE),VLOOKUP(C118,ANTIGÜEDAD!A:J,10,0))</f>
        <v>01</v>
      </c>
      <c r="F118" s="30">
        <f>VLOOKUP(C118,ANTIGÜEDAD!A:BE,17,FALSE)</f>
        <v>70000</v>
      </c>
      <c r="G118" s="30" t="str">
        <f>VLOOKUP(C118,ANTIGÜEDAD!A:BE,12,FALSE)</f>
        <v>MIGRADO</v>
      </c>
      <c r="H118" s="31">
        <f>VLOOKUP(C118,ANTIGÜEDAD!A:BE,14,FALSE)</f>
        <v>45953</v>
      </c>
      <c r="I118" s="19">
        <f>VLOOKUP(C118,ANTIGÜEDAD!A:BE,19,FALSE)</f>
        <v>16</v>
      </c>
      <c r="J118" s="31" t="str">
        <f>VLOOKUP(C118,ANTIGÜEDAD!A:BE,56,FALSE)</f>
        <v>Jueves</v>
      </c>
      <c r="K118" s="32" t="str">
        <f>VLOOKUP(C118,ANTIGÜEDAD!A:BE,57,FALSE)</f>
        <v>16:00</v>
      </c>
      <c r="L118" s="19" t="str">
        <f>VLOOKUP(C118,ANTIGÜEDAD!A:BE,20,FALSE)</f>
        <v>Semanal</v>
      </c>
      <c r="M118" s="30">
        <f>VLOOKUP(C118,ANTIGÜEDAD!A:BE,21,FALSE)</f>
        <v>5320.05</v>
      </c>
      <c r="N118" s="33" t="str">
        <f>IFERROR(VLOOKUP(C118,'Reporte de cobranza'!G:BL,34,FALSE),"")</f>
        <v>06/11/2025</v>
      </c>
      <c r="O118" s="30">
        <f>IF(AI118="Desertor sin mora",0,VLOOKUP(C118,ANTIGÜEDAD!A:BJ,44,FALSE))</f>
        <v>79794.75</v>
      </c>
      <c r="P118" s="30">
        <f t="shared" si="15"/>
        <v>85120.8</v>
      </c>
      <c r="Q118" s="30">
        <f t="shared" ca="1" si="11"/>
        <v>79800.75</v>
      </c>
      <c r="R118" s="30">
        <f>IF(AI118="Desertor sin mora",0,VLOOKUP(C118,ANTIGÜEDAD!A:BJ,26,FALSE))</f>
        <v>65625</v>
      </c>
      <c r="S118" s="30">
        <f t="shared" ca="1" si="16"/>
        <v>-6</v>
      </c>
      <c r="T118" s="30">
        <f>IF(V118&gt;0,IF(VLOOKUP(TEXT(C118,"000000"),Ahorros_concentrado!B:D,3,0)+F118*0.1&gt;V118,V118,VLOOKUP(TEXT(C118,"000000"),Ahorros_concentrado!B:D,3,0)+F118*0.1),0)</f>
        <v>0</v>
      </c>
      <c r="U118" s="30">
        <f t="shared" si="17"/>
        <v>0</v>
      </c>
      <c r="V118" s="30">
        <f>IF(AI118="Desertor sin mora",0,VLOOKUP(C118,'SITUACIÓN DE CARTERA'!A:AR,26,FALSE))</f>
        <v>0</v>
      </c>
      <c r="W118" s="134">
        <f>IF(AI118="Desertor sin mora",0,VLOOKUP(C118,'SITUACIÓN DE CARTERA'!A:AR,27,FALSE))/100</f>
        <v>0</v>
      </c>
      <c r="X118" s="30">
        <f>IF(V118&gt;0,VLOOKUP(C118,ANTIGÜEDAD!A:BE,26,FALSE),0)</f>
        <v>0</v>
      </c>
      <c r="Z118" s="34">
        <f>IF(AI118="Desertor sin mora",VLOOKUP(C118,ANTIGÜEDAD!A:Q,17,0)/AA118,F118/AA118)</f>
        <v>11666.666666666666</v>
      </c>
      <c r="AA118" s="19">
        <f>IF(AI118="Desertor sin mora",VLOOKUP(C118,ANTIGÜEDAD!A:M,13,0),VLOOKUP(C118,'SITUACIÓN DE CARTERA'!A:AR,43,FALSE))</f>
        <v>6</v>
      </c>
      <c r="AB118" s="19">
        <f t="shared" ca="1" si="18"/>
        <v>1</v>
      </c>
      <c r="AC118" s="42">
        <f>IF(AI118="Desertor sin mora",0,(VLOOKUP(C118,'SITUACIÓN DE CARTERA'!A:AS,45,FALSE))/M118)</f>
        <v>1.0011184105412543</v>
      </c>
      <c r="AD118" s="19">
        <f>IF(AI118="Desertor sin mora",0,VLOOKUP(C118,'Reporte de cobranza'!G:BL,35,FALSE))</f>
        <v>15</v>
      </c>
      <c r="AE118" s="19">
        <f>IF(AI118="Desertor sin mora",I118,VLOOKUP(C118,'Reporte de cobranza'!G:BL,36,FALSE))</f>
        <v>16</v>
      </c>
      <c r="AF118" s="19">
        <f>VLOOKUP(C118,ANTIGÜEDAD!A:BE,18,FALSE)</f>
        <v>0</v>
      </c>
      <c r="AG118" s="30">
        <f>IFERROR(VLOOKUP(C118,Ahorros_concentrado!B:D,3,FALSE),0)</f>
        <v>266</v>
      </c>
      <c r="AH118" s="43">
        <f t="shared" ca="1" si="19"/>
        <v>4.9999530079604511E-2</v>
      </c>
      <c r="AI118" s="19" t="str">
        <f>IF(VLOOKUP(C118,ANTIGÜEDAD!A:AG,33,0)="Entregado","Vigente",IF(VLOOKUP(C118,ANTIGÜEDAD!A:AG,33,0)="Liquidado","Desertor sin mora",""))</f>
        <v>Vigente</v>
      </c>
      <c r="AJ118" s="98" t="str">
        <f t="shared" si="20"/>
        <v>000018101</v>
      </c>
    </row>
    <row r="119" spans="1:36" x14ac:dyDescent="0.3">
      <c r="A119" s="19" t="str">
        <f>VLOOKUP(C119,ANTIGÜEDAD!A:BJ,4,FALSE)</f>
        <v>JUAN EDMUNDO LUNA AGUILLON</v>
      </c>
      <c r="B119" s="19" t="str">
        <f>IFERROR(VLOOKUP(ANTIGÜEDAD!F118,'Parche Promotores'!A:B,2,0),ANTIGÜEDAD!F118)</f>
        <v>Martinez Bañuelos Nallely Sarahi</v>
      </c>
      <c r="C119" s="6" t="str">
        <f>TEXT(ANTIGÜEDAD!I118,"000000")</f>
        <v>000106</v>
      </c>
      <c r="D119" s="6" t="str">
        <f>ANTIGÜEDAD!K118</f>
        <v>FLOR DE LIZ</v>
      </c>
      <c r="E119" s="29" t="str">
        <f>IFERROR(VLOOKUP(C119,'SITUACIÓN DE CARTERA'!A:AR,12,FALSE),VLOOKUP(C119,ANTIGÜEDAD!A:J,10,0))</f>
        <v>01</v>
      </c>
      <c r="F119" s="30">
        <f>VLOOKUP(C119,ANTIGÜEDAD!A:BE,17,FALSE)</f>
        <v>80000</v>
      </c>
      <c r="G119" s="30" t="str">
        <f>VLOOKUP(C119,ANTIGÜEDAD!A:BE,12,FALSE)</f>
        <v>MIGRADO</v>
      </c>
      <c r="H119" s="31">
        <f>VLOOKUP(C119,ANTIGÜEDAD!A:BE,14,FALSE)</f>
        <v>45925</v>
      </c>
      <c r="I119" s="19">
        <f>VLOOKUP(C119,ANTIGÜEDAD!A:BE,19,FALSE)</f>
        <v>16</v>
      </c>
      <c r="J119" s="31" t="str">
        <f>VLOOKUP(C119,ANTIGÜEDAD!A:BE,56,FALSE)</f>
        <v>Jueves</v>
      </c>
      <c r="K119" s="32" t="str">
        <f>VLOOKUP(C119,ANTIGÜEDAD!A:BE,57,FALSE)</f>
        <v>11:30</v>
      </c>
      <c r="L119" s="19" t="str">
        <f>VLOOKUP(C119,ANTIGÜEDAD!A:BE,20,FALSE)</f>
        <v>Semanal</v>
      </c>
      <c r="M119" s="30">
        <f>VLOOKUP(C119,ANTIGÜEDAD!A:BE,21,FALSE)</f>
        <v>6080.05</v>
      </c>
      <c r="N119" s="33" t="str">
        <f>IFERROR(VLOOKUP(C119,'Reporte de cobranza'!G:BL,34,FALSE),"")</f>
        <v>06/11/2025</v>
      </c>
      <c r="O119" s="30">
        <f>IF(AI119="Desertor sin mora",0,VLOOKUP(C119,ANTIGÜEDAD!A:BJ,44,FALSE))</f>
        <v>66880.600000000006</v>
      </c>
      <c r="P119" s="30">
        <f t="shared" si="15"/>
        <v>97280.8</v>
      </c>
      <c r="Q119" s="30">
        <f t="shared" ca="1" si="11"/>
        <v>66880.600000000006</v>
      </c>
      <c r="R119" s="30">
        <f>IF(AI119="Desertor sin mora",0,VLOOKUP(C119,ANTIGÜEDAD!A:BJ,26,FALSE))</f>
        <v>55000</v>
      </c>
      <c r="S119" s="30">
        <f t="shared" ca="1" si="16"/>
        <v>0</v>
      </c>
      <c r="T119" s="30">
        <f>IF(V119&gt;0,IF(VLOOKUP(TEXT(C119,"000000"),Ahorros_concentrado!B:D,3,0)+F119*0.1&gt;V119,V119,VLOOKUP(TEXT(C119,"000000"),Ahorros_concentrado!B:D,3,0)+F119*0.1),0)</f>
        <v>0</v>
      </c>
      <c r="U119" s="30">
        <f t="shared" si="17"/>
        <v>0</v>
      </c>
      <c r="V119" s="30">
        <f>IF(AI119="Desertor sin mora",0,VLOOKUP(C119,'SITUACIÓN DE CARTERA'!A:AR,26,FALSE))</f>
        <v>0</v>
      </c>
      <c r="W119" s="134">
        <f>IF(AI119="Desertor sin mora",0,VLOOKUP(C119,'SITUACIÓN DE CARTERA'!A:AR,27,FALSE))/100</f>
        <v>0</v>
      </c>
      <c r="X119" s="30">
        <f>IF(V119&gt;0,VLOOKUP(C119,ANTIGÜEDAD!A:BE,26,FALSE),0)</f>
        <v>0</v>
      </c>
      <c r="Z119" s="34">
        <f>IF(AI119="Desertor sin mora",VLOOKUP(C119,ANTIGÜEDAD!A:Q,17,0)/AA119,F119/AA119)</f>
        <v>11428.571428571429</v>
      </c>
      <c r="AA119" s="19">
        <f>IF(AI119="Desertor sin mora",VLOOKUP(C119,ANTIGÜEDAD!A:M,13,0),VLOOKUP(C119,'SITUACIÓN DE CARTERA'!A:AR,43,FALSE))</f>
        <v>7</v>
      </c>
      <c r="AB119" s="19">
        <f t="shared" ca="1" si="18"/>
        <v>5</v>
      </c>
      <c r="AC119" s="42">
        <f>IF(AI119="Desertor sin mora",0,(VLOOKUP(C119,'SITUACIÓN DE CARTERA'!A:AS,45,FALSE))/M119)</f>
        <v>5</v>
      </c>
      <c r="AD119" s="19">
        <f>IF(AI119="Desertor sin mora",0,VLOOKUP(C119,'Reporte de cobranza'!G:BL,35,FALSE))</f>
        <v>11</v>
      </c>
      <c r="AE119" s="19">
        <f>IF(AI119="Desertor sin mora",I119,VLOOKUP(C119,'Reporte de cobranza'!G:BL,36,FALSE))</f>
        <v>16</v>
      </c>
      <c r="AF119" s="19">
        <f>VLOOKUP(C119,ANTIGÜEDAD!A:BE,18,FALSE)</f>
        <v>0</v>
      </c>
      <c r="AG119" s="30">
        <f>IFERROR(VLOOKUP(C119,Ahorros_concentrado!B:D,3,FALSE),0)</f>
        <v>2219.7499999999991</v>
      </c>
      <c r="AH119" s="43">
        <f t="shared" ca="1" si="19"/>
        <v>7.3017491632470094E-2</v>
      </c>
      <c r="AI119" s="19" t="str">
        <f>IF(VLOOKUP(C119,ANTIGÜEDAD!A:AG,33,0)="Entregado","Vigente",IF(VLOOKUP(C119,ANTIGÜEDAD!A:AG,33,0)="Liquidado","Desertor sin mora",""))</f>
        <v>Vigente</v>
      </c>
      <c r="AJ119" s="98" t="str">
        <f t="shared" si="20"/>
        <v>000010601</v>
      </c>
    </row>
    <row r="120" spans="1:36" x14ac:dyDescent="0.3">
      <c r="A120" s="19" t="str">
        <f>VLOOKUP(C120,ANTIGÜEDAD!A:BJ,4,FALSE)</f>
        <v>JUAN EDMUNDO LUNA AGUILLON</v>
      </c>
      <c r="B120" s="19" t="str">
        <f>IFERROR(VLOOKUP(ANTIGÜEDAD!F119,'Parche Promotores'!A:B,2,0),ANTIGÜEDAD!F119)</f>
        <v>Martinez Bañuelos Nallely Sarahi</v>
      </c>
      <c r="C120" s="6" t="str">
        <f>TEXT(ANTIGÜEDAD!I119,"000000")</f>
        <v>000010</v>
      </c>
      <c r="D120" s="6" t="str">
        <f>ANTIGÜEDAD!K119</f>
        <v>FRESITAS</v>
      </c>
      <c r="E120" s="29" t="str">
        <f>IFERROR(VLOOKUP(C120,'SITUACIÓN DE CARTERA'!A:AR,12,FALSE),VLOOKUP(C120,ANTIGÜEDAD!A:J,10,0))</f>
        <v>01</v>
      </c>
      <c r="F120" s="30">
        <f>VLOOKUP(C120,ANTIGÜEDAD!A:BE,17,FALSE)</f>
        <v>98000</v>
      </c>
      <c r="G120" s="30" t="str">
        <f>VLOOKUP(C120,ANTIGÜEDAD!A:BE,12,FALSE)</f>
        <v>MIGRADO</v>
      </c>
      <c r="H120" s="31">
        <f>VLOOKUP(C120,ANTIGÜEDAD!A:BE,14,FALSE)</f>
        <v>45882</v>
      </c>
      <c r="I120" s="19">
        <f>VLOOKUP(C120,ANTIGÜEDAD!A:BE,19,FALSE)</f>
        <v>16</v>
      </c>
      <c r="J120" s="31" t="str">
        <f>VLOOKUP(C120,ANTIGÜEDAD!A:BE,56,FALSE)</f>
        <v>Miércoles</v>
      </c>
      <c r="K120" s="32" t="str">
        <f>VLOOKUP(C120,ANTIGÜEDAD!A:BE,57,FALSE)</f>
        <v>12:00</v>
      </c>
      <c r="L120" s="19" t="str">
        <f>VLOOKUP(C120,ANTIGÜEDAD!A:BE,20,FALSE)</f>
        <v>Semanal</v>
      </c>
      <c r="M120" s="30">
        <f>VLOOKUP(C120,ANTIGÜEDAD!A:BE,21,FALSE)</f>
        <v>7448.07</v>
      </c>
      <c r="N120" s="33" t="str">
        <f>IFERROR(VLOOKUP(C120,'Reporte de cobranza'!G:BL,34,FALSE),"")</f>
        <v>05/11/2025</v>
      </c>
      <c r="O120" s="30">
        <f>IF(AI120="Desertor sin mora",0,VLOOKUP(C120,ANTIGÜEDAD!A:BJ,44,FALSE))</f>
        <v>37240.82</v>
      </c>
      <c r="P120" s="30">
        <f t="shared" si="15"/>
        <v>119169.12</v>
      </c>
      <c r="Q120" s="30">
        <f t="shared" ca="1" si="11"/>
        <v>37240.82</v>
      </c>
      <c r="R120" s="30">
        <f>IF(AI120="Desertor sin mora",0,VLOOKUP(C120,ANTIGÜEDAD!A:BJ,26,FALSE))</f>
        <v>30625.49</v>
      </c>
      <c r="S120" s="30">
        <f t="shared" ca="1" si="16"/>
        <v>0</v>
      </c>
      <c r="T120" s="30">
        <f>IF(V120&gt;0,IF(VLOOKUP(TEXT(C120,"000000"),Ahorros_concentrado!B:D,3,0)+F120*0.1&gt;V120,V120,VLOOKUP(TEXT(C120,"000000"),Ahorros_concentrado!B:D,3,0)+F120*0.1),0)</f>
        <v>0</v>
      </c>
      <c r="U120" s="30">
        <f t="shared" si="17"/>
        <v>0</v>
      </c>
      <c r="V120" s="30">
        <f>IF(AI120="Desertor sin mora",0,VLOOKUP(C120,'SITUACIÓN DE CARTERA'!A:AR,26,FALSE))</f>
        <v>0</v>
      </c>
      <c r="W120" s="134">
        <f>IF(AI120="Desertor sin mora",0,VLOOKUP(C120,'SITUACIÓN DE CARTERA'!A:AR,27,FALSE))/100</f>
        <v>0</v>
      </c>
      <c r="X120" s="30">
        <f>IF(V120&gt;0,VLOOKUP(C120,ANTIGÜEDAD!A:BE,26,FALSE),0)</f>
        <v>0</v>
      </c>
      <c r="Z120" s="34">
        <f>IF(AI120="Desertor sin mora",VLOOKUP(C120,ANTIGÜEDAD!A:Q,17,0)/AA120,F120/AA120)</f>
        <v>14000</v>
      </c>
      <c r="AA120" s="19">
        <f>IF(AI120="Desertor sin mora",VLOOKUP(C120,ANTIGÜEDAD!A:M,13,0),VLOOKUP(C120,'SITUACIÓN DE CARTERA'!A:AR,43,FALSE))</f>
        <v>7</v>
      </c>
      <c r="AB120" s="19">
        <f t="shared" ca="1" si="18"/>
        <v>11</v>
      </c>
      <c r="AC120" s="42">
        <f>IF(AI120="Desertor sin mora",0,(VLOOKUP(C120,'SITUACIÓN DE CARTERA'!A:AS,45,FALSE))/M120)</f>
        <v>10.999927497996126</v>
      </c>
      <c r="AD120" s="19">
        <f>IF(AI120="Desertor sin mora",0,VLOOKUP(C120,'Reporte de cobranza'!G:BL,35,FALSE))</f>
        <v>5</v>
      </c>
      <c r="AE120" s="19">
        <f>IF(AI120="Desertor sin mora",I120,VLOOKUP(C120,'Reporte de cobranza'!G:BL,36,FALSE))</f>
        <v>16</v>
      </c>
      <c r="AF120" s="19">
        <f>VLOOKUP(C120,ANTIGÜEDAD!A:BE,18,FALSE)</f>
        <v>0</v>
      </c>
      <c r="AG120" s="30">
        <f>IFERROR(VLOOKUP(C120,Ahorros_concentrado!B:D,3,FALSE),0)</f>
        <v>5092.7699999999986</v>
      </c>
      <c r="AH120" s="43">
        <f t="shared" ca="1" si="19"/>
        <v>6.2160947857510848E-2</v>
      </c>
      <c r="AI120" s="19" t="str">
        <f>IF(VLOOKUP(C120,ANTIGÜEDAD!A:AG,33,0)="Entregado","Vigente",IF(VLOOKUP(C120,ANTIGÜEDAD!A:AG,33,0)="Liquidado","Desertor sin mora",""))</f>
        <v>Vigente</v>
      </c>
      <c r="AJ120" s="98" t="str">
        <f t="shared" si="20"/>
        <v>000001001</v>
      </c>
    </row>
    <row r="121" spans="1:36" x14ac:dyDescent="0.3">
      <c r="A121" s="19" t="str">
        <f>VLOOKUP(C121,ANTIGÜEDAD!A:BJ,4,FALSE)</f>
        <v>JUDITH PATRICIA SERRANO HERRER</v>
      </c>
      <c r="B121" s="19" t="str">
        <f>IFERROR(VLOOKUP(ANTIGÜEDAD!F120,'Parche Promotores'!A:B,2,0),ANTIGÜEDAD!F120)</f>
        <v>Becerril Aguirre Jonathan</v>
      </c>
      <c r="C121" s="6" t="str">
        <f>TEXT(ANTIGÜEDAD!I120,"000000")</f>
        <v>000072</v>
      </c>
      <c r="D121" s="6" t="str">
        <f>ANTIGÜEDAD!K120</f>
        <v>LOS GALINDO</v>
      </c>
      <c r="E121" s="29" t="str">
        <f>IFERROR(VLOOKUP(C121,'SITUACIÓN DE CARTERA'!A:AR,12,FALSE),VLOOKUP(C121,ANTIGÜEDAD!A:J,10,0))</f>
        <v>01</v>
      </c>
      <c r="F121" s="30">
        <f>VLOOKUP(C121,ANTIGÜEDAD!A:BE,17,FALSE)</f>
        <v>44000</v>
      </c>
      <c r="G121" s="30" t="str">
        <f>VLOOKUP(C121,ANTIGÜEDAD!A:BE,12,FALSE)</f>
        <v>MIGRADO</v>
      </c>
      <c r="H121" s="31">
        <f>VLOOKUP(C121,ANTIGÜEDAD!A:BE,14,FALSE)</f>
        <v>45911</v>
      </c>
      <c r="I121" s="19">
        <f>VLOOKUP(C121,ANTIGÜEDAD!A:BE,19,FALSE)</f>
        <v>16</v>
      </c>
      <c r="J121" s="31" t="str">
        <f>VLOOKUP(C121,ANTIGÜEDAD!A:BE,56,FALSE)</f>
        <v>Jueves</v>
      </c>
      <c r="K121" s="32" t="str">
        <f>VLOOKUP(C121,ANTIGÜEDAD!A:BE,57,FALSE)</f>
        <v>16:00</v>
      </c>
      <c r="L121" s="19" t="str">
        <f>VLOOKUP(C121,ANTIGÜEDAD!A:BE,20,FALSE)</f>
        <v>Semanal</v>
      </c>
      <c r="M121" s="30">
        <f>VLOOKUP(C121,ANTIGÜEDAD!A:BE,21,FALSE)</f>
        <v>3344.03</v>
      </c>
      <c r="N121" s="33" t="str">
        <f>IFERROR(VLOOKUP(C121,'Reporte de cobranza'!G:BL,34,FALSE),"")</f>
        <v>06/11/2025</v>
      </c>
      <c r="O121" s="30">
        <f>IF(AI121="Desertor sin mora",0,VLOOKUP(C121,ANTIGÜEDAD!A:BJ,44,FALSE))</f>
        <v>30096.47</v>
      </c>
      <c r="P121" s="30">
        <f t="shared" si="15"/>
        <v>53504.480000000003</v>
      </c>
      <c r="Q121" s="30">
        <f t="shared" ca="1" si="11"/>
        <v>30096.47</v>
      </c>
      <c r="R121" s="30">
        <f>IF(AI121="Desertor sin mora",0,VLOOKUP(C121,ANTIGÜEDAD!A:BJ,26,FALSE))</f>
        <v>24750.2</v>
      </c>
      <c r="S121" s="30">
        <f t="shared" ca="1" si="16"/>
        <v>0</v>
      </c>
      <c r="T121" s="30">
        <f>IF(V121&gt;0,IF(VLOOKUP(TEXT(C121,"000000"),Ahorros_concentrado!B:D,3,0)+F121*0.1&gt;V121,V121,VLOOKUP(TEXT(C121,"000000"),Ahorros_concentrado!B:D,3,0)+F121*0.1),0)</f>
        <v>0</v>
      </c>
      <c r="U121" s="30">
        <f t="shared" si="17"/>
        <v>0</v>
      </c>
      <c r="V121" s="30">
        <f>IF(AI121="Desertor sin mora",0,VLOOKUP(C121,'SITUACIÓN DE CARTERA'!A:AR,26,FALSE))</f>
        <v>0</v>
      </c>
      <c r="W121" s="134">
        <f>IF(AI121="Desertor sin mora",0,VLOOKUP(C121,'SITUACIÓN DE CARTERA'!A:AR,27,FALSE))/100</f>
        <v>0</v>
      </c>
      <c r="X121" s="30">
        <f>IF(V121&gt;0,VLOOKUP(C121,ANTIGÜEDAD!A:BE,26,FALSE),0)</f>
        <v>0</v>
      </c>
      <c r="Z121" s="34">
        <f>IF(AI121="Desertor sin mora",VLOOKUP(C121,ANTIGÜEDAD!A:Q,17,0)/AA121,F121/AA121)</f>
        <v>7333.333333333333</v>
      </c>
      <c r="AA121" s="19">
        <f>IF(AI121="Desertor sin mora",VLOOKUP(C121,ANTIGÜEDAD!A:M,13,0),VLOOKUP(C121,'SITUACIÓN DE CARTERA'!A:AR,43,FALSE))</f>
        <v>6</v>
      </c>
      <c r="AB121" s="19">
        <f t="shared" ca="1" si="18"/>
        <v>7</v>
      </c>
      <c r="AC121" s="42">
        <f>IF(AI121="Desertor sin mora",0,(VLOOKUP(C121,'SITUACIÓN DE CARTERA'!A:AS,45,FALSE))/M121)</f>
        <v>6.9999372015203205</v>
      </c>
      <c r="AD121" s="19">
        <f>IF(AI121="Desertor sin mora",0,VLOOKUP(C121,'Reporte de cobranza'!G:BL,35,FALSE))</f>
        <v>9</v>
      </c>
      <c r="AE121" s="19">
        <f>IF(AI121="Desertor sin mora",I121,VLOOKUP(C121,'Reporte de cobranza'!G:BL,36,FALSE))</f>
        <v>16</v>
      </c>
      <c r="AF121" s="19">
        <f>VLOOKUP(C121,ANTIGÜEDAD!A:BE,18,FALSE)</f>
        <v>0</v>
      </c>
      <c r="AG121" s="30">
        <f>IFERROR(VLOOKUP(C121,Ahorros_concentrado!B:D,3,FALSE),0)</f>
        <v>2350</v>
      </c>
      <c r="AH121" s="43">
        <f t="shared" ca="1" si="19"/>
        <v>0.10039212737753121</v>
      </c>
      <c r="AI121" s="19" t="str">
        <f>IF(VLOOKUP(C121,ANTIGÜEDAD!A:AG,33,0)="Entregado","Vigente",IF(VLOOKUP(C121,ANTIGÜEDAD!A:AG,33,0)="Liquidado","Desertor sin mora",""))</f>
        <v>Vigente</v>
      </c>
      <c r="AJ121" s="98" t="str">
        <f t="shared" si="20"/>
        <v>000007201</v>
      </c>
    </row>
    <row r="122" spans="1:36" x14ac:dyDescent="0.3">
      <c r="A122" s="19" t="str">
        <f>VLOOKUP(C122,ANTIGÜEDAD!A:BJ,4,FALSE)</f>
        <v>JUDITH PATRICIA SERRANO HERRER</v>
      </c>
      <c r="B122" s="19" t="str">
        <f>IFERROR(VLOOKUP(ANTIGÜEDAD!F121,'Parche Promotores'!A:B,2,0),ANTIGÜEDAD!F121)</f>
        <v>Becerril Aguirre Jonathan</v>
      </c>
      <c r="C122" s="6" t="str">
        <f>TEXT(ANTIGÜEDAD!I121,"000000")</f>
        <v>000129</v>
      </c>
      <c r="D122" s="6" t="str">
        <f>ANTIGÜEDAD!K121</f>
        <v>LOS TRIUNFADORES</v>
      </c>
      <c r="E122" s="29" t="str">
        <f>IFERROR(VLOOKUP(C122,'SITUACIÓN DE CARTERA'!A:AR,12,FALSE),VLOOKUP(C122,ANTIGÜEDAD!A:J,10,0))</f>
        <v>01</v>
      </c>
      <c r="F122" s="30">
        <f>VLOOKUP(C122,ANTIGÜEDAD!A:BE,17,FALSE)</f>
        <v>62000</v>
      </c>
      <c r="G122" s="30" t="str">
        <f>VLOOKUP(C122,ANTIGÜEDAD!A:BE,12,FALSE)</f>
        <v>MIGRADO</v>
      </c>
      <c r="H122" s="31">
        <f>VLOOKUP(C122,ANTIGÜEDAD!A:BE,14,FALSE)</f>
        <v>45932</v>
      </c>
      <c r="I122" s="19">
        <f>VLOOKUP(C122,ANTIGÜEDAD!A:BE,19,FALSE)</f>
        <v>16</v>
      </c>
      <c r="J122" s="31" t="str">
        <f>VLOOKUP(C122,ANTIGÜEDAD!A:BE,56,FALSE)</f>
        <v>Jueves</v>
      </c>
      <c r="K122" s="32" t="str">
        <f>VLOOKUP(C122,ANTIGÜEDAD!A:BE,57,FALSE)</f>
        <v>16:00</v>
      </c>
      <c r="L122" s="19" t="str">
        <f>VLOOKUP(C122,ANTIGÜEDAD!A:BE,20,FALSE)</f>
        <v>Semanal</v>
      </c>
      <c r="M122" s="30">
        <f>VLOOKUP(C122,ANTIGÜEDAD!A:BE,21,FALSE)</f>
        <v>4712.04</v>
      </c>
      <c r="N122" s="33" t="str">
        <f>IFERROR(VLOOKUP(C122,'Reporte de cobranza'!G:BL,34,FALSE),"")</f>
        <v>06/11/2025</v>
      </c>
      <c r="O122" s="30">
        <f>IF(AI122="Desertor sin mora",0,VLOOKUP(C122,ANTIGÜEDAD!A:BJ,44,FALSE))</f>
        <v>56544.66</v>
      </c>
      <c r="P122" s="30">
        <f t="shared" si="15"/>
        <v>75392.639999999999</v>
      </c>
      <c r="Q122" s="30">
        <f t="shared" ca="1" si="11"/>
        <v>56544.66</v>
      </c>
      <c r="R122" s="30">
        <f>IF(AI122="Desertor sin mora",0,VLOOKUP(C122,ANTIGÜEDAD!A:BJ,26,FALSE))</f>
        <v>46500.18</v>
      </c>
      <c r="S122" s="30">
        <f t="shared" ca="1" si="16"/>
        <v>0</v>
      </c>
      <c r="T122" s="30">
        <f>IF(V122&gt;0,IF(VLOOKUP(TEXT(C122,"000000"),Ahorros_concentrado!B:D,3,0)+F122*0.1&gt;V122,V122,VLOOKUP(TEXT(C122,"000000"),Ahorros_concentrado!B:D,3,0)+F122*0.1),0)</f>
        <v>0</v>
      </c>
      <c r="U122" s="30">
        <f t="shared" si="17"/>
        <v>0</v>
      </c>
      <c r="V122" s="30">
        <f>IF(AI122="Desertor sin mora",0,VLOOKUP(C122,'SITUACIÓN DE CARTERA'!A:AR,26,FALSE))</f>
        <v>0</v>
      </c>
      <c r="W122" s="134">
        <f>IF(AI122="Desertor sin mora",0,VLOOKUP(C122,'SITUACIÓN DE CARTERA'!A:AR,27,FALSE))/100</f>
        <v>0</v>
      </c>
      <c r="X122" s="30">
        <f>IF(V122&gt;0,VLOOKUP(C122,ANTIGÜEDAD!A:BE,26,FALSE),0)</f>
        <v>0</v>
      </c>
      <c r="Z122" s="34">
        <f>IF(AI122="Desertor sin mora",VLOOKUP(C122,ANTIGÜEDAD!A:Q,17,0)/AA122,F122/AA122)</f>
        <v>10333.333333333334</v>
      </c>
      <c r="AA122" s="19">
        <f>IF(AI122="Desertor sin mora",VLOOKUP(C122,ANTIGÜEDAD!A:M,13,0),VLOOKUP(C122,'SITUACIÓN DE CARTERA'!A:AR,43,FALSE))</f>
        <v>6</v>
      </c>
      <c r="AB122" s="19">
        <f t="shared" ca="1" si="18"/>
        <v>4</v>
      </c>
      <c r="AC122" s="42">
        <f>IF(AI122="Desertor sin mora",0,(VLOOKUP(C122,'SITUACIÓN DE CARTERA'!A:AS,45,FALSE))/M122)</f>
        <v>3.9999660444308622</v>
      </c>
      <c r="AD122" s="19">
        <f>IF(AI122="Desertor sin mora",0,VLOOKUP(C122,'Reporte de cobranza'!G:BL,35,FALSE))</f>
        <v>12</v>
      </c>
      <c r="AE122" s="19">
        <f>IF(AI122="Desertor sin mora",I122,VLOOKUP(C122,'Reporte de cobranza'!G:BL,36,FALSE))</f>
        <v>16</v>
      </c>
      <c r="AF122" s="19">
        <f>VLOOKUP(C122,ANTIGÜEDAD!A:BE,18,FALSE)</f>
        <v>0</v>
      </c>
      <c r="AG122" s="30">
        <f>IFERROR(VLOOKUP(C122,Ahorros_concentrado!B:D,3,FALSE),0)</f>
        <v>9212</v>
      </c>
      <c r="AH122" s="43">
        <f t="shared" ca="1" si="19"/>
        <v>0.48874797327696712</v>
      </c>
      <c r="AI122" s="19" t="str">
        <f>IF(VLOOKUP(C122,ANTIGÜEDAD!A:AG,33,0)="Entregado","Vigente",IF(VLOOKUP(C122,ANTIGÜEDAD!A:AG,33,0)="Liquidado","Desertor sin mora",""))</f>
        <v>Vigente</v>
      </c>
      <c r="AJ122" s="98" t="str">
        <f t="shared" si="20"/>
        <v>000012901</v>
      </c>
    </row>
    <row r="123" spans="1:36" x14ac:dyDescent="0.3">
      <c r="A123" s="19" t="str">
        <f>VLOOKUP(C123,ANTIGÜEDAD!A:BJ,4,FALSE)</f>
        <v>JUDITH PATRICIA SERRANO HERRER</v>
      </c>
      <c r="B123" s="19" t="str">
        <f>IFERROR(VLOOKUP(ANTIGÜEDAD!F122,'Parche Promotores'!A:B,2,0),ANTIGÜEDAD!F122)</f>
        <v>ORTEGA FORTANEL GABRIELA</v>
      </c>
      <c r="C123" s="6" t="str">
        <f>TEXT(ANTIGÜEDAD!I122,"000000")</f>
        <v>000109</v>
      </c>
      <c r="D123" s="6" t="str">
        <f>ANTIGÜEDAD!K122</f>
        <v>LAS MOSQUETERAS</v>
      </c>
      <c r="E123" s="29" t="str">
        <f>IFERROR(VLOOKUP(C123,'SITUACIÓN DE CARTERA'!A:AR,12,FALSE),VLOOKUP(C123,ANTIGÜEDAD!A:J,10,0))</f>
        <v>01</v>
      </c>
      <c r="F123" s="30">
        <f>VLOOKUP(C123,ANTIGÜEDAD!A:BE,17,FALSE)</f>
        <v>108000</v>
      </c>
      <c r="G123" s="30" t="str">
        <f>VLOOKUP(C123,ANTIGÜEDAD!A:BE,12,FALSE)</f>
        <v>MIGRADO</v>
      </c>
      <c r="H123" s="31">
        <f>VLOOKUP(C123,ANTIGÜEDAD!A:BE,14,FALSE)</f>
        <v>45924</v>
      </c>
      <c r="I123" s="19">
        <f>VLOOKUP(C123,ANTIGÜEDAD!A:BE,19,FALSE)</f>
        <v>16</v>
      </c>
      <c r="J123" s="31" t="str">
        <f>VLOOKUP(C123,ANTIGÜEDAD!A:BE,56,FALSE)</f>
        <v>Miércoles</v>
      </c>
      <c r="K123" s="32" t="str">
        <f>VLOOKUP(C123,ANTIGÜEDAD!A:BE,57,FALSE)</f>
        <v>11:00</v>
      </c>
      <c r="L123" s="19" t="str">
        <f>VLOOKUP(C123,ANTIGÜEDAD!A:BE,20,FALSE)</f>
        <v>Semanal</v>
      </c>
      <c r="M123" s="30">
        <f>VLOOKUP(C123,ANTIGÜEDAD!A:BE,21,FALSE)</f>
        <v>8208.07</v>
      </c>
      <c r="N123" s="33" t="str">
        <f>IFERROR(VLOOKUP(C123,'Reporte de cobranza'!G:BL,34,FALSE),"")</f>
        <v>05/11/2025</v>
      </c>
      <c r="O123" s="30">
        <f>IF(AI123="Desertor sin mora",0,VLOOKUP(C123,ANTIGÜEDAD!A:BJ,44,FALSE))</f>
        <v>90289.01</v>
      </c>
      <c r="P123" s="30">
        <f t="shared" si="15"/>
        <v>131329.12</v>
      </c>
      <c r="Q123" s="30">
        <f t="shared" ca="1" si="11"/>
        <v>90289.01</v>
      </c>
      <c r="R123" s="30">
        <f>IF(AI123="Desertor sin mora",0,VLOOKUP(C123,ANTIGÜEDAD!A:BJ,26,FALSE))</f>
        <v>74250.210000000006</v>
      </c>
      <c r="S123" s="30">
        <f t="shared" ca="1" si="16"/>
        <v>0</v>
      </c>
      <c r="T123" s="30">
        <f>IF(V123&gt;0,IF(VLOOKUP(TEXT(C123,"000000"),Ahorros_concentrado!B:D,3,0)+F123*0.1&gt;V123,V123,VLOOKUP(TEXT(C123,"000000"),Ahorros_concentrado!B:D,3,0)+F123*0.1),0)</f>
        <v>0</v>
      </c>
      <c r="U123" s="30">
        <f t="shared" si="17"/>
        <v>0</v>
      </c>
      <c r="V123" s="30">
        <f>IF(AI123="Desertor sin mora",0,VLOOKUP(C123,'SITUACIÓN DE CARTERA'!A:AR,26,FALSE))</f>
        <v>0</v>
      </c>
      <c r="W123" s="134">
        <f>IF(AI123="Desertor sin mora",0,VLOOKUP(C123,'SITUACIÓN DE CARTERA'!A:AR,27,FALSE))/100</f>
        <v>0</v>
      </c>
      <c r="X123" s="30">
        <f>IF(V123&gt;0,VLOOKUP(C123,ANTIGÜEDAD!A:BE,26,FALSE),0)</f>
        <v>0</v>
      </c>
      <c r="Z123" s="34">
        <f>IF(AI123="Desertor sin mora",VLOOKUP(C123,ANTIGÜEDAD!A:Q,17,0)/AA123,F123/AA123)</f>
        <v>21600</v>
      </c>
      <c r="AA123" s="19">
        <f>IF(AI123="Desertor sin mora",VLOOKUP(C123,ANTIGÜEDAD!A:M,13,0),VLOOKUP(C123,'SITUACIÓN DE CARTERA'!A:AR,43,FALSE))</f>
        <v>5</v>
      </c>
      <c r="AB123" s="19">
        <f t="shared" ca="1" si="18"/>
        <v>5</v>
      </c>
      <c r="AC123" s="42">
        <f>IF(AI123="Desertor sin mora",0,(VLOOKUP(C123,'SITUACIÓN DE CARTERA'!A:AS,45,FALSE))/M123)</f>
        <v>4.9999744154228702</v>
      </c>
      <c r="AD123" s="19">
        <f>IF(AI123="Desertor sin mora",0,VLOOKUP(C123,'Reporte de cobranza'!G:BL,35,FALSE))</f>
        <v>11</v>
      </c>
      <c r="AE123" s="19">
        <f>IF(AI123="Desertor sin mora",I123,VLOOKUP(C123,'Reporte de cobranza'!G:BL,36,FALSE))</f>
        <v>16</v>
      </c>
      <c r="AF123" s="19">
        <f>VLOOKUP(C123,ANTIGÜEDAD!A:BE,18,FALSE)</f>
        <v>0</v>
      </c>
      <c r="AG123" s="30">
        <f>IFERROR(VLOOKUP(C123,Ahorros_concentrado!B:D,3,FALSE),0)</f>
        <v>4285.1399999999994</v>
      </c>
      <c r="AH123" s="43">
        <f t="shared" ca="1" si="19"/>
        <v>0.10441285222957405</v>
      </c>
      <c r="AI123" s="19" t="str">
        <f>IF(VLOOKUP(C123,ANTIGÜEDAD!A:AG,33,0)="Entregado","Vigente",IF(VLOOKUP(C123,ANTIGÜEDAD!A:AG,33,0)="Liquidado","Desertor sin mora",""))</f>
        <v>Vigente</v>
      </c>
      <c r="AJ123" s="98" t="str">
        <f t="shared" si="20"/>
        <v>000010901</v>
      </c>
    </row>
    <row r="124" spans="1:36" x14ac:dyDescent="0.3">
      <c r="A124" s="19" t="str">
        <f>VLOOKUP(C124,ANTIGÜEDAD!A:BJ,4,FALSE)</f>
        <v>JUDITH PATRICIA SERRANO HERRER</v>
      </c>
      <c r="B124" s="19" t="str">
        <f>IFERROR(VLOOKUP(ANTIGÜEDAD!F123,'Parche Promotores'!A:B,2,0),ANTIGÜEDAD!F123)</f>
        <v>Cabrera Flores Viridiana</v>
      </c>
      <c r="C124" s="6" t="str">
        <f>TEXT(ANTIGÜEDAD!I123,"000000")</f>
        <v>000094</v>
      </c>
      <c r="D124" s="6" t="str">
        <f>ANTIGÜEDAD!K123</f>
        <v>BIENVENIDOS</v>
      </c>
      <c r="E124" s="29" t="str">
        <f>IFERROR(VLOOKUP(C124,'SITUACIÓN DE CARTERA'!A:AR,12,FALSE),VLOOKUP(C124,ANTIGÜEDAD!A:J,10,0))</f>
        <v>01</v>
      </c>
      <c r="F124" s="30">
        <f>VLOOKUP(C124,ANTIGÜEDAD!A:BE,17,FALSE)</f>
        <v>170000</v>
      </c>
      <c r="G124" s="30" t="str">
        <f>VLOOKUP(C124,ANTIGÜEDAD!A:BE,12,FALSE)</f>
        <v>MIGRADO</v>
      </c>
      <c r="H124" s="31">
        <f>VLOOKUP(C124,ANTIGÜEDAD!A:BE,14,FALSE)</f>
        <v>45919</v>
      </c>
      <c r="I124" s="19">
        <f>VLOOKUP(C124,ANTIGÜEDAD!A:BE,19,FALSE)</f>
        <v>16</v>
      </c>
      <c r="J124" s="31" t="str">
        <f>VLOOKUP(C124,ANTIGÜEDAD!A:BE,56,FALSE)</f>
        <v>Viernes</v>
      </c>
      <c r="K124" s="32" t="str">
        <f>VLOOKUP(C124,ANTIGÜEDAD!A:BE,57,FALSE)</f>
        <v>11:00</v>
      </c>
      <c r="L124" s="19" t="str">
        <f>VLOOKUP(C124,ANTIGÜEDAD!A:BE,20,FALSE)</f>
        <v>Semanal</v>
      </c>
      <c r="M124" s="30">
        <f>VLOOKUP(C124,ANTIGÜEDAD!A:BE,21,FALSE)</f>
        <v>12920.11</v>
      </c>
      <c r="N124" s="33" t="str">
        <f>IFERROR(VLOOKUP(C124,'Reporte de cobranza'!G:BL,34,FALSE),"")</f>
        <v>07/11/2025</v>
      </c>
      <c r="O124" s="30">
        <f>IF(AI124="Desertor sin mora",0,VLOOKUP(C124,ANTIGÜEDAD!A:BJ,44,FALSE))</f>
        <v>129199.37000000001</v>
      </c>
      <c r="P124" s="30">
        <f t="shared" si="15"/>
        <v>206721.76</v>
      </c>
      <c r="Q124" s="30">
        <f t="shared" ca="1" si="11"/>
        <v>129201.1</v>
      </c>
      <c r="R124" s="30">
        <f>IF(AI124="Desertor sin mora",0,VLOOKUP(C124,ANTIGÜEDAD!A:BJ,26,FALSE))</f>
        <v>106250</v>
      </c>
      <c r="S124" s="30">
        <f t="shared" ca="1" si="16"/>
        <v>-1.7299999999959255</v>
      </c>
      <c r="T124" s="30">
        <f>IF(V124&gt;0,IF(VLOOKUP(TEXT(C124,"000000"),Ahorros_concentrado!B:D,3,0)+F124*0.1&gt;V124,V124,VLOOKUP(TEXT(C124,"000000"),Ahorros_concentrado!B:D,3,0)+F124*0.1),0)</f>
        <v>0</v>
      </c>
      <c r="U124" s="30">
        <f t="shared" si="17"/>
        <v>0</v>
      </c>
      <c r="V124" s="30">
        <f>IF(AI124="Desertor sin mora",0,VLOOKUP(C124,'SITUACIÓN DE CARTERA'!A:AR,26,FALSE))</f>
        <v>0</v>
      </c>
      <c r="W124" s="134">
        <f>IF(AI124="Desertor sin mora",0,VLOOKUP(C124,'SITUACIÓN DE CARTERA'!A:AR,27,FALSE))/100</f>
        <v>0</v>
      </c>
      <c r="X124" s="30">
        <f>IF(V124&gt;0,VLOOKUP(C124,ANTIGÜEDAD!A:BE,26,FALSE),0)</f>
        <v>0</v>
      </c>
      <c r="Z124" s="34">
        <f>IF(AI124="Desertor sin mora",VLOOKUP(C124,ANTIGÜEDAD!A:Q,17,0)/AA124,F124/AA124)</f>
        <v>34000</v>
      </c>
      <c r="AA124" s="19">
        <f>IF(AI124="Desertor sin mora",VLOOKUP(C124,ANTIGÜEDAD!A:M,13,0),VLOOKUP(C124,'SITUACIÓN DE CARTERA'!A:AR,43,FALSE))</f>
        <v>5</v>
      </c>
      <c r="AB124" s="19">
        <f t="shared" ca="1" si="18"/>
        <v>6</v>
      </c>
      <c r="AC124" s="42">
        <f>IF(AI124="Desertor sin mora",0,(VLOOKUP(C124,'SITUACIÓN DE CARTERA'!A:AS,45,FALSE))/M124)</f>
        <v>6.000137769724871</v>
      </c>
      <c r="AD124" s="19">
        <f>IF(AI124="Desertor sin mora",0,VLOOKUP(C124,'Reporte de cobranza'!G:BL,35,FALSE))</f>
        <v>10</v>
      </c>
      <c r="AE124" s="19">
        <f>IF(AI124="Desertor sin mora",I124,VLOOKUP(C124,'Reporte de cobranza'!G:BL,36,FALSE))</f>
        <v>16</v>
      </c>
      <c r="AF124" s="19">
        <f>VLOOKUP(C124,ANTIGÜEDAD!A:BE,18,FALSE)</f>
        <v>0</v>
      </c>
      <c r="AG124" s="30">
        <f>IFERROR(VLOOKUP(C124,Ahorros_concentrado!B:D,3,FALSE),0)</f>
        <v>5171.5599999999977</v>
      </c>
      <c r="AH124" s="43">
        <f t="shared" ca="1" si="19"/>
        <v>6.6712022317663419E-2</v>
      </c>
      <c r="AI124" s="19" t="str">
        <f>IF(VLOOKUP(C124,ANTIGÜEDAD!A:AG,33,0)="Entregado","Vigente",IF(VLOOKUP(C124,ANTIGÜEDAD!A:AG,33,0)="Liquidado","Desertor sin mora",""))</f>
        <v>Vigente</v>
      </c>
      <c r="AJ124" s="98" t="str">
        <f t="shared" si="20"/>
        <v>000009401</v>
      </c>
    </row>
    <row r="125" spans="1:36" x14ac:dyDescent="0.3">
      <c r="A125" s="19" t="str">
        <f>VLOOKUP(C125,ANTIGÜEDAD!A:BJ,4,FALSE)</f>
        <v>ADRIANA ALEJALDRE GUZMAN</v>
      </c>
      <c r="B125" s="19" t="str">
        <f>IFERROR(VLOOKUP(ANTIGÜEDAD!F124,'Parche Promotores'!A:B,2,0),ANTIGÜEDAD!F124)</f>
        <v>Contreras Martinez Jose Luis</v>
      </c>
      <c r="C125" s="6" t="str">
        <f>TEXT(ANTIGÜEDAD!I124,"000000")</f>
        <v>000022</v>
      </c>
      <c r="D125" s="6" t="str">
        <f>ANTIGÜEDAD!K124</f>
        <v>HACHI</v>
      </c>
      <c r="E125" s="29" t="str">
        <f>IFERROR(VLOOKUP(C125,'SITUACIÓN DE CARTERA'!A:AR,12,FALSE),VLOOKUP(C125,ANTIGÜEDAD!A:J,10,0))</f>
        <v>01</v>
      </c>
      <c r="F125" s="30">
        <f>VLOOKUP(C125,ANTIGÜEDAD!A:BE,17,FALSE)</f>
        <v>122000</v>
      </c>
      <c r="G125" s="30" t="str">
        <f>VLOOKUP(C125,ANTIGÜEDAD!A:BE,12,FALSE)</f>
        <v>MIGRADO</v>
      </c>
      <c r="H125" s="31">
        <f>VLOOKUP(C125,ANTIGÜEDAD!A:BE,14,FALSE)</f>
        <v>45888</v>
      </c>
      <c r="I125" s="19">
        <f>VLOOKUP(C125,ANTIGÜEDAD!A:BE,19,FALSE)</f>
        <v>16</v>
      </c>
      <c r="J125" s="31" t="str">
        <f>VLOOKUP(C125,ANTIGÜEDAD!A:BE,56,FALSE)</f>
        <v>Martes</v>
      </c>
      <c r="K125" s="32" t="str">
        <f>VLOOKUP(C125,ANTIGÜEDAD!A:BE,57,FALSE)</f>
        <v>14:00</v>
      </c>
      <c r="L125" s="19" t="str">
        <f>VLOOKUP(C125,ANTIGÜEDAD!A:BE,20,FALSE)</f>
        <v>Semanal</v>
      </c>
      <c r="M125" s="30">
        <f>VLOOKUP(C125,ANTIGÜEDAD!A:BE,21,FALSE)</f>
        <v>9272.08</v>
      </c>
      <c r="N125" s="33" t="str">
        <f>IFERROR(VLOOKUP(C125,'Reporte de cobranza'!G:BL,34,FALSE),"")</f>
        <v>04/11/2025</v>
      </c>
      <c r="O125" s="30">
        <f>IF(AI125="Desertor sin mora",0,VLOOKUP(C125,ANTIGÜEDAD!A:BJ,44,FALSE))</f>
        <v>79638.22</v>
      </c>
      <c r="P125" s="30">
        <f t="shared" si="15"/>
        <v>148353.28</v>
      </c>
      <c r="Q125" s="30">
        <f t="shared" ca="1" si="11"/>
        <v>79638.22</v>
      </c>
      <c r="R125" s="30">
        <f>IF(AI125="Desertor sin mora",0,VLOOKUP(C125,ANTIGÜEDAD!A:BJ,26,FALSE))</f>
        <v>66461.540000000008</v>
      </c>
      <c r="S125" s="30">
        <f t="shared" ca="1" si="16"/>
        <v>0</v>
      </c>
      <c r="T125" s="30">
        <f>IF(V125&gt;0,IF(VLOOKUP(TEXT(C125,"000000"),Ahorros_concentrado!B:D,3,0)+F125*0.1&gt;V125,V125,VLOOKUP(TEXT(C125,"000000"),Ahorros_concentrado!B:D,3,0)+F125*0.1),0)</f>
        <v>14737.92</v>
      </c>
      <c r="U125" s="30">
        <f t="shared" si="17"/>
        <v>5973.6200000000008</v>
      </c>
      <c r="V125" s="30">
        <f>IF(AI125="Desertor sin mora",0,VLOOKUP(C125,'SITUACIÓN DE CARTERA'!A:AR,26,FALSE))</f>
        <v>20711.54</v>
      </c>
      <c r="W125" s="134">
        <f>IF(AI125="Desertor sin mora",0,VLOOKUP(C125,'SITUACIÓN DE CARTERA'!A:AR,27,FALSE))/100</f>
        <v>0.31163196037888974</v>
      </c>
      <c r="X125" s="30">
        <f>IF(V125&gt;0,VLOOKUP(C125,ANTIGÜEDAD!A:BE,26,FALSE),0)</f>
        <v>66461.540000000008</v>
      </c>
      <c r="Z125" s="34">
        <f>IF(AI125="Desertor sin mora",VLOOKUP(C125,ANTIGÜEDAD!A:Q,17,0)/AA125,F125/AA125)</f>
        <v>12200</v>
      </c>
      <c r="AA125" s="19">
        <f>IF(AI125="Desertor sin mora",VLOOKUP(C125,ANTIGÜEDAD!A:M,13,0),VLOOKUP(C125,'SITUACIÓN DE CARTERA'!A:AR,43,FALSE))</f>
        <v>10</v>
      </c>
      <c r="AB125" s="19">
        <f t="shared" ca="1" si="18"/>
        <v>10</v>
      </c>
      <c r="AC125" s="42">
        <f>IF(AI125="Desertor sin mora",0,(VLOOKUP(C125,'SITUACIÓN DE CARTERA'!A:AS,45,FALSE))/M125)</f>
        <v>7.4109671184890553</v>
      </c>
      <c r="AD125" s="19">
        <f>IF(AI125="Desertor sin mora",0,VLOOKUP(C125,'Reporte de cobranza'!G:BL,35,FALSE))</f>
        <v>6</v>
      </c>
      <c r="AE125" s="19">
        <f>IF(AI125="Desertor sin mora",I125,VLOOKUP(C125,'Reporte de cobranza'!G:BL,36,FALSE))</f>
        <v>16</v>
      </c>
      <c r="AF125" s="19">
        <f>VLOOKUP(C125,ANTIGÜEDAD!A:BE,18,FALSE)</f>
        <v>17</v>
      </c>
      <c r="AG125" s="30">
        <f>IFERROR(VLOOKUP(C125,Ahorros_concentrado!B:D,3,FALSE),0)</f>
        <v>2537.92</v>
      </c>
      <c r="AH125" s="43">
        <f t="shared" ca="1" si="19"/>
        <v>2.7371636137738242E-2</v>
      </c>
      <c r="AI125" s="19" t="str">
        <f>IF(VLOOKUP(C125,ANTIGÜEDAD!A:AG,33,0)="Entregado","Vigente",IF(VLOOKUP(C125,ANTIGÜEDAD!A:AG,33,0)="Liquidado","Desertor sin mora",""))</f>
        <v>Vigente</v>
      </c>
      <c r="AJ125" s="98" t="str">
        <f t="shared" si="20"/>
        <v>000002201</v>
      </c>
    </row>
    <row r="126" spans="1:36" x14ac:dyDescent="0.3">
      <c r="A126" s="19" t="str">
        <f>VLOOKUP(C126,ANTIGÜEDAD!A:BJ,4,FALSE)</f>
        <v>JUAN EDMUNDO LUNA AGUILLON</v>
      </c>
      <c r="B126" s="19" t="str">
        <f>IFERROR(VLOOKUP(ANTIGÜEDAD!F125,'Parche Promotores'!A:B,2,0),ANTIGÜEDAD!F125)</f>
        <v>Sanchez Posada Jose Olimpo</v>
      </c>
      <c r="C126" s="6" t="str">
        <f>TEXT(ANTIGÜEDAD!I125,"000000")</f>
        <v>000093</v>
      </c>
      <c r="D126" s="6" t="str">
        <f>ANTIGÜEDAD!K125</f>
        <v>PALOMAS MENSAJERAS</v>
      </c>
      <c r="E126" s="29" t="str">
        <f>IFERROR(VLOOKUP(C126,'SITUACIÓN DE CARTERA'!A:AR,12,FALSE),VLOOKUP(C126,ANTIGÜEDAD!A:J,10,0))</f>
        <v>01</v>
      </c>
      <c r="F126" s="30">
        <f>VLOOKUP(C126,ANTIGÜEDAD!A:BE,17,FALSE)</f>
        <v>51000</v>
      </c>
      <c r="G126" s="30" t="str">
        <f>VLOOKUP(C126,ANTIGÜEDAD!A:BE,12,FALSE)</f>
        <v>MIGRADO</v>
      </c>
      <c r="H126" s="31">
        <f>VLOOKUP(C126,ANTIGÜEDAD!A:BE,14,FALSE)</f>
        <v>45919</v>
      </c>
      <c r="I126" s="19">
        <f>VLOOKUP(C126,ANTIGÜEDAD!A:BE,19,FALSE)</f>
        <v>16</v>
      </c>
      <c r="J126" s="31" t="str">
        <f>VLOOKUP(C126,ANTIGÜEDAD!A:BE,56,FALSE)</f>
        <v>Viernes</v>
      </c>
      <c r="K126" s="32" t="str">
        <f>VLOOKUP(C126,ANTIGÜEDAD!A:BE,57,FALSE)</f>
        <v>15:00</v>
      </c>
      <c r="L126" s="19" t="str">
        <f>VLOOKUP(C126,ANTIGÜEDAD!A:BE,20,FALSE)</f>
        <v>Semanal</v>
      </c>
      <c r="M126" s="30">
        <f>VLOOKUP(C126,ANTIGÜEDAD!A:BE,21,FALSE)</f>
        <v>3876.03</v>
      </c>
      <c r="N126" s="33" t="str">
        <f>IFERROR(VLOOKUP(C126,'Reporte de cobranza'!G:BL,34,FALSE),"")</f>
        <v>07/11/2025</v>
      </c>
      <c r="O126" s="30">
        <f>IF(AI126="Desertor sin mora",0,VLOOKUP(C126,ANTIGÜEDAD!A:BJ,44,FALSE))</f>
        <v>38760.36</v>
      </c>
      <c r="P126" s="30">
        <f t="shared" si="15"/>
        <v>62016.480000000003</v>
      </c>
      <c r="Q126" s="30">
        <f t="shared" ca="1" si="11"/>
        <v>38760.36</v>
      </c>
      <c r="R126" s="30">
        <f>IF(AI126="Desertor sin mora",0,VLOOKUP(C126,ANTIGÜEDAD!A:BJ,26,FALSE))</f>
        <v>31875.02</v>
      </c>
      <c r="S126" s="30">
        <f t="shared" ca="1" si="16"/>
        <v>0</v>
      </c>
      <c r="T126" s="30">
        <f>IF(V126&gt;0,IF(VLOOKUP(TEXT(C126,"000000"),Ahorros_concentrado!B:D,3,0)+F126*0.1&gt;V126,V126,VLOOKUP(TEXT(C126,"000000"),Ahorros_concentrado!B:D,3,0)+F126*0.1),0)</f>
        <v>0</v>
      </c>
      <c r="U126" s="30">
        <f t="shared" si="17"/>
        <v>0</v>
      </c>
      <c r="V126" s="30">
        <f>IF(AI126="Desertor sin mora",0,VLOOKUP(C126,'SITUACIÓN DE CARTERA'!A:AR,26,FALSE))</f>
        <v>0</v>
      </c>
      <c r="W126" s="134">
        <f>IF(AI126="Desertor sin mora",0,VLOOKUP(C126,'SITUACIÓN DE CARTERA'!A:AR,27,FALSE))/100</f>
        <v>0</v>
      </c>
      <c r="X126" s="30">
        <f>IF(V126&gt;0,VLOOKUP(C126,ANTIGÜEDAD!A:BE,26,FALSE),0)</f>
        <v>0</v>
      </c>
      <c r="Z126" s="34">
        <f>IF(AI126="Desertor sin mora",VLOOKUP(C126,ANTIGÜEDAD!A:Q,17,0)/AA126,F126/AA126)</f>
        <v>10200</v>
      </c>
      <c r="AA126" s="19">
        <f>IF(AI126="Desertor sin mora",VLOOKUP(C126,ANTIGÜEDAD!A:M,13,0),VLOOKUP(C126,'SITUACIÓN DE CARTERA'!A:AR,43,FALSE))</f>
        <v>5</v>
      </c>
      <c r="AB126" s="19">
        <f t="shared" ca="1" si="18"/>
        <v>6</v>
      </c>
      <c r="AC126" s="42">
        <f>IF(AI126="Desertor sin mora",0,(VLOOKUP(C126,'SITUACIÓN DE CARTERA'!A:AS,45,FALSE))/M126)</f>
        <v>6</v>
      </c>
      <c r="AD126" s="19">
        <f>IF(AI126="Desertor sin mora",0,VLOOKUP(C126,'Reporte de cobranza'!G:BL,35,FALSE))</f>
        <v>10</v>
      </c>
      <c r="AE126" s="19">
        <f>IF(AI126="Desertor sin mora",I126,VLOOKUP(C126,'Reporte de cobranza'!G:BL,36,FALSE))</f>
        <v>16</v>
      </c>
      <c r="AF126" s="19">
        <f>VLOOKUP(C126,ANTIGÜEDAD!A:BE,18,FALSE)</f>
        <v>0</v>
      </c>
      <c r="AG126" s="30">
        <f>IFERROR(VLOOKUP(C126,Ahorros_concentrado!B:D,3,FALSE),0)</f>
        <v>2996.8199999999988</v>
      </c>
      <c r="AH126" s="43">
        <f t="shared" ca="1" si="19"/>
        <v>0.1288612317242126</v>
      </c>
      <c r="AI126" s="19" t="str">
        <f>IF(VLOOKUP(C126,ANTIGÜEDAD!A:AG,33,0)="Entregado","Vigente",IF(VLOOKUP(C126,ANTIGÜEDAD!A:AG,33,0)="Liquidado","Desertor sin mora",""))</f>
        <v>Vigente</v>
      </c>
      <c r="AJ126" s="98" t="str">
        <f t="shared" si="20"/>
        <v>000009301</v>
      </c>
    </row>
    <row r="127" spans="1:36" x14ac:dyDescent="0.3">
      <c r="A127" s="19" t="str">
        <f>VLOOKUP(C127,ANTIGÜEDAD!A:BJ,4,FALSE)</f>
        <v>ADRIANA ALEJALDRE GUZMAN</v>
      </c>
      <c r="B127" s="19" t="str">
        <f>IFERROR(VLOOKUP(ANTIGÜEDAD!F126,'Parche Promotores'!A:B,2,0),ANTIGÜEDAD!F126)</f>
        <v>Contreras Martinez Jose Luis</v>
      </c>
      <c r="C127" s="6" t="str">
        <f>TEXT(ANTIGÜEDAD!I126,"000000")</f>
        <v>000067</v>
      </c>
      <c r="D127" s="6" t="str">
        <f>ANTIGÜEDAD!K126</f>
        <v>LOS DEL VALLE</v>
      </c>
      <c r="E127" s="29" t="str">
        <f>IFERROR(VLOOKUP(C127,'SITUACIÓN DE CARTERA'!A:AR,12,FALSE),VLOOKUP(C127,ANTIGÜEDAD!A:J,10,0))</f>
        <v>01</v>
      </c>
      <c r="F127" s="30">
        <f>VLOOKUP(C127,ANTIGÜEDAD!A:BE,17,FALSE)</f>
        <v>70000</v>
      </c>
      <c r="G127" s="30" t="str">
        <f>VLOOKUP(C127,ANTIGÜEDAD!A:BE,12,FALSE)</f>
        <v>MIGRADO</v>
      </c>
      <c r="H127" s="31">
        <f>VLOOKUP(C127,ANTIGÜEDAD!A:BE,14,FALSE)</f>
        <v>45908</v>
      </c>
      <c r="I127" s="19">
        <f>VLOOKUP(C127,ANTIGÜEDAD!A:BE,19,FALSE)</f>
        <v>16</v>
      </c>
      <c r="J127" s="31" t="str">
        <f>VLOOKUP(C127,ANTIGÜEDAD!A:BE,56,FALSE)</f>
        <v>Lunes</v>
      </c>
      <c r="K127" s="32" t="str">
        <f>VLOOKUP(C127,ANTIGÜEDAD!A:BE,57,FALSE)</f>
        <v>11:00</v>
      </c>
      <c r="L127" s="19" t="str">
        <f>VLOOKUP(C127,ANTIGÜEDAD!A:BE,20,FALSE)</f>
        <v>Semanal</v>
      </c>
      <c r="M127" s="30">
        <f>VLOOKUP(C127,ANTIGÜEDAD!A:BE,21,FALSE)</f>
        <v>5320.05</v>
      </c>
      <c r="N127" s="33" t="str">
        <f>IFERROR(VLOOKUP(C127,'Reporte de cobranza'!G:BL,34,FALSE),"")</f>
        <v>03/11/2025</v>
      </c>
      <c r="O127" s="30">
        <f>IF(AI127="Desertor sin mora",0,VLOOKUP(C127,ANTIGÜEDAD!A:BJ,44,FALSE))</f>
        <v>42517.75</v>
      </c>
      <c r="P127" s="30">
        <f t="shared" si="15"/>
        <v>85120.8</v>
      </c>
      <c r="Q127" s="30">
        <f t="shared" ca="1" si="11"/>
        <v>47880.450000000004</v>
      </c>
      <c r="R127" s="30">
        <f>IF(AI127="Desertor sin mora",0,VLOOKUP(C127,ANTIGÜEDAD!A:BJ,26,FALSE))</f>
        <v>35000</v>
      </c>
      <c r="S127" s="30">
        <f t="shared" ca="1" si="16"/>
        <v>-5362.7000000000044</v>
      </c>
      <c r="T127" s="30">
        <f>IF(V127&gt;0,IF(VLOOKUP(TEXT(C127,"000000"),Ahorros_concentrado!B:D,3,0)+F127*0.1&gt;V127,V127,VLOOKUP(TEXT(C127,"000000"),Ahorros_concentrado!B:D,3,0)+F127*0.1),0)</f>
        <v>0</v>
      </c>
      <c r="U127" s="30">
        <f t="shared" si="17"/>
        <v>0</v>
      </c>
      <c r="V127" s="30">
        <f>IF(AI127="Desertor sin mora",0,VLOOKUP(C127,'SITUACIÓN DE CARTERA'!A:AR,26,FALSE))</f>
        <v>0</v>
      </c>
      <c r="W127" s="134">
        <f>IF(AI127="Desertor sin mora",0,VLOOKUP(C127,'SITUACIÓN DE CARTERA'!A:AR,27,FALSE))/100</f>
        <v>0</v>
      </c>
      <c r="X127" s="30">
        <f>IF(V127&gt;0,VLOOKUP(C127,ANTIGÜEDAD!A:BE,26,FALSE),0)</f>
        <v>0</v>
      </c>
      <c r="Z127" s="34">
        <f>IF(AI127="Desertor sin mora",VLOOKUP(C127,ANTIGÜEDAD!A:Q,17,0)/AA127,F127/AA127)</f>
        <v>11666.666666666666</v>
      </c>
      <c r="AA127" s="19">
        <f>IF(AI127="Desertor sin mora",VLOOKUP(C127,ANTIGÜEDAD!A:M,13,0),VLOOKUP(C127,'SITUACIÓN DE CARTERA'!A:AR,43,FALSE))</f>
        <v>6</v>
      </c>
      <c r="AB127" s="19">
        <f t="shared" ca="1" si="18"/>
        <v>7</v>
      </c>
      <c r="AC127" s="42">
        <f>IF(AI127="Desertor sin mora",0,(VLOOKUP(C127,'SITUACIÓN DE CARTERA'!A:AS,45,FALSE))/M127)</f>
        <v>8.0080074435390642</v>
      </c>
      <c r="AD127" s="19">
        <f>IF(AI127="Desertor sin mora",0,VLOOKUP(C127,'Reporte de cobranza'!G:BL,35,FALSE))</f>
        <v>9</v>
      </c>
      <c r="AE127" s="19">
        <f>IF(AI127="Desertor sin mora",I127,VLOOKUP(C127,'Reporte de cobranza'!G:BL,36,FALSE))</f>
        <v>16</v>
      </c>
      <c r="AF127" s="19">
        <f>VLOOKUP(C127,ANTIGÜEDAD!A:BE,18,FALSE)</f>
        <v>0</v>
      </c>
      <c r="AG127" s="30">
        <f>IFERROR(VLOOKUP(C127,Ahorros_concentrado!B:D,3,FALSE),0)</f>
        <v>2235</v>
      </c>
      <c r="AH127" s="43">
        <f t="shared" ca="1" si="19"/>
        <v>6.0015547651942044E-2</v>
      </c>
      <c r="AI127" s="19" t="str">
        <f>IF(VLOOKUP(C127,ANTIGÜEDAD!A:AG,33,0)="Entregado","Vigente",IF(VLOOKUP(C127,ANTIGÜEDAD!A:AG,33,0)="Liquidado","Desertor sin mora",""))</f>
        <v>Vigente</v>
      </c>
      <c r="AJ127" s="98" t="str">
        <f t="shared" si="20"/>
        <v>000006701</v>
      </c>
    </row>
    <row r="128" spans="1:36" x14ac:dyDescent="0.3">
      <c r="A128" s="19" t="str">
        <f>VLOOKUP(C128,ANTIGÜEDAD!A:BJ,4,FALSE)</f>
        <v>ADRIANA ALEJALDRE GUZMAN</v>
      </c>
      <c r="B128" s="19" t="str">
        <f>IFERROR(VLOOKUP(ANTIGÜEDAD!F127,'Parche Promotores'!A:B,2,0),ANTIGÜEDAD!F127)</f>
        <v>Juarez Palma Ma Ines</v>
      </c>
      <c r="C128" s="6" t="str">
        <f>TEXT(ANTIGÜEDAD!I127,"000000")</f>
        <v>000034</v>
      </c>
      <c r="D128" s="6" t="str">
        <f>ANTIGÜEDAD!K127</f>
        <v>SONRISA</v>
      </c>
      <c r="E128" s="29" t="str">
        <f>IFERROR(VLOOKUP(C128,'SITUACIÓN DE CARTERA'!A:AR,12,FALSE),VLOOKUP(C128,ANTIGÜEDAD!A:J,10,0))</f>
        <v>01</v>
      </c>
      <c r="F128" s="30">
        <f>VLOOKUP(C128,ANTIGÜEDAD!A:BE,17,FALSE)</f>
        <v>93000</v>
      </c>
      <c r="G128" s="30" t="str">
        <f>VLOOKUP(C128,ANTIGÜEDAD!A:BE,12,FALSE)</f>
        <v>MIGRADO</v>
      </c>
      <c r="H128" s="31">
        <f>VLOOKUP(C128,ANTIGÜEDAD!A:BE,14,FALSE)</f>
        <v>45897</v>
      </c>
      <c r="I128" s="19">
        <f>VLOOKUP(C128,ANTIGÜEDAD!A:BE,19,FALSE)</f>
        <v>16</v>
      </c>
      <c r="J128" s="31" t="str">
        <f>VLOOKUP(C128,ANTIGÜEDAD!A:BE,56,FALSE)</f>
        <v>Jueves</v>
      </c>
      <c r="K128" s="32" t="str">
        <f>VLOOKUP(C128,ANTIGÜEDAD!A:BE,57,FALSE)</f>
        <v>11:00</v>
      </c>
      <c r="L128" s="19" t="str">
        <f>VLOOKUP(C128,ANTIGÜEDAD!A:BE,20,FALSE)</f>
        <v>Semanal</v>
      </c>
      <c r="M128" s="30">
        <f>VLOOKUP(C128,ANTIGÜEDAD!A:BE,21,FALSE)</f>
        <v>7068.06</v>
      </c>
      <c r="N128" s="33" t="str">
        <f>IFERROR(VLOOKUP(C128,'Reporte de cobranza'!G:BL,34,FALSE),"")</f>
        <v>06/11/2025</v>
      </c>
      <c r="O128" s="30">
        <f>IF(AI128="Desertor sin mora",0,VLOOKUP(C128,ANTIGÜEDAD!A:BJ,44,FALSE))</f>
        <v>49425.99</v>
      </c>
      <c r="P128" s="30">
        <f t="shared" si="15"/>
        <v>113088.96000000001</v>
      </c>
      <c r="Q128" s="30">
        <f t="shared" ca="1" si="11"/>
        <v>49476.420000000006</v>
      </c>
      <c r="R128" s="30">
        <f>IF(AI128="Desertor sin mora",0,VLOOKUP(C128,ANTIGÜEDAD!A:BJ,26,FALSE))</f>
        <v>40687.5</v>
      </c>
      <c r="S128" s="30">
        <f t="shared" ca="1" si="16"/>
        <v>-50.430000000007567</v>
      </c>
      <c r="T128" s="30">
        <f>IF(V128&gt;0,IF(VLOOKUP(TEXT(C128,"000000"),Ahorros_concentrado!B:D,3,0)+F128*0.1&gt;V128,V128,VLOOKUP(TEXT(C128,"000000"),Ahorros_concentrado!B:D,3,0)+F128*0.1),0)</f>
        <v>0</v>
      </c>
      <c r="U128" s="30">
        <f t="shared" si="17"/>
        <v>0</v>
      </c>
      <c r="V128" s="30">
        <f>IF(AI128="Desertor sin mora",0,VLOOKUP(C128,'SITUACIÓN DE CARTERA'!A:AR,26,FALSE))</f>
        <v>0</v>
      </c>
      <c r="W128" s="134">
        <f>IF(AI128="Desertor sin mora",0,VLOOKUP(C128,'SITUACIÓN DE CARTERA'!A:AR,27,FALSE))/100</f>
        <v>0</v>
      </c>
      <c r="X128" s="30">
        <f>IF(V128&gt;0,VLOOKUP(C128,ANTIGÜEDAD!A:BE,26,FALSE),0)</f>
        <v>0</v>
      </c>
      <c r="Z128" s="34">
        <f>IF(AI128="Desertor sin mora",VLOOKUP(C128,ANTIGÜEDAD!A:Q,17,0)/AA128,F128/AA128)</f>
        <v>10333.333333333334</v>
      </c>
      <c r="AA128" s="19">
        <f>IF(AI128="Desertor sin mora",VLOOKUP(C128,ANTIGÜEDAD!A:M,13,0),VLOOKUP(C128,'SITUACIÓN DE CARTERA'!A:AR,43,FALSE))</f>
        <v>9</v>
      </c>
      <c r="AB128" s="19">
        <f t="shared" ca="1" si="18"/>
        <v>9</v>
      </c>
      <c r="AC128" s="42">
        <f>IF(AI128="Desertor sin mora",0,(VLOOKUP(C128,'SITUACIÓN DE CARTERA'!A:AS,45,FALSE))/M128)</f>
        <v>9.0071391584112188</v>
      </c>
      <c r="AD128" s="19">
        <f>IF(AI128="Desertor sin mora",0,VLOOKUP(C128,'Reporte de cobranza'!G:BL,35,FALSE))</f>
        <v>7</v>
      </c>
      <c r="AE128" s="19">
        <f>IF(AI128="Desertor sin mora",I128,VLOOKUP(C128,'Reporte de cobranza'!G:BL,36,FALSE))</f>
        <v>16</v>
      </c>
      <c r="AF128" s="19">
        <f>VLOOKUP(C128,ANTIGÜEDAD!A:BE,18,FALSE)</f>
        <v>0</v>
      </c>
      <c r="AG128" s="30">
        <f>IFERROR(VLOOKUP(C128,Ahorros_concentrado!B:D,3,FALSE),0)</f>
        <v>6473</v>
      </c>
      <c r="AH128" s="43">
        <f t="shared" ca="1" si="19"/>
        <v>0.10175666621706977</v>
      </c>
      <c r="AI128" s="19" t="str">
        <f>IF(VLOOKUP(C128,ANTIGÜEDAD!A:AG,33,0)="Entregado","Vigente",IF(VLOOKUP(C128,ANTIGÜEDAD!A:AG,33,0)="Liquidado","Desertor sin mora",""))</f>
        <v>Vigente</v>
      </c>
      <c r="AJ128" s="98" t="str">
        <f t="shared" si="20"/>
        <v>000003401</v>
      </c>
    </row>
    <row r="129" spans="1:36" x14ac:dyDescent="0.3">
      <c r="A129" s="19" t="str">
        <f>VLOOKUP(C129,ANTIGÜEDAD!A:BJ,4,FALSE)</f>
        <v>JUDITH PATRICIA SERRANO HERRER</v>
      </c>
      <c r="B129" s="19" t="str">
        <f>IFERROR(VLOOKUP(ANTIGÜEDAD!F128,'Parche Promotores'!A:B,2,0),ANTIGÜEDAD!F128)</f>
        <v>Cabrera Flores Viridiana</v>
      </c>
      <c r="C129" s="6" t="str">
        <f>TEXT(ANTIGÜEDAD!I128,"000000")</f>
        <v>000148</v>
      </c>
      <c r="D129" s="6" t="str">
        <f>ANTIGÜEDAD!K128</f>
        <v>EMPRENDEDORAS</v>
      </c>
      <c r="E129" s="29" t="str">
        <f>IFERROR(VLOOKUP(C129,'SITUACIÓN DE CARTERA'!A:AR,12,FALSE),VLOOKUP(C129,ANTIGÜEDAD!A:J,10,0))</f>
        <v>01</v>
      </c>
      <c r="F129" s="30">
        <f>VLOOKUP(C129,ANTIGÜEDAD!A:BE,17,FALSE)</f>
        <v>58000</v>
      </c>
      <c r="G129" s="30" t="str">
        <f>VLOOKUP(C129,ANTIGÜEDAD!A:BE,12,FALSE)</f>
        <v>MIGRADO</v>
      </c>
      <c r="H129" s="31">
        <f>VLOOKUP(C129,ANTIGÜEDAD!A:BE,14,FALSE)</f>
        <v>45943</v>
      </c>
      <c r="I129" s="19">
        <f>VLOOKUP(C129,ANTIGÜEDAD!A:BE,19,FALSE)</f>
        <v>16</v>
      </c>
      <c r="J129" s="31" t="str">
        <f>VLOOKUP(C129,ANTIGÜEDAD!A:BE,56,FALSE)</f>
        <v>Lunes</v>
      </c>
      <c r="K129" s="32" t="str">
        <f>VLOOKUP(C129,ANTIGÜEDAD!A:BE,57,FALSE)</f>
        <v>11:00</v>
      </c>
      <c r="L129" s="19" t="str">
        <f>VLOOKUP(C129,ANTIGÜEDAD!A:BE,20,FALSE)</f>
        <v>Semanal</v>
      </c>
      <c r="M129" s="30">
        <f>VLOOKUP(C129,ANTIGÜEDAD!A:BE,21,FALSE)</f>
        <v>4408.04</v>
      </c>
      <c r="N129" s="33" t="str">
        <f>IFERROR(VLOOKUP(C129,'Reporte de cobranza'!G:BL,34,FALSE),"")</f>
        <v>03/11/2025</v>
      </c>
      <c r="O129" s="30">
        <f>IF(AI129="Desertor sin mora",0,VLOOKUP(C129,ANTIGÜEDAD!A:BJ,44,FALSE))</f>
        <v>60910.62</v>
      </c>
      <c r="P129" s="30">
        <f t="shared" si="15"/>
        <v>70528.639999999999</v>
      </c>
      <c r="Q129" s="30">
        <f t="shared" ca="1" si="11"/>
        <v>61712.56</v>
      </c>
      <c r="R129" s="30">
        <f>IF(AI129="Desertor sin mora",0,VLOOKUP(C129,ANTIGÜEDAD!A:BJ,26,FALSE))</f>
        <v>50731.12</v>
      </c>
      <c r="S129" s="30">
        <f t="shared" ca="1" si="16"/>
        <v>-801.93999999999505</v>
      </c>
      <c r="T129" s="30">
        <f>IF(V129&gt;0,IF(VLOOKUP(TEXT(C129,"000000"),Ahorros_concentrado!B:D,3,0)+F129*0.1&gt;V129,V129,VLOOKUP(TEXT(C129,"000000"),Ahorros_concentrado!B:D,3,0)+F129*0.1),0)</f>
        <v>0</v>
      </c>
      <c r="U129" s="30">
        <f t="shared" si="17"/>
        <v>0</v>
      </c>
      <c r="V129" s="30">
        <f>IF(AI129="Desertor sin mora",0,VLOOKUP(C129,'SITUACIÓN DE CARTERA'!A:AR,26,FALSE))</f>
        <v>0</v>
      </c>
      <c r="W129" s="134">
        <f>IF(AI129="Desertor sin mora",0,VLOOKUP(C129,'SITUACIÓN DE CARTERA'!A:AR,27,FALSE))/100</f>
        <v>0</v>
      </c>
      <c r="X129" s="30">
        <f>IF(V129&gt;0,VLOOKUP(C129,ANTIGÜEDAD!A:BE,26,FALSE),0)</f>
        <v>0</v>
      </c>
      <c r="Z129" s="34">
        <f>IF(AI129="Desertor sin mora",VLOOKUP(C129,ANTIGÜEDAD!A:Q,17,0)/AA129,F129/AA129)</f>
        <v>9666.6666666666661</v>
      </c>
      <c r="AA129" s="19">
        <f>IF(AI129="Desertor sin mora",VLOOKUP(C129,ANTIGÜEDAD!A:M,13,0),VLOOKUP(C129,'SITUACIÓN DE CARTERA'!A:AR,43,FALSE))</f>
        <v>6</v>
      </c>
      <c r="AB129" s="19">
        <f t="shared" ca="1" si="18"/>
        <v>2</v>
      </c>
      <c r="AC129" s="42">
        <f>IF(AI129="Desertor sin mora",0,(VLOOKUP(C129,'SITUACIÓN DE CARTERA'!A:AS,45,FALSE))/M129)</f>
        <v>2.1819221241186559</v>
      </c>
      <c r="AD129" s="19">
        <f>IF(AI129="Desertor sin mora",0,VLOOKUP(C129,'Reporte de cobranza'!G:BL,35,FALSE))</f>
        <v>14</v>
      </c>
      <c r="AE129" s="19">
        <f>IF(AI129="Desertor sin mora",I129,VLOOKUP(C129,'Reporte de cobranza'!G:BL,36,FALSE))</f>
        <v>16</v>
      </c>
      <c r="AF129" s="19">
        <f>VLOOKUP(C129,ANTIGÜEDAD!A:BE,18,FALSE)</f>
        <v>0</v>
      </c>
      <c r="AG129" s="30">
        <f>IFERROR(VLOOKUP(C129,Ahorros_concentrado!B:D,3,FALSE),0)</f>
        <v>88.039999999999964</v>
      </c>
      <c r="AH129" s="43">
        <f t="shared" ca="1" si="19"/>
        <v>9.9862977649930549E-3</v>
      </c>
      <c r="AI129" s="19" t="str">
        <f>IF(VLOOKUP(C129,ANTIGÜEDAD!A:AG,33,0)="Entregado","Vigente",IF(VLOOKUP(C129,ANTIGÜEDAD!A:AG,33,0)="Liquidado","Desertor sin mora",""))</f>
        <v>Vigente</v>
      </c>
      <c r="AJ129" s="98" t="str">
        <f t="shared" si="20"/>
        <v>000014801</v>
      </c>
    </row>
    <row r="130" spans="1:36" x14ac:dyDescent="0.3">
      <c r="A130" s="19" t="str">
        <f>VLOOKUP(C130,ANTIGÜEDAD!A:BJ,4,FALSE)</f>
        <v>IRVIN URIEL MORA VELAZCO</v>
      </c>
      <c r="B130" s="19" t="str">
        <f>IFERROR(VLOOKUP(ANTIGÜEDAD!F129,'Parche Promotores'!A:B,2,0),ANTIGÜEDAD!F129)</f>
        <v>Olivares Morales Josue Edgar</v>
      </c>
      <c r="C130" s="6" t="str">
        <f>TEXT(ANTIGÜEDAD!I129,"000000")</f>
        <v>000044</v>
      </c>
      <c r="D130" s="6" t="str">
        <f>ANTIGÜEDAD!K129</f>
        <v>ALAMOS DE LA MARISCAL</v>
      </c>
      <c r="E130" s="29" t="str">
        <f>IFERROR(VLOOKUP(C130,'SITUACIÓN DE CARTERA'!A:AR,12,FALSE),VLOOKUP(C130,ANTIGÜEDAD!A:J,10,0))</f>
        <v>01</v>
      </c>
      <c r="F130" s="30">
        <f>VLOOKUP(C130,ANTIGÜEDAD!A:BE,17,FALSE)</f>
        <v>100000</v>
      </c>
      <c r="G130" s="30" t="str">
        <f>VLOOKUP(C130,ANTIGÜEDAD!A:BE,12,FALSE)</f>
        <v>MIGRADO</v>
      </c>
      <c r="H130" s="31">
        <f>VLOOKUP(C130,ANTIGÜEDAD!A:BE,14,FALSE)</f>
        <v>45897</v>
      </c>
      <c r="I130" s="19">
        <f>VLOOKUP(C130,ANTIGÜEDAD!A:BE,19,FALSE)</f>
        <v>16</v>
      </c>
      <c r="J130" s="31" t="str">
        <f>VLOOKUP(C130,ANTIGÜEDAD!A:BE,56,FALSE)</f>
        <v>Jueves</v>
      </c>
      <c r="K130" s="32" t="str">
        <f>VLOOKUP(C130,ANTIGÜEDAD!A:BE,57,FALSE)</f>
        <v>09:30</v>
      </c>
      <c r="L130" s="19" t="str">
        <f>VLOOKUP(C130,ANTIGÜEDAD!A:BE,20,FALSE)</f>
        <v>Semanal</v>
      </c>
      <c r="M130" s="30">
        <f>VLOOKUP(C130,ANTIGÜEDAD!A:BE,21,FALSE)</f>
        <v>7600.07</v>
      </c>
      <c r="N130" s="33" t="str">
        <f>IFERROR(VLOOKUP(C130,'Reporte de cobranza'!G:BL,34,FALSE),"")</f>
        <v>06/11/2025</v>
      </c>
      <c r="O130" s="30">
        <f>IF(AI130="Desertor sin mora",0,VLOOKUP(C130,ANTIGÜEDAD!A:BJ,44,FALSE))</f>
        <v>50550.07</v>
      </c>
      <c r="P130" s="30">
        <f t="shared" si="15"/>
        <v>121601.12</v>
      </c>
      <c r="Q130" s="30">
        <f t="shared" ca="1" si="11"/>
        <v>53200.489999999991</v>
      </c>
      <c r="R130" s="30">
        <f>IF(AI130="Desertor sin mora",0,VLOOKUP(C130,ANTIGÜEDAD!A:BJ,26,FALSE))</f>
        <v>42449.66</v>
      </c>
      <c r="S130" s="30">
        <f t="shared" ca="1" si="16"/>
        <v>-2650.419999999991</v>
      </c>
      <c r="T130" s="30">
        <f>IF(V130&gt;0,IF(VLOOKUP(TEXT(C130,"000000"),Ahorros_concentrado!B:D,3,0)+F130*0.1&gt;V130,V130,VLOOKUP(TEXT(C130,"000000"),Ahorros_concentrado!B:D,3,0)+F130*0.1),0)</f>
        <v>0</v>
      </c>
      <c r="U130" s="30">
        <f t="shared" si="17"/>
        <v>0</v>
      </c>
      <c r="V130" s="30">
        <f>IF(AI130="Desertor sin mora",0,VLOOKUP(C130,'SITUACIÓN DE CARTERA'!A:AR,26,FALSE))</f>
        <v>0</v>
      </c>
      <c r="W130" s="134">
        <f>IF(AI130="Desertor sin mora",0,VLOOKUP(C130,'SITUACIÓN DE CARTERA'!A:AR,27,FALSE))/100</f>
        <v>0</v>
      </c>
      <c r="X130" s="30">
        <f>IF(V130&gt;0,VLOOKUP(C130,ANTIGÜEDAD!A:BE,26,FALSE),0)</f>
        <v>0</v>
      </c>
      <c r="Z130" s="34">
        <f>IF(AI130="Desertor sin mora",VLOOKUP(C130,ANTIGÜEDAD!A:Q,17,0)/AA130,F130/AA130)</f>
        <v>20000</v>
      </c>
      <c r="AA130" s="19">
        <f>IF(AI130="Desertor sin mora",VLOOKUP(C130,ANTIGÜEDAD!A:M,13,0),VLOOKUP(C130,'SITUACIÓN DE CARTERA'!A:AR,43,FALSE))</f>
        <v>5</v>
      </c>
      <c r="AB130" s="19">
        <f t="shared" ca="1" si="18"/>
        <v>9</v>
      </c>
      <c r="AC130" s="42">
        <f>IF(AI130="Desertor sin mora",0,(VLOOKUP(C130,'SITUACIÓN DE CARTERA'!A:AS,45,FALSE))/M130)</f>
        <v>9.3487296827529232</v>
      </c>
      <c r="AD130" s="19">
        <f>IF(AI130="Desertor sin mora",0,VLOOKUP(C130,'Reporte de cobranza'!G:BL,35,FALSE))</f>
        <v>7</v>
      </c>
      <c r="AE130" s="19">
        <f>IF(AI130="Desertor sin mora",I130,VLOOKUP(C130,'Reporte de cobranza'!G:BL,36,FALSE))</f>
        <v>16</v>
      </c>
      <c r="AF130" s="19">
        <f>VLOOKUP(C130,ANTIGÜEDAD!A:BE,18,FALSE)</f>
        <v>0</v>
      </c>
      <c r="AG130" s="30">
        <f>IFERROR(VLOOKUP(C130,Ahorros_concentrado!B:D,3,FALSE),0)</f>
        <v>3430</v>
      </c>
      <c r="AH130" s="43">
        <f t="shared" ca="1" si="19"/>
        <v>5.0145736961779451E-2</v>
      </c>
      <c r="AI130" s="19" t="str">
        <f>IF(VLOOKUP(C130,ANTIGÜEDAD!A:AG,33,0)="Entregado","Vigente",IF(VLOOKUP(C130,ANTIGÜEDAD!A:AG,33,0)="Liquidado","Desertor sin mora",""))</f>
        <v>Vigente</v>
      </c>
      <c r="AJ130" s="98" t="str">
        <f t="shared" si="20"/>
        <v>000004401</v>
      </c>
    </row>
    <row r="131" spans="1:36" x14ac:dyDescent="0.3">
      <c r="A131" s="19" t="str">
        <f>VLOOKUP(C131,ANTIGÜEDAD!A:BJ,4,FALSE)</f>
        <v>IRVIN URIEL MORA VELAZCO</v>
      </c>
      <c r="B131" s="19" t="str">
        <f>IFERROR(VLOOKUP(ANTIGÜEDAD!F130,'Parche Promotores'!A:B,2,0),ANTIGÜEDAD!F130)</f>
        <v>Lopez Garcia Nahum Antonio</v>
      </c>
      <c r="C131" s="6" t="str">
        <f>TEXT(ANTIGÜEDAD!I130,"000000")</f>
        <v>000191</v>
      </c>
      <c r="D131" s="6" t="str">
        <f>ANTIGÜEDAD!K130</f>
        <v>COLIBRIS</v>
      </c>
      <c r="E131" s="29" t="str">
        <f>IFERROR(VLOOKUP(C131,'SITUACIÓN DE CARTERA'!A:AR,12,FALSE),VLOOKUP(C131,ANTIGÜEDAD!A:J,10,0))</f>
        <v>01</v>
      </c>
      <c r="F131" s="30">
        <f>VLOOKUP(C131,ANTIGÜEDAD!A:BE,17,FALSE)</f>
        <v>50000</v>
      </c>
      <c r="G131" s="30" t="str">
        <f>VLOOKUP(C131,ANTIGÜEDAD!A:BE,12,FALSE)</f>
        <v>MIGRADO</v>
      </c>
      <c r="H131" s="31">
        <f>VLOOKUP(C131,ANTIGÜEDAD!A:BE,14,FALSE)</f>
        <v>45959</v>
      </c>
      <c r="I131" s="19">
        <f>VLOOKUP(C131,ANTIGÜEDAD!A:BE,19,FALSE)</f>
        <v>16</v>
      </c>
      <c r="J131" s="31" t="str">
        <f>VLOOKUP(C131,ANTIGÜEDAD!A:BE,56,FALSE)</f>
        <v>Miércoles</v>
      </c>
      <c r="K131" s="32" t="str">
        <f>VLOOKUP(C131,ANTIGÜEDAD!A:BE,57,FALSE)</f>
        <v>10:00</v>
      </c>
      <c r="L131" s="19" t="str">
        <f>VLOOKUP(C131,ANTIGÜEDAD!A:BE,20,FALSE)</f>
        <v>Semanal</v>
      </c>
      <c r="M131" s="30">
        <f>VLOOKUP(C131,ANTIGÜEDAD!A:BE,21,FALSE)</f>
        <v>3800.03</v>
      </c>
      <c r="N131" s="33" t="str">
        <f>IFERROR(VLOOKUP(C131,'Reporte de cobranza'!G:BL,34,FALSE),"")</f>
        <v>05/11/2025</v>
      </c>
      <c r="O131" s="30">
        <f>IF(AI131="Desertor sin mora",0,VLOOKUP(C131,ANTIGÜEDAD!A:BJ,44,FALSE))</f>
        <v>60800.53</v>
      </c>
      <c r="P131" s="30">
        <f t="shared" si="15"/>
        <v>60800.480000000003</v>
      </c>
      <c r="Q131" s="30">
        <f t="shared" ca="1" si="11"/>
        <v>60800.53</v>
      </c>
      <c r="R131" s="30">
        <f>IF(AI131="Desertor sin mora",0,VLOOKUP(C131,ANTIGÜEDAD!A:BJ,26,FALSE))</f>
        <v>50000</v>
      </c>
      <c r="S131" s="30">
        <f t="shared" ca="1" si="16"/>
        <v>0</v>
      </c>
      <c r="T131" s="30">
        <f>IF(V131&gt;0,IF(VLOOKUP(TEXT(C131,"000000"),Ahorros_concentrado!B:D,3,0)+F131*0.1&gt;V131,V131,VLOOKUP(TEXT(C131,"000000"),Ahorros_concentrado!B:D,3,0)+F131*0.1),0)</f>
        <v>0</v>
      </c>
      <c r="U131" s="30">
        <f t="shared" si="17"/>
        <v>0</v>
      </c>
      <c r="V131" s="30">
        <f>IF(AI131="Desertor sin mora",0,VLOOKUP(C131,'SITUACIÓN DE CARTERA'!A:AR,26,FALSE))</f>
        <v>0</v>
      </c>
      <c r="W131" s="134">
        <f>IF(AI131="Desertor sin mora",0,VLOOKUP(C131,'SITUACIÓN DE CARTERA'!A:AR,27,FALSE))/100</f>
        <v>0</v>
      </c>
      <c r="X131" s="30">
        <f>IF(V131&gt;0,VLOOKUP(C131,ANTIGÜEDAD!A:BE,26,FALSE),0)</f>
        <v>0</v>
      </c>
      <c r="Z131" s="34">
        <f>IF(AI131="Desertor sin mora",VLOOKUP(C131,ANTIGÜEDAD!A:Q,17,0)/AA131,F131/AA131)</f>
        <v>8333.3333333333339</v>
      </c>
      <c r="AA131" s="19">
        <f>IF(AI131="Desertor sin mora",VLOOKUP(C131,ANTIGÜEDAD!A:M,13,0),VLOOKUP(C131,'SITUACIÓN DE CARTERA'!A:AR,43,FALSE))</f>
        <v>6</v>
      </c>
      <c r="AB131" s="19">
        <f t="shared" ca="1" si="18"/>
        <v>0</v>
      </c>
      <c r="AC131" s="42">
        <f>IF(AI131="Desertor sin mora",0,(VLOOKUP(C131,'SITUACIÓN DE CARTERA'!A:AS,45,FALSE))/M131)</f>
        <v>0</v>
      </c>
      <c r="AD131" s="19">
        <f>IF(AI131="Desertor sin mora",0,VLOOKUP(C131,'Reporte de cobranza'!G:BL,35,FALSE))</f>
        <v>16</v>
      </c>
      <c r="AE131" s="19">
        <f>IF(AI131="Desertor sin mora",I131,VLOOKUP(C131,'Reporte de cobranza'!G:BL,36,FALSE))</f>
        <v>16</v>
      </c>
      <c r="AF131" s="19">
        <f>VLOOKUP(C131,ANTIGÜEDAD!A:BE,18,FALSE)</f>
        <v>0</v>
      </c>
      <c r="AG131" s="30">
        <f>IFERROR(VLOOKUP(C131,Ahorros_concentrado!B:D,3,FALSE),0)</f>
        <v>0</v>
      </c>
      <c r="AH131" s="43">
        <f t="shared" ca="1" si="19"/>
        <v>0</v>
      </c>
      <c r="AI131" s="19" t="str">
        <f>IF(VLOOKUP(C131,ANTIGÜEDAD!A:AG,33,0)="Entregado","Vigente",IF(VLOOKUP(C131,ANTIGÜEDAD!A:AG,33,0)="Liquidado","Desertor sin mora",""))</f>
        <v>Vigente</v>
      </c>
      <c r="AJ131" s="98" t="str">
        <f t="shared" si="20"/>
        <v>000019101</v>
      </c>
    </row>
    <row r="132" spans="1:36" x14ac:dyDescent="0.3">
      <c r="A132" s="19" t="str">
        <f>VLOOKUP(C132,ANTIGÜEDAD!A:BJ,4,FALSE)</f>
        <v>IRVIN URIEL MORA VELAZCO</v>
      </c>
      <c r="B132" s="19" t="str">
        <f>IFERROR(VLOOKUP(ANTIGÜEDAD!F131,'Parche Promotores'!A:B,2,0),ANTIGÜEDAD!F131)</f>
        <v>Olivares Morales Josue Edgar</v>
      </c>
      <c r="C132" s="6" t="str">
        <f>TEXT(ANTIGÜEDAD!I131,"000000")</f>
        <v>000186</v>
      </c>
      <c r="D132" s="6" t="str">
        <f>ANTIGÜEDAD!K131</f>
        <v>VENUS</v>
      </c>
      <c r="E132" s="29" t="str">
        <f>IFERROR(VLOOKUP(C132,'SITUACIÓN DE CARTERA'!A:AR,12,FALSE),VLOOKUP(C132,ANTIGÜEDAD!A:J,10,0))</f>
        <v>01</v>
      </c>
      <c r="F132" s="30">
        <f>VLOOKUP(C132,ANTIGÜEDAD!A:BE,17,FALSE)</f>
        <v>118500</v>
      </c>
      <c r="G132" s="30" t="str">
        <f>VLOOKUP(C132,ANTIGÜEDAD!A:BE,12,FALSE)</f>
        <v>MIGRADO</v>
      </c>
      <c r="H132" s="31">
        <f>VLOOKUP(C132,ANTIGÜEDAD!A:BE,14,FALSE)</f>
        <v>45957</v>
      </c>
      <c r="I132" s="19">
        <f>VLOOKUP(C132,ANTIGÜEDAD!A:BE,19,FALSE)</f>
        <v>16</v>
      </c>
      <c r="J132" s="31" t="str">
        <f>VLOOKUP(C132,ANTIGÜEDAD!A:BE,56,FALSE)</f>
        <v>Lunes</v>
      </c>
      <c r="K132" s="32" t="str">
        <f>VLOOKUP(C132,ANTIGÜEDAD!A:BE,57,FALSE)</f>
        <v>13:00</v>
      </c>
      <c r="L132" s="19" t="str">
        <f>VLOOKUP(C132,ANTIGÜEDAD!A:BE,20,FALSE)</f>
        <v>Semanal</v>
      </c>
      <c r="M132" s="30">
        <f>VLOOKUP(C132,ANTIGÜEDAD!A:BE,21,FALSE)</f>
        <v>9006.08</v>
      </c>
      <c r="N132" s="33" t="str">
        <f>IFERROR(VLOOKUP(C132,'Reporte de cobranza'!G:BL,34,FALSE),"")</f>
        <v>03/11/2025</v>
      </c>
      <c r="O132" s="30">
        <f>IF(AI132="Desertor sin mora",0,VLOOKUP(C132,ANTIGÜEDAD!A:BJ,44,FALSE))</f>
        <v>135090.26</v>
      </c>
      <c r="P132" s="30">
        <f t="shared" si="15"/>
        <v>144097.28</v>
      </c>
      <c r="Q132" s="30">
        <f t="shared" ca="1" si="11"/>
        <v>144097.28</v>
      </c>
      <c r="R132" s="30">
        <f>IF(AI132="Desertor sin mora",0,VLOOKUP(C132,ANTIGÜEDAD!A:BJ,26,FALSE))</f>
        <v>111093.75</v>
      </c>
      <c r="S132" s="30">
        <f t="shared" ca="1" si="16"/>
        <v>-9007.0199999999895</v>
      </c>
      <c r="T132" s="30">
        <f>IF(V132&gt;0,IF(VLOOKUP(TEXT(C132,"000000"),Ahorros_concentrado!B:D,3,0)+F132*0.1&gt;V132,V132,VLOOKUP(TEXT(C132,"000000"),Ahorros_concentrado!B:D,3,0)+F132*0.1),0)</f>
        <v>0</v>
      </c>
      <c r="U132" s="30">
        <f t="shared" si="17"/>
        <v>0</v>
      </c>
      <c r="V132" s="30">
        <f>IF(AI132="Desertor sin mora",0,VLOOKUP(C132,'SITUACIÓN DE CARTERA'!A:AR,26,FALSE))</f>
        <v>0</v>
      </c>
      <c r="W132" s="134">
        <f>IF(AI132="Desertor sin mora",0,VLOOKUP(C132,'SITUACIÓN DE CARTERA'!A:AR,27,FALSE))/100</f>
        <v>0</v>
      </c>
      <c r="X132" s="30">
        <f>IF(V132&gt;0,VLOOKUP(C132,ANTIGÜEDAD!A:BE,26,FALSE),0)</f>
        <v>0</v>
      </c>
      <c r="Z132" s="34">
        <f>IF(AI132="Desertor sin mora",VLOOKUP(C132,ANTIGÜEDAD!A:Q,17,0)/AA132,F132/AA132)</f>
        <v>16928.571428571428</v>
      </c>
      <c r="AA132" s="19">
        <f>IF(AI132="Desertor sin mora",VLOOKUP(C132,ANTIGÜEDAD!A:M,13,0),VLOOKUP(C132,'SITUACIÓN DE CARTERA'!A:AR,43,FALSE))</f>
        <v>7</v>
      </c>
      <c r="AB132" s="19">
        <f t="shared" ca="1" si="18"/>
        <v>0</v>
      </c>
      <c r="AC132" s="42">
        <f>IF(AI132="Desertor sin mora",0,(VLOOKUP(C132,'SITUACIÓN DE CARTERA'!A:AS,45,FALSE))/M132)</f>
        <v>1.0001021532120522</v>
      </c>
      <c r="AD132" s="19">
        <f>IF(AI132="Desertor sin mora",0,VLOOKUP(C132,'Reporte de cobranza'!G:BL,35,FALSE))</f>
        <v>16</v>
      </c>
      <c r="AE132" s="19">
        <f>IF(AI132="Desertor sin mora",I132,VLOOKUP(C132,'Reporte de cobranza'!G:BL,36,FALSE))</f>
        <v>16</v>
      </c>
      <c r="AF132" s="19">
        <f>VLOOKUP(C132,ANTIGÜEDAD!A:BE,18,FALSE)</f>
        <v>0</v>
      </c>
      <c r="AG132" s="30">
        <f>IFERROR(VLOOKUP(C132,Ahorros_concentrado!B:D,3,FALSE),0)</f>
        <v>450</v>
      </c>
      <c r="AH132" s="43">
        <f t="shared" ca="1" si="19"/>
        <v>0</v>
      </c>
      <c r="AI132" s="19" t="str">
        <f>IF(VLOOKUP(C132,ANTIGÜEDAD!A:AG,33,0)="Entregado","Vigente",IF(VLOOKUP(C132,ANTIGÜEDAD!A:AG,33,0)="Liquidado","Desertor sin mora",""))</f>
        <v>Vigente</v>
      </c>
      <c r="AJ132" s="98" t="str">
        <f t="shared" si="20"/>
        <v>000018601</v>
      </c>
    </row>
    <row r="133" spans="1:36" x14ac:dyDescent="0.3">
      <c r="A133" s="19" t="str">
        <f>VLOOKUP(C133,ANTIGÜEDAD!A:BJ,4,FALSE)</f>
        <v>IRVIN URIEL MORA VELAZCO</v>
      </c>
      <c r="B133" s="19" t="str">
        <f>IFERROR(VLOOKUP(ANTIGÜEDAD!F132,'Parche Promotores'!A:B,2,0),ANTIGÜEDAD!F132)</f>
        <v>Olivares Morales Josue Edgar</v>
      </c>
      <c r="C133" s="6" t="str">
        <f>TEXT(ANTIGÜEDAD!I132,"000000")</f>
        <v>000149</v>
      </c>
      <c r="D133" s="6" t="str">
        <f>ANTIGÜEDAD!K132</f>
        <v>LA LOMA</v>
      </c>
      <c r="E133" s="29" t="str">
        <f>IFERROR(VLOOKUP(C133,'SITUACIÓN DE CARTERA'!A:AR,12,FALSE),VLOOKUP(C133,ANTIGÜEDAD!A:J,10,0))</f>
        <v>01</v>
      </c>
      <c r="F133" s="30">
        <f>VLOOKUP(C133,ANTIGÜEDAD!A:BE,17,FALSE)</f>
        <v>158000</v>
      </c>
      <c r="G133" s="30" t="str">
        <f>VLOOKUP(C133,ANTIGÜEDAD!A:BE,12,FALSE)</f>
        <v>MIGRADO</v>
      </c>
      <c r="H133" s="31">
        <f>VLOOKUP(C133,ANTIGÜEDAD!A:BE,14,FALSE)</f>
        <v>45943</v>
      </c>
      <c r="I133" s="19">
        <f>VLOOKUP(C133,ANTIGÜEDAD!A:BE,19,FALSE)</f>
        <v>16</v>
      </c>
      <c r="J133" s="31" t="str">
        <f>VLOOKUP(C133,ANTIGÜEDAD!A:BE,56,FALSE)</f>
        <v>Lunes</v>
      </c>
      <c r="K133" s="32" t="str">
        <f>VLOOKUP(C133,ANTIGÜEDAD!A:BE,57,FALSE)</f>
        <v>10:00</v>
      </c>
      <c r="L133" s="19" t="str">
        <f>VLOOKUP(C133,ANTIGÜEDAD!A:BE,20,FALSE)</f>
        <v>Semanal</v>
      </c>
      <c r="M133" s="30">
        <f>VLOOKUP(C133,ANTIGÜEDAD!A:BE,21,FALSE)</f>
        <v>12008.11</v>
      </c>
      <c r="N133" s="33" t="str">
        <f>IFERROR(VLOOKUP(C133,'Reporte de cobranza'!G:BL,34,FALSE),"")</f>
        <v>03/11/2025</v>
      </c>
      <c r="O133" s="30">
        <f>IF(AI133="Desertor sin mora",0,VLOOKUP(C133,ANTIGÜEDAD!A:BJ,44,FALSE))</f>
        <v>168113.69</v>
      </c>
      <c r="P133" s="30">
        <f t="shared" si="15"/>
        <v>192129.76</v>
      </c>
      <c r="Q133" s="30">
        <f t="shared" ca="1" si="11"/>
        <v>168113.69</v>
      </c>
      <c r="R133" s="30">
        <f>IF(AI133="Desertor sin mora",0,VLOOKUP(C133,ANTIGÜEDAD!A:BJ,26,FALSE))</f>
        <v>138250.21</v>
      </c>
      <c r="S133" s="30">
        <f t="shared" ca="1" si="16"/>
        <v>0</v>
      </c>
      <c r="T133" s="30">
        <f>IF(V133&gt;0,IF(VLOOKUP(TEXT(C133,"000000"),Ahorros_concentrado!B:D,3,0)+F133*0.1&gt;V133,V133,VLOOKUP(TEXT(C133,"000000"),Ahorros_concentrado!B:D,3,0)+F133*0.1),0)</f>
        <v>0</v>
      </c>
      <c r="U133" s="30">
        <f t="shared" si="17"/>
        <v>0</v>
      </c>
      <c r="V133" s="30">
        <f>IF(AI133="Desertor sin mora",0,VLOOKUP(C133,'SITUACIÓN DE CARTERA'!A:AR,26,FALSE))</f>
        <v>0</v>
      </c>
      <c r="W133" s="134">
        <f>IF(AI133="Desertor sin mora",0,VLOOKUP(C133,'SITUACIÓN DE CARTERA'!A:AR,27,FALSE))/100</f>
        <v>0</v>
      </c>
      <c r="X133" s="30">
        <f>IF(V133&gt;0,VLOOKUP(C133,ANTIGÜEDAD!A:BE,26,FALSE),0)</f>
        <v>0</v>
      </c>
      <c r="Z133" s="34">
        <f>IF(AI133="Desertor sin mora",VLOOKUP(C133,ANTIGÜEDAD!A:Q,17,0)/AA133,F133/AA133)</f>
        <v>26333.333333333332</v>
      </c>
      <c r="AA133" s="19">
        <f>IF(AI133="Desertor sin mora",VLOOKUP(C133,ANTIGÜEDAD!A:M,13,0),VLOOKUP(C133,'SITUACIÓN DE CARTERA'!A:AR,43,FALSE))</f>
        <v>6</v>
      </c>
      <c r="AB133" s="19">
        <f t="shared" ca="1" si="18"/>
        <v>2</v>
      </c>
      <c r="AC133" s="42">
        <f>IF(AI133="Desertor sin mora",0,(VLOOKUP(C133,'SITUACIÓN DE CARTERA'!A:AS,45,FALSE))/M133)</f>
        <v>1.9999816790485763</v>
      </c>
      <c r="AD133" s="19">
        <f>IF(AI133="Desertor sin mora",0,VLOOKUP(C133,'Reporte de cobranza'!G:BL,35,FALSE))</f>
        <v>14</v>
      </c>
      <c r="AE133" s="19">
        <f>IF(AI133="Desertor sin mora",I133,VLOOKUP(C133,'Reporte de cobranza'!G:BL,36,FALSE))</f>
        <v>16</v>
      </c>
      <c r="AF133" s="19">
        <f>VLOOKUP(C133,ANTIGÜEDAD!A:BE,18,FALSE)</f>
        <v>0</v>
      </c>
      <c r="AG133" s="30">
        <f>IFERROR(VLOOKUP(C133,Ahorros_concentrado!B:D,3,FALSE),0)</f>
        <v>1264</v>
      </c>
      <c r="AH133" s="43">
        <f t="shared" ca="1" si="19"/>
        <v>5.2631096817067798E-2</v>
      </c>
      <c r="AI133" s="19" t="str">
        <f>IF(VLOOKUP(C133,ANTIGÜEDAD!A:AG,33,0)="Entregado","Vigente",IF(VLOOKUP(C133,ANTIGÜEDAD!A:AG,33,0)="Liquidado","Desertor sin mora",""))</f>
        <v>Vigente</v>
      </c>
      <c r="AJ133" s="98" t="str">
        <f t="shared" si="20"/>
        <v>000014901</v>
      </c>
    </row>
    <row r="134" spans="1:36" x14ac:dyDescent="0.3">
      <c r="A134" s="19" t="str">
        <f>VLOOKUP(C134,ANTIGÜEDAD!A:BJ,4,FALSE)</f>
        <v>ADRIANA ALEJALDRE GUZMAN</v>
      </c>
      <c r="B134" s="19" t="str">
        <f>IFERROR(VLOOKUP(ANTIGÜEDAD!F133,'Parche Promotores'!A:B,2,0),ANTIGÜEDAD!F133)</f>
        <v>Contreras Martinez Jose Luis</v>
      </c>
      <c r="C134" s="6" t="str">
        <f>TEXT(ANTIGÜEDAD!I133,"000000")</f>
        <v>000065</v>
      </c>
      <c r="D134" s="6" t="str">
        <f>ANTIGÜEDAD!K133</f>
        <v>APOYATE EN MI</v>
      </c>
      <c r="E134" s="29" t="str">
        <f>IFERROR(VLOOKUP(C134,'SITUACIÓN DE CARTERA'!A:AR,12,FALSE),VLOOKUP(C134,ANTIGÜEDAD!A:J,10,0))</f>
        <v>01</v>
      </c>
      <c r="F134" s="30">
        <f>VLOOKUP(C134,ANTIGÜEDAD!A:BE,17,FALSE)</f>
        <v>97000</v>
      </c>
      <c r="G134" s="30" t="str">
        <f>VLOOKUP(C134,ANTIGÜEDAD!A:BE,12,FALSE)</f>
        <v>MIGRADO</v>
      </c>
      <c r="H134" s="31">
        <f>VLOOKUP(C134,ANTIGÜEDAD!A:BE,14,FALSE)</f>
        <v>45909</v>
      </c>
      <c r="I134" s="19">
        <f>VLOOKUP(C134,ANTIGÜEDAD!A:BE,19,FALSE)</f>
        <v>16</v>
      </c>
      <c r="J134" s="31" t="str">
        <f>VLOOKUP(C134,ANTIGÜEDAD!A:BE,56,FALSE)</f>
        <v>Martes</v>
      </c>
      <c r="K134" s="32" t="str">
        <f>VLOOKUP(C134,ANTIGÜEDAD!A:BE,57,FALSE)</f>
        <v>10:00</v>
      </c>
      <c r="L134" s="19" t="str">
        <f>VLOOKUP(C134,ANTIGÜEDAD!A:BE,20,FALSE)</f>
        <v>Semanal</v>
      </c>
      <c r="M134" s="30">
        <f>VLOOKUP(C134,ANTIGÜEDAD!A:BE,21,FALSE)</f>
        <v>7372.06</v>
      </c>
      <c r="N134" s="33" t="str">
        <f>IFERROR(VLOOKUP(C134,'Reporte de cobranza'!G:BL,34,FALSE),"")</f>
        <v>04/11/2025</v>
      </c>
      <c r="O134" s="30">
        <f>IF(AI134="Desertor sin mora",0,VLOOKUP(C134,ANTIGÜEDAD!A:BJ,44,FALSE))</f>
        <v>66324.03</v>
      </c>
      <c r="P134" s="30">
        <f t="shared" si="15"/>
        <v>117952.96000000001</v>
      </c>
      <c r="Q134" s="30">
        <f t="shared" ca="1" si="11"/>
        <v>66348.540000000008</v>
      </c>
      <c r="R134" s="30">
        <f>IF(AI134="Desertor sin mora",0,VLOOKUP(C134,ANTIGÜEDAD!A:BJ,26,FALSE))</f>
        <v>54562.5</v>
      </c>
      <c r="S134" s="30">
        <f t="shared" ca="1" si="16"/>
        <v>-24.510000000009313</v>
      </c>
      <c r="T134" s="30">
        <f>IF(V134&gt;0,IF(VLOOKUP(TEXT(C134,"000000"),Ahorros_concentrado!B:D,3,0)+F134*0.1&gt;V134,V134,VLOOKUP(TEXT(C134,"000000"),Ahorros_concentrado!B:D,3,0)+F134*0.1),0)</f>
        <v>0</v>
      </c>
      <c r="U134" s="30">
        <f t="shared" si="17"/>
        <v>0</v>
      </c>
      <c r="V134" s="30">
        <f>IF(AI134="Desertor sin mora",0,VLOOKUP(C134,'SITUACIÓN DE CARTERA'!A:AR,26,FALSE))</f>
        <v>0</v>
      </c>
      <c r="W134" s="134">
        <f>IF(AI134="Desertor sin mora",0,VLOOKUP(C134,'SITUACIÓN DE CARTERA'!A:AR,27,FALSE))/100</f>
        <v>0</v>
      </c>
      <c r="X134" s="30">
        <f>IF(V134&gt;0,VLOOKUP(C134,ANTIGÜEDAD!A:BE,26,FALSE),0)</f>
        <v>0</v>
      </c>
      <c r="Z134" s="34">
        <f>IF(AI134="Desertor sin mora",VLOOKUP(C134,ANTIGÜEDAD!A:Q,17,0)/AA134,F134/AA134)</f>
        <v>16166.666666666666</v>
      </c>
      <c r="AA134" s="19">
        <f>IF(AI134="Desertor sin mora",VLOOKUP(C134,ANTIGÜEDAD!A:M,13,0),VLOOKUP(C134,'SITUACIÓN DE CARTERA'!A:AR,43,FALSE))</f>
        <v>6</v>
      </c>
      <c r="AB134" s="19">
        <f t="shared" ca="1" si="18"/>
        <v>7</v>
      </c>
      <c r="AC134" s="42">
        <f>IF(AI134="Desertor sin mora",0,(VLOOKUP(C134,'SITUACIÓN DE CARTERA'!A:AS,45,FALSE))/M134)</f>
        <v>7.003334210519176</v>
      </c>
      <c r="AD134" s="19">
        <f>IF(AI134="Desertor sin mora",0,VLOOKUP(C134,'Reporte de cobranza'!G:BL,35,FALSE))</f>
        <v>9</v>
      </c>
      <c r="AE134" s="19">
        <f>IF(AI134="Desertor sin mora",I134,VLOOKUP(C134,'Reporte de cobranza'!G:BL,36,FALSE))</f>
        <v>16</v>
      </c>
      <c r="AF134" s="19">
        <f>VLOOKUP(C134,ANTIGÜEDAD!A:BE,18,FALSE)</f>
        <v>0</v>
      </c>
      <c r="AG134" s="30">
        <f>IFERROR(VLOOKUP(C134,Ahorros_concentrado!B:D,3,FALSE),0)</f>
        <v>2817</v>
      </c>
      <c r="AH134" s="43">
        <f t="shared" ca="1" si="19"/>
        <v>5.4588347277229346E-2</v>
      </c>
      <c r="AI134" s="19" t="str">
        <f>IF(VLOOKUP(C134,ANTIGÜEDAD!A:AG,33,0)="Entregado","Vigente",IF(VLOOKUP(C134,ANTIGÜEDAD!A:AG,33,0)="Liquidado","Desertor sin mora",""))</f>
        <v>Vigente</v>
      </c>
      <c r="AJ134" s="98" t="str">
        <f t="shared" si="20"/>
        <v>000006501</v>
      </c>
    </row>
    <row r="135" spans="1:36" x14ac:dyDescent="0.3">
      <c r="A135" s="19" t="str">
        <f>VLOOKUP(C135,ANTIGÜEDAD!A:BJ,4,FALSE)</f>
        <v>ADRIANA ALEJALDRE GUZMAN</v>
      </c>
      <c r="B135" s="19" t="str">
        <f>IFERROR(VLOOKUP(ANTIGÜEDAD!F134,'Parche Promotores'!A:B,2,0),ANTIGÜEDAD!F134)</f>
        <v>Contreras Martinez Jose Luis</v>
      </c>
      <c r="C135" s="6" t="str">
        <f>TEXT(ANTIGÜEDAD!I134,"000000")</f>
        <v>000142</v>
      </c>
      <c r="D135" s="6" t="str">
        <f>ANTIGÜEDAD!K134</f>
        <v>GRUPO GIRASOL</v>
      </c>
      <c r="E135" s="29" t="str">
        <f>IFERROR(VLOOKUP(C135,'SITUACIÓN DE CARTERA'!A:AR,12,FALSE),VLOOKUP(C135,ANTIGÜEDAD!A:J,10,0))</f>
        <v>01</v>
      </c>
      <c r="F135" s="30">
        <f>VLOOKUP(C135,ANTIGÜEDAD!A:BE,17,FALSE)</f>
        <v>50000</v>
      </c>
      <c r="G135" s="30" t="str">
        <f>VLOOKUP(C135,ANTIGÜEDAD!A:BE,12,FALSE)</f>
        <v>MIGRADO</v>
      </c>
      <c r="H135" s="31">
        <f>VLOOKUP(C135,ANTIGÜEDAD!A:BE,14,FALSE)</f>
        <v>45939</v>
      </c>
      <c r="I135" s="19">
        <f>VLOOKUP(C135,ANTIGÜEDAD!A:BE,19,FALSE)</f>
        <v>16</v>
      </c>
      <c r="J135" s="31" t="str">
        <f>VLOOKUP(C135,ANTIGÜEDAD!A:BE,56,FALSE)</f>
        <v>Jueves</v>
      </c>
      <c r="K135" s="32" t="str">
        <f>VLOOKUP(C135,ANTIGÜEDAD!A:BE,57,FALSE)</f>
        <v>11:00</v>
      </c>
      <c r="L135" s="19" t="str">
        <f>VLOOKUP(C135,ANTIGÜEDAD!A:BE,20,FALSE)</f>
        <v>Semanal</v>
      </c>
      <c r="M135" s="30">
        <f>VLOOKUP(C135,ANTIGÜEDAD!A:BE,21,FALSE)</f>
        <v>3800.03</v>
      </c>
      <c r="N135" s="33" t="str">
        <f>IFERROR(VLOOKUP(C135,'Reporte de cobranza'!G:BL,34,FALSE),"")</f>
        <v>06/11/2025</v>
      </c>
      <c r="O135" s="30">
        <f>IF(AI135="Desertor sin mora",0,VLOOKUP(C135,ANTIGÜEDAD!A:BJ,44,FALSE))</f>
        <v>49397.53</v>
      </c>
      <c r="P135" s="30">
        <f t="shared" si="15"/>
        <v>60800.480000000003</v>
      </c>
      <c r="Q135" s="30">
        <f t="shared" ref="Q135:Q182" ca="1" si="21">MAX(-((AB135*M135)-P135),O135)</f>
        <v>49400.39</v>
      </c>
      <c r="R135" s="30">
        <f>IF(AI135="Desertor sin mora",0,VLOOKUP(C135,ANTIGÜEDAD!A:BJ,26,FALSE))</f>
        <v>40625</v>
      </c>
      <c r="S135" s="30">
        <f t="shared" ca="1" si="16"/>
        <v>-2.8600000000005821</v>
      </c>
      <c r="T135" s="30">
        <f>IF(V135&gt;0,IF(VLOOKUP(TEXT(C135,"000000"),Ahorros_concentrado!B:D,3,0)+F135*0.1&gt;V135,V135,VLOOKUP(TEXT(C135,"000000"),Ahorros_concentrado!B:D,3,0)+F135*0.1),0)</f>
        <v>0</v>
      </c>
      <c r="U135" s="30">
        <f t="shared" si="17"/>
        <v>0</v>
      </c>
      <c r="V135" s="30">
        <f>IF(AI135="Desertor sin mora",0,VLOOKUP(C135,'SITUACIÓN DE CARTERA'!A:AR,26,FALSE))</f>
        <v>0</v>
      </c>
      <c r="W135" s="134">
        <f>IF(AI135="Desertor sin mora",0,VLOOKUP(C135,'SITUACIÓN DE CARTERA'!A:AR,27,FALSE))/100</f>
        <v>0</v>
      </c>
      <c r="X135" s="30">
        <f>IF(V135&gt;0,VLOOKUP(C135,ANTIGÜEDAD!A:BE,26,FALSE),0)</f>
        <v>0</v>
      </c>
      <c r="Z135" s="34">
        <f>IF(AI135="Desertor sin mora",VLOOKUP(C135,ANTIGÜEDAD!A:Q,17,0)/AA135,F135/AA135)</f>
        <v>8333.3333333333339</v>
      </c>
      <c r="AA135" s="19">
        <f>IF(AI135="Desertor sin mora",VLOOKUP(C135,ANTIGÜEDAD!A:M,13,0),VLOOKUP(C135,'SITUACIÓN DE CARTERA'!A:AR,43,FALSE))</f>
        <v>6</v>
      </c>
      <c r="AB135" s="19">
        <f t="shared" ref="AB135:AB166" ca="1" si="22">IF(AI135="Desertor sin mora",INT((TODAY()-H135)/7),AE135-AD135)</f>
        <v>3</v>
      </c>
      <c r="AC135" s="42">
        <f>IF(AI135="Desertor sin mora",0,(VLOOKUP(C135,'SITUACIÓN DE CARTERA'!A:AS,45,FALSE))/M135)</f>
        <v>3.0007657834280255</v>
      </c>
      <c r="AD135" s="19">
        <f>IF(AI135="Desertor sin mora",0,VLOOKUP(C135,'Reporte de cobranza'!G:BL,35,FALSE))</f>
        <v>13</v>
      </c>
      <c r="AE135" s="19">
        <f>IF(AI135="Desertor sin mora",I135,VLOOKUP(C135,'Reporte de cobranza'!G:BL,36,FALSE))</f>
        <v>16</v>
      </c>
      <c r="AF135" s="19">
        <f>VLOOKUP(C135,ANTIGÜEDAD!A:BE,18,FALSE)</f>
        <v>0</v>
      </c>
      <c r="AG135" s="30">
        <f>IFERROR(VLOOKUP(C135,Ahorros_concentrado!B:D,3,FALSE),0)</f>
        <v>330</v>
      </c>
      <c r="AH135" s="43">
        <f t="shared" ref="AH135:AH166" ca="1" si="23">IFERROR((AG135/M135)/AB135,0)</f>
        <v>2.8947139891000857E-2</v>
      </c>
      <c r="AI135" s="19" t="str">
        <f>IF(VLOOKUP(C135,ANTIGÜEDAD!A:AG,33,0)="Entregado","Vigente",IF(VLOOKUP(C135,ANTIGÜEDAD!A:AG,33,0)="Liquidado","Desertor sin mora",""))</f>
        <v>Vigente</v>
      </c>
      <c r="AJ135" s="98" t="str">
        <f t="shared" ref="AJ135:AJ166" si="24">"0"&amp;TEXT(C135,"000000")&amp;TEXT(E135,"00")</f>
        <v>000014201</v>
      </c>
    </row>
    <row r="136" spans="1:36" x14ac:dyDescent="0.3">
      <c r="A136" s="19" t="str">
        <f>VLOOKUP(C136,ANTIGÜEDAD!A:BJ,4,FALSE)</f>
        <v>JUDITH PATRICIA SERRANO HERRER</v>
      </c>
      <c r="B136" s="19" t="str">
        <f>IFERROR(VLOOKUP(ANTIGÜEDAD!F135,'Parche Promotores'!A:B,2,0),ANTIGÜEDAD!F135)</f>
        <v>Cabrera Flores Viridiana</v>
      </c>
      <c r="C136" s="6" t="str">
        <f>TEXT(ANTIGÜEDAD!I135,"000000")</f>
        <v>000165</v>
      </c>
      <c r="D136" s="6" t="str">
        <f>ANTIGÜEDAD!K135</f>
        <v>MARAVILLAS</v>
      </c>
      <c r="E136" s="29" t="str">
        <f>IFERROR(VLOOKUP(C136,'SITUACIÓN DE CARTERA'!A:AR,12,FALSE),VLOOKUP(C136,ANTIGÜEDAD!A:J,10,0))</f>
        <v>01</v>
      </c>
      <c r="F136" s="30">
        <f>VLOOKUP(C136,ANTIGÜEDAD!A:BE,17,FALSE)</f>
        <v>46000</v>
      </c>
      <c r="G136" s="30" t="str">
        <f>VLOOKUP(C136,ANTIGÜEDAD!A:BE,12,FALSE)</f>
        <v>MIGRADO</v>
      </c>
      <c r="H136" s="31">
        <f>VLOOKUP(C136,ANTIGÜEDAD!A:BE,14,FALSE)</f>
        <v>45947</v>
      </c>
      <c r="I136" s="19">
        <f>VLOOKUP(C136,ANTIGÜEDAD!A:BE,19,FALSE)</f>
        <v>16</v>
      </c>
      <c r="J136" s="31" t="str">
        <f>VLOOKUP(C136,ANTIGÜEDAD!A:BE,56,FALSE)</f>
        <v>Viernes</v>
      </c>
      <c r="K136" s="32" t="str">
        <f>VLOOKUP(C136,ANTIGÜEDAD!A:BE,57,FALSE)</f>
        <v>12:00</v>
      </c>
      <c r="L136" s="19" t="str">
        <f>VLOOKUP(C136,ANTIGÜEDAD!A:BE,20,FALSE)</f>
        <v>Semanal</v>
      </c>
      <c r="M136" s="30">
        <f>VLOOKUP(C136,ANTIGÜEDAD!A:BE,21,FALSE)</f>
        <v>3496.03</v>
      </c>
      <c r="N136" s="33" t="str">
        <f>IFERROR(VLOOKUP(C136,'Reporte de cobranza'!G:BL,34,FALSE),"")</f>
        <v>07/11/2025</v>
      </c>
      <c r="O136" s="30">
        <f>IF(AI136="Desertor sin mora",0,VLOOKUP(C136,ANTIGÜEDAD!A:BJ,44,FALSE))</f>
        <v>48942.49</v>
      </c>
      <c r="P136" s="30">
        <f t="shared" ref="P136:P144" si="25">M136*16</f>
        <v>55936.480000000003</v>
      </c>
      <c r="Q136" s="30">
        <f t="shared" ca="1" si="21"/>
        <v>48944.420000000006</v>
      </c>
      <c r="R136" s="30">
        <f>IF(AI136="Desertor sin mora",0,VLOOKUP(C136,ANTIGÜEDAD!A:BJ,26,FALSE))</f>
        <v>40250</v>
      </c>
      <c r="S136" s="30">
        <f t="shared" ref="S136:S182" ca="1" si="26">O136-Q136</f>
        <v>-1.930000000007567</v>
      </c>
      <c r="T136" s="30">
        <f>IF(V136&gt;0,IF(VLOOKUP(TEXT(C136,"000000"),Ahorros_concentrado!B:D,3,0)+F136*0.1&gt;V136,V136,VLOOKUP(TEXT(C136,"000000"),Ahorros_concentrado!B:D,3,0)+F136*0.1),0)</f>
        <v>0</v>
      </c>
      <c r="U136" s="30">
        <f t="shared" ref="U136:U177" si="27">V136-T136</f>
        <v>0</v>
      </c>
      <c r="V136" s="30">
        <f>IF(AI136="Desertor sin mora",0,VLOOKUP(C136,'SITUACIÓN DE CARTERA'!A:AR,26,FALSE))</f>
        <v>0</v>
      </c>
      <c r="W136" s="134">
        <f>IF(AI136="Desertor sin mora",0,VLOOKUP(C136,'SITUACIÓN DE CARTERA'!A:AR,27,FALSE))/100</f>
        <v>0</v>
      </c>
      <c r="X136" s="30">
        <f>IF(V136&gt;0,VLOOKUP(C136,ANTIGÜEDAD!A:BE,26,FALSE),0)</f>
        <v>0</v>
      </c>
      <c r="Z136" s="34">
        <f>IF(AI136="Desertor sin mora",VLOOKUP(C136,ANTIGÜEDAD!A:Q,17,0)/AA136,F136/AA136)</f>
        <v>9200</v>
      </c>
      <c r="AA136" s="19">
        <f>IF(AI136="Desertor sin mora",VLOOKUP(C136,ANTIGÜEDAD!A:M,13,0),VLOOKUP(C136,'SITUACIÓN DE CARTERA'!A:AR,43,FALSE))</f>
        <v>5</v>
      </c>
      <c r="AB136" s="19">
        <f t="shared" ca="1" si="22"/>
        <v>2</v>
      </c>
      <c r="AC136" s="42">
        <f>IF(AI136="Desertor sin mora",0,(VLOOKUP(C136,'SITUACIÓN DE CARTERA'!A:AS,45,FALSE))/M136)</f>
        <v>2.0005549151466089</v>
      </c>
      <c r="AD136" s="19">
        <f>IF(AI136="Desertor sin mora",0,VLOOKUP(C136,'Reporte de cobranza'!G:BL,35,FALSE))</f>
        <v>14</v>
      </c>
      <c r="AE136" s="19">
        <f>IF(AI136="Desertor sin mora",I136,VLOOKUP(C136,'Reporte de cobranza'!G:BL,36,FALSE))</f>
        <v>16</v>
      </c>
      <c r="AF136" s="19">
        <f>VLOOKUP(C136,ANTIGÜEDAD!A:BE,18,FALSE)</f>
        <v>0</v>
      </c>
      <c r="AG136" s="30">
        <f>IFERROR(VLOOKUP(C136,Ahorros_concentrado!B:D,3,FALSE),0)</f>
        <v>189</v>
      </c>
      <c r="AH136" s="43">
        <f t="shared" ca="1" si="23"/>
        <v>2.7030660492043831E-2</v>
      </c>
      <c r="AI136" s="19" t="str">
        <f>IF(VLOOKUP(C136,ANTIGÜEDAD!A:AG,33,0)="Entregado","Vigente",IF(VLOOKUP(C136,ANTIGÜEDAD!A:AG,33,0)="Liquidado","Desertor sin mora",""))</f>
        <v>Vigente</v>
      </c>
      <c r="AJ136" s="98" t="str">
        <f t="shared" si="24"/>
        <v>000016501</v>
      </c>
    </row>
    <row r="137" spans="1:36" x14ac:dyDescent="0.3">
      <c r="A137" s="19" t="str">
        <f>VLOOKUP(C137,ANTIGÜEDAD!A:BJ,4,FALSE)</f>
        <v>IRVIN URIEL MORA VELAZCO</v>
      </c>
      <c r="B137" s="19" t="str">
        <f>IFERROR(VLOOKUP(ANTIGÜEDAD!F136,'Parche Promotores'!A:B,2,0),ANTIGÜEDAD!F136)</f>
        <v>Olivares Morales Josue Edgar</v>
      </c>
      <c r="C137" s="6" t="str">
        <f>TEXT(ANTIGÜEDAD!I136,"000000")</f>
        <v>000055</v>
      </c>
      <c r="D137" s="6" t="str">
        <f>ANTIGÜEDAD!K136</f>
        <v>MAGIA</v>
      </c>
      <c r="E137" s="29" t="str">
        <f>IFERROR(VLOOKUP(C137,'SITUACIÓN DE CARTERA'!A:AR,12,FALSE),VLOOKUP(C137,ANTIGÜEDAD!A:J,10,0))</f>
        <v>01</v>
      </c>
      <c r="F137" s="30">
        <f>VLOOKUP(C137,ANTIGÜEDAD!A:BE,17,FALSE)</f>
        <v>119000</v>
      </c>
      <c r="G137" s="30" t="str">
        <f>VLOOKUP(C137,ANTIGÜEDAD!A:BE,12,FALSE)</f>
        <v>MIGRADO</v>
      </c>
      <c r="H137" s="31">
        <f>VLOOKUP(C137,ANTIGÜEDAD!A:BE,14,FALSE)</f>
        <v>45898</v>
      </c>
      <c r="I137" s="19">
        <f>VLOOKUP(C137,ANTIGÜEDAD!A:BE,19,FALSE)</f>
        <v>16</v>
      </c>
      <c r="J137" s="31" t="str">
        <f>VLOOKUP(C137,ANTIGÜEDAD!A:BE,56,FALSE)</f>
        <v>Viernes</v>
      </c>
      <c r="K137" s="32" t="str">
        <f>VLOOKUP(C137,ANTIGÜEDAD!A:BE,57,FALSE)</f>
        <v>16:00</v>
      </c>
      <c r="L137" s="19" t="str">
        <f>VLOOKUP(C137,ANTIGÜEDAD!A:BE,20,FALSE)</f>
        <v>Semanal</v>
      </c>
      <c r="M137" s="30">
        <f>VLOOKUP(C137,ANTIGÜEDAD!A:BE,21,FALSE)</f>
        <v>9044.08</v>
      </c>
      <c r="N137" s="33" t="str">
        <f>IFERROR(VLOOKUP(C137,'Reporte de cobranza'!G:BL,34,FALSE),"")</f>
        <v>07/11/2025</v>
      </c>
      <c r="O137" s="30">
        <f>IF(AI137="Desertor sin mora",0,VLOOKUP(C137,ANTIGÜEDAD!A:BJ,44,FALSE))</f>
        <v>63300.270000000004</v>
      </c>
      <c r="P137" s="30">
        <f t="shared" si="25"/>
        <v>144705.28</v>
      </c>
      <c r="Q137" s="30">
        <f t="shared" ca="1" si="21"/>
        <v>63308.56</v>
      </c>
      <c r="R137" s="30">
        <f>IF(AI137="Desertor sin mora",0,VLOOKUP(C137,ANTIGÜEDAD!A:BJ,26,FALSE))</f>
        <v>52062.5</v>
      </c>
      <c r="S137" s="30">
        <f t="shared" ca="1" si="26"/>
        <v>-8.2899999999935972</v>
      </c>
      <c r="T137" s="30">
        <f>IF(V137&gt;0,IF(VLOOKUP(TEXT(C137,"000000"),Ahorros_concentrado!B:D,3,0)+F137*0.1&gt;V137,V137,VLOOKUP(TEXT(C137,"000000"),Ahorros_concentrado!B:D,3,0)+F137*0.1),0)</f>
        <v>0</v>
      </c>
      <c r="U137" s="30">
        <f t="shared" si="27"/>
        <v>0</v>
      </c>
      <c r="V137" s="30">
        <f>IF(AI137="Desertor sin mora",0,VLOOKUP(C137,'SITUACIÓN DE CARTERA'!A:AR,26,FALSE))</f>
        <v>0</v>
      </c>
      <c r="W137" s="134">
        <f>IF(AI137="Desertor sin mora",0,VLOOKUP(C137,'SITUACIÓN DE CARTERA'!A:AR,27,FALSE))/100</f>
        <v>0</v>
      </c>
      <c r="X137" s="30">
        <f>IF(V137&gt;0,VLOOKUP(C137,ANTIGÜEDAD!A:BE,26,FALSE),0)</f>
        <v>0</v>
      </c>
      <c r="Z137" s="34">
        <f>IF(AI137="Desertor sin mora",VLOOKUP(C137,ANTIGÜEDAD!A:Q,17,0)/AA137,F137/AA137)</f>
        <v>19833.333333333332</v>
      </c>
      <c r="AA137" s="19">
        <f>IF(AI137="Desertor sin mora",VLOOKUP(C137,ANTIGÜEDAD!A:M,13,0),VLOOKUP(C137,'SITUACIÓN DE CARTERA'!A:AR,43,FALSE))</f>
        <v>6</v>
      </c>
      <c r="AB137" s="19">
        <f t="shared" ca="1" si="22"/>
        <v>9</v>
      </c>
      <c r="AC137" s="42">
        <f>IF(AI137="Desertor sin mora",0,(VLOOKUP(C137,'SITUACIÓN DE CARTERA'!A:AS,45,FALSE))/M137)</f>
        <v>9.0009155160060512</v>
      </c>
      <c r="AD137" s="19">
        <f>IF(AI137="Desertor sin mora",0,VLOOKUP(C137,'Reporte de cobranza'!G:BL,35,FALSE))</f>
        <v>7</v>
      </c>
      <c r="AE137" s="19">
        <f>IF(AI137="Desertor sin mora",I137,VLOOKUP(C137,'Reporte de cobranza'!G:BL,36,FALSE))</f>
        <v>16</v>
      </c>
      <c r="AF137" s="19">
        <f>VLOOKUP(C137,ANTIGÜEDAD!A:BE,18,FALSE)</f>
        <v>0</v>
      </c>
      <c r="AG137" s="30">
        <f>IFERROR(VLOOKUP(C137,Ahorros_concentrado!B:D,3,FALSE),0)</f>
        <v>4588</v>
      </c>
      <c r="AH137" s="43">
        <f t="shared" ca="1" si="23"/>
        <v>5.6365907618881939E-2</v>
      </c>
      <c r="AI137" s="19" t="str">
        <f>IF(VLOOKUP(C137,ANTIGÜEDAD!A:AG,33,0)="Entregado","Vigente",IF(VLOOKUP(C137,ANTIGÜEDAD!A:AG,33,0)="Liquidado","Desertor sin mora",""))</f>
        <v>Vigente</v>
      </c>
      <c r="AJ137" s="98" t="str">
        <f t="shared" si="24"/>
        <v>000005501</v>
      </c>
    </row>
    <row r="138" spans="1:36" x14ac:dyDescent="0.3">
      <c r="A138" s="19" t="str">
        <f>VLOOKUP(C138,ANTIGÜEDAD!A:BJ,4,FALSE)</f>
        <v>IRVIN URIEL MORA VELAZCO</v>
      </c>
      <c r="B138" s="19" t="str">
        <f>IFERROR(VLOOKUP(ANTIGÜEDAD!F137,'Parche Promotores'!A:B,2,0),ANTIGÜEDAD!F137)</f>
        <v>Lopez Garcia Nahum Antonio</v>
      </c>
      <c r="C138" s="6" t="str">
        <f>TEXT(ANTIGÜEDAD!I137,"000000")</f>
        <v>000200</v>
      </c>
      <c r="D138" s="6" t="str">
        <f>ANTIGÜEDAD!K137</f>
        <v>EL SUEÑO</v>
      </c>
      <c r="E138" s="29" t="str">
        <f>IFERROR(VLOOKUP(C138,'SITUACIÓN DE CARTERA'!A:AR,12,FALSE),VLOOKUP(C138,ANTIGÜEDAD!A:J,10,0))</f>
        <v>01</v>
      </c>
      <c r="F138" s="30">
        <f>VLOOKUP(C138,ANTIGÜEDAD!A:BE,17,FALSE)</f>
        <v>29000</v>
      </c>
      <c r="G138" s="30" t="str">
        <f>VLOOKUP(C138,ANTIGÜEDAD!A:BE,12,FALSE)</f>
        <v>MIGRADO</v>
      </c>
      <c r="H138" s="31">
        <f>VLOOKUP(C138,ANTIGÜEDAD!A:BE,14,FALSE)</f>
        <v>45960</v>
      </c>
      <c r="I138" s="19">
        <f>VLOOKUP(C138,ANTIGÜEDAD!A:BE,19,FALSE)</f>
        <v>16</v>
      </c>
      <c r="J138" s="31" t="str">
        <f>VLOOKUP(C138,ANTIGÜEDAD!A:BE,56,FALSE)</f>
        <v>Jueves</v>
      </c>
      <c r="K138" s="32" t="str">
        <f>VLOOKUP(C138,ANTIGÜEDAD!A:BE,57,FALSE)</f>
        <v>15:00</v>
      </c>
      <c r="L138" s="19" t="str">
        <f>VLOOKUP(C138,ANTIGÜEDAD!A:BE,20,FALSE)</f>
        <v>Semanal</v>
      </c>
      <c r="M138" s="30">
        <f>VLOOKUP(C138,ANTIGÜEDAD!A:BE,21,FALSE)</f>
        <v>2204.02</v>
      </c>
      <c r="N138" s="33" t="str">
        <f>IFERROR(VLOOKUP(C138,'Reporte de cobranza'!G:BL,34,FALSE),"")</f>
        <v>06/11/2025</v>
      </c>
      <c r="O138" s="30">
        <f>IF(AI138="Desertor sin mora",0,VLOOKUP(C138,ANTIGÜEDAD!A:BJ,44,FALSE))</f>
        <v>35264.31</v>
      </c>
      <c r="P138" s="30">
        <f t="shared" si="25"/>
        <v>35264.32</v>
      </c>
      <c r="Q138" s="30">
        <f t="shared" ca="1" si="21"/>
        <v>35264.32</v>
      </c>
      <c r="R138" s="30">
        <f>IF(AI138="Desertor sin mora",0,VLOOKUP(C138,ANTIGÜEDAD!A:BJ,26,FALSE))</f>
        <v>29000</v>
      </c>
      <c r="S138" s="30">
        <f t="shared" ca="1" si="26"/>
        <v>-1.0000000002037268E-2</v>
      </c>
      <c r="T138" s="30">
        <f>IF(V138&gt;0,IF(VLOOKUP(TEXT(C138,"000000"),Ahorros_concentrado!B:D,3,0)+F138*0.1&gt;V138,V138,VLOOKUP(TEXT(C138,"000000"),Ahorros_concentrado!B:D,3,0)+F138*0.1),0)</f>
        <v>0</v>
      </c>
      <c r="U138" s="30">
        <f t="shared" si="27"/>
        <v>0</v>
      </c>
      <c r="V138" s="30">
        <f>IF(AI138="Desertor sin mora",0,VLOOKUP(C138,'SITUACIÓN DE CARTERA'!A:AR,26,FALSE))</f>
        <v>0</v>
      </c>
      <c r="W138" s="134">
        <f>IF(AI138="Desertor sin mora",0,VLOOKUP(C138,'SITUACIÓN DE CARTERA'!A:AR,27,FALSE))/100</f>
        <v>0</v>
      </c>
      <c r="X138" s="30">
        <f>IF(V138&gt;0,VLOOKUP(C138,ANTIGÜEDAD!A:BE,26,FALSE),0)</f>
        <v>0</v>
      </c>
      <c r="Z138" s="34">
        <f>IF(AI138="Desertor sin mora",VLOOKUP(C138,ANTIGÜEDAD!A:Q,17,0)/AA138,F138/AA138)</f>
        <v>5800</v>
      </c>
      <c r="AA138" s="19">
        <f>IF(AI138="Desertor sin mora",VLOOKUP(C138,ANTIGÜEDAD!A:M,13,0),VLOOKUP(C138,'SITUACIÓN DE CARTERA'!A:AR,43,FALSE))</f>
        <v>5</v>
      </c>
      <c r="AB138" s="19">
        <f t="shared" ca="1" si="22"/>
        <v>0</v>
      </c>
      <c r="AC138" s="42">
        <f>IF(AI138="Desertor sin mora",0,(VLOOKUP(C138,'SITUACIÓN DE CARTERA'!A:AS,45,FALSE))/M138)</f>
        <v>0</v>
      </c>
      <c r="AD138" s="19">
        <f>IF(AI138="Desertor sin mora",0,VLOOKUP(C138,'Reporte de cobranza'!G:BL,35,FALSE))</f>
        <v>16</v>
      </c>
      <c r="AE138" s="19">
        <f>IF(AI138="Desertor sin mora",I138,VLOOKUP(C138,'Reporte de cobranza'!G:BL,36,FALSE))</f>
        <v>16</v>
      </c>
      <c r="AF138" s="19">
        <f>VLOOKUP(C138,ANTIGÜEDAD!A:BE,18,FALSE)</f>
        <v>0</v>
      </c>
      <c r="AG138" s="30">
        <f>IFERROR(VLOOKUP(C138,Ahorros_concentrado!B:D,3,FALSE),0)</f>
        <v>0</v>
      </c>
      <c r="AH138" s="43">
        <f t="shared" ca="1" si="23"/>
        <v>0</v>
      </c>
      <c r="AI138" s="19" t="str">
        <f>IF(VLOOKUP(C138,ANTIGÜEDAD!A:AG,33,0)="Entregado","Vigente",IF(VLOOKUP(C138,ANTIGÜEDAD!A:AG,33,0)="Liquidado","Desertor sin mora",""))</f>
        <v>Vigente</v>
      </c>
      <c r="AJ138" s="98" t="str">
        <f t="shared" si="24"/>
        <v>000020001</v>
      </c>
    </row>
    <row r="139" spans="1:36" x14ac:dyDescent="0.3">
      <c r="A139" s="19" t="str">
        <f>VLOOKUP(C139,ANTIGÜEDAD!A:BJ,4,FALSE)</f>
        <v>JUDITH PATRICIA SERRANO HERRER</v>
      </c>
      <c r="B139" s="19" t="str">
        <f>IFERROR(VLOOKUP(ANTIGÜEDAD!F138,'Parche Promotores'!A:B,2,0),ANTIGÜEDAD!F138)</f>
        <v>Becerril Aguirre Jonathan</v>
      </c>
      <c r="C139" s="6" t="str">
        <f>TEXT(ANTIGÜEDAD!I138,"000000")</f>
        <v>000117</v>
      </c>
      <c r="D139" s="6" t="str">
        <f>ANTIGÜEDAD!K138</f>
        <v>GUERREROS DJ</v>
      </c>
      <c r="E139" s="29" t="str">
        <f>IFERROR(VLOOKUP(C139,'SITUACIÓN DE CARTERA'!A:AR,12,FALSE),VLOOKUP(C139,ANTIGÜEDAD!A:J,10,0))</f>
        <v>01</v>
      </c>
      <c r="F139" s="30">
        <f>VLOOKUP(C139,ANTIGÜEDAD!A:BE,17,FALSE)</f>
        <v>114000</v>
      </c>
      <c r="G139" s="30" t="str">
        <f>VLOOKUP(C139,ANTIGÜEDAD!A:BE,12,FALSE)</f>
        <v>MIGRADO</v>
      </c>
      <c r="H139" s="31">
        <f>VLOOKUP(C139,ANTIGÜEDAD!A:BE,14,FALSE)</f>
        <v>45930</v>
      </c>
      <c r="I139" s="19">
        <f>VLOOKUP(C139,ANTIGÜEDAD!A:BE,19,FALSE)</f>
        <v>16</v>
      </c>
      <c r="J139" s="31" t="str">
        <f>VLOOKUP(C139,ANTIGÜEDAD!A:BE,56,FALSE)</f>
        <v>Martes</v>
      </c>
      <c r="K139" s="32" t="str">
        <f>VLOOKUP(C139,ANTIGÜEDAD!A:BE,57,FALSE)</f>
        <v>10:00</v>
      </c>
      <c r="L139" s="19" t="str">
        <f>VLOOKUP(C139,ANTIGÜEDAD!A:BE,20,FALSE)</f>
        <v>Semanal</v>
      </c>
      <c r="M139" s="30">
        <f>VLOOKUP(C139,ANTIGÜEDAD!A:BE,21,FALSE)</f>
        <v>8664.08</v>
      </c>
      <c r="N139" s="33" t="str">
        <f>IFERROR(VLOOKUP(C139,'Reporte de cobranza'!G:BL,34,FALSE),"")</f>
        <v>04/11/2025</v>
      </c>
      <c r="O139" s="30">
        <f>IF(AI139="Desertor sin mora",0,VLOOKUP(C139,ANTIGÜEDAD!A:BJ,44,FALSE))</f>
        <v>103969.22</v>
      </c>
      <c r="P139" s="30">
        <f t="shared" si="25"/>
        <v>138625.28</v>
      </c>
      <c r="Q139" s="30">
        <f t="shared" ca="1" si="21"/>
        <v>103969.22</v>
      </c>
      <c r="R139" s="30">
        <f>IF(AI139="Desertor sin mora",0,VLOOKUP(C139,ANTIGÜEDAD!A:BJ,26,FALSE))</f>
        <v>85500.32</v>
      </c>
      <c r="S139" s="30">
        <f t="shared" ca="1" si="26"/>
        <v>0</v>
      </c>
      <c r="T139" s="30">
        <f>IF(V139&gt;0,IF(VLOOKUP(TEXT(C139,"000000"),Ahorros_concentrado!B:D,3,0)+F139*0.1&gt;V139,V139,VLOOKUP(TEXT(C139,"000000"),Ahorros_concentrado!B:D,3,0)+F139*0.1),0)</f>
        <v>0</v>
      </c>
      <c r="U139" s="30">
        <f t="shared" si="27"/>
        <v>0</v>
      </c>
      <c r="V139" s="30">
        <f>IF(AI139="Desertor sin mora",0,VLOOKUP(C139,'SITUACIÓN DE CARTERA'!A:AR,26,FALSE))</f>
        <v>0</v>
      </c>
      <c r="W139" s="134">
        <f>IF(AI139="Desertor sin mora",0,VLOOKUP(C139,'SITUACIÓN DE CARTERA'!A:AR,27,FALSE))/100</f>
        <v>0</v>
      </c>
      <c r="X139" s="30">
        <f>IF(V139&gt;0,VLOOKUP(C139,ANTIGÜEDAD!A:BE,26,FALSE),0)</f>
        <v>0</v>
      </c>
      <c r="Z139" s="34">
        <f>IF(AI139="Desertor sin mora",VLOOKUP(C139,ANTIGÜEDAD!A:Q,17,0)/AA139,F139/AA139)</f>
        <v>16285.714285714286</v>
      </c>
      <c r="AA139" s="19">
        <f>IF(AI139="Desertor sin mora",VLOOKUP(C139,ANTIGÜEDAD!A:M,13,0),VLOOKUP(C139,'SITUACIÓN DE CARTERA'!A:AR,43,FALSE))</f>
        <v>7</v>
      </c>
      <c r="AB139" s="19">
        <f t="shared" ca="1" si="22"/>
        <v>4</v>
      </c>
      <c r="AC139" s="42">
        <f>IF(AI139="Desertor sin mora",0,(VLOOKUP(C139,'SITUACIÓN DE CARTERA'!A:AS,45,FALSE))/M139)</f>
        <v>3.9999630658996685</v>
      </c>
      <c r="AD139" s="19">
        <f>IF(AI139="Desertor sin mora",0,VLOOKUP(C139,'Reporte de cobranza'!G:BL,35,FALSE))</f>
        <v>12</v>
      </c>
      <c r="AE139" s="19">
        <f>IF(AI139="Desertor sin mora",I139,VLOOKUP(C139,'Reporte de cobranza'!G:BL,36,FALSE))</f>
        <v>16</v>
      </c>
      <c r="AF139" s="19">
        <f>VLOOKUP(C139,ANTIGÜEDAD!A:BE,18,FALSE)</f>
        <v>0</v>
      </c>
      <c r="AG139" s="30">
        <f>IFERROR(VLOOKUP(C139,Ahorros_concentrado!B:D,3,FALSE),0)</f>
        <v>3484</v>
      </c>
      <c r="AH139" s="43">
        <f t="shared" ca="1" si="23"/>
        <v>0.10053000433975678</v>
      </c>
      <c r="AI139" s="19" t="str">
        <f>IF(VLOOKUP(C139,ANTIGÜEDAD!A:AG,33,0)="Entregado","Vigente",IF(VLOOKUP(C139,ANTIGÜEDAD!A:AG,33,0)="Liquidado","Desertor sin mora",""))</f>
        <v>Vigente</v>
      </c>
      <c r="AJ139" s="98" t="str">
        <f t="shared" si="24"/>
        <v>000011701</v>
      </c>
    </row>
    <row r="140" spans="1:36" x14ac:dyDescent="0.3">
      <c r="A140" s="19" t="str">
        <f>VLOOKUP(C140,ANTIGÜEDAD!A:BJ,4,FALSE)</f>
        <v>IRVIN URIEL MORA VELAZCO</v>
      </c>
      <c r="B140" s="19" t="str">
        <f>IFERROR(VLOOKUP(ANTIGÜEDAD!F139,'Parche Promotores'!A:B,2,0),ANTIGÜEDAD!F139)</f>
        <v>Lopez Garcia Nahum Antonio</v>
      </c>
      <c r="C140" s="6" t="str">
        <f>TEXT(ANTIGÜEDAD!I139,"000000")</f>
        <v>000139</v>
      </c>
      <c r="D140" s="6" t="str">
        <f>ANTIGÜEDAD!K139</f>
        <v>LAS VENENOSAS</v>
      </c>
      <c r="E140" s="29" t="str">
        <f>IFERROR(VLOOKUP(C140,'SITUACIÓN DE CARTERA'!A:AR,12,FALSE),VLOOKUP(C140,ANTIGÜEDAD!A:J,10,0))</f>
        <v>01</v>
      </c>
      <c r="F140" s="30">
        <f>VLOOKUP(C140,ANTIGÜEDAD!A:BE,17,FALSE)</f>
        <v>75000</v>
      </c>
      <c r="G140" s="30" t="str">
        <f>VLOOKUP(C140,ANTIGÜEDAD!A:BE,12,FALSE)</f>
        <v>MIGRADO</v>
      </c>
      <c r="H140" s="31">
        <f>VLOOKUP(C140,ANTIGÜEDAD!A:BE,14,FALSE)</f>
        <v>45938</v>
      </c>
      <c r="I140" s="19">
        <f>VLOOKUP(C140,ANTIGÜEDAD!A:BE,19,FALSE)</f>
        <v>16</v>
      </c>
      <c r="J140" s="31" t="str">
        <f>VLOOKUP(C140,ANTIGÜEDAD!A:BE,56,FALSE)</f>
        <v>Miércoles</v>
      </c>
      <c r="K140" s="32" t="str">
        <f>VLOOKUP(C140,ANTIGÜEDAD!A:BE,57,FALSE)</f>
        <v>10:00</v>
      </c>
      <c r="L140" s="19" t="str">
        <f>VLOOKUP(C140,ANTIGÜEDAD!A:BE,20,FALSE)</f>
        <v>Semanal</v>
      </c>
      <c r="M140" s="30">
        <f>VLOOKUP(C140,ANTIGÜEDAD!A:BE,21,FALSE)</f>
        <v>5700.05</v>
      </c>
      <c r="N140" s="33" t="str">
        <f>IFERROR(VLOOKUP(C140,'Reporte de cobranza'!G:BL,34,FALSE),"")</f>
        <v>05/11/2025</v>
      </c>
      <c r="O140" s="30">
        <f>IF(AI140="Desertor sin mora",0,VLOOKUP(C140,ANTIGÜEDAD!A:BJ,44,FALSE))</f>
        <v>74100.800000000003</v>
      </c>
      <c r="P140" s="30">
        <f t="shared" si="25"/>
        <v>91200.8</v>
      </c>
      <c r="Q140" s="30">
        <f t="shared" ca="1" si="21"/>
        <v>74100.800000000003</v>
      </c>
      <c r="R140" s="30">
        <f>IF(AI140="Desertor sin mora",0,VLOOKUP(C140,ANTIGÜEDAD!A:BJ,26,FALSE))</f>
        <v>60937.65</v>
      </c>
      <c r="S140" s="30">
        <f t="shared" ca="1" si="26"/>
        <v>0</v>
      </c>
      <c r="T140" s="30">
        <f>IF(V140&gt;0,IF(VLOOKUP(TEXT(C140,"000000"),Ahorros_concentrado!B:D,3,0)+F140*0.1&gt;V140,V140,VLOOKUP(TEXT(C140,"000000"),Ahorros_concentrado!B:D,3,0)+F140*0.1),0)</f>
        <v>0</v>
      </c>
      <c r="U140" s="30">
        <f t="shared" si="27"/>
        <v>0</v>
      </c>
      <c r="V140" s="30">
        <f>IF(AI140="Desertor sin mora",0,VLOOKUP(C140,'SITUACIÓN DE CARTERA'!A:AR,26,FALSE))</f>
        <v>0</v>
      </c>
      <c r="W140" s="134">
        <f>IF(AI140="Desertor sin mora",0,VLOOKUP(C140,'SITUACIÓN DE CARTERA'!A:AR,27,FALSE))/100</f>
        <v>0</v>
      </c>
      <c r="X140" s="30">
        <f>IF(V140&gt;0,VLOOKUP(C140,ANTIGÜEDAD!A:BE,26,FALSE),0)</f>
        <v>0</v>
      </c>
      <c r="Z140" s="34">
        <f>IF(AI140="Desertor sin mora",VLOOKUP(C140,ANTIGÜEDAD!A:Q,17,0)/AA140,F140/AA140)</f>
        <v>10714.285714285714</v>
      </c>
      <c r="AA140" s="19">
        <f>IF(AI140="Desertor sin mora",VLOOKUP(C140,ANTIGÜEDAD!A:M,13,0),VLOOKUP(C140,'SITUACIÓN DE CARTERA'!A:AR,43,FALSE))</f>
        <v>7</v>
      </c>
      <c r="AB140" s="19">
        <f t="shared" ca="1" si="22"/>
        <v>3</v>
      </c>
      <c r="AC140" s="42">
        <f>IF(AI140="Desertor sin mora",0,(VLOOKUP(C140,'SITUACIÓN DE CARTERA'!A:AS,45,FALSE))/M140)</f>
        <v>2.9999736844413643</v>
      </c>
      <c r="AD140" s="19">
        <f>IF(AI140="Desertor sin mora",0,VLOOKUP(C140,'Reporte de cobranza'!G:BL,35,FALSE))</f>
        <v>13</v>
      </c>
      <c r="AE140" s="19">
        <f>IF(AI140="Desertor sin mora",I140,VLOOKUP(C140,'Reporte de cobranza'!G:BL,36,FALSE))</f>
        <v>16</v>
      </c>
      <c r="AF140" s="19">
        <f>VLOOKUP(C140,ANTIGÜEDAD!A:BE,18,FALSE)</f>
        <v>0</v>
      </c>
      <c r="AG140" s="30">
        <f>IFERROR(VLOOKUP(C140,Ahorros_concentrado!B:D,3,FALSE),0)</f>
        <v>900</v>
      </c>
      <c r="AH140" s="43">
        <f t="shared" ca="1" si="23"/>
        <v>5.2631117270901133E-2</v>
      </c>
      <c r="AI140" s="19" t="str">
        <f>IF(VLOOKUP(C140,ANTIGÜEDAD!A:AG,33,0)="Entregado","Vigente",IF(VLOOKUP(C140,ANTIGÜEDAD!A:AG,33,0)="Liquidado","Desertor sin mora",""))</f>
        <v>Vigente</v>
      </c>
      <c r="AJ140" s="98" t="str">
        <f t="shared" si="24"/>
        <v>000013901</v>
      </c>
    </row>
    <row r="141" spans="1:36" x14ac:dyDescent="0.3">
      <c r="A141" s="19" t="str">
        <f>VLOOKUP(C141,ANTIGÜEDAD!A:BJ,4,FALSE)</f>
        <v>ADRIANA ALEJALDRE GUZMAN</v>
      </c>
      <c r="B141" s="19" t="str">
        <f>IFERROR(VLOOKUP(ANTIGÜEDAD!F140,'Parche Promotores'!A:B,2,0),ANTIGÜEDAD!F140)</f>
        <v>Garcia Herrera Jonathan</v>
      </c>
      <c r="C141" s="6" t="str">
        <f>TEXT(ANTIGÜEDAD!I140,"000000")</f>
        <v>000209</v>
      </c>
      <c r="D141" s="6" t="str">
        <f>ANTIGÜEDAD!K140</f>
        <v>BOMBONES</v>
      </c>
      <c r="E141" s="29" t="str">
        <f>IFERROR(VLOOKUP(C141,'SITUACIÓN DE CARTERA'!A:AR,12,FALSE),VLOOKUP(C141,ANTIGÜEDAD!A:J,10,0))</f>
        <v>01</v>
      </c>
      <c r="F141" s="30">
        <f>VLOOKUP(C141,ANTIGÜEDAD!A:BE,17,FALSE)</f>
        <v>110000</v>
      </c>
      <c r="G141" s="30" t="str">
        <f>VLOOKUP(C141,ANTIGÜEDAD!A:BE,12,FALSE)</f>
        <v>MIGRADO</v>
      </c>
      <c r="H141" s="31">
        <f>VLOOKUP(C141,ANTIGÜEDAD!A:BE,14,FALSE)</f>
        <v>45961</v>
      </c>
      <c r="I141" s="19">
        <f>VLOOKUP(C141,ANTIGÜEDAD!A:BE,19,FALSE)</f>
        <v>16</v>
      </c>
      <c r="J141" s="31" t="str">
        <f>VLOOKUP(C141,ANTIGÜEDAD!A:BE,56,FALSE)</f>
        <v>Viernes</v>
      </c>
      <c r="K141" s="32" t="str">
        <f>VLOOKUP(C141,ANTIGÜEDAD!A:BE,57,FALSE)</f>
        <v>14:00</v>
      </c>
      <c r="L141" s="19" t="str">
        <f>VLOOKUP(C141,ANTIGÜEDAD!A:BE,20,FALSE)</f>
        <v>Semanal</v>
      </c>
      <c r="M141" s="30">
        <f>VLOOKUP(C141,ANTIGÜEDAD!A:BE,21,FALSE)</f>
        <v>8360.07</v>
      </c>
      <c r="N141" s="33" t="str">
        <f>IFERROR(VLOOKUP(C141,'Reporte de cobranza'!G:BL,34,FALSE),"")</f>
        <v>07/11/2025</v>
      </c>
      <c r="O141" s="30">
        <f>IF(AI141="Desertor sin mora",0,VLOOKUP(C141,ANTIGÜEDAD!A:BJ,44,FALSE))</f>
        <v>133761.17000000001</v>
      </c>
      <c r="P141" s="30">
        <f t="shared" si="25"/>
        <v>133761.12</v>
      </c>
      <c r="Q141" s="30">
        <f t="shared" ca="1" si="21"/>
        <v>133761.17000000001</v>
      </c>
      <c r="R141" s="30">
        <f>IF(AI141="Desertor sin mora",0,VLOOKUP(C141,ANTIGÜEDAD!A:BJ,26,FALSE))</f>
        <v>110000</v>
      </c>
      <c r="S141" s="30">
        <f t="shared" ca="1" si="26"/>
        <v>0</v>
      </c>
      <c r="T141" s="30">
        <f>IF(V141&gt;0,IF(VLOOKUP(TEXT(C141,"000000"),Ahorros_concentrado!B:D,3,0)+F141*0.1&gt;V141,V141,VLOOKUP(TEXT(C141,"000000"),Ahorros_concentrado!B:D,3,0)+F141*0.1),0)</f>
        <v>0</v>
      </c>
      <c r="U141" s="30">
        <f t="shared" si="27"/>
        <v>0</v>
      </c>
      <c r="V141" s="30">
        <f>IF(AI141="Desertor sin mora",0,VLOOKUP(C141,'SITUACIÓN DE CARTERA'!A:AR,26,FALSE))</f>
        <v>0</v>
      </c>
      <c r="W141" s="134">
        <f>IF(AI141="Desertor sin mora",0,VLOOKUP(C141,'SITUACIÓN DE CARTERA'!A:AR,27,FALSE))/100</f>
        <v>0</v>
      </c>
      <c r="X141" s="30">
        <f>IF(V141&gt;0,VLOOKUP(C141,ANTIGÜEDAD!A:BE,26,FALSE),0)</f>
        <v>0</v>
      </c>
      <c r="Z141" s="34">
        <f>IF(AI141="Desertor sin mora",VLOOKUP(C141,ANTIGÜEDAD!A:Q,17,0)/AA141,F141/AA141)</f>
        <v>22000</v>
      </c>
      <c r="AA141" s="19">
        <f>IF(AI141="Desertor sin mora",VLOOKUP(C141,ANTIGÜEDAD!A:M,13,0),VLOOKUP(C141,'SITUACIÓN DE CARTERA'!A:AR,43,FALSE))</f>
        <v>5</v>
      </c>
      <c r="AB141" s="19">
        <f t="shared" ca="1" si="22"/>
        <v>0</v>
      </c>
      <c r="AC141" s="42">
        <f>IF(AI141="Desertor sin mora",0,(VLOOKUP(C141,'SITUACIÓN DE CARTERA'!A:AS,45,FALSE))/M141)</f>
        <v>0</v>
      </c>
      <c r="AD141" s="19">
        <f>IF(AI141="Desertor sin mora",0,VLOOKUP(C141,'Reporte de cobranza'!G:BL,35,FALSE))</f>
        <v>16</v>
      </c>
      <c r="AE141" s="19">
        <f>IF(AI141="Desertor sin mora",I141,VLOOKUP(C141,'Reporte de cobranza'!G:BL,36,FALSE))</f>
        <v>16</v>
      </c>
      <c r="AF141" s="19">
        <f>VLOOKUP(C141,ANTIGÜEDAD!A:BE,18,FALSE)</f>
        <v>0</v>
      </c>
      <c r="AG141" s="30">
        <f>IFERROR(VLOOKUP(C141,Ahorros_concentrado!B:D,3,FALSE),0)</f>
        <v>0</v>
      </c>
      <c r="AH141" s="43">
        <f t="shared" ca="1" si="23"/>
        <v>0</v>
      </c>
      <c r="AI141" s="19" t="str">
        <f>IF(VLOOKUP(C141,ANTIGÜEDAD!A:AG,33,0)="Entregado","Vigente",IF(VLOOKUP(C141,ANTIGÜEDAD!A:AG,33,0)="Liquidado","Desertor sin mora",""))</f>
        <v>Vigente</v>
      </c>
      <c r="AJ141" s="98" t="str">
        <f t="shared" si="24"/>
        <v>000020901</v>
      </c>
    </row>
    <row r="142" spans="1:36" x14ac:dyDescent="0.3">
      <c r="A142" s="19" t="str">
        <f>VLOOKUP(C142,ANTIGÜEDAD!A:BJ,4,FALSE)</f>
        <v>JUAN EDMUNDO LUNA AGUILLON</v>
      </c>
      <c r="B142" s="19" t="str">
        <f>IFERROR(VLOOKUP(ANTIGÜEDAD!F141,'Parche Promotores'!A:B,2,0),ANTIGÜEDAD!F141)</f>
        <v>Martinez Bañuelos Nallely Sarahi</v>
      </c>
      <c r="C142" s="6" t="str">
        <f>TEXT(ANTIGÜEDAD!I141,"000000")</f>
        <v>000214</v>
      </c>
      <c r="D142" s="6" t="str">
        <f>ANTIGÜEDAD!K141</f>
        <v>EUROPEOS</v>
      </c>
      <c r="E142" s="29" t="str">
        <f>IFERROR(VLOOKUP(C142,'SITUACIÓN DE CARTERA'!A:AR,12,FALSE),VLOOKUP(C142,ANTIGÜEDAD!A:J,10,0))</f>
        <v>01</v>
      </c>
      <c r="F142" s="30">
        <f>VLOOKUP(C142,ANTIGÜEDAD!A:BE,17,FALSE)</f>
        <v>75000</v>
      </c>
      <c r="G142" s="30" t="str">
        <f>VLOOKUP(C142,ANTIGÜEDAD!A:BE,12,FALSE)</f>
        <v>MIGRADO</v>
      </c>
      <c r="H142" s="31">
        <f>VLOOKUP(C142,ANTIGÜEDAD!A:BE,14,FALSE)</f>
        <v>45961</v>
      </c>
      <c r="I142" s="19">
        <f>VLOOKUP(C142,ANTIGÜEDAD!A:BE,19,FALSE)</f>
        <v>16</v>
      </c>
      <c r="J142" s="31" t="str">
        <f>VLOOKUP(C142,ANTIGÜEDAD!A:BE,56,FALSE)</f>
        <v>Viernes</v>
      </c>
      <c r="K142" s="32" t="str">
        <f>VLOOKUP(C142,ANTIGÜEDAD!A:BE,57,FALSE)</f>
        <v>14:30</v>
      </c>
      <c r="L142" s="19" t="str">
        <f>VLOOKUP(C142,ANTIGÜEDAD!A:BE,20,FALSE)</f>
        <v>Semanal</v>
      </c>
      <c r="M142" s="30">
        <f>VLOOKUP(C142,ANTIGÜEDAD!A:BE,21,FALSE)</f>
        <v>5700.05</v>
      </c>
      <c r="N142" s="33" t="str">
        <f>IFERROR(VLOOKUP(C142,'Reporte de cobranza'!G:BL,34,FALSE),"")</f>
        <v>07/11/2025</v>
      </c>
      <c r="O142" s="30">
        <f>IF(AI142="Desertor sin mora",0,VLOOKUP(C142,ANTIGÜEDAD!A:BJ,44,FALSE))</f>
        <v>91200.8</v>
      </c>
      <c r="P142" s="30">
        <f t="shared" si="25"/>
        <v>91200.8</v>
      </c>
      <c r="Q142" s="30">
        <f t="shared" ca="1" si="21"/>
        <v>91200.8</v>
      </c>
      <c r="R142" s="30">
        <f>IF(AI142="Desertor sin mora",0,VLOOKUP(C142,ANTIGÜEDAD!A:BJ,26,FALSE))</f>
        <v>75000</v>
      </c>
      <c r="S142" s="30">
        <f t="shared" ca="1" si="26"/>
        <v>0</v>
      </c>
      <c r="T142" s="30">
        <f>IF(V142&gt;0,IF(VLOOKUP(TEXT(C142,"000000"),Ahorros_concentrado!B:D,3,0)+F142*0.1&gt;V142,V142,VLOOKUP(TEXT(C142,"000000"),Ahorros_concentrado!B:D,3,0)+F142*0.1),0)</f>
        <v>0</v>
      </c>
      <c r="U142" s="30">
        <f t="shared" si="27"/>
        <v>0</v>
      </c>
      <c r="V142" s="30">
        <f>IF(AI142="Desertor sin mora",0,VLOOKUP(C142,'SITUACIÓN DE CARTERA'!A:AR,26,FALSE))</f>
        <v>0</v>
      </c>
      <c r="W142" s="134">
        <f>IF(AI142="Desertor sin mora",0,VLOOKUP(C142,'SITUACIÓN DE CARTERA'!A:AR,27,FALSE))/100</f>
        <v>0</v>
      </c>
      <c r="X142" s="30">
        <f>IF(V142&gt;0,VLOOKUP(C142,ANTIGÜEDAD!A:BE,26,FALSE),0)</f>
        <v>0</v>
      </c>
      <c r="Z142" s="34">
        <f>IF(AI142="Desertor sin mora",VLOOKUP(C142,ANTIGÜEDAD!A:Q,17,0)/AA142,F142/AA142)</f>
        <v>12500</v>
      </c>
      <c r="AA142" s="19">
        <f>IF(AI142="Desertor sin mora",VLOOKUP(C142,ANTIGÜEDAD!A:M,13,0),VLOOKUP(C142,'SITUACIÓN DE CARTERA'!A:AR,43,FALSE))</f>
        <v>6</v>
      </c>
      <c r="AB142" s="19">
        <f t="shared" ca="1" si="22"/>
        <v>0</v>
      </c>
      <c r="AC142" s="42">
        <f>IF(AI142="Desertor sin mora",0,(VLOOKUP(C142,'SITUACIÓN DE CARTERA'!A:AS,45,FALSE))/M142)</f>
        <v>0</v>
      </c>
      <c r="AD142" s="19">
        <f>IF(AI142="Desertor sin mora",0,VLOOKUP(C142,'Reporte de cobranza'!G:BL,35,FALSE))</f>
        <v>16</v>
      </c>
      <c r="AE142" s="19">
        <f>IF(AI142="Desertor sin mora",I142,VLOOKUP(C142,'Reporte de cobranza'!G:BL,36,FALSE))</f>
        <v>16</v>
      </c>
      <c r="AF142" s="19">
        <f>VLOOKUP(C142,ANTIGÜEDAD!A:BE,18,FALSE)</f>
        <v>0</v>
      </c>
      <c r="AG142" s="30">
        <f>IFERROR(VLOOKUP(C142,Ahorros_concentrado!B:D,3,FALSE),0)</f>
        <v>0</v>
      </c>
      <c r="AH142" s="43">
        <f t="shared" ca="1" si="23"/>
        <v>0</v>
      </c>
      <c r="AI142" s="19" t="str">
        <f>IF(VLOOKUP(C142,ANTIGÜEDAD!A:AG,33,0)="Entregado","Vigente",IF(VLOOKUP(C142,ANTIGÜEDAD!A:AG,33,0)="Liquidado","Desertor sin mora",""))</f>
        <v>Vigente</v>
      </c>
      <c r="AJ142" s="98" t="str">
        <f t="shared" si="24"/>
        <v>000021401</v>
      </c>
    </row>
    <row r="143" spans="1:36" x14ac:dyDescent="0.3">
      <c r="A143" s="19" t="str">
        <f>VLOOKUP(C143,ANTIGÜEDAD!A:BJ,4,FALSE)</f>
        <v>JUAN EDMUNDO LUNA AGUILLON</v>
      </c>
      <c r="B143" s="19" t="str">
        <f>IFERROR(VLOOKUP(ANTIGÜEDAD!F142,'Parche Promotores'!A:B,2,0),ANTIGÜEDAD!F142)</f>
        <v>Sanchez Posada Jose Olimpo</v>
      </c>
      <c r="C143" s="6" t="str">
        <f>TEXT(ANTIGÜEDAD!I142,"000000")</f>
        <v>000025</v>
      </c>
      <c r="D143" s="6" t="str">
        <f>ANTIGÜEDAD!K142</f>
        <v>EXITOSAS DE SAN JUAN</v>
      </c>
      <c r="E143" s="29" t="str">
        <f>IFERROR(VLOOKUP(C143,'SITUACIÓN DE CARTERA'!A:AR,12,FALSE),VLOOKUP(C143,ANTIGÜEDAD!A:J,10,0))</f>
        <v>01</v>
      </c>
      <c r="F143" s="30">
        <f>VLOOKUP(C143,ANTIGÜEDAD!A:BE,17,FALSE)</f>
        <v>51000</v>
      </c>
      <c r="G143" s="30" t="str">
        <f>VLOOKUP(C143,ANTIGÜEDAD!A:BE,12,FALSE)</f>
        <v>MIGRADO</v>
      </c>
      <c r="H143" s="31">
        <f>VLOOKUP(C143,ANTIGÜEDAD!A:BE,14,FALSE)</f>
        <v>45891</v>
      </c>
      <c r="I143" s="19">
        <f>VLOOKUP(C143,ANTIGÜEDAD!A:BE,19,FALSE)</f>
        <v>16</v>
      </c>
      <c r="J143" s="31" t="str">
        <f>VLOOKUP(C143,ANTIGÜEDAD!A:BE,56,FALSE)</f>
        <v>Viernes</v>
      </c>
      <c r="K143" s="32" t="str">
        <f>VLOOKUP(C143,ANTIGÜEDAD!A:BE,57,FALSE)</f>
        <v>12:00</v>
      </c>
      <c r="L143" s="19" t="str">
        <f>VLOOKUP(C143,ANTIGÜEDAD!A:BE,20,FALSE)</f>
        <v>Semanal</v>
      </c>
      <c r="M143" s="30">
        <f>VLOOKUP(C143,ANTIGÜEDAD!A:BE,21,FALSE)</f>
        <v>3876.03</v>
      </c>
      <c r="N143" s="33" t="str">
        <f>IFERROR(VLOOKUP(C143,'Reporte de cobranza'!G:BL,34,FALSE),"")</f>
        <v>07/11/2025</v>
      </c>
      <c r="O143" s="30">
        <f>IF(AI143="Desertor sin mora",0,VLOOKUP(C143,ANTIGÜEDAD!A:BJ,44,FALSE))</f>
        <v>23256.240000000002</v>
      </c>
      <c r="P143" s="30">
        <f t="shared" si="25"/>
        <v>62016.480000000003</v>
      </c>
      <c r="Q143" s="30">
        <f t="shared" ca="1" si="21"/>
        <v>23256.240000000002</v>
      </c>
      <c r="R143" s="30">
        <f>IF(AI143="Desertor sin mora",0,VLOOKUP(C143,ANTIGÜEDAD!A:BJ,26,FALSE))</f>
        <v>19125.03</v>
      </c>
      <c r="S143" s="30">
        <f t="shared" ca="1" si="26"/>
        <v>0</v>
      </c>
      <c r="T143" s="30">
        <f>IF(V143&gt;0,IF(VLOOKUP(TEXT(C143,"000000"),Ahorros_concentrado!B:D,3,0)+F143*0.1&gt;V143,V143,VLOOKUP(TEXT(C143,"000000"),Ahorros_concentrado!B:D,3,0)+F143*0.1),0)</f>
        <v>0</v>
      </c>
      <c r="U143" s="30">
        <f t="shared" si="27"/>
        <v>0</v>
      </c>
      <c r="V143" s="30">
        <f>IF(AI143="Desertor sin mora",0,VLOOKUP(C143,'SITUACIÓN DE CARTERA'!A:AR,26,FALSE))</f>
        <v>0</v>
      </c>
      <c r="W143" s="134">
        <f>IF(AI143="Desertor sin mora",0,VLOOKUP(C143,'SITUACIÓN DE CARTERA'!A:AR,27,FALSE))/100</f>
        <v>0</v>
      </c>
      <c r="X143" s="30">
        <f>IF(V143&gt;0,VLOOKUP(C143,ANTIGÜEDAD!A:BE,26,FALSE),0)</f>
        <v>0</v>
      </c>
      <c r="Z143" s="34">
        <f>IF(AI143="Desertor sin mora",VLOOKUP(C143,ANTIGÜEDAD!A:Q,17,0)/AA143,F143/AA143)</f>
        <v>10200</v>
      </c>
      <c r="AA143" s="19">
        <f>IF(AI143="Desertor sin mora",VLOOKUP(C143,ANTIGÜEDAD!A:M,13,0),VLOOKUP(C143,'SITUACIÓN DE CARTERA'!A:AR,43,FALSE))</f>
        <v>5</v>
      </c>
      <c r="AB143" s="19">
        <f t="shared" ca="1" si="22"/>
        <v>10</v>
      </c>
      <c r="AC143" s="42">
        <f>IF(AI143="Desertor sin mora",0,(VLOOKUP(C143,'SITUACIÓN DE CARTERA'!A:AS,45,FALSE))/M143)</f>
        <v>10</v>
      </c>
      <c r="AD143" s="19">
        <f>IF(AI143="Desertor sin mora",0,VLOOKUP(C143,'Reporte de cobranza'!G:BL,35,FALSE))</f>
        <v>6</v>
      </c>
      <c r="AE143" s="19">
        <f>IF(AI143="Desertor sin mora",I143,VLOOKUP(C143,'Reporte de cobranza'!G:BL,36,FALSE))</f>
        <v>16</v>
      </c>
      <c r="AF143" s="19">
        <f>VLOOKUP(C143,ANTIGÜEDAD!A:BE,18,FALSE)</f>
        <v>0</v>
      </c>
      <c r="AG143" s="30">
        <f>IFERROR(VLOOKUP(C143,Ahorros_concentrado!B:D,3,FALSE),0)</f>
        <v>3239.699999999998</v>
      </c>
      <c r="AH143" s="43">
        <f t="shared" ca="1" si="23"/>
        <v>8.3582944404455017E-2</v>
      </c>
      <c r="AI143" s="19" t="str">
        <f>IF(VLOOKUP(C143,ANTIGÜEDAD!A:AG,33,0)="Entregado","Vigente",IF(VLOOKUP(C143,ANTIGÜEDAD!A:AG,33,0)="Liquidado","Desertor sin mora",""))</f>
        <v>Vigente</v>
      </c>
      <c r="AJ143" s="98" t="str">
        <f t="shared" si="24"/>
        <v>000002501</v>
      </c>
    </row>
    <row r="144" spans="1:36" x14ac:dyDescent="0.3">
      <c r="A144" s="19" t="str">
        <f>VLOOKUP(C144,ANTIGÜEDAD!A:BJ,4,FALSE)</f>
        <v>JUDITH PATRICIA SERRANO HERRER</v>
      </c>
      <c r="B144" s="19" t="str">
        <f>IFERROR(VLOOKUP(ANTIGÜEDAD!F143,'Parche Promotores'!A:B,2,0),ANTIGÜEDAD!F143)</f>
        <v>Cabrera Flores Viridiana</v>
      </c>
      <c r="C144" s="6" t="str">
        <f>TEXT(ANTIGÜEDAD!I143,"000000")</f>
        <v>000012</v>
      </c>
      <c r="D144" s="6" t="str">
        <f>ANTIGÜEDAD!K143</f>
        <v>ESTRELLA</v>
      </c>
      <c r="E144" s="29" t="str">
        <f>IFERROR(VLOOKUP(C144,'SITUACIÓN DE CARTERA'!A:AR,12,FALSE),VLOOKUP(C144,ANTIGÜEDAD!A:J,10,0))</f>
        <v>01</v>
      </c>
      <c r="F144" s="30">
        <f>VLOOKUP(C144,ANTIGÜEDAD!A:BE,17,FALSE)</f>
        <v>51000</v>
      </c>
      <c r="G144" s="30" t="str">
        <f>VLOOKUP(C144,ANTIGÜEDAD!A:BE,12,FALSE)</f>
        <v>MIGRADO</v>
      </c>
      <c r="H144" s="31">
        <f>VLOOKUP(C144,ANTIGÜEDAD!A:BE,14,FALSE)</f>
        <v>45888</v>
      </c>
      <c r="I144" s="19">
        <f>VLOOKUP(C144,ANTIGÜEDAD!A:BE,19,FALSE)</f>
        <v>16</v>
      </c>
      <c r="J144" s="31" t="str">
        <f>VLOOKUP(C144,ANTIGÜEDAD!A:BE,56,FALSE)</f>
        <v>Miércoles</v>
      </c>
      <c r="K144" s="32" t="str">
        <f>VLOOKUP(C144,ANTIGÜEDAD!A:BE,57,FALSE)</f>
        <v>16:00</v>
      </c>
      <c r="L144" s="19" t="str">
        <f>VLOOKUP(C144,ANTIGÜEDAD!A:BE,20,FALSE)</f>
        <v>Semanal</v>
      </c>
      <c r="M144" s="30">
        <f>VLOOKUP(C144,ANTIGÜEDAD!A:BE,21,FALSE)</f>
        <v>3882.1800000000003</v>
      </c>
      <c r="N144" s="33" t="str">
        <f>IFERROR(VLOOKUP(C144,'Reporte de cobranza'!G:BL,34,FALSE),"")</f>
        <v>05/11/2025</v>
      </c>
      <c r="O144" s="30">
        <f>IF(AI144="Desertor sin mora",0,VLOOKUP(C144,ANTIGÜEDAD!A:BJ,44,FALSE))</f>
        <v>23294.720000000001</v>
      </c>
      <c r="P144" s="30">
        <f t="shared" si="25"/>
        <v>62114.880000000005</v>
      </c>
      <c r="Q144" s="30">
        <f t="shared" ca="1" si="21"/>
        <v>23294.720000000001</v>
      </c>
      <c r="R144" s="30">
        <f>IF(AI144="Desertor sin mora",0,VLOOKUP(C144,ANTIGÜEDAD!A:BJ,26,FALSE))</f>
        <v>19126.64</v>
      </c>
      <c r="S144" s="30">
        <f t="shared" ca="1" si="26"/>
        <v>0</v>
      </c>
      <c r="T144" s="30">
        <f>IF(V144&gt;0,IF(VLOOKUP(TEXT(C144,"000000"),Ahorros_concentrado!B:D,3,0)+F144*0.1&gt;V144,V144,VLOOKUP(TEXT(C144,"000000"),Ahorros_concentrado!B:D,3,0)+F144*0.1),0)</f>
        <v>0</v>
      </c>
      <c r="U144" s="30">
        <f t="shared" si="27"/>
        <v>0</v>
      </c>
      <c r="V144" s="30">
        <f>IF(AI144="Desertor sin mora",0,VLOOKUP(C144,'SITUACIÓN DE CARTERA'!A:AR,26,FALSE))</f>
        <v>0</v>
      </c>
      <c r="W144" s="134">
        <f>IF(AI144="Desertor sin mora",0,VLOOKUP(C144,'SITUACIÓN DE CARTERA'!A:AR,27,FALSE))/100</f>
        <v>0</v>
      </c>
      <c r="X144" s="30">
        <f>IF(V144&gt;0,VLOOKUP(C144,ANTIGÜEDAD!A:BE,26,FALSE),0)</f>
        <v>0</v>
      </c>
      <c r="Z144" s="34">
        <f>IF(AI144="Desertor sin mora",VLOOKUP(C144,ANTIGÜEDAD!A:Q,17,0)/AA144,F144/AA144)</f>
        <v>10200</v>
      </c>
      <c r="AA144" s="19">
        <f>IF(AI144="Desertor sin mora",VLOOKUP(C144,ANTIGÜEDAD!A:M,13,0),VLOOKUP(C144,'SITUACIÓN DE CARTERA'!A:AR,43,FALSE))</f>
        <v>5</v>
      </c>
      <c r="AB144" s="19">
        <f t="shared" ca="1" si="22"/>
        <v>10</v>
      </c>
      <c r="AC144" s="42">
        <f>IF(AI144="Desertor sin mora",0,(VLOOKUP(C144,'SITUACIÓN DE CARTERA'!A:AS,45,FALSE))/M144)</f>
        <v>9.9995827086842954</v>
      </c>
      <c r="AD144" s="19">
        <f>IF(AI144="Desertor sin mora",0,VLOOKUP(C144,'Reporte de cobranza'!G:BL,35,FALSE))</f>
        <v>6</v>
      </c>
      <c r="AE144" s="19">
        <f>IF(AI144="Desertor sin mora",I144,VLOOKUP(C144,'Reporte de cobranza'!G:BL,36,FALSE))</f>
        <v>16</v>
      </c>
      <c r="AF144" s="19">
        <f>VLOOKUP(C144,ANTIGÜEDAD!A:BE,18,FALSE)</f>
        <v>0</v>
      </c>
      <c r="AG144" s="30">
        <f>IFERROR(VLOOKUP(C144,Ahorros_concentrado!B:D,3,FALSE),0)</f>
        <v>7511.82</v>
      </c>
      <c r="AH144" s="43">
        <f t="shared" ca="1" si="23"/>
        <v>0.19349489204519107</v>
      </c>
      <c r="AI144" s="19" t="str">
        <f>IF(VLOOKUP(C144,ANTIGÜEDAD!A:AG,33,0)="Entregado","Vigente",IF(VLOOKUP(C144,ANTIGÜEDAD!A:AG,33,0)="Liquidado","Desertor sin mora",""))</f>
        <v>Vigente</v>
      </c>
      <c r="AJ144" s="98" t="str">
        <f t="shared" si="24"/>
        <v>000001201</v>
      </c>
    </row>
    <row r="145" spans="1:36" x14ac:dyDescent="0.3">
      <c r="A145" s="19" t="str">
        <f>VLOOKUP(C145,ANTIGÜEDAD!A:BJ,4,FALSE)</f>
        <v>JUDITH PATRICIA SERRANO HERRER</v>
      </c>
      <c r="B145" s="19" t="str">
        <f>IFERROR(VLOOKUP(ANTIGÜEDAD!F144,'Parche Promotores'!A:B,2,0),ANTIGÜEDAD!F144)</f>
        <v>Becerril Aguirre Jonathan</v>
      </c>
      <c r="C145" s="6" t="str">
        <f>TEXT(ANTIGÜEDAD!I144,"000000")</f>
        <v>000105</v>
      </c>
      <c r="D145" s="6" t="str">
        <f>ANTIGÜEDAD!K144</f>
        <v>CASCADA DE LUZ</v>
      </c>
      <c r="E145" s="29" t="str">
        <f>IFERROR(VLOOKUP(C145,'SITUACIÓN DE CARTERA'!A:AR,12,FALSE),VLOOKUP(C145,ANTIGÜEDAD!A:J,10,0))</f>
        <v>01</v>
      </c>
      <c r="F145" s="30">
        <f>VLOOKUP(C145,ANTIGÜEDAD!A:BE,17,FALSE)</f>
        <v>102000</v>
      </c>
      <c r="G145" s="30" t="str">
        <f>VLOOKUP(C145,ANTIGÜEDAD!A:BE,12,FALSE)</f>
        <v>MIGRADO</v>
      </c>
      <c r="H145" s="31">
        <f>VLOOKUP(C145,ANTIGÜEDAD!A:BE,14,FALSE)</f>
        <v>45924</v>
      </c>
      <c r="I145" s="19">
        <f>VLOOKUP(C145,ANTIGÜEDAD!A:BE,19,FALSE)</f>
        <v>16</v>
      </c>
      <c r="J145" s="31" t="str">
        <f>VLOOKUP(C145,ANTIGÜEDAD!A:BE,56,FALSE)</f>
        <v>Miércoles</v>
      </c>
      <c r="K145" s="32" t="str">
        <f>VLOOKUP(C145,ANTIGÜEDAD!A:BE,57,FALSE)</f>
        <v>12:00</v>
      </c>
      <c r="L145" s="19" t="str">
        <f>VLOOKUP(C145,ANTIGÜEDAD!A:BE,20,FALSE)</f>
        <v>Semanal</v>
      </c>
      <c r="M145" s="30">
        <f>VLOOKUP(C145,ANTIGÜEDAD!A:BE,21,FALSE)</f>
        <v>7752.07</v>
      </c>
      <c r="N145" s="33" t="str">
        <f>IFERROR(VLOOKUP(C145,'Reporte de cobranza'!G:BL,34,FALSE),"")</f>
        <v>05/11/2025</v>
      </c>
      <c r="O145" s="30">
        <f>IF(AI145="Desertor sin mora",0,VLOOKUP(C145,ANTIGÜEDAD!A:BJ,44,FALSE))</f>
        <v>85263.09</v>
      </c>
      <c r="P145" s="30">
        <f t="shared" ref="P145:P146" si="28">M145*16</f>
        <v>124033.12</v>
      </c>
      <c r="Q145" s="30">
        <f t="shared" ca="1" si="21"/>
        <v>85272.76999999999</v>
      </c>
      <c r="R145" s="30">
        <f>IF(AI145="Desertor sin mora",0,VLOOKUP(C145,ANTIGÜEDAD!A:BJ,26,FALSE))</f>
        <v>70125</v>
      </c>
      <c r="S145" s="30">
        <f t="shared" ca="1" si="26"/>
        <v>-9.6799999999930151</v>
      </c>
      <c r="T145" s="30">
        <f>IF(V145&gt;0,IF(VLOOKUP(TEXT(C145,"000000"),Ahorros_concentrado!B:D,3,0)+F145*0.1&gt;V145,V145,VLOOKUP(TEXT(C145,"000000"),Ahorros_concentrado!B:D,3,0)+F145*0.1),0)</f>
        <v>0</v>
      </c>
      <c r="U145" s="30">
        <f t="shared" si="27"/>
        <v>0</v>
      </c>
      <c r="V145" s="30">
        <f>IF(AI145="Desertor sin mora",0,VLOOKUP(C145,'SITUACIÓN DE CARTERA'!A:AR,26,FALSE))</f>
        <v>0</v>
      </c>
      <c r="W145" s="134">
        <f>IF(AI145="Desertor sin mora",0,VLOOKUP(C145,'SITUACIÓN DE CARTERA'!A:AR,27,FALSE))/100</f>
        <v>0</v>
      </c>
      <c r="X145" s="30">
        <f>IF(V145&gt;0,VLOOKUP(C145,ANTIGÜEDAD!A:BE,26,FALSE),0)</f>
        <v>0</v>
      </c>
      <c r="Z145" s="34">
        <f>IF(AI145="Desertor sin mora",VLOOKUP(C145,ANTIGÜEDAD!A:Q,17,0)/AA145,F145/AA145)</f>
        <v>17000</v>
      </c>
      <c r="AA145" s="19">
        <f>IF(AI145="Desertor sin mora",VLOOKUP(C145,ANTIGÜEDAD!A:M,13,0),VLOOKUP(C145,'SITUACIÓN DE CARTERA'!A:AR,43,FALSE))</f>
        <v>6</v>
      </c>
      <c r="AB145" s="19">
        <f t="shared" ca="1" si="22"/>
        <v>5</v>
      </c>
      <c r="AC145" s="42">
        <f>IF(AI145="Desertor sin mora",0,(VLOOKUP(C145,'SITUACIÓN DE CARTERA'!A:AS,45,FALSE))/M145)</f>
        <v>5.0012448288005658</v>
      </c>
      <c r="AD145" s="19">
        <f>IF(AI145="Desertor sin mora",0,VLOOKUP(C145,'Reporte de cobranza'!G:BL,35,FALSE))</f>
        <v>11</v>
      </c>
      <c r="AE145" s="19">
        <f>IF(AI145="Desertor sin mora",I145,VLOOKUP(C145,'Reporte de cobranza'!G:BL,36,FALSE))</f>
        <v>16</v>
      </c>
      <c r="AF145" s="19">
        <f>VLOOKUP(C145,ANTIGÜEDAD!A:BE,18,FALSE)</f>
        <v>0</v>
      </c>
      <c r="AG145" s="30">
        <f>IFERROR(VLOOKUP(C145,Ahorros_concentrado!B:D,3,FALSE),0)</f>
        <v>2670</v>
      </c>
      <c r="AH145" s="43">
        <f t="shared" ca="1" si="23"/>
        <v>6.8884826891398049E-2</v>
      </c>
      <c r="AI145" s="19" t="str">
        <f>IF(VLOOKUP(C145,ANTIGÜEDAD!A:AG,33,0)="Entregado","Vigente",IF(VLOOKUP(C145,ANTIGÜEDAD!A:AG,33,0)="Liquidado","Desertor sin mora",""))</f>
        <v>Vigente</v>
      </c>
      <c r="AJ145" s="98" t="str">
        <f t="shared" si="24"/>
        <v>000010501</v>
      </c>
    </row>
    <row r="146" spans="1:36" x14ac:dyDescent="0.3">
      <c r="A146" s="19" t="str">
        <f>VLOOKUP(C146,ANTIGÜEDAD!A:BJ,4,FALSE)</f>
        <v>JUDITH PATRICIA SERRANO HERRER</v>
      </c>
      <c r="B146" s="19" t="str">
        <f>IFERROR(VLOOKUP(ANTIGÜEDAD!F145,'Parche Promotores'!A:B,2,0),ANTIGÜEDAD!F145)</f>
        <v>Cabrera Flores Viridiana</v>
      </c>
      <c r="C146" s="6" t="str">
        <f>TEXT(ANTIGÜEDAD!I145,"000000")</f>
        <v>000097</v>
      </c>
      <c r="D146" s="6" t="str">
        <f>ANTIGÜEDAD!K145</f>
        <v>LAS BELLAS</v>
      </c>
      <c r="E146" s="29" t="str">
        <f>IFERROR(VLOOKUP(C146,'SITUACIÓN DE CARTERA'!A:AR,12,FALSE),VLOOKUP(C146,ANTIGÜEDAD!A:J,10,0))</f>
        <v>01</v>
      </c>
      <c r="F146" s="30">
        <f>VLOOKUP(C146,ANTIGÜEDAD!A:BE,17,FALSE)</f>
        <v>51000</v>
      </c>
      <c r="G146" s="30" t="str">
        <f>VLOOKUP(C146,ANTIGÜEDAD!A:BE,12,FALSE)</f>
        <v>MIGRADO</v>
      </c>
      <c r="H146" s="31">
        <f>VLOOKUP(C146,ANTIGÜEDAD!A:BE,14,FALSE)</f>
        <v>45929</v>
      </c>
      <c r="I146" s="19">
        <f>VLOOKUP(C146,ANTIGÜEDAD!A:BE,19,FALSE)</f>
        <v>16</v>
      </c>
      <c r="J146" s="31" t="str">
        <f>VLOOKUP(C146,ANTIGÜEDAD!A:BE,56,FALSE)</f>
        <v>Lunes</v>
      </c>
      <c r="K146" s="32" t="str">
        <f>VLOOKUP(C146,ANTIGÜEDAD!A:BE,57,FALSE)</f>
        <v>11:00</v>
      </c>
      <c r="L146" s="19" t="str">
        <f>VLOOKUP(C146,ANTIGÜEDAD!A:BE,20,FALSE)</f>
        <v>Semanal</v>
      </c>
      <c r="M146" s="30">
        <f>VLOOKUP(C146,ANTIGÜEDAD!A:BE,21,FALSE)</f>
        <v>3876.03</v>
      </c>
      <c r="N146" s="33" t="str">
        <f>IFERROR(VLOOKUP(C146,'Reporte de cobranza'!G:BL,34,FALSE),"")</f>
        <v>03/11/2025</v>
      </c>
      <c r="O146" s="30">
        <f>IF(AI146="Desertor sin mora",0,VLOOKUP(C146,ANTIGÜEDAD!A:BJ,44,FALSE))</f>
        <v>42640.54</v>
      </c>
      <c r="P146" s="30">
        <f t="shared" si="28"/>
        <v>62016.480000000003</v>
      </c>
      <c r="Q146" s="30">
        <f t="shared" ca="1" si="21"/>
        <v>46512.36</v>
      </c>
      <c r="R146" s="30">
        <f>IF(AI146="Desertor sin mora",0,VLOOKUP(C146,ANTIGÜEDAD!A:BJ,26,FALSE))</f>
        <v>35066.67</v>
      </c>
      <c r="S146" s="30">
        <f t="shared" ca="1" si="26"/>
        <v>-3871.8199999999997</v>
      </c>
      <c r="T146" s="30">
        <f>IF(V146&gt;0,IF(VLOOKUP(TEXT(C146,"000000"),Ahorros_concentrado!B:D,3,0)+F146*0.1&gt;V146,V146,VLOOKUP(TEXT(C146,"000000"),Ahorros_concentrado!B:D,3,0)+F146*0.1),0)</f>
        <v>0</v>
      </c>
      <c r="U146" s="30">
        <f t="shared" si="27"/>
        <v>0</v>
      </c>
      <c r="V146" s="30">
        <f>IF(AI146="Desertor sin mora",0,VLOOKUP(C146,'SITUACIÓN DE CARTERA'!A:AR,26,FALSE))</f>
        <v>0</v>
      </c>
      <c r="W146" s="134">
        <f>IF(AI146="Desertor sin mora",0,VLOOKUP(C146,'SITUACIÓN DE CARTERA'!A:AR,27,FALSE))/100</f>
        <v>0</v>
      </c>
      <c r="X146" s="30">
        <f>IF(V146&gt;0,VLOOKUP(C146,ANTIGÜEDAD!A:BE,26,FALSE),0)</f>
        <v>0</v>
      </c>
      <c r="Z146" s="34">
        <f>IF(AI146="Desertor sin mora",VLOOKUP(C146,ANTIGÜEDAD!A:Q,17,0)/AA146,F146/AA146)</f>
        <v>10200</v>
      </c>
      <c r="AA146" s="19">
        <f>IF(AI146="Desertor sin mora",VLOOKUP(C146,ANTIGÜEDAD!A:M,13,0),VLOOKUP(C146,'SITUACIÓN DE CARTERA'!A:AR,43,FALSE))</f>
        <v>5</v>
      </c>
      <c r="AB146" s="19">
        <f t="shared" ca="1" si="22"/>
        <v>4</v>
      </c>
      <c r="AC146" s="42">
        <f>IF(AI146="Desertor sin mora",0,(VLOOKUP(C146,'SITUACIÓN DE CARTERA'!A:AS,45,FALSE))/M146)</f>
        <v>4.9989293168525526</v>
      </c>
      <c r="AD146" s="19">
        <f>IF(AI146="Desertor sin mora",0,VLOOKUP(C146,'Reporte de cobranza'!G:BL,35,FALSE))</f>
        <v>12</v>
      </c>
      <c r="AE146" s="19">
        <f>IF(AI146="Desertor sin mora",I146,VLOOKUP(C146,'Reporte de cobranza'!G:BL,36,FALSE))</f>
        <v>16</v>
      </c>
      <c r="AF146" s="19">
        <f>VLOOKUP(C146,ANTIGÜEDAD!A:BE,18,FALSE)</f>
        <v>0</v>
      </c>
      <c r="AG146" s="30">
        <f>IFERROR(VLOOKUP(C146,Ahorros_concentrado!B:D,3,FALSE),0)</f>
        <v>1949</v>
      </c>
      <c r="AH146" s="43">
        <f t="shared" ca="1" si="23"/>
        <v>0.12570852134787397</v>
      </c>
      <c r="AI146" s="19" t="str">
        <f>IF(VLOOKUP(C146,ANTIGÜEDAD!A:AG,33,0)="Entregado","Vigente",IF(VLOOKUP(C146,ANTIGÜEDAD!A:AG,33,0)="Liquidado","Desertor sin mora",""))</f>
        <v>Vigente</v>
      </c>
      <c r="AJ146" s="98" t="str">
        <f t="shared" si="24"/>
        <v>000009701</v>
      </c>
    </row>
    <row r="147" spans="1:36" x14ac:dyDescent="0.3">
      <c r="A147" s="19" t="str">
        <f>VLOOKUP(C147,ANTIGÜEDAD!A:BJ,4,FALSE)</f>
        <v>JUAN EDMUNDO LUNA AGUILLON</v>
      </c>
      <c r="B147" s="19" t="str">
        <f>IFERROR(VLOOKUP(ANTIGÜEDAD!F146,'Parche Promotores'!A:B,2,0),ANTIGÜEDAD!F146)</f>
        <v>Martinez Bañuelos Nallely Sarahi</v>
      </c>
      <c r="C147" s="6" t="str">
        <f>TEXT(ANTIGÜEDAD!I146,"000000")</f>
        <v>000150</v>
      </c>
      <c r="D147" s="6" t="str">
        <f>ANTIGÜEDAD!K146</f>
        <v>ESTRELLITAS</v>
      </c>
      <c r="E147" s="29" t="str">
        <f>IFERROR(VLOOKUP(C147,'SITUACIÓN DE CARTERA'!A:AR,12,FALSE),VLOOKUP(C147,ANTIGÜEDAD!A:J,10,0))</f>
        <v>01</v>
      </c>
      <c r="F147" s="30">
        <f>VLOOKUP(C147,ANTIGÜEDAD!A:BE,17,FALSE)</f>
        <v>150000</v>
      </c>
      <c r="G147" s="30" t="str">
        <f>VLOOKUP(C147,ANTIGÜEDAD!A:BE,12,FALSE)</f>
        <v>MIGRADO</v>
      </c>
      <c r="H147" s="31">
        <f>VLOOKUP(C147,ANTIGÜEDAD!A:BE,14,FALSE)</f>
        <v>45944</v>
      </c>
      <c r="I147" s="19">
        <f>VLOOKUP(C147,ANTIGÜEDAD!A:BE,19,FALSE)</f>
        <v>16</v>
      </c>
      <c r="J147" s="31" t="str">
        <f>VLOOKUP(C147,ANTIGÜEDAD!A:BE,56,FALSE)</f>
        <v>Martes</v>
      </c>
      <c r="K147" s="32" t="str">
        <f>VLOOKUP(C147,ANTIGÜEDAD!A:BE,57,FALSE)</f>
        <v>13:00</v>
      </c>
      <c r="L147" s="19" t="str">
        <f>VLOOKUP(C147,ANTIGÜEDAD!A:BE,20,FALSE)</f>
        <v>Semanal</v>
      </c>
      <c r="M147" s="30">
        <f>VLOOKUP(C147,ANTIGÜEDAD!A:BE,21,FALSE)</f>
        <v>11400.1</v>
      </c>
      <c r="N147" s="33" t="str">
        <f>IFERROR(VLOOKUP(C147,'Reporte de cobranza'!G:BL,34,FALSE),"")</f>
        <v>04/11/2025</v>
      </c>
      <c r="O147" s="30">
        <f>IF(AI147="Desertor sin mora",0,VLOOKUP(C147,ANTIGÜEDAD!A:BJ,44,FALSE))</f>
        <v>159601.4</v>
      </c>
      <c r="P147" s="30">
        <f t="shared" ref="P147" si="29">M147*16</f>
        <v>182401.6</v>
      </c>
      <c r="Q147" s="30">
        <f t="shared" ca="1" si="21"/>
        <v>159601.4</v>
      </c>
      <c r="R147" s="30">
        <f>IF(AI147="Desertor sin mora",0,VLOOKUP(C147,ANTIGÜEDAD!A:BJ,26,FALSE))</f>
        <v>131250</v>
      </c>
      <c r="S147" s="30">
        <f t="shared" ca="1" si="26"/>
        <v>0</v>
      </c>
      <c r="T147" s="30">
        <f>IF(V147&gt;0,IF(VLOOKUP(TEXT(C147,"000000"),Ahorros_concentrado!B:D,3,0)+F147*0.1&gt;V147,V147,VLOOKUP(TEXT(C147,"000000"),Ahorros_concentrado!B:D,3,0)+F147*0.1),0)</f>
        <v>0</v>
      </c>
      <c r="U147" s="30">
        <f t="shared" si="27"/>
        <v>0</v>
      </c>
      <c r="V147" s="30">
        <f>IF(AI147="Desertor sin mora",0,VLOOKUP(C147,'SITUACIÓN DE CARTERA'!A:AR,26,FALSE))</f>
        <v>0</v>
      </c>
      <c r="W147" s="134">
        <f>IF(AI147="Desertor sin mora",0,VLOOKUP(C147,'SITUACIÓN DE CARTERA'!A:AR,27,FALSE))/100</f>
        <v>0</v>
      </c>
      <c r="X147" s="30">
        <f>IF(V147&gt;0,VLOOKUP(C147,ANTIGÜEDAD!A:BE,26,FALSE),0)</f>
        <v>0</v>
      </c>
      <c r="Z147" s="34">
        <f>IF(AI147="Desertor sin mora",VLOOKUP(C147,ANTIGÜEDAD!A:Q,17,0)/AA147,F147/AA147)</f>
        <v>25000</v>
      </c>
      <c r="AA147" s="19">
        <f>IF(AI147="Desertor sin mora",VLOOKUP(C147,ANTIGÜEDAD!A:M,13,0),VLOOKUP(C147,'SITUACIÓN DE CARTERA'!A:AR,43,FALSE))</f>
        <v>6</v>
      </c>
      <c r="AB147" s="19">
        <f t="shared" ca="1" si="22"/>
        <v>2</v>
      </c>
      <c r="AC147" s="42">
        <f>IF(AI147="Desertor sin mora",0,(VLOOKUP(C147,'SITUACIÓN DE CARTERA'!A:AS,45,FALSE))/M147)</f>
        <v>2</v>
      </c>
      <c r="AD147" s="19">
        <f>IF(AI147="Desertor sin mora",0,VLOOKUP(C147,'Reporte de cobranza'!G:BL,35,FALSE))</f>
        <v>14</v>
      </c>
      <c r="AE147" s="19">
        <f>IF(AI147="Desertor sin mora",I147,VLOOKUP(C147,'Reporte de cobranza'!G:BL,36,FALSE))</f>
        <v>16</v>
      </c>
      <c r="AF147" s="19">
        <f>VLOOKUP(C147,ANTIGÜEDAD!A:BE,18,FALSE)</f>
        <v>0</v>
      </c>
      <c r="AG147" s="30">
        <f>IFERROR(VLOOKUP(C147,Ahorros_concentrado!B:D,3,FALSE),0)</f>
        <v>1643.7999999999993</v>
      </c>
      <c r="AH147" s="43">
        <f t="shared" ca="1" si="23"/>
        <v>7.209585880825603E-2</v>
      </c>
      <c r="AI147" s="19" t="str">
        <f>IF(VLOOKUP(C147,ANTIGÜEDAD!A:AG,33,0)="Entregado","Vigente",IF(VLOOKUP(C147,ANTIGÜEDAD!A:AG,33,0)="Liquidado","Desertor sin mora",""))</f>
        <v>Vigente</v>
      </c>
      <c r="AJ147" s="98" t="str">
        <f t="shared" si="24"/>
        <v>000015001</v>
      </c>
    </row>
    <row r="148" spans="1:36" x14ac:dyDescent="0.3">
      <c r="A148" s="19" t="str">
        <f>VLOOKUP(C148,ANTIGÜEDAD!A:BJ,4,FALSE)</f>
        <v>JUDITH PATRICIA SERRANO HERRER</v>
      </c>
      <c r="B148" s="19" t="str">
        <f>IFERROR(VLOOKUP(ANTIGÜEDAD!F147,'Parche Promotores'!A:B,2,0),ANTIGÜEDAD!F147)</f>
        <v>ORTEGA FORTANEL GABRIELA</v>
      </c>
      <c r="C148" s="6" t="str">
        <f>TEXT(ANTIGÜEDAD!I147,"000000")</f>
        <v>000147</v>
      </c>
      <c r="D148" s="6" t="str">
        <f>ANTIGÜEDAD!K147</f>
        <v>CHERRY</v>
      </c>
      <c r="E148" s="29" t="str">
        <f>IFERROR(VLOOKUP(C148,'SITUACIÓN DE CARTERA'!A:AR,12,FALSE),VLOOKUP(C148,ANTIGÜEDAD!A:J,10,0))</f>
        <v>01</v>
      </c>
      <c r="F148" s="30">
        <f>VLOOKUP(C148,ANTIGÜEDAD!A:BE,17,FALSE)</f>
        <v>52000</v>
      </c>
      <c r="G148" s="30" t="str">
        <f>VLOOKUP(C148,ANTIGÜEDAD!A:BE,12,FALSE)</f>
        <v>MIGRADO</v>
      </c>
      <c r="H148" s="31">
        <f>VLOOKUP(C148,ANTIGÜEDAD!A:BE,14,FALSE)</f>
        <v>45943</v>
      </c>
      <c r="I148" s="19">
        <f>VLOOKUP(C148,ANTIGÜEDAD!A:BE,19,FALSE)</f>
        <v>16</v>
      </c>
      <c r="J148" s="31" t="str">
        <f>VLOOKUP(C148,ANTIGÜEDAD!A:BE,56,FALSE)</f>
        <v>Lunes</v>
      </c>
      <c r="K148" s="32" t="str">
        <f>VLOOKUP(C148,ANTIGÜEDAD!A:BE,57,FALSE)</f>
        <v>11:00</v>
      </c>
      <c r="L148" s="19" t="str">
        <f>VLOOKUP(C148,ANTIGÜEDAD!A:BE,20,FALSE)</f>
        <v>Semanal</v>
      </c>
      <c r="M148" s="30">
        <f>VLOOKUP(C148,ANTIGÜEDAD!A:BE,21,FALSE)</f>
        <v>3952.03</v>
      </c>
      <c r="N148" s="33" t="str">
        <f>IFERROR(VLOOKUP(C148,'Reporte de cobranza'!G:BL,34,FALSE),"")</f>
        <v>03/11/2025</v>
      </c>
      <c r="O148" s="30">
        <f>IF(AI148="Desertor sin mora",0,VLOOKUP(C148,ANTIGÜEDAD!A:BJ,44,FALSE))</f>
        <v>55328.55</v>
      </c>
      <c r="P148" s="30">
        <f t="shared" ref="P148" si="30">M148*16</f>
        <v>63232.480000000003</v>
      </c>
      <c r="Q148" s="30">
        <f t="shared" ca="1" si="21"/>
        <v>55328.55</v>
      </c>
      <c r="R148" s="30">
        <f>IF(AI148="Desertor sin mora",0,VLOOKUP(C148,ANTIGÜEDAD!A:BJ,26,FALSE))</f>
        <v>45500.05</v>
      </c>
      <c r="S148" s="30">
        <f t="shared" ca="1" si="26"/>
        <v>0</v>
      </c>
      <c r="T148" s="30">
        <f>IF(V148&gt;0,IF(VLOOKUP(TEXT(C148,"000000"),Ahorros_concentrado!B:D,3,0)+F148*0.1&gt;V148,V148,VLOOKUP(TEXT(C148,"000000"),Ahorros_concentrado!B:D,3,0)+F148*0.1),0)</f>
        <v>0</v>
      </c>
      <c r="U148" s="30">
        <f t="shared" si="27"/>
        <v>0</v>
      </c>
      <c r="V148" s="30">
        <f>IF(AI148="Desertor sin mora",0,VLOOKUP(C148,'SITUACIÓN DE CARTERA'!A:AR,26,FALSE))</f>
        <v>0</v>
      </c>
      <c r="W148" s="134">
        <f>IF(AI148="Desertor sin mora",0,VLOOKUP(C148,'SITUACIÓN DE CARTERA'!A:AR,27,FALSE))/100</f>
        <v>0</v>
      </c>
      <c r="X148" s="30">
        <f>IF(V148&gt;0,VLOOKUP(C148,ANTIGÜEDAD!A:BE,26,FALSE),0)</f>
        <v>0</v>
      </c>
      <c r="Z148" s="34">
        <f>IF(AI148="Desertor sin mora",VLOOKUP(C148,ANTIGÜEDAD!A:Q,17,0)/AA148,F148/AA148)</f>
        <v>10400</v>
      </c>
      <c r="AA148" s="19">
        <f>IF(AI148="Desertor sin mora",VLOOKUP(C148,ANTIGÜEDAD!A:M,13,0),VLOOKUP(C148,'SITUACIÓN DE CARTERA'!A:AR,43,FALSE))</f>
        <v>5</v>
      </c>
      <c r="AB148" s="19">
        <f t="shared" ca="1" si="22"/>
        <v>2</v>
      </c>
      <c r="AC148" s="42">
        <f>IF(AI148="Desertor sin mora",0,(VLOOKUP(C148,'SITUACIÓN DE CARTERA'!A:AS,45,FALSE))/M148)</f>
        <v>1.9999848179290136</v>
      </c>
      <c r="AD148" s="19">
        <f>IF(AI148="Desertor sin mora",0,VLOOKUP(C148,'Reporte de cobranza'!G:BL,35,FALSE))</f>
        <v>14</v>
      </c>
      <c r="AE148" s="19">
        <f>IF(AI148="Desertor sin mora",I148,VLOOKUP(C148,'Reporte de cobranza'!G:BL,36,FALSE))</f>
        <v>16</v>
      </c>
      <c r="AF148" s="19">
        <f>VLOOKUP(C148,ANTIGÜEDAD!A:BE,18,FALSE)</f>
        <v>0</v>
      </c>
      <c r="AG148" s="30">
        <f>IFERROR(VLOOKUP(C148,Ahorros_concentrado!B:D,3,FALSE),0)</f>
        <v>480</v>
      </c>
      <c r="AH148" s="43">
        <f t="shared" ca="1" si="23"/>
        <v>6.0728283945212964E-2</v>
      </c>
      <c r="AI148" s="19" t="str">
        <f>IF(VLOOKUP(C148,ANTIGÜEDAD!A:AG,33,0)="Entregado","Vigente",IF(VLOOKUP(C148,ANTIGÜEDAD!A:AG,33,0)="Liquidado","Desertor sin mora",""))</f>
        <v>Vigente</v>
      </c>
      <c r="AJ148" s="98" t="str">
        <f t="shared" si="24"/>
        <v>000014701</v>
      </c>
    </row>
    <row r="149" spans="1:36" x14ac:dyDescent="0.3">
      <c r="A149" s="19" t="str">
        <f>VLOOKUP(C149,ANTIGÜEDAD!A:BJ,4,FALSE)</f>
        <v>JUDITH PATRICIA SERRANO HERRER</v>
      </c>
      <c r="B149" s="19" t="str">
        <f>IFERROR(VLOOKUP(ANTIGÜEDAD!F148,'Parche Promotores'!A:B,2,0),ANTIGÜEDAD!F148)</f>
        <v>Cabrera Flores Viridiana</v>
      </c>
      <c r="C149" s="6" t="str">
        <f>TEXT(ANTIGÜEDAD!I148,"000000")</f>
        <v>000085</v>
      </c>
      <c r="D149" s="6" t="str">
        <f>ANTIGÜEDAD!K148</f>
        <v>METATRON</v>
      </c>
      <c r="E149" s="29" t="str">
        <f>IFERROR(VLOOKUP(C149,'SITUACIÓN DE CARTERA'!A:AR,12,FALSE),VLOOKUP(C149,ANTIGÜEDAD!A:J,10,0))</f>
        <v>01</v>
      </c>
      <c r="F149" s="30">
        <f>VLOOKUP(C149,ANTIGÜEDAD!A:BE,17,FALSE)</f>
        <v>120000</v>
      </c>
      <c r="G149" s="30" t="str">
        <f>VLOOKUP(C149,ANTIGÜEDAD!A:BE,12,FALSE)</f>
        <v>MIGRADO</v>
      </c>
      <c r="H149" s="31">
        <f>VLOOKUP(C149,ANTIGÜEDAD!A:BE,14,FALSE)</f>
        <v>45912</v>
      </c>
      <c r="I149" s="19">
        <f>VLOOKUP(C149,ANTIGÜEDAD!A:BE,19,FALSE)</f>
        <v>16</v>
      </c>
      <c r="J149" s="31" t="str">
        <f>VLOOKUP(C149,ANTIGÜEDAD!A:BE,56,FALSE)</f>
        <v>Viernes</v>
      </c>
      <c r="K149" s="32" t="str">
        <f>VLOOKUP(C149,ANTIGÜEDAD!A:BE,57,FALSE)</f>
        <v>12:00</v>
      </c>
      <c r="L149" s="19" t="str">
        <f>VLOOKUP(C149,ANTIGÜEDAD!A:BE,20,FALSE)</f>
        <v>Semanal</v>
      </c>
      <c r="M149" s="30">
        <f>VLOOKUP(C149,ANTIGÜEDAD!A:BE,21,FALSE)</f>
        <v>9120.08</v>
      </c>
      <c r="N149" s="33" t="str">
        <f>IFERROR(VLOOKUP(C149,'Reporte de cobranza'!G:BL,34,FALSE),"")</f>
        <v>07/11/2025</v>
      </c>
      <c r="O149" s="30">
        <f>IF(AI149="Desertor sin mora",0,VLOOKUP(C149,ANTIGÜEDAD!A:BJ,44,FALSE))</f>
        <v>82077.040000000008</v>
      </c>
      <c r="P149" s="30">
        <f t="shared" ref="P149:P154" si="31">M149*16</f>
        <v>145921.28</v>
      </c>
      <c r="Q149" s="30">
        <f t="shared" ca="1" si="21"/>
        <v>82080.72</v>
      </c>
      <c r="R149" s="30">
        <f>IF(AI149="Desertor sin mora",0,VLOOKUP(C149,ANTIGÜEDAD!A:BJ,26,FALSE))</f>
        <v>67500</v>
      </c>
      <c r="S149" s="30">
        <f t="shared" ca="1" si="26"/>
        <v>-3.6799999999930151</v>
      </c>
      <c r="T149" s="30">
        <f>IF(V149&gt;0,IF(VLOOKUP(TEXT(C149,"000000"),Ahorros_concentrado!B:D,3,0)+F149*0.1&gt;V149,V149,VLOOKUP(TEXT(C149,"000000"),Ahorros_concentrado!B:D,3,0)+F149*0.1),0)</f>
        <v>0</v>
      </c>
      <c r="U149" s="30">
        <f t="shared" si="27"/>
        <v>0</v>
      </c>
      <c r="V149" s="30">
        <f>IF(AI149="Desertor sin mora",0,VLOOKUP(C149,'SITUACIÓN DE CARTERA'!A:AR,26,FALSE))</f>
        <v>0</v>
      </c>
      <c r="W149" s="134">
        <f>IF(AI149="Desertor sin mora",0,VLOOKUP(C149,'SITUACIÓN DE CARTERA'!A:AR,27,FALSE))/100</f>
        <v>0</v>
      </c>
      <c r="X149" s="30">
        <f>IF(V149&gt;0,VLOOKUP(C149,ANTIGÜEDAD!A:BE,26,FALSE),0)</f>
        <v>0</v>
      </c>
      <c r="Z149" s="34">
        <f>IF(AI149="Desertor sin mora",VLOOKUP(C149,ANTIGÜEDAD!A:Q,17,0)/AA149,F149/AA149)</f>
        <v>24000</v>
      </c>
      <c r="AA149" s="19">
        <f>IF(AI149="Desertor sin mora",VLOOKUP(C149,ANTIGÜEDAD!A:M,13,0),VLOOKUP(C149,'SITUACIÓN DE CARTERA'!A:AR,43,FALSE))</f>
        <v>5</v>
      </c>
      <c r="AB149" s="19">
        <f t="shared" ca="1" si="22"/>
        <v>7</v>
      </c>
      <c r="AC149" s="42">
        <f>IF(AI149="Desertor sin mora",0,(VLOOKUP(C149,'SITUACIÓN DE CARTERA'!A:AS,45,FALSE))/M149)</f>
        <v>7.0004035052324101</v>
      </c>
      <c r="AD149" s="19">
        <f>IF(AI149="Desertor sin mora",0,VLOOKUP(C149,'Reporte de cobranza'!G:BL,35,FALSE))</f>
        <v>9</v>
      </c>
      <c r="AE149" s="19">
        <f>IF(AI149="Desertor sin mora",I149,VLOOKUP(C149,'Reporte de cobranza'!G:BL,36,FALSE))</f>
        <v>16</v>
      </c>
      <c r="AF149" s="19">
        <f>VLOOKUP(C149,ANTIGÜEDAD!A:BE,18,FALSE)</f>
        <v>0</v>
      </c>
      <c r="AG149" s="30">
        <f>IFERROR(VLOOKUP(C149,Ahorros_concentrado!B:D,3,FALSE),0)</f>
        <v>6379.76</v>
      </c>
      <c r="AH149" s="43">
        <f t="shared" ca="1" si="23"/>
        <v>9.9932707357203637E-2</v>
      </c>
      <c r="AI149" s="19" t="str">
        <f>IF(VLOOKUP(C149,ANTIGÜEDAD!A:AG,33,0)="Entregado","Vigente",IF(VLOOKUP(C149,ANTIGÜEDAD!A:AG,33,0)="Liquidado","Desertor sin mora",""))</f>
        <v>Vigente</v>
      </c>
      <c r="AJ149" s="98" t="str">
        <f t="shared" si="24"/>
        <v>000008501</v>
      </c>
    </row>
    <row r="150" spans="1:36" x14ac:dyDescent="0.3">
      <c r="A150" s="19" t="str">
        <f>VLOOKUP(C150,ANTIGÜEDAD!A:BJ,4,FALSE)</f>
        <v>JUAN EDMUNDO LUNA AGUILLON</v>
      </c>
      <c r="B150" s="19" t="str">
        <f>IFERROR(VLOOKUP(ANTIGÜEDAD!F149,'Parche Promotores'!A:B,2,0),ANTIGÜEDAD!F149)</f>
        <v>Martinez Bañuelos Nallely Sarahi</v>
      </c>
      <c r="C150" s="6" t="str">
        <f>TEXT(ANTIGÜEDAD!I149,"000000")</f>
        <v>000087</v>
      </c>
      <c r="D150" s="6" t="str">
        <f>ANTIGÜEDAD!K149</f>
        <v>NUEVO AMANECER</v>
      </c>
      <c r="E150" s="29" t="str">
        <f>IFERROR(VLOOKUP(C150,'SITUACIÓN DE CARTERA'!A:AR,12,FALSE),VLOOKUP(C150,ANTIGÜEDAD!A:J,10,0))</f>
        <v>01</v>
      </c>
      <c r="F150" s="30">
        <f>VLOOKUP(C150,ANTIGÜEDAD!A:BE,17,FALSE)</f>
        <v>155000</v>
      </c>
      <c r="G150" s="30" t="str">
        <f>VLOOKUP(C150,ANTIGÜEDAD!A:BE,12,FALSE)</f>
        <v>MIGRADO</v>
      </c>
      <c r="H150" s="31">
        <f>VLOOKUP(C150,ANTIGÜEDAD!A:BE,14,FALSE)</f>
        <v>45915</v>
      </c>
      <c r="I150" s="19">
        <f>VLOOKUP(C150,ANTIGÜEDAD!A:BE,19,FALSE)</f>
        <v>16</v>
      </c>
      <c r="J150" s="31" t="str">
        <f>VLOOKUP(C150,ANTIGÜEDAD!A:BE,56,FALSE)</f>
        <v>Lunes</v>
      </c>
      <c r="K150" s="32" t="str">
        <f>VLOOKUP(C150,ANTIGÜEDAD!A:BE,57,FALSE)</f>
        <v>12:00</v>
      </c>
      <c r="L150" s="19" t="str">
        <f>VLOOKUP(C150,ANTIGÜEDAD!A:BE,20,FALSE)</f>
        <v>Semanal</v>
      </c>
      <c r="M150" s="30">
        <f>VLOOKUP(C150,ANTIGÜEDAD!A:BE,21,FALSE)</f>
        <v>11780.1</v>
      </c>
      <c r="N150" s="33" t="str">
        <f>IFERROR(VLOOKUP(C150,'Reporte de cobranza'!G:BL,34,FALSE),"")</f>
        <v>03/11/2025</v>
      </c>
      <c r="O150" s="30">
        <f>IF(AI150="Desertor sin mora",0,VLOOKUP(C150,ANTIGÜEDAD!A:BJ,44,FALSE))</f>
        <v>117801.05</v>
      </c>
      <c r="P150" s="30">
        <f t="shared" si="31"/>
        <v>188481.6</v>
      </c>
      <c r="Q150" s="30">
        <f t="shared" ca="1" si="21"/>
        <v>117801.05</v>
      </c>
      <c r="R150" s="30">
        <f>IF(AI150="Desertor sin mora",0,VLOOKUP(C150,ANTIGÜEDAD!A:BJ,26,FALSE))</f>
        <v>96875.02</v>
      </c>
      <c r="S150" s="30">
        <f t="shared" ca="1" si="26"/>
        <v>0</v>
      </c>
      <c r="T150" s="30">
        <f>IF(V150&gt;0,IF(VLOOKUP(TEXT(C150,"000000"),Ahorros_concentrado!B:D,3,0)+F150*0.1&gt;V150,V150,VLOOKUP(TEXT(C150,"000000"),Ahorros_concentrado!B:D,3,0)+F150*0.1),0)</f>
        <v>0</v>
      </c>
      <c r="U150" s="30">
        <f t="shared" si="27"/>
        <v>0</v>
      </c>
      <c r="V150" s="30">
        <f>IF(AI150="Desertor sin mora",0,VLOOKUP(C150,'SITUACIÓN DE CARTERA'!A:AR,26,FALSE))</f>
        <v>0</v>
      </c>
      <c r="W150" s="134">
        <f>IF(AI150="Desertor sin mora",0,VLOOKUP(C150,'SITUACIÓN DE CARTERA'!A:AR,27,FALSE))/100</f>
        <v>0</v>
      </c>
      <c r="X150" s="30">
        <f>IF(V150&gt;0,VLOOKUP(C150,ANTIGÜEDAD!A:BE,26,FALSE),0)</f>
        <v>0</v>
      </c>
      <c r="Z150" s="34">
        <f>IF(AI150="Desertor sin mora",VLOOKUP(C150,ANTIGÜEDAD!A:Q,17,0)/AA150,F150/AA150)</f>
        <v>25833.333333333332</v>
      </c>
      <c r="AA150" s="19">
        <f>IF(AI150="Desertor sin mora",VLOOKUP(C150,ANTIGÜEDAD!A:M,13,0),VLOOKUP(C150,'SITUACIÓN DE CARTERA'!A:AR,43,FALSE))</f>
        <v>6</v>
      </c>
      <c r="AB150" s="19">
        <f t="shared" ca="1" si="22"/>
        <v>6</v>
      </c>
      <c r="AC150" s="42">
        <f>IF(AI150="Desertor sin mora",0,(VLOOKUP(C150,'SITUACIÓN DE CARTERA'!A:AS,45,FALSE))/M150)</f>
        <v>6</v>
      </c>
      <c r="AD150" s="19">
        <f>IF(AI150="Desertor sin mora",0,VLOOKUP(C150,'Reporte de cobranza'!G:BL,35,FALSE))</f>
        <v>10</v>
      </c>
      <c r="AE150" s="19">
        <f>IF(AI150="Desertor sin mora",I150,VLOOKUP(C150,'Reporte de cobranza'!G:BL,36,FALSE))</f>
        <v>16</v>
      </c>
      <c r="AF150" s="19">
        <f>VLOOKUP(C150,ANTIGÜEDAD!A:BE,18,FALSE)</f>
        <v>0</v>
      </c>
      <c r="AG150" s="30">
        <f>IFERROR(VLOOKUP(C150,Ahorros_concentrado!B:D,3,FALSE),0)</f>
        <v>3541.3999999999978</v>
      </c>
      <c r="AH150" s="43">
        <f t="shared" ca="1" si="23"/>
        <v>5.0104271893560572E-2</v>
      </c>
      <c r="AI150" s="19" t="str">
        <f>IF(VLOOKUP(C150,ANTIGÜEDAD!A:AG,33,0)="Entregado","Vigente",IF(VLOOKUP(C150,ANTIGÜEDAD!A:AG,33,0)="Liquidado","Desertor sin mora",""))</f>
        <v>Vigente</v>
      </c>
      <c r="AJ150" s="98" t="str">
        <f t="shared" si="24"/>
        <v>000008701</v>
      </c>
    </row>
    <row r="151" spans="1:36" x14ac:dyDescent="0.3">
      <c r="A151" s="19" t="str">
        <f>VLOOKUP(C151,ANTIGÜEDAD!A:BJ,4,FALSE)</f>
        <v>JUDITH PATRICIA SERRANO HERRER</v>
      </c>
      <c r="B151" s="19" t="str">
        <f>IFERROR(VLOOKUP(ANTIGÜEDAD!F150,'Parche Promotores'!A:B,2,0),ANTIGÜEDAD!F150)</f>
        <v>Cabrera Flores Viridiana</v>
      </c>
      <c r="C151" s="6" t="str">
        <f>TEXT(ANTIGÜEDAD!I150,"000000")</f>
        <v>000197</v>
      </c>
      <c r="D151" s="6" t="str">
        <f>ANTIGÜEDAD!K150</f>
        <v>SOL</v>
      </c>
      <c r="E151" s="29" t="str">
        <f>IFERROR(VLOOKUP(C151,'SITUACIÓN DE CARTERA'!A:AR,12,FALSE),VLOOKUP(C151,ANTIGÜEDAD!A:J,10,0))</f>
        <v>01</v>
      </c>
      <c r="F151" s="30">
        <f>VLOOKUP(C151,ANTIGÜEDAD!A:BE,17,FALSE)</f>
        <v>57000</v>
      </c>
      <c r="G151" s="30" t="str">
        <f>VLOOKUP(C151,ANTIGÜEDAD!A:BE,12,FALSE)</f>
        <v>MIGRADO</v>
      </c>
      <c r="H151" s="31">
        <f>VLOOKUP(C151,ANTIGÜEDAD!A:BE,14,FALSE)</f>
        <v>45960</v>
      </c>
      <c r="I151" s="19">
        <f>VLOOKUP(C151,ANTIGÜEDAD!A:BE,19,FALSE)</f>
        <v>16</v>
      </c>
      <c r="J151" s="31" t="str">
        <f>VLOOKUP(C151,ANTIGÜEDAD!A:BE,56,FALSE)</f>
        <v>Jueves</v>
      </c>
      <c r="K151" s="32" t="str">
        <f>VLOOKUP(C151,ANTIGÜEDAD!A:BE,57,FALSE)</f>
        <v>16:00</v>
      </c>
      <c r="L151" s="19" t="str">
        <f>VLOOKUP(C151,ANTIGÜEDAD!A:BE,20,FALSE)</f>
        <v>Semanal</v>
      </c>
      <c r="M151" s="30">
        <f>VLOOKUP(C151,ANTIGÜEDAD!A:BE,21,FALSE)</f>
        <v>4332.04</v>
      </c>
      <c r="N151" s="33" t="str">
        <f>IFERROR(VLOOKUP(C151,'Reporte de cobranza'!G:BL,34,FALSE),"")</f>
        <v>06/11/2025</v>
      </c>
      <c r="O151" s="30">
        <f>IF(AI151="Desertor sin mora",0,VLOOKUP(C151,ANTIGÜEDAD!A:BJ,44,FALSE))</f>
        <v>69312.61</v>
      </c>
      <c r="P151" s="30">
        <f t="shared" si="31"/>
        <v>69312.639999999999</v>
      </c>
      <c r="Q151" s="30">
        <f t="shared" ca="1" si="21"/>
        <v>69312.639999999999</v>
      </c>
      <c r="R151" s="30">
        <f>IF(AI151="Desertor sin mora",0,VLOOKUP(C151,ANTIGÜEDAD!A:BJ,26,FALSE))</f>
        <v>57000</v>
      </c>
      <c r="S151" s="30">
        <f t="shared" ca="1" si="26"/>
        <v>-2.9999999998835847E-2</v>
      </c>
      <c r="T151" s="30">
        <f>IF(V151&gt;0,IF(VLOOKUP(TEXT(C151,"000000"),Ahorros_concentrado!B:D,3,0)+F151*0.1&gt;V151,V151,VLOOKUP(TEXT(C151,"000000"),Ahorros_concentrado!B:D,3,0)+F151*0.1),0)</f>
        <v>0</v>
      </c>
      <c r="U151" s="30">
        <f t="shared" si="27"/>
        <v>0</v>
      </c>
      <c r="V151" s="30">
        <f>IF(AI151="Desertor sin mora",0,VLOOKUP(C151,'SITUACIÓN DE CARTERA'!A:AR,26,FALSE))</f>
        <v>0</v>
      </c>
      <c r="W151" s="134">
        <f>IF(AI151="Desertor sin mora",0,VLOOKUP(C151,'SITUACIÓN DE CARTERA'!A:AR,27,FALSE))/100</f>
        <v>0</v>
      </c>
      <c r="X151" s="30">
        <f>IF(V151&gt;0,VLOOKUP(C151,ANTIGÜEDAD!A:BE,26,FALSE),0)</f>
        <v>0</v>
      </c>
      <c r="Z151" s="34">
        <f>IF(AI151="Desertor sin mora",VLOOKUP(C151,ANTIGÜEDAD!A:Q,17,0)/AA151,F151/AA151)</f>
        <v>9500</v>
      </c>
      <c r="AA151" s="19">
        <f>IF(AI151="Desertor sin mora",VLOOKUP(C151,ANTIGÜEDAD!A:M,13,0),VLOOKUP(C151,'SITUACIÓN DE CARTERA'!A:AR,43,FALSE))</f>
        <v>6</v>
      </c>
      <c r="AB151" s="19">
        <f t="shared" ca="1" si="22"/>
        <v>0</v>
      </c>
      <c r="AC151" s="42">
        <f>IF(AI151="Desertor sin mora",0,(VLOOKUP(C151,'SITUACIÓN DE CARTERA'!A:AS,45,FALSE))/M151)</f>
        <v>0</v>
      </c>
      <c r="AD151" s="19">
        <f>IF(AI151="Desertor sin mora",0,VLOOKUP(C151,'Reporte de cobranza'!G:BL,35,FALSE))</f>
        <v>16</v>
      </c>
      <c r="AE151" s="19">
        <f>IF(AI151="Desertor sin mora",I151,VLOOKUP(C151,'Reporte de cobranza'!G:BL,36,FALSE))</f>
        <v>16</v>
      </c>
      <c r="AF151" s="19">
        <f>VLOOKUP(C151,ANTIGÜEDAD!A:BE,18,FALSE)</f>
        <v>0</v>
      </c>
      <c r="AG151" s="30">
        <f>IFERROR(VLOOKUP(C151,Ahorros_concentrado!B:D,3,FALSE),0)</f>
        <v>0</v>
      </c>
      <c r="AH151" s="43">
        <f t="shared" ca="1" si="23"/>
        <v>0</v>
      </c>
      <c r="AI151" s="19" t="str">
        <f>IF(VLOOKUP(C151,ANTIGÜEDAD!A:AG,33,0)="Entregado","Vigente",IF(VLOOKUP(C151,ANTIGÜEDAD!A:AG,33,0)="Liquidado","Desertor sin mora",""))</f>
        <v>Vigente</v>
      </c>
      <c r="AJ151" s="98" t="str">
        <f t="shared" si="24"/>
        <v>000019701</v>
      </c>
    </row>
    <row r="152" spans="1:36" x14ac:dyDescent="0.3">
      <c r="A152" s="19" t="str">
        <f>VLOOKUP(C152,ANTIGÜEDAD!A:BJ,4,FALSE)</f>
        <v>JUAN EDMUNDO LUNA AGUILLON</v>
      </c>
      <c r="B152" s="19" t="str">
        <f>IFERROR(VLOOKUP(ANTIGÜEDAD!F151,'Parche Promotores'!A:B,2,0),ANTIGÜEDAD!F151)</f>
        <v>Sanchez Posada Jose Olimpo</v>
      </c>
      <c r="C152" s="6" t="str">
        <f>TEXT(ANTIGÜEDAD!I151,"000000")</f>
        <v>000162</v>
      </c>
      <c r="D152" s="6" t="str">
        <f>ANTIGÜEDAD!K151</f>
        <v>MARAGARITAS</v>
      </c>
      <c r="E152" s="29" t="str">
        <f>IFERROR(VLOOKUP(C152,'SITUACIÓN DE CARTERA'!A:AR,12,FALSE),VLOOKUP(C152,ANTIGÜEDAD!A:J,10,0))</f>
        <v>01</v>
      </c>
      <c r="F152" s="30">
        <f>VLOOKUP(C152,ANTIGÜEDAD!A:BE,17,FALSE)</f>
        <v>107000</v>
      </c>
      <c r="G152" s="30" t="str">
        <f>VLOOKUP(C152,ANTIGÜEDAD!A:BE,12,FALSE)</f>
        <v>MIGRADO</v>
      </c>
      <c r="H152" s="31">
        <f>VLOOKUP(C152,ANTIGÜEDAD!A:BE,14,FALSE)</f>
        <v>45947</v>
      </c>
      <c r="I152" s="19">
        <f>VLOOKUP(C152,ANTIGÜEDAD!A:BE,19,FALSE)</f>
        <v>16</v>
      </c>
      <c r="J152" s="31" t="str">
        <f>VLOOKUP(C152,ANTIGÜEDAD!A:BE,56,FALSE)</f>
        <v>Viernes</v>
      </c>
      <c r="K152" s="32" t="str">
        <f>VLOOKUP(C152,ANTIGÜEDAD!A:BE,57,FALSE)</f>
        <v>10:00</v>
      </c>
      <c r="L152" s="19" t="str">
        <f>VLOOKUP(C152,ANTIGÜEDAD!A:BE,20,FALSE)</f>
        <v>Semanal</v>
      </c>
      <c r="M152" s="30">
        <f>VLOOKUP(C152,ANTIGÜEDAD!A:BE,21,FALSE)</f>
        <v>8132.0700000000006</v>
      </c>
      <c r="N152" s="33" t="str">
        <f>IFERROR(VLOOKUP(C152,'Reporte de cobranza'!G:BL,34,FALSE),"")</f>
        <v>07/11/2025</v>
      </c>
      <c r="O152" s="30">
        <f>IF(AI152="Desertor sin mora",0,VLOOKUP(C152,ANTIGÜEDAD!A:BJ,44,FALSE))</f>
        <v>113841.14</v>
      </c>
      <c r="P152" s="30">
        <f t="shared" si="31"/>
        <v>130113.12000000001</v>
      </c>
      <c r="Q152" s="30">
        <f t="shared" ca="1" si="21"/>
        <v>113848.98000000001</v>
      </c>
      <c r="R152" s="30">
        <f>IF(AI152="Desertor sin mora",0,VLOOKUP(C152,ANTIGÜEDAD!A:BJ,26,FALSE))</f>
        <v>93625</v>
      </c>
      <c r="S152" s="30">
        <f t="shared" ca="1" si="26"/>
        <v>-7.8400000000110595</v>
      </c>
      <c r="T152" s="30">
        <f>IF(V152&gt;0,IF(VLOOKUP(TEXT(C152,"000000"),Ahorros_concentrado!B:D,3,0)+F152*0.1&gt;V152,V152,VLOOKUP(TEXT(C152,"000000"),Ahorros_concentrado!B:D,3,0)+F152*0.1),0)</f>
        <v>0</v>
      </c>
      <c r="U152" s="30">
        <f t="shared" si="27"/>
        <v>0</v>
      </c>
      <c r="V152" s="30">
        <f>IF(AI152="Desertor sin mora",0,VLOOKUP(C152,'SITUACIÓN DE CARTERA'!A:AR,26,FALSE))</f>
        <v>0</v>
      </c>
      <c r="W152" s="134">
        <f>IF(AI152="Desertor sin mora",0,VLOOKUP(C152,'SITUACIÓN DE CARTERA'!A:AR,27,FALSE))/100</f>
        <v>0</v>
      </c>
      <c r="X152" s="30">
        <f>IF(V152&gt;0,VLOOKUP(C152,ANTIGÜEDAD!A:BE,26,FALSE),0)</f>
        <v>0</v>
      </c>
      <c r="Z152" s="34">
        <f>IF(AI152="Desertor sin mora",VLOOKUP(C152,ANTIGÜEDAD!A:Q,17,0)/AA152,F152/AA152)</f>
        <v>17833.333333333332</v>
      </c>
      <c r="AA152" s="19">
        <f>IF(AI152="Desertor sin mora",VLOOKUP(C152,ANTIGÜEDAD!A:M,13,0),VLOOKUP(C152,'SITUACIÓN DE CARTERA'!A:AR,43,FALSE))</f>
        <v>6</v>
      </c>
      <c r="AB152" s="19">
        <f t="shared" ca="1" si="22"/>
        <v>2</v>
      </c>
      <c r="AC152" s="42">
        <f>IF(AI152="Desertor sin mora",0,(VLOOKUP(C152,'SITUACIÓN DE CARTERA'!A:AS,45,FALSE))/M152)</f>
        <v>2.0009665435737762</v>
      </c>
      <c r="AD152" s="19">
        <f>IF(AI152="Desertor sin mora",0,VLOOKUP(C152,'Reporte de cobranza'!G:BL,35,FALSE))</f>
        <v>14</v>
      </c>
      <c r="AE152" s="19">
        <f>IF(AI152="Desertor sin mora",I152,VLOOKUP(C152,'Reporte de cobranza'!G:BL,36,FALSE))</f>
        <v>16</v>
      </c>
      <c r="AF152" s="19">
        <f>VLOOKUP(C152,ANTIGÜEDAD!A:BE,18,FALSE)</f>
        <v>0</v>
      </c>
      <c r="AG152" s="30">
        <f>IFERROR(VLOOKUP(C152,Ahorros_concentrado!B:D,3,FALSE),0)</f>
        <v>1168</v>
      </c>
      <c r="AH152" s="43">
        <f t="shared" ca="1" si="23"/>
        <v>7.1814433471428546E-2</v>
      </c>
      <c r="AI152" s="19" t="str">
        <f>IF(VLOOKUP(C152,ANTIGÜEDAD!A:AG,33,0)="Entregado","Vigente",IF(VLOOKUP(C152,ANTIGÜEDAD!A:AG,33,0)="Liquidado","Desertor sin mora",""))</f>
        <v>Vigente</v>
      </c>
      <c r="AJ152" s="98" t="str">
        <f t="shared" si="24"/>
        <v>000016201</v>
      </c>
    </row>
    <row r="153" spans="1:36" x14ac:dyDescent="0.3">
      <c r="A153" s="19" t="str">
        <f>VLOOKUP(C153,ANTIGÜEDAD!A:BJ,4,FALSE)</f>
        <v>JUAN EDMUNDO LUNA AGUILLON</v>
      </c>
      <c r="B153" s="19" t="str">
        <f>IFERROR(VLOOKUP(ANTIGÜEDAD!F152,'Parche Promotores'!A:B,2,0),ANTIGÜEDAD!F152)</f>
        <v>Sanchez Posada Jose Olimpo</v>
      </c>
      <c r="C153" s="6" t="str">
        <f>TEXT(ANTIGÜEDAD!I152,"000000")</f>
        <v>000059</v>
      </c>
      <c r="D153" s="6" t="str">
        <f>ANTIGÜEDAD!K152</f>
        <v>GABANNA</v>
      </c>
      <c r="E153" s="29" t="str">
        <f>IFERROR(VLOOKUP(C153,'SITUACIÓN DE CARTERA'!A:AR,12,FALSE),VLOOKUP(C153,ANTIGÜEDAD!A:J,10,0))</f>
        <v>01</v>
      </c>
      <c r="F153" s="30">
        <f>VLOOKUP(C153,ANTIGÜEDAD!A:BE,17,FALSE)</f>
        <v>114000</v>
      </c>
      <c r="G153" s="30" t="str">
        <f>VLOOKUP(C153,ANTIGÜEDAD!A:BE,12,FALSE)</f>
        <v>MIGRADO</v>
      </c>
      <c r="H153" s="31">
        <f>VLOOKUP(C153,ANTIGÜEDAD!A:BE,14,FALSE)</f>
        <v>45904</v>
      </c>
      <c r="I153" s="19">
        <f>VLOOKUP(C153,ANTIGÜEDAD!A:BE,19,FALSE)</f>
        <v>16</v>
      </c>
      <c r="J153" s="31" t="str">
        <f>VLOOKUP(C153,ANTIGÜEDAD!A:BE,56,FALSE)</f>
        <v>Jueves</v>
      </c>
      <c r="K153" s="32" t="str">
        <f>VLOOKUP(C153,ANTIGÜEDAD!A:BE,57,FALSE)</f>
        <v>16:00</v>
      </c>
      <c r="L153" s="19" t="str">
        <f>VLOOKUP(C153,ANTIGÜEDAD!A:BE,20,FALSE)</f>
        <v>Semanal</v>
      </c>
      <c r="M153" s="30">
        <f>VLOOKUP(C153,ANTIGÜEDAD!A:BE,21,FALSE)</f>
        <v>8664.08</v>
      </c>
      <c r="N153" s="33" t="str">
        <f>IFERROR(VLOOKUP(C153,'Reporte de cobranza'!G:BL,34,FALSE),"")</f>
        <v>06/11/2025</v>
      </c>
      <c r="O153" s="30">
        <f>IF(AI153="Desertor sin mora",0,VLOOKUP(C153,ANTIGÜEDAD!A:BJ,44,FALSE))</f>
        <v>77976.66</v>
      </c>
      <c r="P153" s="30">
        <f t="shared" si="31"/>
        <v>138625.28</v>
      </c>
      <c r="Q153" s="30">
        <f t="shared" ca="1" si="21"/>
        <v>77976.66</v>
      </c>
      <c r="R153" s="30">
        <f>IF(AI153="Desertor sin mora",0,VLOOKUP(C153,ANTIGÜEDAD!A:BJ,26,FALSE))</f>
        <v>64125</v>
      </c>
      <c r="S153" s="30">
        <f t="shared" ca="1" si="26"/>
        <v>0</v>
      </c>
      <c r="T153" s="30">
        <f>IF(V153&gt;0,IF(VLOOKUP(TEXT(C153,"000000"),Ahorros_concentrado!B:D,3,0)+F153*0.1&gt;V153,V153,VLOOKUP(TEXT(C153,"000000"),Ahorros_concentrado!B:D,3,0)+F153*0.1),0)</f>
        <v>7125</v>
      </c>
      <c r="U153" s="30">
        <f t="shared" si="27"/>
        <v>0</v>
      </c>
      <c r="V153" s="30">
        <f>IF(AI153="Desertor sin mora",0,VLOOKUP(C153,'SITUACIÓN DE CARTERA'!A:AR,26,FALSE))</f>
        <v>7125</v>
      </c>
      <c r="W153" s="134">
        <f>IF(AI153="Desertor sin mora",0,VLOOKUP(C153,'SITUACIÓN DE CARTERA'!A:AR,27,FALSE))/100</f>
        <v>0.1111111111111111</v>
      </c>
      <c r="X153" s="30">
        <f>IF(V153&gt;0,VLOOKUP(C153,ANTIGÜEDAD!A:BE,26,FALSE),0)</f>
        <v>64125</v>
      </c>
      <c r="Z153" s="34">
        <f>IF(AI153="Desertor sin mora",VLOOKUP(C153,ANTIGÜEDAD!A:Q,17,0)/AA153,F153/AA153)</f>
        <v>16285.714285714286</v>
      </c>
      <c r="AA153" s="19">
        <f>IF(AI153="Desertor sin mora",VLOOKUP(C153,ANTIGÜEDAD!A:M,13,0),VLOOKUP(C153,'SITUACIÓN DE CARTERA'!A:AR,43,FALSE))</f>
        <v>7</v>
      </c>
      <c r="AB153" s="19">
        <f t="shared" ca="1" si="22"/>
        <v>8</v>
      </c>
      <c r="AC153" s="42">
        <f>IF(AI153="Desertor sin mora",0,(VLOOKUP(C153,'SITUACIÓN DE CARTERA'!A:AS,45,FALSE))/M153)</f>
        <v>7</v>
      </c>
      <c r="AD153" s="19">
        <f>IF(AI153="Desertor sin mora",0,VLOOKUP(C153,'Reporte de cobranza'!G:BL,35,FALSE))</f>
        <v>8</v>
      </c>
      <c r="AE153" s="19">
        <f>IF(AI153="Desertor sin mora",I153,VLOOKUP(C153,'Reporte de cobranza'!G:BL,36,FALSE))</f>
        <v>16</v>
      </c>
      <c r="AF153" s="19">
        <f>VLOOKUP(C153,ANTIGÜEDAD!A:BE,18,FALSE)</f>
        <v>1</v>
      </c>
      <c r="AG153" s="30">
        <f>IFERROR(VLOOKUP(C153,Ahorros_concentrado!B:D,3,FALSE),0)</f>
        <v>4788.4400000000005</v>
      </c>
      <c r="AH153" s="43">
        <f t="shared" ca="1" si="23"/>
        <v>6.9084657574722305E-2</v>
      </c>
      <c r="AI153" s="19" t="str">
        <f>IF(VLOOKUP(C153,ANTIGÜEDAD!A:AG,33,0)="Entregado","Vigente",IF(VLOOKUP(C153,ANTIGÜEDAD!A:AG,33,0)="Liquidado","Desertor sin mora",""))</f>
        <v>Vigente</v>
      </c>
      <c r="AJ153" s="98" t="str">
        <f t="shared" si="24"/>
        <v>000005901</v>
      </c>
    </row>
    <row r="154" spans="1:36" x14ac:dyDescent="0.3">
      <c r="A154" s="19" t="str">
        <f>VLOOKUP(C154,ANTIGÜEDAD!A:BJ,4,FALSE)</f>
        <v>ADRIANA ALEJALDRE GUZMAN</v>
      </c>
      <c r="B154" s="19" t="str">
        <f>IFERROR(VLOOKUP(ANTIGÜEDAD!F153,'Parche Promotores'!A:B,2,0),ANTIGÜEDAD!F153)</f>
        <v>Lopez Cabrera Edith Alejandra</v>
      </c>
      <c r="C154" s="6" t="str">
        <f>TEXT(ANTIGÜEDAD!I153,"000000")</f>
        <v>000063</v>
      </c>
      <c r="D154" s="6" t="str">
        <f>ANTIGÜEDAD!K153</f>
        <v>FATY</v>
      </c>
      <c r="E154" s="29" t="str">
        <f>IFERROR(VLOOKUP(C154,'SITUACIÓN DE CARTERA'!A:AR,12,FALSE),VLOOKUP(C154,ANTIGÜEDAD!A:J,10,0))</f>
        <v>01</v>
      </c>
      <c r="F154" s="30">
        <f>VLOOKUP(C154,ANTIGÜEDAD!A:BE,17,FALSE)</f>
        <v>85000</v>
      </c>
      <c r="G154" s="30" t="str">
        <f>VLOOKUP(C154,ANTIGÜEDAD!A:BE,12,FALSE)</f>
        <v>MIGRADO</v>
      </c>
      <c r="H154" s="31">
        <f>VLOOKUP(C154,ANTIGÜEDAD!A:BE,14,FALSE)</f>
        <v>45905</v>
      </c>
      <c r="I154" s="19">
        <f>VLOOKUP(C154,ANTIGÜEDAD!A:BE,19,FALSE)</f>
        <v>16</v>
      </c>
      <c r="J154" s="31" t="str">
        <f>VLOOKUP(C154,ANTIGÜEDAD!A:BE,56,FALSE)</f>
        <v>Viernes</v>
      </c>
      <c r="K154" s="32" t="str">
        <f>VLOOKUP(C154,ANTIGÜEDAD!A:BE,57,FALSE)</f>
        <v>11:00</v>
      </c>
      <c r="L154" s="19" t="str">
        <f>VLOOKUP(C154,ANTIGÜEDAD!A:BE,20,FALSE)</f>
        <v>Semanal</v>
      </c>
      <c r="M154" s="30">
        <f>VLOOKUP(C154,ANTIGÜEDAD!A:BE,21,FALSE)</f>
        <v>6460.06</v>
      </c>
      <c r="N154" s="33" t="str">
        <f>IFERROR(VLOOKUP(C154,'Reporte de cobranza'!G:BL,34,FALSE),"")</f>
        <v>07/11/2025</v>
      </c>
      <c r="O154" s="30">
        <f>IF(AI154="Desertor sin mora",0,VLOOKUP(C154,ANTIGÜEDAD!A:BJ,44,FALSE))</f>
        <v>51640.91</v>
      </c>
      <c r="P154" s="30">
        <f t="shared" si="31"/>
        <v>103360.96000000001</v>
      </c>
      <c r="Q154" s="30">
        <f t="shared" ca="1" si="21"/>
        <v>51680.480000000003</v>
      </c>
      <c r="R154" s="30">
        <f>IF(AI154="Desertor sin mora",0,VLOOKUP(C154,ANTIGÜEDAD!A:BJ,26,FALSE))</f>
        <v>42500</v>
      </c>
      <c r="S154" s="30">
        <f t="shared" ca="1" si="26"/>
        <v>-39.569999999999709</v>
      </c>
      <c r="T154" s="30">
        <f>IF(V154&gt;0,IF(VLOOKUP(TEXT(C154,"000000"),Ahorros_concentrado!B:D,3,0)+F154*0.1&gt;V154,V154,VLOOKUP(TEXT(C154,"000000"),Ahorros_concentrado!B:D,3,0)+F154*0.1),0)</f>
        <v>0</v>
      </c>
      <c r="U154" s="30">
        <f t="shared" si="27"/>
        <v>0</v>
      </c>
      <c r="V154" s="30">
        <f>IF(AI154="Desertor sin mora",0,VLOOKUP(C154,'SITUACIÓN DE CARTERA'!A:AR,26,FALSE))</f>
        <v>0</v>
      </c>
      <c r="W154" s="134">
        <f>IF(AI154="Desertor sin mora",0,VLOOKUP(C154,'SITUACIÓN DE CARTERA'!A:AR,27,FALSE))/100</f>
        <v>0</v>
      </c>
      <c r="X154" s="30">
        <f>IF(V154&gt;0,VLOOKUP(C154,ANTIGÜEDAD!A:BE,26,FALSE),0)</f>
        <v>0</v>
      </c>
      <c r="Z154" s="34">
        <f>IF(AI154="Desertor sin mora",VLOOKUP(C154,ANTIGÜEDAD!A:Q,17,0)/AA154,F154/AA154)</f>
        <v>14166.666666666666</v>
      </c>
      <c r="AA154" s="19">
        <f>IF(AI154="Desertor sin mora",VLOOKUP(C154,ANTIGÜEDAD!A:M,13,0),VLOOKUP(C154,'SITUACIÓN DE CARTERA'!A:AR,43,FALSE))</f>
        <v>6</v>
      </c>
      <c r="AB154" s="19">
        <f t="shared" ca="1" si="22"/>
        <v>8</v>
      </c>
      <c r="AC154" s="42">
        <f>IF(AI154="Desertor sin mora",0,(VLOOKUP(C154,'SITUACIÓN DE CARTERA'!A:AS,45,FALSE))/M154)</f>
        <v>8.0061175902391</v>
      </c>
      <c r="AD154" s="19">
        <f>IF(AI154="Desertor sin mora",0,VLOOKUP(C154,'Reporte de cobranza'!G:BL,35,FALSE))</f>
        <v>8</v>
      </c>
      <c r="AE154" s="19">
        <f>IF(AI154="Desertor sin mora",I154,VLOOKUP(C154,'Reporte de cobranza'!G:BL,36,FALSE))</f>
        <v>16</v>
      </c>
      <c r="AF154" s="19">
        <f>VLOOKUP(C154,ANTIGÜEDAD!A:BE,18,FALSE)</f>
        <v>0</v>
      </c>
      <c r="AG154" s="30">
        <f>IFERROR(VLOOKUP(C154,Ahorros_concentrado!B:D,3,FALSE),0)</f>
        <v>3222</v>
      </c>
      <c r="AH154" s="43">
        <f t="shared" ca="1" si="23"/>
        <v>6.2344622186171643E-2</v>
      </c>
      <c r="AI154" s="19" t="str">
        <f>IF(VLOOKUP(C154,ANTIGÜEDAD!A:AG,33,0)="Entregado","Vigente",IF(VLOOKUP(C154,ANTIGÜEDAD!A:AG,33,0)="Liquidado","Desertor sin mora",""))</f>
        <v>Vigente</v>
      </c>
      <c r="AJ154" s="98" t="str">
        <f t="shared" si="24"/>
        <v>000006301</v>
      </c>
    </row>
    <row r="155" spans="1:36" x14ac:dyDescent="0.3">
      <c r="A155" s="19" t="str">
        <f>VLOOKUP(C155,ANTIGÜEDAD!A:BJ,4,FALSE)</f>
        <v>IRVIN URIEL MORA VELAZCO</v>
      </c>
      <c r="B155" s="19" t="str">
        <f>IFERROR(VLOOKUP(ANTIGÜEDAD!F154,'Parche Promotores'!A:B,2,0),ANTIGÜEDAD!F154)</f>
        <v>Olivares Morales Josue Edgar</v>
      </c>
      <c r="C155" s="6" t="str">
        <f>TEXT(ANTIGÜEDAD!I154,"000000")</f>
        <v>000187</v>
      </c>
      <c r="D155" s="6" t="str">
        <f>ANTIGÜEDAD!K154</f>
        <v>LA ANTORCHA</v>
      </c>
      <c r="E155" s="29" t="str">
        <f>IFERROR(VLOOKUP(C155,'SITUACIÓN DE CARTERA'!A:AR,12,FALSE),VLOOKUP(C155,ANTIGÜEDAD!A:J,10,0))</f>
        <v>01</v>
      </c>
      <c r="F155" s="30">
        <f>VLOOKUP(C155,ANTIGÜEDAD!A:BE,17,FALSE)</f>
        <v>58000</v>
      </c>
      <c r="G155" s="30" t="str">
        <f>VLOOKUP(C155,ANTIGÜEDAD!A:BE,12,FALSE)</f>
        <v>MIGRADO</v>
      </c>
      <c r="H155" s="31">
        <f>VLOOKUP(C155,ANTIGÜEDAD!A:BE,14,FALSE)</f>
        <v>45957</v>
      </c>
      <c r="I155" s="19">
        <f>VLOOKUP(C155,ANTIGÜEDAD!A:BE,19,FALSE)</f>
        <v>16</v>
      </c>
      <c r="J155" s="31" t="str">
        <f>VLOOKUP(C155,ANTIGÜEDAD!A:BE,56,FALSE)</f>
        <v>Lunes</v>
      </c>
      <c r="K155" s="32" t="str">
        <f>VLOOKUP(C155,ANTIGÜEDAD!A:BE,57,FALSE)</f>
        <v>15:00</v>
      </c>
      <c r="L155" s="19" t="str">
        <f>VLOOKUP(C155,ANTIGÜEDAD!A:BE,20,FALSE)</f>
        <v>Semanal</v>
      </c>
      <c r="M155" s="30">
        <f>VLOOKUP(C155,ANTIGÜEDAD!A:BE,21,FALSE)</f>
        <v>4408.04</v>
      </c>
      <c r="N155" s="33" t="str">
        <f>IFERROR(VLOOKUP(C155,'Reporte de cobranza'!G:BL,34,FALSE),"")</f>
        <v>03/11/2025</v>
      </c>
      <c r="O155" s="30">
        <f>IF(AI155="Desertor sin mora",0,VLOOKUP(C155,ANTIGÜEDAD!A:BJ,44,FALSE))</f>
        <v>66119.62</v>
      </c>
      <c r="P155" s="30">
        <f t="shared" ref="P155:P158" si="32">M155*16</f>
        <v>70528.639999999999</v>
      </c>
      <c r="Q155" s="30">
        <f t="shared" ca="1" si="21"/>
        <v>70528.639999999999</v>
      </c>
      <c r="R155" s="30">
        <f>IF(AI155="Desertor sin mora",0,VLOOKUP(C155,ANTIGÜEDAD!A:BJ,26,FALSE))</f>
        <v>54375</v>
      </c>
      <c r="S155" s="30">
        <f t="shared" ca="1" si="26"/>
        <v>-4409.0200000000041</v>
      </c>
      <c r="T155" s="30">
        <f>IF(V155&gt;0,IF(VLOOKUP(TEXT(C155,"000000"),Ahorros_concentrado!B:D,3,0)+F155*0.1&gt;V155,V155,VLOOKUP(TEXT(C155,"000000"),Ahorros_concentrado!B:D,3,0)+F155*0.1),0)</f>
        <v>0</v>
      </c>
      <c r="U155" s="30">
        <f t="shared" si="27"/>
        <v>0</v>
      </c>
      <c r="V155" s="30">
        <f>IF(AI155="Desertor sin mora",0,VLOOKUP(C155,'SITUACIÓN DE CARTERA'!A:AR,26,FALSE))</f>
        <v>0</v>
      </c>
      <c r="W155" s="134">
        <f>IF(AI155="Desertor sin mora",0,VLOOKUP(C155,'SITUACIÓN DE CARTERA'!A:AR,27,FALSE))/100</f>
        <v>0</v>
      </c>
      <c r="X155" s="30">
        <f>IF(V155&gt;0,VLOOKUP(C155,ANTIGÜEDAD!A:BE,26,FALSE),0)</f>
        <v>0</v>
      </c>
      <c r="Z155" s="34">
        <f>IF(AI155="Desertor sin mora",VLOOKUP(C155,ANTIGÜEDAD!A:Q,17,0)/AA155,F155/AA155)</f>
        <v>9666.6666666666661</v>
      </c>
      <c r="AA155" s="19">
        <f>IF(AI155="Desertor sin mora",VLOOKUP(C155,ANTIGÜEDAD!A:M,13,0),VLOOKUP(C155,'SITUACIÓN DE CARTERA'!A:AR,43,FALSE))</f>
        <v>6</v>
      </c>
      <c r="AB155" s="19">
        <f t="shared" ca="1" si="22"/>
        <v>0</v>
      </c>
      <c r="AC155" s="42">
        <f>IF(AI155="Desertor sin mora",0,(VLOOKUP(C155,'SITUACIÓN DE CARTERA'!A:AS,45,FALSE))/M155)</f>
        <v>1.00021778386766</v>
      </c>
      <c r="AD155" s="19">
        <f>IF(AI155="Desertor sin mora",0,VLOOKUP(C155,'Reporte de cobranza'!G:BL,35,FALSE))</f>
        <v>16</v>
      </c>
      <c r="AE155" s="19">
        <f>IF(AI155="Desertor sin mora",I155,VLOOKUP(C155,'Reporte de cobranza'!G:BL,36,FALSE))</f>
        <v>16</v>
      </c>
      <c r="AF155" s="19">
        <f>VLOOKUP(C155,ANTIGÜEDAD!A:BE,18,FALSE)</f>
        <v>0</v>
      </c>
      <c r="AG155" s="30">
        <f>IFERROR(VLOOKUP(C155,Ahorros_concentrado!B:D,3,FALSE),0)</f>
        <v>391</v>
      </c>
      <c r="AH155" s="43">
        <f t="shared" ca="1" si="23"/>
        <v>0</v>
      </c>
      <c r="AI155" s="19" t="str">
        <f>IF(VLOOKUP(C155,ANTIGÜEDAD!A:AG,33,0)="Entregado","Vigente",IF(VLOOKUP(C155,ANTIGÜEDAD!A:AG,33,0)="Liquidado","Desertor sin mora",""))</f>
        <v>Vigente</v>
      </c>
      <c r="AJ155" s="98" t="str">
        <f t="shared" si="24"/>
        <v>000018701</v>
      </c>
    </row>
    <row r="156" spans="1:36" x14ac:dyDescent="0.3">
      <c r="A156" s="19" t="str">
        <f>VLOOKUP(C156,ANTIGÜEDAD!A:BJ,4,FALSE)</f>
        <v>JUDITH PATRICIA SERRANO HERRER</v>
      </c>
      <c r="B156" s="19" t="str">
        <f>IFERROR(VLOOKUP(ANTIGÜEDAD!F155,'Parche Promotores'!A:B,2,0),ANTIGÜEDAD!F155)</f>
        <v>Becerril Aguirre Jonathan</v>
      </c>
      <c r="C156" s="6" t="str">
        <f>TEXT(ANTIGÜEDAD!I155,"000000")</f>
        <v>000153</v>
      </c>
      <c r="D156" s="6" t="str">
        <f>ANTIGÜEDAD!K155</f>
        <v>TULIPANES</v>
      </c>
      <c r="E156" s="29" t="str">
        <f>IFERROR(VLOOKUP(C156,'SITUACIÓN DE CARTERA'!A:AR,12,FALSE),VLOOKUP(C156,ANTIGÜEDAD!A:J,10,0))</f>
        <v>01</v>
      </c>
      <c r="F156" s="30">
        <f>VLOOKUP(C156,ANTIGÜEDAD!A:BE,17,FALSE)</f>
        <v>42000</v>
      </c>
      <c r="G156" s="30" t="str">
        <f>VLOOKUP(C156,ANTIGÜEDAD!A:BE,12,FALSE)</f>
        <v>MIGRADO</v>
      </c>
      <c r="H156" s="31">
        <f>VLOOKUP(C156,ANTIGÜEDAD!A:BE,14,FALSE)</f>
        <v>45947</v>
      </c>
      <c r="I156" s="19">
        <f>VLOOKUP(C156,ANTIGÜEDAD!A:BE,19,FALSE)</f>
        <v>16</v>
      </c>
      <c r="J156" s="31" t="str">
        <f>VLOOKUP(C156,ANTIGÜEDAD!A:BE,56,FALSE)</f>
        <v>Viernes</v>
      </c>
      <c r="K156" s="32" t="str">
        <f>VLOOKUP(C156,ANTIGÜEDAD!A:BE,57,FALSE)</f>
        <v>15:00</v>
      </c>
      <c r="L156" s="19" t="str">
        <f>VLOOKUP(C156,ANTIGÜEDAD!A:BE,20,FALSE)</f>
        <v>Semanal</v>
      </c>
      <c r="M156" s="30">
        <f>VLOOKUP(C156,ANTIGÜEDAD!A:BE,21,FALSE)</f>
        <v>3192.03</v>
      </c>
      <c r="N156" s="33" t="str">
        <f>IFERROR(VLOOKUP(C156,'Reporte de cobranza'!G:BL,34,FALSE),"")</f>
        <v>07/11/2025</v>
      </c>
      <c r="O156" s="30">
        <f>IF(AI156="Desertor sin mora",0,VLOOKUP(C156,ANTIGÜEDAD!A:BJ,44,FALSE))</f>
        <v>44688.450000000004</v>
      </c>
      <c r="P156" s="30">
        <f t="shared" si="32"/>
        <v>51072.480000000003</v>
      </c>
      <c r="Q156" s="30">
        <f t="shared" ca="1" si="21"/>
        <v>44688.450000000004</v>
      </c>
      <c r="R156" s="30">
        <f>IF(AI156="Desertor sin mora",0,VLOOKUP(C156,ANTIGÜEDAD!A:BJ,26,FALSE))</f>
        <v>36750.050000000003</v>
      </c>
      <c r="S156" s="30">
        <f t="shared" ca="1" si="26"/>
        <v>0</v>
      </c>
      <c r="T156" s="30">
        <f>IF(V156&gt;0,IF(VLOOKUP(TEXT(C156,"000000"),Ahorros_concentrado!B:D,3,0)+F156*0.1&gt;V156,V156,VLOOKUP(TEXT(C156,"000000"),Ahorros_concentrado!B:D,3,0)+F156*0.1),0)</f>
        <v>0</v>
      </c>
      <c r="U156" s="30">
        <f t="shared" si="27"/>
        <v>0</v>
      </c>
      <c r="V156" s="30">
        <f>IF(AI156="Desertor sin mora",0,VLOOKUP(C156,'SITUACIÓN DE CARTERA'!A:AR,26,FALSE))</f>
        <v>0</v>
      </c>
      <c r="W156" s="134">
        <f>IF(AI156="Desertor sin mora",0,VLOOKUP(C156,'SITUACIÓN DE CARTERA'!A:AR,27,FALSE))/100</f>
        <v>0</v>
      </c>
      <c r="X156" s="30">
        <f>IF(V156&gt;0,VLOOKUP(C156,ANTIGÜEDAD!A:BE,26,FALSE),0)</f>
        <v>0</v>
      </c>
      <c r="Z156" s="34">
        <f>IF(AI156="Desertor sin mora",VLOOKUP(C156,ANTIGÜEDAD!A:Q,17,0)/AA156,F156/AA156)</f>
        <v>8400</v>
      </c>
      <c r="AA156" s="19">
        <f>IF(AI156="Desertor sin mora",VLOOKUP(C156,ANTIGÜEDAD!A:M,13,0),VLOOKUP(C156,'SITUACIÓN DE CARTERA'!A:AR,43,FALSE))</f>
        <v>5</v>
      </c>
      <c r="AB156" s="19">
        <f t="shared" ca="1" si="22"/>
        <v>2</v>
      </c>
      <c r="AC156" s="42">
        <f>IF(AI156="Desertor sin mora",0,(VLOOKUP(C156,'SITUACIÓN DE CARTERA'!A:AS,45,FALSE))/M156)</f>
        <v>1.9999812031841804</v>
      </c>
      <c r="AD156" s="19">
        <f>IF(AI156="Desertor sin mora",0,VLOOKUP(C156,'Reporte de cobranza'!G:BL,35,FALSE))</f>
        <v>14</v>
      </c>
      <c r="AE156" s="19">
        <f>IF(AI156="Desertor sin mora",I156,VLOOKUP(C156,'Reporte de cobranza'!G:BL,36,FALSE))</f>
        <v>16</v>
      </c>
      <c r="AF156" s="19">
        <f>VLOOKUP(C156,ANTIGÜEDAD!A:BE,18,FALSE)</f>
        <v>0</v>
      </c>
      <c r="AG156" s="30">
        <f>IFERROR(VLOOKUP(C156,Ahorros_concentrado!B:D,3,FALSE),0)</f>
        <v>640</v>
      </c>
      <c r="AH156" s="43">
        <f t="shared" ca="1" si="23"/>
        <v>0.10024968437013436</v>
      </c>
      <c r="AI156" s="19" t="str">
        <f>IF(VLOOKUP(C156,ANTIGÜEDAD!A:AG,33,0)="Entregado","Vigente",IF(VLOOKUP(C156,ANTIGÜEDAD!A:AG,33,0)="Liquidado","Desertor sin mora",""))</f>
        <v>Vigente</v>
      </c>
      <c r="AJ156" s="98" t="str">
        <f t="shared" si="24"/>
        <v>000015301</v>
      </c>
    </row>
    <row r="157" spans="1:36" x14ac:dyDescent="0.3">
      <c r="A157" s="19" t="str">
        <f>VLOOKUP(C157,ANTIGÜEDAD!A:BJ,4,FALSE)</f>
        <v>JUDITH PATRICIA SERRANO HERRER</v>
      </c>
      <c r="B157" s="19" t="str">
        <f>IFERROR(VLOOKUP(ANTIGÜEDAD!F156,'Parche Promotores'!A:B,2,0),ANTIGÜEDAD!F156)</f>
        <v>Cabrera Flores Viridiana</v>
      </c>
      <c r="C157" s="6" t="str">
        <f>TEXT(ANTIGÜEDAD!I156,"000000")</f>
        <v>000182</v>
      </c>
      <c r="D157" s="6" t="str">
        <f>ANTIGÜEDAD!K156</f>
        <v>GRUPO ANGEL</v>
      </c>
      <c r="E157" s="29" t="str">
        <f>IFERROR(VLOOKUP(C157,'SITUACIÓN DE CARTERA'!A:AR,12,FALSE),VLOOKUP(C157,ANTIGÜEDAD!A:J,10,0))</f>
        <v>01</v>
      </c>
      <c r="F157" s="30">
        <f>VLOOKUP(C157,ANTIGÜEDAD!A:BE,17,FALSE)</f>
        <v>57000</v>
      </c>
      <c r="G157" s="30" t="str">
        <f>VLOOKUP(C157,ANTIGÜEDAD!A:BE,12,FALSE)</f>
        <v>MIGRADO</v>
      </c>
      <c r="H157" s="31">
        <f>VLOOKUP(C157,ANTIGÜEDAD!A:BE,14,FALSE)</f>
        <v>45954</v>
      </c>
      <c r="I157" s="19">
        <f>VLOOKUP(C157,ANTIGÜEDAD!A:BE,19,FALSE)</f>
        <v>16</v>
      </c>
      <c r="J157" s="31" t="str">
        <f>VLOOKUP(C157,ANTIGÜEDAD!A:BE,56,FALSE)</f>
        <v>Viernes</v>
      </c>
      <c r="K157" s="32" t="str">
        <f>VLOOKUP(C157,ANTIGÜEDAD!A:BE,57,FALSE)</f>
        <v>14:00</v>
      </c>
      <c r="L157" s="19" t="str">
        <f>VLOOKUP(C157,ANTIGÜEDAD!A:BE,20,FALSE)</f>
        <v>Semanal</v>
      </c>
      <c r="M157" s="30">
        <f>VLOOKUP(C157,ANTIGÜEDAD!A:BE,21,FALSE)</f>
        <v>4332.04</v>
      </c>
      <c r="N157" s="33" t="str">
        <f>IFERROR(VLOOKUP(C157,'Reporte de cobranza'!G:BL,34,FALSE),"")</f>
        <v>07/11/2025</v>
      </c>
      <c r="O157" s="30">
        <f>IF(AI157="Desertor sin mora",0,VLOOKUP(C157,ANTIGÜEDAD!A:BJ,44,FALSE))</f>
        <v>64979.61</v>
      </c>
      <c r="P157" s="30">
        <f t="shared" si="32"/>
        <v>69312.639999999999</v>
      </c>
      <c r="Q157" s="30">
        <f t="shared" ca="1" si="21"/>
        <v>64980.6</v>
      </c>
      <c r="R157" s="30">
        <f>IF(AI157="Desertor sin mora",0,VLOOKUP(C157,ANTIGÜEDAD!A:BJ,26,FALSE))</f>
        <v>53437.5</v>
      </c>
      <c r="S157" s="30">
        <f t="shared" ca="1" si="26"/>
        <v>-0.98999999999796273</v>
      </c>
      <c r="T157" s="30">
        <f>IF(V157&gt;0,IF(VLOOKUP(TEXT(C157,"000000"),Ahorros_concentrado!B:D,3,0)+F157*0.1&gt;V157,V157,VLOOKUP(TEXT(C157,"000000"),Ahorros_concentrado!B:D,3,0)+F157*0.1),0)</f>
        <v>0</v>
      </c>
      <c r="U157" s="30">
        <f t="shared" si="27"/>
        <v>0</v>
      </c>
      <c r="V157" s="30">
        <f>IF(AI157="Desertor sin mora",0,VLOOKUP(C157,'SITUACIÓN DE CARTERA'!A:AR,26,FALSE))</f>
        <v>0</v>
      </c>
      <c r="W157" s="134">
        <f>IF(AI157="Desertor sin mora",0,VLOOKUP(C157,'SITUACIÓN DE CARTERA'!A:AR,27,FALSE))/100</f>
        <v>0</v>
      </c>
      <c r="X157" s="30">
        <f>IF(V157&gt;0,VLOOKUP(C157,ANTIGÜEDAD!A:BE,26,FALSE),0)</f>
        <v>0</v>
      </c>
      <c r="Z157" s="34">
        <f>IF(AI157="Desertor sin mora",VLOOKUP(C157,ANTIGÜEDAD!A:Q,17,0)/AA157,F157/AA157)</f>
        <v>11400</v>
      </c>
      <c r="AA157" s="19">
        <f>IF(AI157="Desertor sin mora",VLOOKUP(C157,ANTIGÜEDAD!A:M,13,0),VLOOKUP(C157,'SITUACIÓN DE CARTERA'!A:AR,43,FALSE))</f>
        <v>5</v>
      </c>
      <c r="AB157" s="19">
        <f t="shared" ca="1" si="22"/>
        <v>1</v>
      </c>
      <c r="AC157" s="42">
        <f>IF(AI157="Desertor sin mora",0,(VLOOKUP(C157,'SITUACIÓN DE CARTERA'!A:AS,45,FALSE))/M157)</f>
        <v>1.0002216046019889</v>
      </c>
      <c r="AD157" s="19">
        <f>IF(AI157="Desertor sin mora",0,VLOOKUP(C157,'Reporte de cobranza'!G:BL,35,FALSE))</f>
        <v>15</v>
      </c>
      <c r="AE157" s="19">
        <f>IF(AI157="Desertor sin mora",I157,VLOOKUP(C157,'Reporte de cobranza'!G:BL,36,FALSE))</f>
        <v>16</v>
      </c>
      <c r="AF157" s="19">
        <f>VLOOKUP(C157,ANTIGÜEDAD!A:BE,18,FALSE)</f>
        <v>0</v>
      </c>
      <c r="AG157" s="30">
        <f>IFERROR(VLOOKUP(C157,Ahorros_concentrado!B:D,3,FALSE),0)</f>
        <v>546</v>
      </c>
      <c r="AH157" s="43">
        <f t="shared" ca="1" si="23"/>
        <v>0.12603761738118763</v>
      </c>
      <c r="AI157" s="19" t="str">
        <f>IF(VLOOKUP(C157,ANTIGÜEDAD!A:AG,33,0)="Entregado","Vigente",IF(VLOOKUP(C157,ANTIGÜEDAD!A:AG,33,0)="Liquidado","Desertor sin mora",""))</f>
        <v>Vigente</v>
      </c>
      <c r="AJ157" s="98" t="str">
        <f t="shared" si="24"/>
        <v>000018201</v>
      </c>
    </row>
    <row r="158" spans="1:36" x14ac:dyDescent="0.3">
      <c r="A158" s="19" t="str">
        <f>VLOOKUP(C158,ANTIGÜEDAD!A:BJ,4,FALSE)</f>
        <v>ADRIANA ALEJALDRE GUZMAN</v>
      </c>
      <c r="B158" s="19" t="str">
        <f>IFERROR(VLOOKUP(ANTIGÜEDAD!F157,'Parche Promotores'!A:B,2,0),ANTIGÜEDAD!F157)</f>
        <v>Lopez Cabrera Edith Alejandra</v>
      </c>
      <c r="C158" s="6" t="str">
        <f>TEXT(ANTIGÜEDAD!I157,"000000")</f>
        <v>000131</v>
      </c>
      <c r="D158" s="6" t="str">
        <f>ANTIGÜEDAD!K157</f>
        <v>REENCUENTRO</v>
      </c>
      <c r="E158" s="29" t="str">
        <f>IFERROR(VLOOKUP(C158,'SITUACIÓN DE CARTERA'!A:AR,12,FALSE),VLOOKUP(C158,ANTIGÜEDAD!A:J,10,0))</f>
        <v>01</v>
      </c>
      <c r="F158" s="30">
        <f>VLOOKUP(C158,ANTIGÜEDAD!A:BE,17,FALSE)</f>
        <v>67000</v>
      </c>
      <c r="G158" s="30" t="str">
        <f>VLOOKUP(C158,ANTIGÜEDAD!A:BE,12,FALSE)</f>
        <v>MIGRADO</v>
      </c>
      <c r="H158" s="31">
        <f>VLOOKUP(C158,ANTIGÜEDAD!A:BE,14,FALSE)</f>
        <v>45932</v>
      </c>
      <c r="I158" s="19">
        <f>VLOOKUP(C158,ANTIGÜEDAD!A:BE,19,FALSE)</f>
        <v>16</v>
      </c>
      <c r="J158" s="31" t="str">
        <f>VLOOKUP(C158,ANTIGÜEDAD!A:BE,56,FALSE)</f>
        <v>Jueves</v>
      </c>
      <c r="K158" s="32" t="str">
        <f>VLOOKUP(C158,ANTIGÜEDAD!A:BE,57,FALSE)</f>
        <v>11:00</v>
      </c>
      <c r="L158" s="19" t="str">
        <f>VLOOKUP(C158,ANTIGÜEDAD!A:BE,20,FALSE)</f>
        <v>Semanal</v>
      </c>
      <c r="M158" s="30">
        <f>VLOOKUP(C158,ANTIGÜEDAD!A:BE,21,FALSE)</f>
        <v>5092.04</v>
      </c>
      <c r="N158" s="33" t="str">
        <f>IFERROR(VLOOKUP(C158,'Reporte de cobranza'!G:BL,34,FALSE),"")</f>
        <v>06/11/2025</v>
      </c>
      <c r="O158" s="30">
        <f>IF(AI158="Desertor sin mora",0,VLOOKUP(C158,ANTIGÜEDAD!A:BJ,44,FALSE))</f>
        <v>61085.71</v>
      </c>
      <c r="P158" s="30">
        <f t="shared" si="32"/>
        <v>81472.639999999999</v>
      </c>
      <c r="Q158" s="30">
        <f t="shared" ca="1" si="21"/>
        <v>61104.479999999996</v>
      </c>
      <c r="R158" s="30">
        <f>IF(AI158="Desertor sin mora",0,VLOOKUP(C158,ANTIGÜEDAD!A:BJ,26,FALSE))</f>
        <v>50250</v>
      </c>
      <c r="S158" s="30">
        <f t="shared" ca="1" si="26"/>
        <v>-18.769999999996799</v>
      </c>
      <c r="T158" s="30">
        <f>IF(V158&gt;0,IF(VLOOKUP(TEXT(C158,"000000"),Ahorros_concentrado!B:D,3,0)+F158*0.1&gt;V158,V158,VLOOKUP(TEXT(C158,"000000"),Ahorros_concentrado!B:D,3,0)+F158*0.1),0)</f>
        <v>0</v>
      </c>
      <c r="U158" s="30">
        <f t="shared" si="27"/>
        <v>0</v>
      </c>
      <c r="V158" s="30">
        <f>IF(AI158="Desertor sin mora",0,VLOOKUP(C158,'SITUACIÓN DE CARTERA'!A:AR,26,FALSE))</f>
        <v>0</v>
      </c>
      <c r="W158" s="134">
        <f>IF(AI158="Desertor sin mora",0,VLOOKUP(C158,'SITUACIÓN DE CARTERA'!A:AR,27,FALSE))/100</f>
        <v>0</v>
      </c>
      <c r="X158" s="30">
        <f>IF(V158&gt;0,VLOOKUP(C158,ANTIGÜEDAD!A:BE,26,FALSE),0)</f>
        <v>0</v>
      </c>
      <c r="Z158" s="34">
        <f>IF(AI158="Desertor sin mora",VLOOKUP(C158,ANTIGÜEDAD!A:Q,17,0)/AA158,F158/AA158)</f>
        <v>11166.666666666666</v>
      </c>
      <c r="AA158" s="19">
        <f>IF(AI158="Desertor sin mora",VLOOKUP(C158,ANTIGÜEDAD!A:M,13,0),VLOOKUP(C158,'SITUACIÓN DE CARTERA'!A:AR,43,FALSE))</f>
        <v>6</v>
      </c>
      <c r="AB158" s="19">
        <f t="shared" ca="1" si="22"/>
        <v>4</v>
      </c>
      <c r="AC158" s="42">
        <f>IF(AI158="Desertor sin mora",0,(VLOOKUP(C158,'SITUACIÓN DE CARTERA'!A:AS,45,FALSE))/M158)</f>
        <v>4.0036998923810501</v>
      </c>
      <c r="AD158" s="19">
        <f>IF(AI158="Desertor sin mora",0,VLOOKUP(C158,'Reporte de cobranza'!G:BL,35,FALSE))</f>
        <v>12</v>
      </c>
      <c r="AE158" s="19">
        <f>IF(AI158="Desertor sin mora",I158,VLOOKUP(C158,'Reporte de cobranza'!G:BL,36,FALSE))</f>
        <v>16</v>
      </c>
      <c r="AF158" s="19">
        <f>VLOOKUP(C158,ANTIGÜEDAD!A:BE,18,FALSE)</f>
        <v>0</v>
      </c>
      <c r="AG158" s="30">
        <f>IFERROR(VLOOKUP(C158,Ahorros_concentrado!B:D,3,FALSE),0)</f>
        <v>1055</v>
      </c>
      <c r="AH158" s="43">
        <f t="shared" ca="1" si="23"/>
        <v>5.1796529485235783E-2</v>
      </c>
      <c r="AI158" s="19" t="str">
        <f>IF(VLOOKUP(C158,ANTIGÜEDAD!A:AG,33,0)="Entregado","Vigente",IF(VLOOKUP(C158,ANTIGÜEDAD!A:AG,33,0)="Liquidado","Desertor sin mora",""))</f>
        <v>Vigente</v>
      </c>
      <c r="AJ158" s="98" t="str">
        <f t="shared" si="24"/>
        <v>000013101</v>
      </c>
    </row>
    <row r="159" spans="1:36" x14ac:dyDescent="0.3">
      <c r="A159" s="19" t="str">
        <f>VLOOKUP(C159,ANTIGÜEDAD!A:BJ,4,FALSE)</f>
        <v>ADRIANA ALEJALDRE GUZMAN</v>
      </c>
      <c r="B159" s="19" t="str">
        <f>IFERROR(VLOOKUP(ANTIGÜEDAD!F158,'Parche Promotores'!A:B,2,0),ANTIGÜEDAD!F158)</f>
        <v>Contreras Martinez Jose Luis</v>
      </c>
      <c r="C159" s="6" t="str">
        <f>TEXT(ANTIGÜEDAD!I158,"000000")</f>
        <v>000127</v>
      </c>
      <c r="D159" s="6" t="str">
        <f>ANTIGÜEDAD!K158</f>
        <v>LUNA</v>
      </c>
      <c r="E159" s="29" t="str">
        <f>IFERROR(VLOOKUP(C159,'SITUACIÓN DE CARTERA'!A:AR,12,FALSE),VLOOKUP(C159,ANTIGÜEDAD!A:J,10,0))</f>
        <v>01</v>
      </c>
      <c r="F159" s="30">
        <f>VLOOKUP(C159,ANTIGÜEDAD!A:BE,17,FALSE)</f>
        <v>70000</v>
      </c>
      <c r="G159" s="30" t="str">
        <f>VLOOKUP(C159,ANTIGÜEDAD!A:BE,12,FALSE)</f>
        <v>MIGRADO</v>
      </c>
      <c r="H159" s="31">
        <f>VLOOKUP(C159,ANTIGÜEDAD!A:BE,14,FALSE)</f>
        <v>45932</v>
      </c>
      <c r="I159" s="19">
        <f>VLOOKUP(C159,ANTIGÜEDAD!A:BE,19,FALSE)</f>
        <v>16</v>
      </c>
      <c r="J159" s="31" t="str">
        <f>VLOOKUP(C159,ANTIGÜEDAD!A:BE,56,FALSE)</f>
        <v>Jueves</v>
      </c>
      <c r="K159" s="32" t="str">
        <f>VLOOKUP(C159,ANTIGÜEDAD!A:BE,57,FALSE)</f>
        <v>15:00</v>
      </c>
      <c r="L159" s="19" t="str">
        <f>VLOOKUP(C159,ANTIGÜEDAD!A:BE,20,FALSE)</f>
        <v>Semanal</v>
      </c>
      <c r="M159" s="30">
        <f>VLOOKUP(C159,ANTIGÜEDAD!A:BE,21,FALSE)</f>
        <v>5320.05</v>
      </c>
      <c r="N159" s="33" t="str">
        <f>IFERROR(VLOOKUP(C159,'Reporte de cobranza'!G:BL,34,FALSE),"")</f>
        <v>06/11/2025</v>
      </c>
      <c r="O159" s="30">
        <f>IF(AI159="Desertor sin mora",0,VLOOKUP(C159,ANTIGÜEDAD!A:BJ,44,FALSE))</f>
        <v>63819.75</v>
      </c>
      <c r="P159" s="30">
        <f t="shared" ref="P159:P163" si="33">M159*16</f>
        <v>85120.8</v>
      </c>
      <c r="Q159" s="30">
        <f t="shared" ca="1" si="21"/>
        <v>63840.600000000006</v>
      </c>
      <c r="R159" s="30">
        <f>IF(AI159="Desertor sin mora",0,VLOOKUP(C159,ANTIGÜEDAD!A:BJ,26,FALSE))</f>
        <v>52500</v>
      </c>
      <c r="S159" s="30">
        <f t="shared" ca="1" si="26"/>
        <v>-20.850000000005821</v>
      </c>
      <c r="T159" s="30">
        <f>IF(V159&gt;0,IF(VLOOKUP(TEXT(C159,"000000"),Ahorros_concentrado!B:D,3,0)+F159*0.1&gt;V159,V159,VLOOKUP(TEXT(C159,"000000"),Ahorros_concentrado!B:D,3,0)+F159*0.1),0)</f>
        <v>0</v>
      </c>
      <c r="U159" s="30">
        <f t="shared" si="27"/>
        <v>0</v>
      </c>
      <c r="V159" s="30">
        <f>IF(AI159="Desertor sin mora",0,VLOOKUP(C159,'SITUACIÓN DE CARTERA'!A:AR,26,FALSE))</f>
        <v>0</v>
      </c>
      <c r="W159" s="134">
        <f>IF(AI159="Desertor sin mora",0,VLOOKUP(C159,'SITUACIÓN DE CARTERA'!A:AR,27,FALSE))/100</f>
        <v>0</v>
      </c>
      <c r="X159" s="30">
        <f>IF(V159&gt;0,VLOOKUP(C159,ANTIGÜEDAD!A:BE,26,FALSE),0)</f>
        <v>0</v>
      </c>
      <c r="Z159" s="34">
        <f>IF(AI159="Desertor sin mora",VLOOKUP(C159,ANTIGÜEDAD!A:Q,17,0)/AA159,F159/AA159)</f>
        <v>11666.666666666666</v>
      </c>
      <c r="AA159" s="19">
        <f>IF(AI159="Desertor sin mora",VLOOKUP(C159,ANTIGÜEDAD!A:M,13,0),VLOOKUP(C159,'SITUACIÓN DE CARTERA'!A:AR,43,FALSE))</f>
        <v>6</v>
      </c>
      <c r="AB159" s="19">
        <f t="shared" ca="1" si="22"/>
        <v>4</v>
      </c>
      <c r="AC159" s="42">
        <f>IF(AI159="Desertor sin mora",0,(VLOOKUP(C159,'SITUACIÓN DE CARTERA'!A:AS,45,FALSE))/M159)</f>
        <v>4.0039097376904351</v>
      </c>
      <c r="AD159" s="19">
        <f>IF(AI159="Desertor sin mora",0,VLOOKUP(C159,'Reporte de cobranza'!G:BL,35,FALSE))</f>
        <v>12</v>
      </c>
      <c r="AE159" s="19">
        <f>IF(AI159="Desertor sin mora",I159,VLOOKUP(C159,'Reporte de cobranza'!G:BL,36,FALSE))</f>
        <v>16</v>
      </c>
      <c r="AF159" s="19">
        <f>VLOOKUP(C159,ANTIGÜEDAD!A:BE,18,FALSE)</f>
        <v>0</v>
      </c>
      <c r="AG159" s="30">
        <f>IFERROR(VLOOKUP(C159,Ahorros_concentrado!B:D,3,FALSE),0)</f>
        <v>1043</v>
      </c>
      <c r="AH159" s="43">
        <f t="shared" ca="1" si="23"/>
        <v>4.9012697249086003E-2</v>
      </c>
      <c r="AI159" s="19" t="str">
        <f>IF(VLOOKUP(C159,ANTIGÜEDAD!A:AG,33,0)="Entregado","Vigente",IF(VLOOKUP(C159,ANTIGÜEDAD!A:AG,33,0)="Liquidado","Desertor sin mora",""))</f>
        <v>Vigente</v>
      </c>
      <c r="AJ159" s="98" t="str">
        <f t="shared" si="24"/>
        <v>000012701</v>
      </c>
    </row>
    <row r="160" spans="1:36" x14ac:dyDescent="0.3">
      <c r="A160" s="19" t="str">
        <f>VLOOKUP(C160,ANTIGÜEDAD!A:BJ,4,FALSE)</f>
        <v>IRVIN URIEL MORA VELAZCO</v>
      </c>
      <c r="B160" s="19" t="str">
        <f>IFERROR(VLOOKUP(ANTIGÜEDAD!F159,'Parche Promotores'!A:B,2,0),ANTIGÜEDAD!F159)</f>
        <v>Flores Mendez Veronica</v>
      </c>
      <c r="C160" s="6" t="str">
        <f>TEXT(ANTIGÜEDAD!I159,"000000")</f>
        <v>000006</v>
      </c>
      <c r="D160" s="6" t="str">
        <f>ANTIGÜEDAD!K159</f>
        <v>LINDAS</v>
      </c>
      <c r="E160" s="29" t="str">
        <f>IFERROR(VLOOKUP(C160,'SITUACIÓN DE CARTERA'!A:AR,12,FALSE),VLOOKUP(C160,ANTIGÜEDAD!A:J,10,0))</f>
        <v>01</v>
      </c>
      <c r="F160" s="30">
        <f>VLOOKUP(C160,ANTIGÜEDAD!A:BE,17,FALSE)</f>
        <v>184000</v>
      </c>
      <c r="G160" s="30" t="str">
        <f>VLOOKUP(C160,ANTIGÜEDAD!A:BE,12,FALSE)</f>
        <v>MIGRADO</v>
      </c>
      <c r="H160" s="31">
        <f>VLOOKUP(C160,ANTIGÜEDAD!A:BE,14,FALSE)</f>
        <v>45881</v>
      </c>
      <c r="I160" s="19">
        <f>VLOOKUP(C160,ANTIGÜEDAD!A:BE,19,FALSE)</f>
        <v>16</v>
      </c>
      <c r="J160" s="31" t="str">
        <f>VLOOKUP(C160,ANTIGÜEDAD!A:BE,56,FALSE)</f>
        <v>Martes</v>
      </c>
      <c r="K160" s="32" t="str">
        <f>VLOOKUP(C160,ANTIGÜEDAD!A:BE,57,FALSE)</f>
        <v>16:00</v>
      </c>
      <c r="L160" s="19" t="str">
        <f>VLOOKUP(C160,ANTIGÜEDAD!A:BE,20,FALSE)</f>
        <v>Semanal</v>
      </c>
      <c r="M160" s="30">
        <f>VLOOKUP(C160,ANTIGÜEDAD!A:BE,21,FALSE)</f>
        <v>13984.12</v>
      </c>
      <c r="N160" s="33" t="str">
        <f>IFERROR(VLOOKUP(C160,'Reporte de cobranza'!G:BL,34,FALSE),"")</f>
        <v>04/11/2025</v>
      </c>
      <c r="O160" s="30">
        <f>IF(AI160="Desertor sin mora",0,VLOOKUP(C160,ANTIGÜEDAD!A:BJ,44,FALSE))</f>
        <v>69921.72</v>
      </c>
      <c r="P160" s="30">
        <f t="shared" si="33"/>
        <v>223745.92000000001</v>
      </c>
      <c r="Q160" s="30">
        <f t="shared" ca="1" si="21"/>
        <v>69921.72</v>
      </c>
      <c r="R160" s="30">
        <f>IF(AI160="Desertor sin mora",0,VLOOKUP(C160,ANTIGÜEDAD!A:BJ,26,FALSE))</f>
        <v>57501.1</v>
      </c>
      <c r="S160" s="30">
        <f t="shared" ca="1" si="26"/>
        <v>0</v>
      </c>
      <c r="T160" s="30">
        <f>IF(V160&gt;0,IF(VLOOKUP(TEXT(C160,"000000"),Ahorros_concentrado!B:D,3,0)+F160*0.1&gt;V160,V160,VLOOKUP(TEXT(C160,"000000"),Ahorros_concentrado!B:D,3,0)+F160*0.1),0)</f>
        <v>0</v>
      </c>
      <c r="U160" s="30">
        <f t="shared" si="27"/>
        <v>0</v>
      </c>
      <c r="V160" s="30">
        <f>IF(AI160="Desertor sin mora",0,VLOOKUP(C160,'SITUACIÓN DE CARTERA'!A:AR,26,FALSE))</f>
        <v>0</v>
      </c>
      <c r="W160" s="134">
        <f>IF(AI160="Desertor sin mora",0,VLOOKUP(C160,'SITUACIÓN DE CARTERA'!A:AR,27,FALSE))/100</f>
        <v>0</v>
      </c>
      <c r="X160" s="30">
        <f>IF(V160&gt;0,VLOOKUP(C160,ANTIGÜEDAD!A:BE,26,FALSE),0)</f>
        <v>0</v>
      </c>
      <c r="Z160" s="34">
        <f>IF(AI160="Desertor sin mora",VLOOKUP(C160,ANTIGÜEDAD!A:Q,17,0)/AA160,F160/AA160)</f>
        <v>30666.666666666668</v>
      </c>
      <c r="AA160" s="19">
        <f>IF(AI160="Desertor sin mora",VLOOKUP(C160,ANTIGÜEDAD!A:M,13,0),VLOOKUP(C160,'SITUACIÓN DE CARTERA'!A:AR,43,FALSE))</f>
        <v>6</v>
      </c>
      <c r="AB160" s="19">
        <f t="shared" ca="1" si="22"/>
        <v>11</v>
      </c>
      <c r="AC160" s="42">
        <f>IF(AI160="Desertor sin mora",0,(VLOOKUP(C160,'SITUACIÓN DE CARTERA'!A:AS,45,FALSE))/M160)</f>
        <v>10.999922769541453</v>
      </c>
      <c r="AD160" s="19">
        <f>IF(AI160="Desertor sin mora",0,VLOOKUP(C160,'Reporte de cobranza'!G:BL,35,FALSE))</f>
        <v>5</v>
      </c>
      <c r="AE160" s="19">
        <f>IF(AI160="Desertor sin mora",I160,VLOOKUP(C160,'Reporte de cobranza'!G:BL,36,FALSE))</f>
        <v>16</v>
      </c>
      <c r="AF160" s="19">
        <f>VLOOKUP(C160,ANTIGÜEDAD!A:BE,18,FALSE)</f>
        <v>0</v>
      </c>
      <c r="AG160" s="30">
        <f>IFERROR(VLOOKUP(C160,Ahorros_concentrado!B:D,3,FALSE),0)</f>
        <v>7897.7599999999984</v>
      </c>
      <c r="AH160" s="43">
        <f t="shared" ca="1" si="23"/>
        <v>5.1342392786831177E-2</v>
      </c>
      <c r="AI160" s="19" t="str">
        <f>IF(VLOOKUP(C160,ANTIGÜEDAD!A:AG,33,0)="Entregado","Vigente",IF(VLOOKUP(C160,ANTIGÜEDAD!A:AG,33,0)="Liquidado","Desertor sin mora",""))</f>
        <v>Vigente</v>
      </c>
      <c r="AJ160" s="98" t="str">
        <f t="shared" si="24"/>
        <v>000000601</v>
      </c>
    </row>
    <row r="161" spans="1:36" x14ac:dyDescent="0.3">
      <c r="A161" s="19" t="str">
        <f>VLOOKUP(C161,ANTIGÜEDAD!A:BJ,4,FALSE)</f>
        <v>JUAN EDMUNDO LUNA AGUILLON</v>
      </c>
      <c r="B161" s="19" t="str">
        <f>IFERROR(VLOOKUP(ANTIGÜEDAD!F160,'Parche Promotores'!A:B,2,0),ANTIGÜEDAD!F160)</f>
        <v>Sanchez Posada Jose Olimpo</v>
      </c>
      <c r="C161" s="6" t="str">
        <f>TEXT(ANTIGÜEDAD!I160,"000000")</f>
        <v>000083</v>
      </c>
      <c r="D161" s="6" t="str">
        <f>ANTIGÜEDAD!K160</f>
        <v>INDEPENDENCIA</v>
      </c>
      <c r="E161" s="29" t="str">
        <f>IFERROR(VLOOKUP(C161,'SITUACIÓN DE CARTERA'!A:AR,12,FALSE),VLOOKUP(C161,ANTIGÜEDAD!A:J,10,0))</f>
        <v>01</v>
      </c>
      <c r="F161" s="30">
        <f>VLOOKUP(C161,ANTIGÜEDAD!A:BE,17,FALSE)</f>
        <v>44000</v>
      </c>
      <c r="G161" s="30" t="str">
        <f>VLOOKUP(C161,ANTIGÜEDAD!A:BE,12,FALSE)</f>
        <v>MIGRADO</v>
      </c>
      <c r="H161" s="31">
        <f>VLOOKUP(C161,ANTIGÜEDAD!A:BE,14,FALSE)</f>
        <v>45912</v>
      </c>
      <c r="I161" s="19">
        <f>VLOOKUP(C161,ANTIGÜEDAD!A:BE,19,FALSE)</f>
        <v>16</v>
      </c>
      <c r="J161" s="31" t="str">
        <f>VLOOKUP(C161,ANTIGÜEDAD!A:BE,56,FALSE)</f>
        <v>Viernes</v>
      </c>
      <c r="K161" s="32" t="str">
        <f>VLOOKUP(C161,ANTIGÜEDAD!A:BE,57,FALSE)</f>
        <v>13:30</v>
      </c>
      <c r="L161" s="19" t="str">
        <f>VLOOKUP(C161,ANTIGÜEDAD!A:BE,20,FALSE)</f>
        <v>Semanal</v>
      </c>
      <c r="M161" s="30">
        <f>VLOOKUP(C161,ANTIGÜEDAD!A:BE,21,FALSE)</f>
        <v>3344.03</v>
      </c>
      <c r="N161" s="33" t="str">
        <f>IFERROR(VLOOKUP(C161,'Reporte de cobranza'!G:BL,34,FALSE),"")</f>
        <v>07/11/2025</v>
      </c>
      <c r="O161" s="30">
        <f>IF(AI161="Desertor sin mora",0,VLOOKUP(C161,ANTIGÜEDAD!A:BJ,44,FALSE))</f>
        <v>30096.260000000002</v>
      </c>
      <c r="P161" s="30">
        <f t="shared" si="33"/>
        <v>53504.480000000003</v>
      </c>
      <c r="Q161" s="30">
        <f t="shared" ca="1" si="21"/>
        <v>30096.27</v>
      </c>
      <c r="R161" s="30">
        <f>IF(AI161="Desertor sin mora",0,VLOOKUP(C161,ANTIGÜEDAD!A:BJ,26,FALSE))</f>
        <v>24750.010000000002</v>
      </c>
      <c r="S161" s="30">
        <f t="shared" ca="1" si="26"/>
        <v>-9.9999999983992893E-3</v>
      </c>
      <c r="T161" s="30">
        <f>IF(V161&gt;0,IF(VLOOKUP(TEXT(C161,"000000"),Ahorros_concentrado!B:D,3,0)+F161*0.1&gt;V161,V161,VLOOKUP(TEXT(C161,"000000"),Ahorros_concentrado!B:D,3,0)+F161*0.1),0)</f>
        <v>0</v>
      </c>
      <c r="U161" s="30">
        <f t="shared" si="27"/>
        <v>0</v>
      </c>
      <c r="V161" s="30">
        <f>IF(AI161="Desertor sin mora",0,VLOOKUP(C161,'SITUACIÓN DE CARTERA'!A:AR,26,FALSE))</f>
        <v>0</v>
      </c>
      <c r="W161" s="134">
        <f>IF(AI161="Desertor sin mora",0,VLOOKUP(C161,'SITUACIÓN DE CARTERA'!A:AR,27,FALSE))/100</f>
        <v>0</v>
      </c>
      <c r="X161" s="30">
        <f>IF(V161&gt;0,VLOOKUP(C161,ANTIGÜEDAD!A:BE,26,FALSE),0)</f>
        <v>0</v>
      </c>
      <c r="Z161" s="34">
        <f>IF(AI161="Desertor sin mora",VLOOKUP(C161,ANTIGÜEDAD!A:Q,17,0)/AA161,F161/AA161)</f>
        <v>8800</v>
      </c>
      <c r="AA161" s="19">
        <f>IF(AI161="Desertor sin mora",VLOOKUP(C161,ANTIGÜEDAD!A:M,13,0),VLOOKUP(C161,'SITUACIÓN DE CARTERA'!A:AR,43,FALSE))</f>
        <v>5</v>
      </c>
      <c r="AB161" s="19">
        <f t="shared" ca="1" si="22"/>
        <v>7</v>
      </c>
      <c r="AC161" s="42">
        <f>IF(AI161="Desertor sin mora",0,(VLOOKUP(C161,'SITUACIÓN DE CARTERA'!A:AS,45,FALSE))/M161)</f>
        <v>7</v>
      </c>
      <c r="AD161" s="19">
        <f>IF(AI161="Desertor sin mora",0,VLOOKUP(C161,'Reporte de cobranza'!G:BL,35,FALSE))</f>
        <v>9</v>
      </c>
      <c r="AE161" s="19">
        <f>IF(AI161="Desertor sin mora",I161,VLOOKUP(C161,'Reporte de cobranza'!G:BL,36,FALSE))</f>
        <v>16</v>
      </c>
      <c r="AF161" s="19">
        <f>VLOOKUP(C161,ANTIGÜEDAD!A:BE,18,FALSE)</f>
        <v>0</v>
      </c>
      <c r="AG161" s="30">
        <f>IFERROR(VLOOKUP(C161,Ahorros_concentrado!B:D,3,FALSE),0)</f>
        <v>1383.7899999999986</v>
      </c>
      <c r="AH161" s="43">
        <f t="shared" ca="1" si="23"/>
        <v>5.9115583805852669E-2</v>
      </c>
      <c r="AI161" s="19" t="str">
        <f>IF(VLOOKUP(C161,ANTIGÜEDAD!A:AG,33,0)="Entregado","Vigente",IF(VLOOKUP(C161,ANTIGÜEDAD!A:AG,33,0)="Liquidado","Desertor sin mora",""))</f>
        <v>Vigente</v>
      </c>
      <c r="AJ161" s="98" t="str">
        <f t="shared" si="24"/>
        <v>000008301</v>
      </c>
    </row>
    <row r="162" spans="1:36" x14ac:dyDescent="0.3">
      <c r="A162" s="19" t="str">
        <f>VLOOKUP(C162,ANTIGÜEDAD!A:BJ,4,FALSE)</f>
        <v>JUDITH PATRICIA SERRANO HERRER</v>
      </c>
      <c r="B162" s="19" t="str">
        <f>IFERROR(VLOOKUP(ANTIGÜEDAD!F161,'Parche Promotores'!A:B,2,0),ANTIGÜEDAD!F161)</f>
        <v>Becerril Aguirre Jonathan</v>
      </c>
      <c r="C162" s="6" t="str">
        <f>TEXT(ANTIGÜEDAD!I161,"000000")</f>
        <v>000046</v>
      </c>
      <c r="D162" s="6" t="str">
        <f>ANTIGÜEDAD!K161</f>
        <v>LOS PEQUES</v>
      </c>
      <c r="E162" s="29" t="str">
        <f>IFERROR(VLOOKUP(C162,'SITUACIÓN DE CARTERA'!A:AR,12,FALSE),VLOOKUP(C162,ANTIGÜEDAD!A:J,10,0))</f>
        <v>01</v>
      </c>
      <c r="F162" s="30">
        <f>VLOOKUP(C162,ANTIGÜEDAD!A:BE,17,FALSE)</f>
        <v>140000</v>
      </c>
      <c r="G162" s="30" t="str">
        <f>VLOOKUP(C162,ANTIGÜEDAD!A:BE,12,FALSE)</f>
        <v>MIGRADO</v>
      </c>
      <c r="H162" s="31">
        <f>VLOOKUP(C162,ANTIGÜEDAD!A:BE,14,FALSE)</f>
        <v>45897</v>
      </c>
      <c r="I162" s="19">
        <f>VLOOKUP(C162,ANTIGÜEDAD!A:BE,19,FALSE)</f>
        <v>16</v>
      </c>
      <c r="J162" s="31" t="str">
        <f>VLOOKUP(C162,ANTIGÜEDAD!A:BE,56,FALSE)</f>
        <v>Jueves</v>
      </c>
      <c r="K162" s="32" t="str">
        <f>VLOOKUP(C162,ANTIGÜEDAD!A:BE,57,FALSE)</f>
        <v>15:00</v>
      </c>
      <c r="L162" s="19" t="str">
        <f>VLOOKUP(C162,ANTIGÜEDAD!A:BE,20,FALSE)</f>
        <v>Semanal</v>
      </c>
      <c r="M162" s="30">
        <f>VLOOKUP(C162,ANTIGÜEDAD!A:BE,21,FALSE)</f>
        <v>10640.09</v>
      </c>
      <c r="N162" s="33" t="str">
        <f>IFERROR(VLOOKUP(C162,'Reporte de cobranza'!G:BL,34,FALSE),"")</f>
        <v>06/11/2025</v>
      </c>
      <c r="O162" s="30">
        <f>IF(AI162="Desertor sin mora",0,VLOOKUP(C162,ANTIGÜEDAD!A:BJ,44,FALSE))</f>
        <v>74481.490000000005</v>
      </c>
      <c r="P162" s="30">
        <f t="shared" si="33"/>
        <v>170241.44</v>
      </c>
      <c r="Q162" s="30">
        <f t="shared" ca="1" si="21"/>
        <v>74481.490000000005</v>
      </c>
      <c r="R162" s="30">
        <f>IF(AI162="Desertor sin mora",0,VLOOKUP(C162,ANTIGÜEDAD!A:BJ,26,FALSE))</f>
        <v>61250.840000000004</v>
      </c>
      <c r="S162" s="30">
        <f t="shared" ca="1" si="26"/>
        <v>0</v>
      </c>
      <c r="T162" s="30">
        <f>IF(V162&gt;0,IF(VLOOKUP(TEXT(C162,"000000"),Ahorros_concentrado!B:D,3,0)+F162*0.1&gt;V162,V162,VLOOKUP(TEXT(C162,"000000"),Ahorros_concentrado!B:D,3,0)+F162*0.1),0)</f>
        <v>0</v>
      </c>
      <c r="U162" s="30">
        <f t="shared" si="27"/>
        <v>0</v>
      </c>
      <c r="V162" s="30">
        <f>IF(AI162="Desertor sin mora",0,VLOOKUP(C162,'SITUACIÓN DE CARTERA'!A:AR,26,FALSE))</f>
        <v>0</v>
      </c>
      <c r="W162" s="134">
        <f>IF(AI162="Desertor sin mora",0,VLOOKUP(C162,'SITUACIÓN DE CARTERA'!A:AR,27,FALSE))/100</f>
        <v>0</v>
      </c>
      <c r="X162" s="30">
        <f>IF(V162&gt;0,VLOOKUP(C162,ANTIGÜEDAD!A:BE,26,FALSE),0)</f>
        <v>0</v>
      </c>
      <c r="Z162" s="34">
        <f>IF(AI162="Desertor sin mora",VLOOKUP(C162,ANTIGÜEDAD!A:Q,17,0)/AA162,F162/AA162)</f>
        <v>20000</v>
      </c>
      <c r="AA162" s="19">
        <f>IF(AI162="Desertor sin mora",VLOOKUP(C162,ANTIGÜEDAD!A:M,13,0),VLOOKUP(C162,'SITUACIÓN DE CARTERA'!A:AR,43,FALSE))</f>
        <v>7</v>
      </c>
      <c r="AB162" s="19">
        <f t="shared" ca="1" si="22"/>
        <v>9</v>
      </c>
      <c r="AC162" s="42">
        <f>IF(AI162="Desertor sin mora",0,(VLOOKUP(C162,'SITUACIÓN DE CARTERA'!A:AS,45,FALSE))/M162)</f>
        <v>8.9999238728243842</v>
      </c>
      <c r="AD162" s="19">
        <f>IF(AI162="Desertor sin mora",0,VLOOKUP(C162,'Reporte de cobranza'!G:BL,35,FALSE))</f>
        <v>7</v>
      </c>
      <c r="AE162" s="19">
        <f>IF(AI162="Desertor sin mora",I162,VLOOKUP(C162,'Reporte de cobranza'!G:BL,36,FALSE))</f>
        <v>16</v>
      </c>
      <c r="AF162" s="19">
        <f>VLOOKUP(C162,ANTIGÜEDAD!A:BE,18,FALSE)</f>
        <v>0</v>
      </c>
      <c r="AG162" s="30">
        <f>IFERROR(VLOOKUP(C162,Ahorros_concentrado!B:D,3,FALSE),0)</f>
        <v>9576</v>
      </c>
      <c r="AH162" s="43">
        <f t="shared" ca="1" si="23"/>
        <v>9.9999154142493149E-2</v>
      </c>
      <c r="AI162" s="19" t="str">
        <f>IF(VLOOKUP(C162,ANTIGÜEDAD!A:AG,33,0)="Entregado","Vigente",IF(VLOOKUP(C162,ANTIGÜEDAD!A:AG,33,0)="Liquidado","Desertor sin mora",""))</f>
        <v>Vigente</v>
      </c>
      <c r="AJ162" s="98" t="str">
        <f t="shared" si="24"/>
        <v>000004601</v>
      </c>
    </row>
    <row r="163" spans="1:36" x14ac:dyDescent="0.3">
      <c r="A163" s="19" t="str">
        <f>VLOOKUP(C163,ANTIGÜEDAD!A:BJ,4,FALSE)</f>
        <v>JUAN EDMUNDO LUNA AGUILLON</v>
      </c>
      <c r="B163" s="19" t="str">
        <f>IFERROR(VLOOKUP(ANTIGÜEDAD!F162,'Parche Promotores'!A:B,2,0),ANTIGÜEDAD!F162)</f>
        <v>Sanchez Posada Jose Olimpo</v>
      </c>
      <c r="C163" s="6" t="str">
        <f>TEXT(ANTIGÜEDAD!I162,"000000")</f>
        <v>000037</v>
      </c>
      <c r="D163" s="6" t="str">
        <f>ANTIGÜEDAD!K162</f>
        <v>FANTASTICAS</v>
      </c>
      <c r="E163" s="29" t="str">
        <f>IFERROR(VLOOKUP(C163,'SITUACIÓN DE CARTERA'!A:AR,12,FALSE),VLOOKUP(C163,ANTIGÜEDAD!A:J,10,0))</f>
        <v>01</v>
      </c>
      <c r="F163" s="30">
        <f>VLOOKUP(C163,ANTIGÜEDAD!A:BE,17,FALSE)</f>
        <v>57000</v>
      </c>
      <c r="G163" s="30" t="str">
        <f>VLOOKUP(C163,ANTIGÜEDAD!A:BE,12,FALSE)</f>
        <v>MIGRADO</v>
      </c>
      <c r="H163" s="31">
        <f>VLOOKUP(C163,ANTIGÜEDAD!A:BE,14,FALSE)</f>
        <v>45896</v>
      </c>
      <c r="I163" s="19">
        <f>VLOOKUP(C163,ANTIGÜEDAD!A:BE,19,FALSE)</f>
        <v>16</v>
      </c>
      <c r="J163" s="31" t="str">
        <f>VLOOKUP(C163,ANTIGÜEDAD!A:BE,56,FALSE)</f>
        <v>Miércoles</v>
      </c>
      <c r="K163" s="32" t="str">
        <f>VLOOKUP(C163,ANTIGÜEDAD!A:BE,57,FALSE)</f>
        <v>12:00</v>
      </c>
      <c r="L163" s="19" t="str">
        <f>VLOOKUP(C163,ANTIGÜEDAD!A:BE,20,FALSE)</f>
        <v>Semanal</v>
      </c>
      <c r="M163" s="30">
        <f>VLOOKUP(C163,ANTIGÜEDAD!A:BE,21,FALSE)</f>
        <v>4332.04</v>
      </c>
      <c r="N163" s="33" t="str">
        <f>IFERROR(VLOOKUP(C163,'Reporte de cobranza'!G:BL,34,FALSE),"")</f>
        <v>05/11/2025</v>
      </c>
      <c r="O163" s="30">
        <f>IF(AI163="Desertor sin mora",0,VLOOKUP(C163,ANTIGÜEDAD!A:BJ,44,FALSE))</f>
        <v>30324.25</v>
      </c>
      <c r="P163" s="30">
        <f t="shared" si="33"/>
        <v>69312.639999999999</v>
      </c>
      <c r="Q163" s="30">
        <f t="shared" ca="1" si="21"/>
        <v>30324.28</v>
      </c>
      <c r="R163" s="30">
        <f>IF(AI163="Desertor sin mora",0,VLOOKUP(C163,ANTIGÜEDAD!A:BJ,26,FALSE))</f>
        <v>24937.5</v>
      </c>
      <c r="S163" s="30">
        <f t="shared" ca="1" si="26"/>
        <v>-2.9999999998835847E-2</v>
      </c>
      <c r="T163" s="30">
        <f>IF(V163&gt;0,IF(VLOOKUP(TEXT(C163,"000000"),Ahorros_concentrado!B:D,3,0)+F163*0.1&gt;V163,V163,VLOOKUP(TEXT(C163,"000000"),Ahorros_concentrado!B:D,3,0)+F163*0.1),0)</f>
        <v>0</v>
      </c>
      <c r="U163" s="30">
        <f t="shared" si="27"/>
        <v>0</v>
      </c>
      <c r="V163" s="30">
        <f>IF(AI163="Desertor sin mora",0,VLOOKUP(C163,'SITUACIÓN DE CARTERA'!A:AR,26,FALSE))</f>
        <v>0</v>
      </c>
      <c r="W163" s="134">
        <f>IF(AI163="Desertor sin mora",0,VLOOKUP(C163,'SITUACIÓN DE CARTERA'!A:AR,27,FALSE))/100</f>
        <v>0</v>
      </c>
      <c r="X163" s="30">
        <f>IF(V163&gt;0,VLOOKUP(C163,ANTIGÜEDAD!A:BE,26,FALSE),0)</f>
        <v>0</v>
      </c>
      <c r="Z163" s="34">
        <f>IF(AI163="Desertor sin mora",VLOOKUP(C163,ANTIGÜEDAD!A:Q,17,0)/AA163,F163/AA163)</f>
        <v>9500</v>
      </c>
      <c r="AA163" s="19">
        <f>IF(AI163="Desertor sin mora",VLOOKUP(C163,ANTIGÜEDAD!A:M,13,0),VLOOKUP(C163,'SITUACIÓN DE CARTERA'!A:AR,43,FALSE))</f>
        <v>6</v>
      </c>
      <c r="AB163" s="19">
        <f t="shared" ca="1" si="22"/>
        <v>9</v>
      </c>
      <c r="AC163" s="42">
        <f>IF(AI163="Desertor sin mora",0,(VLOOKUP(C163,'SITUACIÓN DE CARTERA'!A:AS,45,FALSE))/M163)</f>
        <v>9</v>
      </c>
      <c r="AD163" s="19">
        <f>IF(AI163="Desertor sin mora",0,VLOOKUP(C163,'Reporte de cobranza'!G:BL,35,FALSE))</f>
        <v>7</v>
      </c>
      <c r="AE163" s="19">
        <f>IF(AI163="Desertor sin mora",I163,VLOOKUP(C163,'Reporte de cobranza'!G:BL,36,FALSE))</f>
        <v>16</v>
      </c>
      <c r="AF163" s="19">
        <f>VLOOKUP(C163,ANTIGÜEDAD!A:BE,18,FALSE)</f>
        <v>0</v>
      </c>
      <c r="AG163" s="30">
        <f>IFERROR(VLOOKUP(C163,Ahorros_concentrado!B:D,3,FALSE),0)</f>
        <v>2042.6400000000003</v>
      </c>
      <c r="AH163" s="43">
        <f t="shared" ca="1" si="23"/>
        <v>5.2391021320209424E-2</v>
      </c>
      <c r="AI163" s="19" t="str">
        <f>IF(VLOOKUP(C163,ANTIGÜEDAD!A:AG,33,0)="Entregado","Vigente",IF(VLOOKUP(C163,ANTIGÜEDAD!A:AG,33,0)="Liquidado","Desertor sin mora",""))</f>
        <v>Vigente</v>
      </c>
      <c r="AJ163" s="98" t="str">
        <f t="shared" si="24"/>
        <v>000003701</v>
      </c>
    </row>
    <row r="164" spans="1:36" x14ac:dyDescent="0.3">
      <c r="A164" s="19" t="str">
        <f>VLOOKUP(C164,ANTIGÜEDAD!A:BJ,4,FALSE)</f>
        <v>IRVIN URIEL MORA VELAZCO</v>
      </c>
      <c r="B164" s="19" t="str">
        <f>IFERROR(VLOOKUP(ANTIGÜEDAD!F163,'Parche Promotores'!A:B,2,0),ANTIGÜEDAD!F163)</f>
        <v>Cuautle Pacheco Jheimy</v>
      </c>
      <c r="C164" s="6" t="str">
        <f>TEXT(ANTIGÜEDAD!I163,"000000")</f>
        <v>000172</v>
      </c>
      <c r="D164" s="6" t="str">
        <f>ANTIGÜEDAD!K163</f>
        <v>TROYA</v>
      </c>
      <c r="E164" s="29" t="str">
        <f>IFERROR(VLOOKUP(C164,'SITUACIÓN DE CARTERA'!A:AR,12,FALSE),VLOOKUP(C164,ANTIGÜEDAD!A:J,10,0))</f>
        <v>01</v>
      </c>
      <c r="F164" s="30">
        <f>VLOOKUP(C164,ANTIGÜEDAD!A:BE,17,FALSE)</f>
        <v>74000</v>
      </c>
      <c r="G164" s="30" t="str">
        <f>VLOOKUP(C164,ANTIGÜEDAD!A:BE,12,FALSE)</f>
        <v>MIGRADO</v>
      </c>
      <c r="H164" s="31">
        <f>VLOOKUP(C164,ANTIGÜEDAD!A:BE,14,FALSE)</f>
        <v>45951</v>
      </c>
      <c r="I164" s="19">
        <f>VLOOKUP(C164,ANTIGÜEDAD!A:BE,19,FALSE)</f>
        <v>16</v>
      </c>
      <c r="J164" s="31" t="str">
        <f>VLOOKUP(C164,ANTIGÜEDAD!A:BE,56,FALSE)</f>
        <v>Martes</v>
      </c>
      <c r="K164" s="32" t="str">
        <f>VLOOKUP(C164,ANTIGÜEDAD!A:BE,57,FALSE)</f>
        <v>10:00</v>
      </c>
      <c r="L164" s="19" t="str">
        <f>VLOOKUP(C164,ANTIGÜEDAD!A:BE,20,FALSE)</f>
        <v>Semanal</v>
      </c>
      <c r="M164" s="30">
        <f>VLOOKUP(C164,ANTIGÜEDAD!A:BE,21,FALSE)</f>
        <v>5624.05</v>
      </c>
      <c r="N164" s="33" t="str">
        <f>IFERROR(VLOOKUP(C164,'Reporte de cobranza'!G:BL,34,FALSE),"")</f>
        <v>04/11/2025</v>
      </c>
      <c r="O164" s="30">
        <f>IF(AI164="Desertor sin mora",0,VLOOKUP(C164,ANTIGÜEDAD!A:BJ,44,FALSE))</f>
        <v>84360.790000000008</v>
      </c>
      <c r="P164" s="30">
        <f t="shared" ref="P164" si="34">M164*16</f>
        <v>89984.8</v>
      </c>
      <c r="Q164" s="30">
        <f t="shared" ca="1" si="21"/>
        <v>84360.790000000008</v>
      </c>
      <c r="R164" s="30">
        <f>IF(AI164="Desertor sin mora",0,VLOOKUP(C164,ANTIGÜEDAD!A:BJ,26,FALSE))</f>
        <v>69375.06</v>
      </c>
      <c r="S164" s="30">
        <f t="shared" ca="1" si="26"/>
        <v>0</v>
      </c>
      <c r="T164" s="30">
        <f>IF(V164&gt;0,IF(VLOOKUP(TEXT(C164,"000000"),Ahorros_concentrado!B:D,3,0)+F164*0.1&gt;V164,V164,VLOOKUP(TEXT(C164,"000000"),Ahorros_concentrado!B:D,3,0)+F164*0.1),0)</f>
        <v>0</v>
      </c>
      <c r="U164" s="30">
        <f t="shared" si="27"/>
        <v>0</v>
      </c>
      <c r="V164" s="30">
        <f>IF(AI164="Desertor sin mora",0,VLOOKUP(C164,'SITUACIÓN DE CARTERA'!A:AR,26,FALSE))</f>
        <v>0</v>
      </c>
      <c r="W164" s="134">
        <f>IF(AI164="Desertor sin mora",0,VLOOKUP(C164,'SITUACIÓN DE CARTERA'!A:AR,27,FALSE))/100</f>
        <v>0</v>
      </c>
      <c r="X164" s="30">
        <f>IF(V164&gt;0,VLOOKUP(C164,ANTIGÜEDAD!A:BE,26,FALSE),0)</f>
        <v>0</v>
      </c>
      <c r="Z164" s="34">
        <f>IF(AI164="Desertor sin mora",VLOOKUP(C164,ANTIGÜEDAD!A:Q,17,0)/AA164,F164/AA164)</f>
        <v>14800</v>
      </c>
      <c r="AA164" s="19">
        <f>IF(AI164="Desertor sin mora",VLOOKUP(C164,ANTIGÜEDAD!A:M,13,0),VLOOKUP(C164,'SITUACIÓN DE CARTERA'!A:AR,43,FALSE))</f>
        <v>5</v>
      </c>
      <c r="AB164" s="19">
        <f t="shared" ca="1" si="22"/>
        <v>1</v>
      </c>
      <c r="AC164" s="42">
        <f>IF(AI164="Desertor sin mora",0,(VLOOKUP(C164,'SITUACIÓN DE CARTERA'!A:AS,45,FALSE))/M164)</f>
        <v>0.99999110960962312</v>
      </c>
      <c r="AD164" s="19">
        <f>IF(AI164="Desertor sin mora",0,VLOOKUP(C164,'Reporte de cobranza'!G:BL,35,FALSE))</f>
        <v>15</v>
      </c>
      <c r="AE164" s="19">
        <f>IF(AI164="Desertor sin mora",I164,VLOOKUP(C164,'Reporte de cobranza'!G:BL,36,FALSE))</f>
        <v>16</v>
      </c>
      <c r="AF164" s="19">
        <f>VLOOKUP(C164,ANTIGÜEDAD!A:BE,18,FALSE)</f>
        <v>0</v>
      </c>
      <c r="AG164" s="30">
        <f>IFERROR(VLOOKUP(C164,Ahorros_concentrado!B:D,3,FALSE),0)</f>
        <v>282</v>
      </c>
      <c r="AH164" s="43">
        <f t="shared" ca="1" si="23"/>
        <v>5.0141801726513807E-2</v>
      </c>
      <c r="AI164" s="19" t="str">
        <f>IF(VLOOKUP(C164,ANTIGÜEDAD!A:AG,33,0)="Entregado","Vigente",IF(VLOOKUP(C164,ANTIGÜEDAD!A:AG,33,0)="Liquidado","Desertor sin mora",""))</f>
        <v>Vigente</v>
      </c>
      <c r="AJ164" s="98" t="str">
        <f t="shared" si="24"/>
        <v>000017201</v>
      </c>
    </row>
    <row r="165" spans="1:36" x14ac:dyDescent="0.3">
      <c r="A165" s="19" t="str">
        <f>VLOOKUP(C165,ANTIGÜEDAD!A:BJ,4,FALSE)</f>
        <v>ADRIANA ALEJALDRE GUZMAN</v>
      </c>
      <c r="B165" s="19" t="str">
        <f>IFERROR(VLOOKUP(ANTIGÜEDAD!F164,'Parche Promotores'!A:B,2,0),ANTIGÜEDAD!F164)</f>
        <v>Juarez Palma Ma Ines</v>
      </c>
      <c r="C165" s="6" t="str">
        <f>TEXT(ANTIGÜEDAD!I164,"000000")</f>
        <v>000174</v>
      </c>
      <c r="D165" s="6" t="str">
        <f>ANTIGÜEDAD!K164</f>
        <v>ARBOLEDAS</v>
      </c>
      <c r="E165" s="29" t="str">
        <f>IFERROR(VLOOKUP(C165,'SITUACIÓN DE CARTERA'!A:AR,12,FALSE),VLOOKUP(C165,ANTIGÜEDAD!A:J,10,0))</f>
        <v>01</v>
      </c>
      <c r="F165" s="30">
        <f>VLOOKUP(C165,ANTIGÜEDAD!A:BE,17,FALSE)</f>
        <v>52000</v>
      </c>
      <c r="G165" s="30" t="str">
        <f>VLOOKUP(C165,ANTIGÜEDAD!A:BE,12,FALSE)</f>
        <v>MIGRADO</v>
      </c>
      <c r="H165" s="31">
        <f>VLOOKUP(C165,ANTIGÜEDAD!A:BE,14,FALSE)</f>
        <v>45952</v>
      </c>
      <c r="I165" s="19">
        <f>VLOOKUP(C165,ANTIGÜEDAD!A:BE,19,FALSE)</f>
        <v>16</v>
      </c>
      <c r="J165" s="31" t="str">
        <f>VLOOKUP(C165,ANTIGÜEDAD!A:BE,56,FALSE)</f>
        <v>Miércoles</v>
      </c>
      <c r="K165" s="32" t="str">
        <f>VLOOKUP(C165,ANTIGÜEDAD!A:BE,57,FALSE)</f>
        <v>14:00</v>
      </c>
      <c r="L165" s="19" t="str">
        <f>VLOOKUP(C165,ANTIGÜEDAD!A:BE,20,FALSE)</f>
        <v>Semanal</v>
      </c>
      <c r="M165" s="30">
        <f>VLOOKUP(C165,ANTIGÜEDAD!A:BE,21,FALSE)</f>
        <v>3952.03</v>
      </c>
      <c r="N165" s="33" t="str">
        <f>IFERROR(VLOOKUP(C165,'Reporte de cobranza'!G:BL,34,FALSE),"")</f>
        <v>05/11/2025</v>
      </c>
      <c r="O165" s="30">
        <f>IF(AI165="Desertor sin mora",0,VLOOKUP(C165,ANTIGÜEDAD!A:BJ,44,FALSE))</f>
        <v>59277.55</v>
      </c>
      <c r="P165" s="30">
        <f t="shared" ref="P165:P166" si="35">M165*16</f>
        <v>63232.480000000003</v>
      </c>
      <c r="Q165" s="30">
        <f t="shared" ca="1" si="21"/>
        <v>59280.450000000004</v>
      </c>
      <c r="R165" s="30">
        <f>IF(AI165="Desertor sin mora",0,VLOOKUP(C165,ANTIGÜEDAD!A:BJ,26,FALSE))</f>
        <v>48750</v>
      </c>
      <c r="S165" s="30">
        <f t="shared" ca="1" si="26"/>
        <v>-2.9000000000014552</v>
      </c>
      <c r="T165" s="30">
        <f>IF(V165&gt;0,IF(VLOOKUP(TEXT(C165,"000000"),Ahorros_concentrado!B:D,3,0)+F165*0.1&gt;V165,V165,VLOOKUP(TEXT(C165,"000000"),Ahorros_concentrado!B:D,3,0)+F165*0.1),0)</f>
        <v>0</v>
      </c>
      <c r="U165" s="30">
        <f t="shared" si="27"/>
        <v>0</v>
      </c>
      <c r="V165" s="30">
        <f>IF(AI165="Desertor sin mora",0,VLOOKUP(C165,'SITUACIÓN DE CARTERA'!A:AR,26,FALSE))</f>
        <v>0</v>
      </c>
      <c r="W165" s="134">
        <f>IF(AI165="Desertor sin mora",0,VLOOKUP(C165,'SITUACIÓN DE CARTERA'!A:AR,27,FALSE))/100</f>
        <v>0</v>
      </c>
      <c r="X165" s="30">
        <f>IF(V165&gt;0,VLOOKUP(C165,ANTIGÜEDAD!A:BE,26,FALSE),0)</f>
        <v>0</v>
      </c>
      <c r="Z165" s="34">
        <f>IF(AI165="Desertor sin mora",VLOOKUP(C165,ANTIGÜEDAD!A:Q,17,0)/AA165,F165/AA165)</f>
        <v>10400</v>
      </c>
      <c r="AA165" s="19">
        <f>IF(AI165="Desertor sin mora",VLOOKUP(C165,ANTIGÜEDAD!A:M,13,0),VLOOKUP(C165,'SITUACIÓN DE CARTERA'!A:AR,43,FALSE))</f>
        <v>5</v>
      </c>
      <c r="AB165" s="19">
        <f t="shared" ca="1" si="22"/>
        <v>1</v>
      </c>
      <c r="AC165" s="42">
        <f>IF(AI165="Desertor sin mora",0,(VLOOKUP(C165,'SITUACIÓN DE CARTERA'!A:AS,45,FALSE))/M165)</f>
        <v>1.000751512513822</v>
      </c>
      <c r="AD165" s="19">
        <f>IF(AI165="Desertor sin mora",0,VLOOKUP(C165,'Reporte de cobranza'!G:BL,35,FALSE))</f>
        <v>15</v>
      </c>
      <c r="AE165" s="19">
        <f>IF(AI165="Desertor sin mora",I165,VLOOKUP(C165,'Reporte de cobranza'!G:BL,36,FALSE))</f>
        <v>16</v>
      </c>
      <c r="AF165" s="19">
        <f>VLOOKUP(C165,ANTIGÜEDAD!A:BE,18,FALSE)</f>
        <v>0</v>
      </c>
      <c r="AG165" s="30">
        <f>IFERROR(VLOOKUP(C165,Ahorros_concentrado!B:D,3,FALSE),0)</f>
        <v>195</v>
      </c>
      <c r="AH165" s="43">
        <f t="shared" ca="1" si="23"/>
        <v>4.9341730705485531E-2</v>
      </c>
      <c r="AI165" s="19" t="str">
        <f>IF(VLOOKUP(C165,ANTIGÜEDAD!A:AG,33,0)="Entregado","Vigente",IF(VLOOKUP(C165,ANTIGÜEDAD!A:AG,33,0)="Liquidado","Desertor sin mora",""))</f>
        <v>Vigente</v>
      </c>
      <c r="AJ165" s="98" t="str">
        <f t="shared" si="24"/>
        <v>000017401</v>
      </c>
    </row>
    <row r="166" spans="1:36" x14ac:dyDescent="0.3">
      <c r="A166" s="19" t="str">
        <f>VLOOKUP(C166,ANTIGÜEDAD!A:BJ,4,FALSE)</f>
        <v>ADRIANA ALEJALDRE GUZMAN</v>
      </c>
      <c r="B166" s="19" t="str">
        <f>IFERROR(VLOOKUP(ANTIGÜEDAD!F165,'Parche Promotores'!A:B,2,0),ANTIGÜEDAD!F165)</f>
        <v>Lopez Cabrera Edith Alejandra</v>
      </c>
      <c r="C166" s="6" t="str">
        <f>TEXT(ANTIGÜEDAD!I165,"000000")</f>
        <v>000138</v>
      </c>
      <c r="D166" s="6" t="str">
        <f>ANTIGÜEDAD!K165</f>
        <v>XIMENA</v>
      </c>
      <c r="E166" s="29" t="str">
        <f>IFERROR(VLOOKUP(C166,'SITUACIÓN DE CARTERA'!A:AR,12,FALSE),VLOOKUP(C166,ANTIGÜEDAD!A:J,10,0))</f>
        <v>01</v>
      </c>
      <c r="F166" s="30">
        <f>VLOOKUP(C166,ANTIGÜEDAD!A:BE,17,FALSE)</f>
        <v>107000</v>
      </c>
      <c r="G166" s="30" t="str">
        <f>VLOOKUP(C166,ANTIGÜEDAD!A:BE,12,FALSE)</f>
        <v>MIGRADO</v>
      </c>
      <c r="H166" s="31">
        <f>VLOOKUP(C166,ANTIGÜEDAD!A:BE,14,FALSE)</f>
        <v>45937</v>
      </c>
      <c r="I166" s="19">
        <f>VLOOKUP(C166,ANTIGÜEDAD!A:BE,19,FALSE)</f>
        <v>16</v>
      </c>
      <c r="J166" s="31" t="str">
        <f>VLOOKUP(C166,ANTIGÜEDAD!A:BE,56,FALSE)</f>
        <v>Martes</v>
      </c>
      <c r="K166" s="32" t="str">
        <f>VLOOKUP(C166,ANTIGÜEDAD!A:BE,57,FALSE)</f>
        <v>13:00</v>
      </c>
      <c r="L166" s="19" t="str">
        <f>VLOOKUP(C166,ANTIGÜEDAD!A:BE,20,FALSE)</f>
        <v>Semanal</v>
      </c>
      <c r="M166" s="30">
        <f>VLOOKUP(C166,ANTIGÜEDAD!A:BE,21,FALSE)</f>
        <v>8132.0700000000006</v>
      </c>
      <c r="N166" s="33" t="str">
        <f>IFERROR(VLOOKUP(C166,'Reporte de cobranza'!G:BL,34,FALSE),"")</f>
        <v>04/11/2025</v>
      </c>
      <c r="O166" s="30">
        <f>IF(AI166="Desertor sin mora",0,VLOOKUP(C166,ANTIGÜEDAD!A:BJ,44,FALSE))</f>
        <v>105702.14</v>
      </c>
      <c r="P166" s="30">
        <f t="shared" si="35"/>
        <v>130113.12000000001</v>
      </c>
      <c r="Q166" s="30">
        <f t="shared" ca="1" si="21"/>
        <v>105716.91</v>
      </c>
      <c r="R166" s="30">
        <f>IF(AI166="Desertor sin mora",0,VLOOKUP(C166,ANTIGÜEDAD!A:BJ,26,FALSE))</f>
        <v>86937.5</v>
      </c>
      <c r="S166" s="30">
        <f t="shared" ca="1" si="26"/>
        <v>-14.770000000004075</v>
      </c>
      <c r="T166" s="30">
        <f>IF(V166&gt;0,IF(VLOOKUP(TEXT(C166,"000000"),Ahorros_concentrado!B:D,3,0)+F166*0.1&gt;V166,V166,VLOOKUP(TEXT(C166,"000000"),Ahorros_concentrado!B:D,3,0)+F166*0.1),0)</f>
        <v>0</v>
      </c>
      <c r="U166" s="30">
        <f t="shared" si="27"/>
        <v>0</v>
      </c>
      <c r="V166" s="30">
        <f>IF(AI166="Desertor sin mora",0,VLOOKUP(C166,'SITUACIÓN DE CARTERA'!A:AR,26,FALSE))</f>
        <v>0</v>
      </c>
      <c r="W166" s="134">
        <f>IF(AI166="Desertor sin mora",0,VLOOKUP(C166,'SITUACIÓN DE CARTERA'!A:AR,27,FALSE))/100</f>
        <v>0</v>
      </c>
      <c r="X166" s="30">
        <f>IF(V166&gt;0,VLOOKUP(C166,ANTIGÜEDAD!A:BE,26,FALSE),0)</f>
        <v>0</v>
      </c>
      <c r="Z166" s="34">
        <f>IF(AI166="Desertor sin mora",VLOOKUP(C166,ANTIGÜEDAD!A:Q,17,0)/AA166,F166/AA166)</f>
        <v>21400</v>
      </c>
      <c r="AA166" s="19">
        <f>IF(AI166="Desertor sin mora",VLOOKUP(C166,ANTIGÜEDAD!A:M,13,0),VLOOKUP(C166,'SITUACIÓN DE CARTERA'!A:AR,43,FALSE))</f>
        <v>5</v>
      </c>
      <c r="AB166" s="19">
        <f t="shared" ca="1" si="22"/>
        <v>3</v>
      </c>
      <c r="AC166" s="42">
        <f>IF(AI166="Desertor sin mora",0,(VLOOKUP(C166,'SITUACIÓN DE CARTERA'!A:AS,45,FALSE))/M166)</f>
        <v>3.0018187251216477</v>
      </c>
      <c r="AD166" s="19">
        <f>IF(AI166="Desertor sin mora",0,VLOOKUP(C166,'Reporte de cobranza'!G:BL,35,FALSE))</f>
        <v>13</v>
      </c>
      <c r="AE166" s="19">
        <f>IF(AI166="Desertor sin mora",I166,VLOOKUP(C166,'Reporte de cobranza'!G:BL,36,FALSE))</f>
        <v>16</v>
      </c>
      <c r="AF166" s="19">
        <f>VLOOKUP(C166,ANTIGÜEDAD!A:BE,18,FALSE)</f>
        <v>0</v>
      </c>
      <c r="AG166" s="30">
        <f>IFERROR(VLOOKUP(C166,Ahorros_concentrado!B:D,3,FALSE),0)</f>
        <v>1256</v>
      </c>
      <c r="AH166" s="43">
        <f t="shared" ca="1" si="23"/>
        <v>5.1483406643900831E-2</v>
      </c>
      <c r="AI166" s="19" t="str">
        <f>IF(VLOOKUP(C166,ANTIGÜEDAD!A:AG,33,0)="Entregado","Vigente",IF(VLOOKUP(C166,ANTIGÜEDAD!A:AG,33,0)="Liquidado","Desertor sin mora",""))</f>
        <v>Vigente</v>
      </c>
      <c r="AJ166" s="98" t="str">
        <f t="shared" si="24"/>
        <v>000013801</v>
      </c>
    </row>
    <row r="167" spans="1:36" x14ac:dyDescent="0.3">
      <c r="A167" s="19" t="str">
        <f>VLOOKUP(C167,ANTIGÜEDAD!A:BJ,4,FALSE)</f>
        <v>JUDITH PATRICIA SERRANO HERRER</v>
      </c>
      <c r="B167" s="19" t="str">
        <f>IFERROR(VLOOKUP(ANTIGÜEDAD!F166,'Parche Promotores'!A:B,2,0),ANTIGÜEDAD!F166)</f>
        <v>Becerril Aguirre Jonathan</v>
      </c>
      <c r="C167" s="6" t="str">
        <f>TEXT(ANTIGÜEDAD!I166,"000000")</f>
        <v>000074</v>
      </c>
      <c r="D167" s="6" t="str">
        <f>ANTIGÜEDAD!K166</f>
        <v>GALERIAS</v>
      </c>
      <c r="E167" s="29" t="str">
        <f>IFERROR(VLOOKUP(C167,'SITUACIÓN DE CARTERA'!A:AR,12,FALSE),VLOOKUP(C167,ANTIGÜEDAD!A:J,10,0))</f>
        <v>01</v>
      </c>
      <c r="F167" s="30">
        <f>VLOOKUP(C167,ANTIGÜEDAD!A:BE,17,FALSE)</f>
        <v>101000</v>
      </c>
      <c r="G167" s="30" t="str">
        <f>VLOOKUP(C167,ANTIGÜEDAD!A:BE,12,FALSE)</f>
        <v>MIGRADO</v>
      </c>
      <c r="H167" s="31">
        <f>VLOOKUP(C167,ANTIGÜEDAD!A:BE,14,FALSE)</f>
        <v>45911</v>
      </c>
      <c r="I167" s="19">
        <f>VLOOKUP(C167,ANTIGÜEDAD!A:BE,19,FALSE)</f>
        <v>16</v>
      </c>
      <c r="J167" s="31" t="str">
        <f>VLOOKUP(C167,ANTIGÜEDAD!A:BE,56,FALSE)</f>
        <v>Jueves</v>
      </c>
      <c r="K167" s="32" t="str">
        <f>VLOOKUP(C167,ANTIGÜEDAD!A:BE,57,FALSE)</f>
        <v>16:00</v>
      </c>
      <c r="L167" s="19" t="str">
        <f>VLOOKUP(C167,ANTIGÜEDAD!A:BE,20,FALSE)</f>
        <v>Semanal</v>
      </c>
      <c r="M167" s="30">
        <f>VLOOKUP(C167,ANTIGÜEDAD!A:BE,21,FALSE)</f>
        <v>7676.07</v>
      </c>
      <c r="N167" s="33" t="str">
        <f>IFERROR(VLOOKUP(C167,'Reporte de cobranza'!G:BL,34,FALSE),"")</f>
        <v>06/11/2025</v>
      </c>
      <c r="O167" s="30">
        <f>IF(AI167="Desertor sin mora",0,VLOOKUP(C167,ANTIGÜEDAD!A:BJ,44,FALSE))</f>
        <v>69085.08</v>
      </c>
      <c r="P167" s="30">
        <f t="shared" ref="P167:P170" si="36">M167*16</f>
        <v>122817.12</v>
      </c>
      <c r="Q167" s="30">
        <f t="shared" ca="1" si="21"/>
        <v>69085.08</v>
      </c>
      <c r="R167" s="30">
        <f>IF(AI167="Desertor sin mora",0,VLOOKUP(C167,ANTIGÜEDAD!A:BJ,26,FALSE))</f>
        <v>56812.959999999999</v>
      </c>
      <c r="S167" s="30">
        <f t="shared" ca="1" si="26"/>
        <v>0</v>
      </c>
      <c r="T167" s="30">
        <f>IF(V167&gt;0,IF(VLOOKUP(TEXT(C167,"000000"),Ahorros_concentrado!B:D,3,0)+F167*0.1&gt;V167,V167,VLOOKUP(TEXT(C167,"000000"),Ahorros_concentrado!B:D,3,0)+F167*0.1),0)</f>
        <v>0</v>
      </c>
      <c r="U167" s="30">
        <f t="shared" si="27"/>
        <v>0</v>
      </c>
      <c r="V167" s="30">
        <f>IF(AI167="Desertor sin mora",0,VLOOKUP(C167,'SITUACIÓN DE CARTERA'!A:AR,26,FALSE))</f>
        <v>0</v>
      </c>
      <c r="W167" s="134">
        <f>IF(AI167="Desertor sin mora",0,VLOOKUP(C167,'SITUACIÓN DE CARTERA'!A:AR,27,FALSE))/100</f>
        <v>0</v>
      </c>
      <c r="X167" s="30">
        <f>IF(V167&gt;0,VLOOKUP(C167,ANTIGÜEDAD!A:BE,26,FALSE),0)</f>
        <v>0</v>
      </c>
      <c r="Z167" s="34">
        <f>IF(AI167="Desertor sin mora",VLOOKUP(C167,ANTIGÜEDAD!A:Q,17,0)/AA167,F167/AA167)</f>
        <v>14428.571428571429</v>
      </c>
      <c r="AA167" s="19">
        <f>IF(AI167="Desertor sin mora",VLOOKUP(C167,ANTIGÜEDAD!A:M,13,0),VLOOKUP(C167,'SITUACIÓN DE CARTERA'!A:AR,43,FALSE))</f>
        <v>7</v>
      </c>
      <c r="AB167" s="19">
        <f t="shared" ref="AB167:AB177" ca="1" si="37">IF(AI167="Desertor sin mora",INT((TODAY()-H167)/7),AE167-AD167)</f>
        <v>7</v>
      </c>
      <c r="AC167" s="42">
        <f>IF(AI167="Desertor sin mora",0,(VLOOKUP(C167,'SITUACIÓN DE CARTERA'!A:AS,45,FALSE))/M167)</f>
        <v>6.9999361652512295</v>
      </c>
      <c r="AD167" s="19">
        <f>IF(AI167="Desertor sin mora",0,VLOOKUP(C167,'Reporte de cobranza'!G:BL,35,FALSE))</f>
        <v>9</v>
      </c>
      <c r="AE167" s="19">
        <f>IF(AI167="Desertor sin mora",I167,VLOOKUP(C167,'Reporte de cobranza'!G:BL,36,FALSE))</f>
        <v>16</v>
      </c>
      <c r="AF167" s="19">
        <f>VLOOKUP(C167,ANTIGÜEDAD!A:BE,18,FALSE)</f>
        <v>0</v>
      </c>
      <c r="AG167" s="30">
        <f>IFERROR(VLOOKUP(C167,Ahorros_concentrado!B:D,3,FALSE),0)</f>
        <v>4200</v>
      </c>
      <c r="AH167" s="43">
        <f t="shared" ref="AH167:AH177" ca="1" si="38">IFERROR((AG167/M167)/AB167,0)</f>
        <v>7.8164998495323781E-2</v>
      </c>
      <c r="AI167" s="19" t="str">
        <f>IF(VLOOKUP(C167,ANTIGÜEDAD!A:AG,33,0)="Entregado","Vigente",IF(VLOOKUP(C167,ANTIGÜEDAD!A:AG,33,0)="Liquidado","Desertor sin mora",""))</f>
        <v>Vigente</v>
      </c>
      <c r="AJ167" s="98" t="str">
        <f t="shared" ref="AJ167:AJ177" si="39">"0"&amp;TEXT(C167,"000000")&amp;TEXT(E167,"00")</f>
        <v>000007401</v>
      </c>
    </row>
    <row r="168" spans="1:36" x14ac:dyDescent="0.3">
      <c r="A168" s="19" t="str">
        <f>VLOOKUP(C168,ANTIGÜEDAD!A:BJ,4,FALSE)</f>
        <v>JUDITH PATRICIA SERRANO HERRER</v>
      </c>
      <c r="B168" s="19" t="str">
        <f>IFERROR(VLOOKUP(ANTIGÜEDAD!F167,'Parche Promotores'!A:B,2,0),ANTIGÜEDAD!F167)</f>
        <v>Cabrera Flores Viridiana</v>
      </c>
      <c r="C168" s="6" t="str">
        <f>TEXT(ANTIGÜEDAD!I167,"000000")</f>
        <v>000203</v>
      </c>
      <c r="D168" s="6" t="str">
        <f>ANTIGÜEDAD!K167</f>
        <v>CONSTRUYENDO EL FUTURO</v>
      </c>
      <c r="E168" s="29" t="str">
        <f>IFERROR(VLOOKUP(C168,'SITUACIÓN DE CARTERA'!A:AR,12,FALSE),VLOOKUP(C168,ANTIGÜEDAD!A:J,10,0))</f>
        <v>01</v>
      </c>
      <c r="F168" s="30">
        <f>VLOOKUP(C168,ANTIGÜEDAD!A:BE,17,FALSE)</f>
        <v>88000</v>
      </c>
      <c r="G168" s="30" t="str">
        <f>VLOOKUP(C168,ANTIGÜEDAD!A:BE,12,FALSE)</f>
        <v>MIGRADO</v>
      </c>
      <c r="H168" s="31">
        <f>VLOOKUP(C168,ANTIGÜEDAD!A:BE,14,FALSE)</f>
        <v>45961</v>
      </c>
      <c r="I168" s="19">
        <f>VLOOKUP(C168,ANTIGÜEDAD!A:BE,19,FALSE)</f>
        <v>16</v>
      </c>
      <c r="J168" s="31" t="str">
        <f>VLOOKUP(C168,ANTIGÜEDAD!A:BE,56,FALSE)</f>
        <v>Viernes</v>
      </c>
      <c r="K168" s="32" t="str">
        <f>VLOOKUP(C168,ANTIGÜEDAD!A:BE,57,FALSE)</f>
        <v>11:00</v>
      </c>
      <c r="L168" s="19" t="str">
        <f>VLOOKUP(C168,ANTIGÜEDAD!A:BE,20,FALSE)</f>
        <v>Semanal</v>
      </c>
      <c r="M168" s="30">
        <f>VLOOKUP(C168,ANTIGÜEDAD!A:BE,21,FALSE)</f>
        <v>6688.06</v>
      </c>
      <c r="N168" s="33" t="str">
        <f>IFERROR(VLOOKUP(C168,'Reporte de cobranza'!G:BL,34,FALSE),"")</f>
        <v>07/11/2025</v>
      </c>
      <c r="O168" s="30">
        <f>IF(AI168="Desertor sin mora",0,VLOOKUP(C168,ANTIGÜEDAD!A:BJ,44,FALSE))</f>
        <v>107008.94</v>
      </c>
      <c r="P168" s="30">
        <f t="shared" si="36"/>
        <v>107008.96000000001</v>
      </c>
      <c r="Q168" s="30">
        <f t="shared" ca="1" si="21"/>
        <v>107008.96000000001</v>
      </c>
      <c r="R168" s="30">
        <f>IF(AI168="Desertor sin mora",0,VLOOKUP(C168,ANTIGÜEDAD!A:BJ,26,FALSE))</f>
        <v>88000</v>
      </c>
      <c r="S168" s="30">
        <f t="shared" ca="1" si="26"/>
        <v>-2.0000000004074536E-2</v>
      </c>
      <c r="T168" s="30">
        <f>IF(V168&gt;0,IF(VLOOKUP(TEXT(C168,"000000"),Ahorros_concentrado!B:D,3,0)+F168*0.1&gt;V168,V168,VLOOKUP(TEXT(C168,"000000"),Ahorros_concentrado!B:D,3,0)+F168*0.1),0)</f>
        <v>0</v>
      </c>
      <c r="U168" s="30">
        <f t="shared" si="27"/>
        <v>0</v>
      </c>
      <c r="V168" s="30">
        <f>IF(AI168="Desertor sin mora",0,VLOOKUP(C168,'SITUACIÓN DE CARTERA'!A:AR,26,FALSE))</f>
        <v>0</v>
      </c>
      <c r="W168" s="134">
        <f>IF(AI168="Desertor sin mora",0,VLOOKUP(C168,'SITUACIÓN DE CARTERA'!A:AR,27,FALSE))/100</f>
        <v>0</v>
      </c>
      <c r="X168" s="30">
        <f>IF(V168&gt;0,VLOOKUP(C168,ANTIGÜEDAD!A:BE,26,FALSE),0)</f>
        <v>0</v>
      </c>
      <c r="Z168" s="34">
        <f>IF(AI168="Desertor sin mora",VLOOKUP(C168,ANTIGÜEDAD!A:Q,17,0)/AA168,F168/AA168)</f>
        <v>17600</v>
      </c>
      <c r="AA168" s="19">
        <f>IF(AI168="Desertor sin mora",VLOOKUP(C168,ANTIGÜEDAD!A:M,13,0),VLOOKUP(C168,'SITUACIÓN DE CARTERA'!A:AR,43,FALSE))</f>
        <v>5</v>
      </c>
      <c r="AB168" s="19">
        <f t="shared" ca="1" si="37"/>
        <v>0</v>
      </c>
      <c r="AC168" s="42">
        <f>IF(AI168="Desertor sin mora",0,(VLOOKUP(C168,'SITUACIÓN DE CARTERA'!A:AS,45,FALSE))/M168)</f>
        <v>0</v>
      </c>
      <c r="AD168" s="19">
        <f>IF(AI168="Desertor sin mora",0,VLOOKUP(C168,'Reporte de cobranza'!G:BL,35,FALSE))</f>
        <v>16</v>
      </c>
      <c r="AE168" s="19">
        <f>IF(AI168="Desertor sin mora",I168,VLOOKUP(C168,'Reporte de cobranza'!G:BL,36,FALSE))</f>
        <v>16</v>
      </c>
      <c r="AF168" s="19">
        <f>VLOOKUP(C168,ANTIGÜEDAD!A:BE,18,FALSE)</f>
        <v>0</v>
      </c>
      <c r="AG168" s="30">
        <f>IFERROR(VLOOKUP(C168,Ahorros_concentrado!B:D,3,FALSE),0)</f>
        <v>0</v>
      </c>
      <c r="AH168" s="43">
        <f t="shared" ca="1" si="38"/>
        <v>0</v>
      </c>
      <c r="AI168" s="19" t="str">
        <f>IF(VLOOKUP(C168,ANTIGÜEDAD!A:AG,33,0)="Entregado","Vigente",IF(VLOOKUP(C168,ANTIGÜEDAD!A:AG,33,0)="Liquidado","Desertor sin mora",""))</f>
        <v>Vigente</v>
      </c>
      <c r="AJ168" s="98" t="str">
        <f t="shared" si="39"/>
        <v>000020301</v>
      </c>
    </row>
    <row r="169" spans="1:36" x14ac:dyDescent="0.3">
      <c r="A169" s="19" t="str">
        <f>VLOOKUP(C169,ANTIGÜEDAD!A:BJ,4,FALSE)</f>
        <v>ADRIANA ALEJALDRE GUZMAN</v>
      </c>
      <c r="B169" s="19" t="str">
        <f>IFERROR(VLOOKUP(ANTIGÜEDAD!F168,'Parche Promotores'!A:B,2,0),ANTIGÜEDAD!F168)</f>
        <v>Lopez Cabrera Edith Alejandra</v>
      </c>
      <c r="C169" s="6" t="str">
        <f>TEXT(ANTIGÜEDAD!I168,"000000")</f>
        <v>000206</v>
      </c>
      <c r="D169" s="6" t="str">
        <f>ANTIGÜEDAD!K168</f>
        <v>PALMITAS</v>
      </c>
      <c r="E169" s="29" t="str">
        <f>IFERROR(VLOOKUP(C169,'SITUACIÓN DE CARTERA'!A:AR,12,FALSE),VLOOKUP(C169,ANTIGÜEDAD!A:J,10,0))</f>
        <v>01</v>
      </c>
      <c r="F169" s="30">
        <f>VLOOKUP(C169,ANTIGÜEDAD!A:BE,17,FALSE)</f>
        <v>51000</v>
      </c>
      <c r="G169" s="30" t="str">
        <f>VLOOKUP(C169,ANTIGÜEDAD!A:BE,12,FALSE)</f>
        <v>MIGRADO</v>
      </c>
      <c r="H169" s="31">
        <f>VLOOKUP(C169,ANTIGÜEDAD!A:BE,14,FALSE)</f>
        <v>45961</v>
      </c>
      <c r="I169" s="19">
        <f>VLOOKUP(C169,ANTIGÜEDAD!A:BE,19,FALSE)</f>
        <v>16</v>
      </c>
      <c r="J169" s="31" t="str">
        <f>VLOOKUP(C169,ANTIGÜEDAD!A:BE,56,FALSE)</f>
        <v>Viernes</v>
      </c>
      <c r="K169" s="32" t="str">
        <f>VLOOKUP(C169,ANTIGÜEDAD!A:BE,57,FALSE)</f>
        <v>11:00</v>
      </c>
      <c r="L169" s="19" t="str">
        <f>VLOOKUP(C169,ANTIGÜEDAD!A:BE,20,FALSE)</f>
        <v>Semanal</v>
      </c>
      <c r="M169" s="30">
        <f>VLOOKUP(C169,ANTIGÜEDAD!A:BE,21,FALSE)</f>
        <v>3876.03</v>
      </c>
      <c r="N169" s="33" t="str">
        <f>IFERROR(VLOOKUP(C169,'Reporte de cobranza'!G:BL,34,FALSE),"")</f>
        <v>07/11/2025</v>
      </c>
      <c r="O169" s="30">
        <f>IF(AI169="Desertor sin mora",0,VLOOKUP(C169,ANTIGÜEDAD!A:BJ,44,FALSE))</f>
        <v>62016.54</v>
      </c>
      <c r="P169" s="30">
        <f t="shared" si="36"/>
        <v>62016.480000000003</v>
      </c>
      <c r="Q169" s="30">
        <f t="shared" ca="1" si="21"/>
        <v>62016.54</v>
      </c>
      <c r="R169" s="30">
        <f>IF(AI169="Desertor sin mora",0,VLOOKUP(C169,ANTIGÜEDAD!A:BJ,26,FALSE))</f>
        <v>51000</v>
      </c>
      <c r="S169" s="30">
        <f t="shared" ca="1" si="26"/>
        <v>0</v>
      </c>
      <c r="T169" s="30">
        <f>IF(V169&gt;0,IF(VLOOKUP(TEXT(C169,"000000"),Ahorros_concentrado!B:D,3,0)+F169*0.1&gt;V169,V169,VLOOKUP(TEXT(C169,"000000"),Ahorros_concentrado!B:D,3,0)+F169*0.1),0)</f>
        <v>0</v>
      </c>
      <c r="U169" s="30">
        <f t="shared" si="27"/>
        <v>0</v>
      </c>
      <c r="V169" s="30">
        <f>IF(AI169="Desertor sin mora",0,VLOOKUP(C169,'SITUACIÓN DE CARTERA'!A:AR,26,FALSE))</f>
        <v>0</v>
      </c>
      <c r="W169" s="134">
        <f>IF(AI169="Desertor sin mora",0,VLOOKUP(C169,'SITUACIÓN DE CARTERA'!A:AR,27,FALSE))/100</f>
        <v>0</v>
      </c>
      <c r="X169" s="30">
        <f>IF(V169&gt;0,VLOOKUP(C169,ANTIGÜEDAD!A:BE,26,FALSE),0)</f>
        <v>0</v>
      </c>
      <c r="Z169" s="34">
        <f>IF(AI169="Desertor sin mora",VLOOKUP(C169,ANTIGÜEDAD!A:Q,17,0)/AA169,F169/AA169)</f>
        <v>8500</v>
      </c>
      <c r="AA169" s="19">
        <f>IF(AI169="Desertor sin mora",VLOOKUP(C169,ANTIGÜEDAD!A:M,13,0),VLOOKUP(C169,'SITUACIÓN DE CARTERA'!A:AR,43,FALSE))</f>
        <v>6</v>
      </c>
      <c r="AB169" s="19">
        <f t="shared" ca="1" si="37"/>
        <v>0</v>
      </c>
      <c r="AC169" s="42">
        <f>IF(AI169="Desertor sin mora",0,(VLOOKUP(C169,'SITUACIÓN DE CARTERA'!A:AS,45,FALSE))/M169)</f>
        <v>0</v>
      </c>
      <c r="AD169" s="19">
        <f>IF(AI169="Desertor sin mora",0,VLOOKUP(C169,'Reporte de cobranza'!G:BL,35,FALSE))</f>
        <v>16</v>
      </c>
      <c r="AE169" s="19">
        <f>IF(AI169="Desertor sin mora",I169,VLOOKUP(C169,'Reporte de cobranza'!G:BL,36,FALSE))</f>
        <v>16</v>
      </c>
      <c r="AF169" s="19">
        <f>VLOOKUP(C169,ANTIGÜEDAD!A:BE,18,FALSE)</f>
        <v>0</v>
      </c>
      <c r="AG169" s="30">
        <f>IFERROR(VLOOKUP(C169,Ahorros_concentrado!B:D,3,FALSE),0)</f>
        <v>0</v>
      </c>
      <c r="AH169" s="43">
        <f t="shared" ca="1" si="38"/>
        <v>0</v>
      </c>
      <c r="AI169" s="19" t="str">
        <f>IF(VLOOKUP(C169,ANTIGÜEDAD!A:AG,33,0)="Entregado","Vigente",IF(VLOOKUP(C169,ANTIGÜEDAD!A:AG,33,0)="Liquidado","Desertor sin mora",""))</f>
        <v>Vigente</v>
      </c>
      <c r="AJ169" s="98" t="str">
        <f t="shared" si="39"/>
        <v>000020601</v>
      </c>
    </row>
    <row r="170" spans="1:36" x14ac:dyDescent="0.3">
      <c r="A170" s="19" t="str">
        <f>VLOOKUP(C170,ANTIGÜEDAD!A:BJ,4,FALSE)</f>
        <v>IRVIN URIEL MORA VELAZCO</v>
      </c>
      <c r="B170" s="19" t="str">
        <f>IFERROR(VLOOKUP(ANTIGÜEDAD!F169,'Parche Promotores'!A:B,2,0),ANTIGÜEDAD!F169)</f>
        <v>Olivares Morales Josue Edgar</v>
      </c>
      <c r="C170" s="6" t="str">
        <f>TEXT(ANTIGÜEDAD!I169,"000000")</f>
        <v>000112</v>
      </c>
      <c r="D170" s="6" t="str">
        <f>ANTIGÜEDAD!K169</f>
        <v>HALCONES</v>
      </c>
      <c r="E170" s="29" t="str">
        <f>IFERROR(VLOOKUP(C170,'SITUACIÓN DE CARTERA'!A:AR,12,FALSE),VLOOKUP(C170,ANTIGÜEDAD!A:J,10,0))</f>
        <v>01</v>
      </c>
      <c r="F170" s="30">
        <f>VLOOKUP(C170,ANTIGÜEDAD!A:BE,17,FALSE)</f>
        <v>43000</v>
      </c>
      <c r="G170" s="30" t="str">
        <f>VLOOKUP(C170,ANTIGÜEDAD!A:BE,12,FALSE)</f>
        <v>MIGRADO</v>
      </c>
      <c r="H170" s="31">
        <f>VLOOKUP(C170,ANTIGÜEDAD!A:BE,14,FALSE)</f>
        <v>45925</v>
      </c>
      <c r="I170" s="19">
        <f>VLOOKUP(C170,ANTIGÜEDAD!A:BE,19,FALSE)</f>
        <v>16</v>
      </c>
      <c r="J170" s="31" t="str">
        <f>VLOOKUP(C170,ANTIGÜEDAD!A:BE,56,FALSE)</f>
        <v>Viernes</v>
      </c>
      <c r="K170" s="32" t="str">
        <f>VLOOKUP(C170,ANTIGÜEDAD!A:BE,57,FALSE)</f>
        <v>13:00</v>
      </c>
      <c r="L170" s="19" t="str">
        <f>VLOOKUP(C170,ANTIGÜEDAD!A:BE,20,FALSE)</f>
        <v>Semanal</v>
      </c>
      <c r="M170" s="30">
        <f>VLOOKUP(C170,ANTIGÜEDAD!A:BE,21,FALSE)</f>
        <v>3268.03</v>
      </c>
      <c r="N170" s="33" t="str">
        <f>IFERROR(VLOOKUP(C170,'Reporte de cobranza'!G:BL,34,FALSE),"")</f>
        <v>07/11/2025</v>
      </c>
      <c r="O170" s="30">
        <f>IF(AI170="Desertor sin mora",0,VLOOKUP(C170,ANTIGÜEDAD!A:BJ,44,FALSE))</f>
        <v>35947.46</v>
      </c>
      <c r="P170" s="30">
        <f t="shared" si="36"/>
        <v>52288.480000000003</v>
      </c>
      <c r="Q170" s="30">
        <f t="shared" ca="1" si="21"/>
        <v>35948.33</v>
      </c>
      <c r="R170" s="30">
        <f>IF(AI170="Desertor sin mora",0,VLOOKUP(C170,ANTIGÜEDAD!A:BJ,26,FALSE))</f>
        <v>29562.5</v>
      </c>
      <c r="S170" s="30">
        <f t="shared" ca="1" si="26"/>
        <v>-0.87000000000261934</v>
      </c>
      <c r="T170" s="30">
        <f>IF(V170&gt;0,IF(VLOOKUP(TEXT(C170,"000000"),Ahorros_concentrado!B:D,3,0)+F170*0.1&gt;V170,V170,VLOOKUP(TEXT(C170,"000000"),Ahorros_concentrado!B:D,3,0)+F170*0.1),0)</f>
        <v>0</v>
      </c>
      <c r="U170" s="30">
        <f t="shared" si="27"/>
        <v>0</v>
      </c>
      <c r="V170" s="30">
        <f>IF(AI170="Desertor sin mora",0,VLOOKUP(C170,'SITUACIÓN DE CARTERA'!A:AR,26,FALSE))</f>
        <v>0</v>
      </c>
      <c r="W170" s="134">
        <f>IF(AI170="Desertor sin mora",0,VLOOKUP(C170,'SITUACIÓN DE CARTERA'!A:AR,27,FALSE))/100</f>
        <v>0</v>
      </c>
      <c r="X170" s="30">
        <f>IF(V170&gt;0,VLOOKUP(C170,ANTIGÜEDAD!A:BE,26,FALSE),0)</f>
        <v>0</v>
      </c>
      <c r="Z170" s="34">
        <f>IF(AI170="Desertor sin mora",VLOOKUP(C170,ANTIGÜEDAD!A:Q,17,0)/AA170,F170/AA170)</f>
        <v>8600</v>
      </c>
      <c r="AA170" s="19">
        <f>IF(AI170="Desertor sin mora",VLOOKUP(C170,ANTIGÜEDAD!A:M,13,0),VLOOKUP(C170,'SITUACIÓN DE CARTERA'!A:AR,43,FALSE))</f>
        <v>5</v>
      </c>
      <c r="AB170" s="19">
        <f t="shared" ca="1" si="37"/>
        <v>5</v>
      </c>
      <c r="AC170" s="42">
        <f>IF(AI170="Desertor sin mora",0,(VLOOKUP(C170,'SITUACIÓN DE CARTERA'!A:AS,45,FALSE))/M170)</f>
        <v>5.0002600955315586</v>
      </c>
      <c r="AD170" s="19">
        <f>IF(AI170="Desertor sin mora",0,VLOOKUP(C170,'Reporte de cobranza'!G:BL,35,FALSE))</f>
        <v>11</v>
      </c>
      <c r="AE170" s="19">
        <f>IF(AI170="Desertor sin mora",I170,VLOOKUP(C170,'Reporte de cobranza'!G:BL,36,FALSE))</f>
        <v>16</v>
      </c>
      <c r="AF170" s="19">
        <f>VLOOKUP(C170,ANTIGÜEDAD!A:BE,18,FALSE)</f>
        <v>0</v>
      </c>
      <c r="AG170" s="30">
        <f>IFERROR(VLOOKUP(C170,Ahorros_concentrado!B:D,3,FALSE),0)</f>
        <v>902</v>
      </c>
      <c r="AH170" s="43">
        <f t="shared" ca="1" si="38"/>
        <v>5.5201451639060838E-2</v>
      </c>
      <c r="AI170" s="19" t="str">
        <f>IF(VLOOKUP(C170,ANTIGÜEDAD!A:AG,33,0)="Entregado","Vigente",IF(VLOOKUP(C170,ANTIGÜEDAD!A:AG,33,0)="Liquidado","Desertor sin mora",""))</f>
        <v>Vigente</v>
      </c>
      <c r="AJ170" s="98" t="str">
        <f t="shared" si="39"/>
        <v>000011201</v>
      </c>
    </row>
    <row r="171" spans="1:36" x14ac:dyDescent="0.3">
      <c r="A171" s="19" t="str">
        <f>VLOOKUP(C171,ANTIGÜEDAD!A:BJ,4,FALSE)</f>
        <v>JUAN EDMUNDO LUNA AGUILLON</v>
      </c>
      <c r="B171" s="19" t="str">
        <f>IFERROR(VLOOKUP(ANTIGÜEDAD!F170,'Parche Promotores'!A:B,2,0),ANTIGÜEDAD!F170)</f>
        <v>Martinez Bañuelos Nallely Sarahi</v>
      </c>
      <c r="C171" s="6" t="str">
        <f>TEXT(ANTIGÜEDAD!I170,"000000")</f>
        <v>000020</v>
      </c>
      <c r="D171" s="6" t="str">
        <f>ANTIGÜEDAD!K170</f>
        <v>CERECITAS</v>
      </c>
      <c r="E171" s="29" t="str">
        <f>IFERROR(VLOOKUP(C171,'SITUACIÓN DE CARTERA'!A:AR,12,FALSE),VLOOKUP(C171,ANTIGÜEDAD!A:J,10,0))</f>
        <v>01</v>
      </c>
      <c r="F171" s="30">
        <f>VLOOKUP(C171,ANTIGÜEDAD!A:BE,17,FALSE)</f>
        <v>180000</v>
      </c>
      <c r="G171" s="30" t="str">
        <f>VLOOKUP(C171,ANTIGÜEDAD!A:BE,12,FALSE)</f>
        <v>MIGRADO</v>
      </c>
      <c r="H171" s="31">
        <f>VLOOKUP(C171,ANTIGÜEDAD!A:BE,14,FALSE)</f>
        <v>45889</v>
      </c>
      <c r="I171" s="19">
        <f>VLOOKUP(C171,ANTIGÜEDAD!A:BE,19,FALSE)</f>
        <v>16</v>
      </c>
      <c r="J171" s="31" t="str">
        <f>VLOOKUP(C171,ANTIGÜEDAD!A:BE,56,FALSE)</f>
        <v>Miércoles</v>
      </c>
      <c r="K171" s="32" t="str">
        <f>VLOOKUP(C171,ANTIGÜEDAD!A:BE,57,FALSE)</f>
        <v>05:00</v>
      </c>
      <c r="L171" s="19" t="str">
        <f>VLOOKUP(C171,ANTIGÜEDAD!A:BE,20,FALSE)</f>
        <v>Semanal</v>
      </c>
      <c r="M171" s="30">
        <f>VLOOKUP(C171,ANTIGÜEDAD!A:BE,21,FALSE)</f>
        <v>13680.12</v>
      </c>
      <c r="N171" s="33" t="str">
        <f>IFERROR(VLOOKUP(C171,'Reporte de cobranza'!G:BL,34,FALSE),"")</f>
        <v>05/11/2025</v>
      </c>
      <c r="O171" s="30">
        <f>IF(AI171="Desertor sin mora",0,VLOOKUP(C171,ANTIGÜEDAD!A:BJ,44,FALSE))</f>
        <v>82080.72</v>
      </c>
      <c r="P171" s="30">
        <f t="shared" ref="P171:P174" si="40">M171*16</f>
        <v>218881.92000000001</v>
      </c>
      <c r="Q171" s="30">
        <f t="shared" ca="1" si="21"/>
        <v>82080.72</v>
      </c>
      <c r="R171" s="30">
        <f>IF(AI171="Desertor sin mora",0,VLOOKUP(C171,ANTIGÜEDAD!A:BJ,26,FALSE))</f>
        <v>67500.009999999995</v>
      </c>
      <c r="S171" s="30">
        <f t="shared" ca="1" si="26"/>
        <v>0</v>
      </c>
      <c r="T171" s="30">
        <f>IF(V171&gt;0,IF(VLOOKUP(TEXT(C171,"000000"),Ahorros_concentrado!B:D,3,0)+F171*0.1&gt;V171,V171,VLOOKUP(TEXT(C171,"000000"),Ahorros_concentrado!B:D,3,0)+F171*0.1),0)</f>
        <v>0</v>
      </c>
      <c r="U171" s="30">
        <f t="shared" si="27"/>
        <v>0</v>
      </c>
      <c r="V171" s="30">
        <f>IF(AI171="Desertor sin mora",0,VLOOKUP(C171,'SITUACIÓN DE CARTERA'!A:AR,26,FALSE))</f>
        <v>0</v>
      </c>
      <c r="W171" s="134">
        <f>IF(AI171="Desertor sin mora",0,VLOOKUP(C171,'SITUACIÓN DE CARTERA'!A:AR,27,FALSE))/100</f>
        <v>0</v>
      </c>
      <c r="X171" s="30">
        <f>IF(V171&gt;0,VLOOKUP(C171,ANTIGÜEDAD!A:BE,26,FALSE),0)</f>
        <v>0</v>
      </c>
      <c r="Z171" s="34">
        <f>IF(AI171="Desertor sin mora",VLOOKUP(C171,ANTIGÜEDAD!A:Q,17,0)/AA171,F171/AA171)</f>
        <v>30000</v>
      </c>
      <c r="AA171" s="19">
        <f>IF(AI171="Desertor sin mora",VLOOKUP(C171,ANTIGÜEDAD!A:M,13,0),VLOOKUP(C171,'SITUACIÓN DE CARTERA'!A:AR,43,FALSE))</f>
        <v>6</v>
      </c>
      <c r="AB171" s="19">
        <f t="shared" ca="1" si="37"/>
        <v>10</v>
      </c>
      <c r="AC171" s="42">
        <f>IF(AI171="Desertor sin mora",0,(VLOOKUP(C171,'SITUACIÓN DE CARTERA'!A:AS,45,FALSE))/M171)</f>
        <v>10</v>
      </c>
      <c r="AD171" s="19">
        <f>IF(AI171="Desertor sin mora",0,VLOOKUP(C171,'Reporte de cobranza'!G:BL,35,FALSE))</f>
        <v>6</v>
      </c>
      <c r="AE171" s="19">
        <f>IF(AI171="Desertor sin mora",I171,VLOOKUP(C171,'Reporte de cobranza'!G:BL,36,FALSE))</f>
        <v>16</v>
      </c>
      <c r="AF171" s="19">
        <f>VLOOKUP(C171,ANTIGÜEDAD!A:BE,18,FALSE)</f>
        <v>0</v>
      </c>
      <c r="AG171" s="30">
        <f>IFERROR(VLOOKUP(C171,Ahorros_concentrado!B:D,3,FALSE),0)</f>
        <v>6938.799999999992</v>
      </c>
      <c r="AH171" s="43">
        <f t="shared" ca="1" si="38"/>
        <v>5.0721777294351157E-2</v>
      </c>
      <c r="AI171" s="19" t="str">
        <f>IF(VLOOKUP(C171,ANTIGÜEDAD!A:AG,33,0)="Entregado","Vigente",IF(VLOOKUP(C171,ANTIGÜEDAD!A:AG,33,0)="Liquidado","Desertor sin mora",""))</f>
        <v>Vigente</v>
      </c>
      <c r="AJ171" s="98" t="str">
        <f t="shared" si="39"/>
        <v>000002001</v>
      </c>
    </row>
    <row r="172" spans="1:36" x14ac:dyDescent="0.3">
      <c r="A172" s="19" t="str">
        <f>VLOOKUP(C172,ANTIGÜEDAD!A:BJ,4,FALSE)</f>
        <v>ADRIANA ALEJALDRE GUZMAN</v>
      </c>
      <c r="B172" s="19" t="str">
        <f>IFERROR(VLOOKUP(ANTIGÜEDAD!F171,'Parche Promotores'!A:B,2,0),ANTIGÜEDAD!F171)</f>
        <v>Contreras Martinez Jose Luis</v>
      </c>
      <c r="C172" s="6" t="str">
        <f>TEXT(ANTIGÜEDAD!I171,"000000")</f>
        <v>000004</v>
      </c>
      <c r="D172" s="6" t="str">
        <f>ANTIGÜEDAD!K171</f>
        <v>ORQUIDEAS</v>
      </c>
      <c r="E172" s="29" t="str">
        <f>IFERROR(VLOOKUP(C172,'SITUACIÓN DE CARTERA'!A:AR,12,FALSE),VLOOKUP(C172,ANTIGÜEDAD!A:J,10,0))</f>
        <v>01</v>
      </c>
      <c r="F172" s="30">
        <f>VLOOKUP(C172,ANTIGÜEDAD!A:BE,17,FALSE)</f>
        <v>147000</v>
      </c>
      <c r="G172" s="30" t="str">
        <f>VLOOKUP(C172,ANTIGÜEDAD!A:BE,12,FALSE)</f>
        <v>MIGRADO</v>
      </c>
      <c r="H172" s="31">
        <f>VLOOKUP(C172,ANTIGÜEDAD!A:BE,14,FALSE)</f>
        <v>45877</v>
      </c>
      <c r="I172" s="19">
        <f>VLOOKUP(C172,ANTIGÜEDAD!A:BE,19,FALSE)</f>
        <v>16</v>
      </c>
      <c r="J172" s="31" t="str">
        <f>VLOOKUP(C172,ANTIGÜEDAD!A:BE,56,FALSE)</f>
        <v>Martes</v>
      </c>
      <c r="K172" s="32" t="str">
        <f>VLOOKUP(C172,ANTIGÜEDAD!A:BE,57,FALSE)</f>
        <v>14:00</v>
      </c>
      <c r="L172" s="19" t="str">
        <f>VLOOKUP(C172,ANTIGÜEDAD!A:BE,20,FALSE)</f>
        <v>Semanal</v>
      </c>
      <c r="M172" s="30">
        <f>VLOOKUP(C172,ANTIGÜEDAD!A:BE,21,FALSE)</f>
        <v>11172.1</v>
      </c>
      <c r="N172" s="33" t="str">
        <f>IFERROR(VLOOKUP(C172,'Reporte de cobranza'!G:BL,34,FALSE),"")</f>
        <v/>
      </c>
      <c r="O172" s="30">
        <f>IF(AI172="Desertor sin mora",0,VLOOKUP(C172,ANTIGÜEDAD!A:BJ,44,FALSE))</f>
        <v>0</v>
      </c>
      <c r="P172" s="30">
        <f t="shared" si="40"/>
        <v>178753.6</v>
      </c>
      <c r="Q172" s="30">
        <f t="shared" ca="1" si="21"/>
        <v>44688.399999999994</v>
      </c>
      <c r="R172" s="30">
        <f>IF(AI172="Desertor sin mora",0,VLOOKUP(C172,ANTIGÜEDAD!A:BJ,26,FALSE))</f>
        <v>0</v>
      </c>
      <c r="S172" s="30">
        <f t="shared" ca="1" si="26"/>
        <v>-44688.399999999994</v>
      </c>
      <c r="T172" s="30">
        <f>IF(V172&gt;0,IF(VLOOKUP(TEXT(C172,"000000"),Ahorros_concentrado!B:D,3,0)+F172*0.1&gt;V172,V172,VLOOKUP(TEXT(C172,"000000"),Ahorros_concentrado!B:D,3,0)+F172*0.1),0)</f>
        <v>0</v>
      </c>
      <c r="U172" s="30">
        <f t="shared" si="27"/>
        <v>0</v>
      </c>
      <c r="V172" s="30">
        <f>IF(AI172="Desertor sin mora",0,VLOOKUP(C172,'SITUACIÓN DE CARTERA'!A:AR,26,FALSE))</f>
        <v>0</v>
      </c>
      <c r="W172" s="134">
        <f>IF(AI172="Desertor sin mora",0,VLOOKUP(C172,'SITUACIÓN DE CARTERA'!A:AR,27,FALSE))/100</f>
        <v>0</v>
      </c>
      <c r="X172" s="30">
        <f>IF(V172&gt;0,VLOOKUP(C172,ANTIGÜEDAD!A:BE,26,FALSE),0)</f>
        <v>0</v>
      </c>
      <c r="Z172" s="34">
        <f>IF(AI172="Desertor sin mora",VLOOKUP(C172,ANTIGÜEDAD!A:Q,17,0)/AA172,F172/AA172)</f>
        <v>24500</v>
      </c>
      <c r="AA172" s="19">
        <f>IF(AI172="Desertor sin mora",VLOOKUP(C172,ANTIGÜEDAD!A:M,13,0),VLOOKUP(C172,'SITUACIÓN DE CARTERA'!A:AR,43,FALSE))</f>
        <v>6</v>
      </c>
      <c r="AB172" s="19">
        <f t="shared" ca="1" si="37"/>
        <v>12</v>
      </c>
      <c r="AC172" s="42">
        <f>IF(AI172="Desertor sin mora",0,(VLOOKUP(C172,'SITUACIÓN DE CARTERA'!A:AS,45,FALSE))/M172)</f>
        <v>0</v>
      </c>
      <c r="AD172" s="19">
        <f>IF(AI172="Desertor sin mora",0,VLOOKUP(C172,'Reporte de cobranza'!G:BL,35,FALSE))</f>
        <v>0</v>
      </c>
      <c r="AE172" s="19">
        <f>IF(AI172="Desertor sin mora",I172,VLOOKUP(C172,'Reporte de cobranza'!G:BL,36,FALSE))</f>
        <v>16</v>
      </c>
      <c r="AF172" s="19">
        <f>VLOOKUP(C172,ANTIGÜEDAD!A:BE,18,FALSE)</f>
        <v>0</v>
      </c>
      <c r="AG172" s="30">
        <f>IFERROR(VLOOKUP(C172,Ahorros_concentrado!B:D,3,FALSE),0)</f>
        <v>0</v>
      </c>
      <c r="AH172" s="43">
        <f t="shared" ca="1" si="38"/>
        <v>0</v>
      </c>
      <c r="AI172" s="19" t="str">
        <f>IF(VLOOKUP(C172,ANTIGÜEDAD!A:AG,33,0)="Entregado","Vigente",IF(VLOOKUP(C172,ANTIGÜEDAD!A:AG,33,0)="Liquidado","Desertor sin mora",""))</f>
        <v>Desertor sin mora</v>
      </c>
      <c r="AJ172" s="98" t="str">
        <f t="shared" si="39"/>
        <v>000000401</v>
      </c>
    </row>
    <row r="173" spans="1:36" x14ac:dyDescent="0.3">
      <c r="A173" s="19" t="str">
        <f>VLOOKUP(C173,ANTIGÜEDAD!A:BJ,4,FALSE)</f>
        <v>ADRIANA ALEJALDRE GUZMAN</v>
      </c>
      <c r="B173" s="19" t="str">
        <f>IFERROR(VLOOKUP(ANTIGÜEDAD!F172,'Parche Promotores'!A:B,2,0),ANTIGÜEDAD!F172)</f>
        <v>Contreras Martinez Jose Luis</v>
      </c>
      <c r="C173" s="6" t="str">
        <f>TEXT(ANTIGÜEDAD!I172,"000000")</f>
        <v>000015</v>
      </c>
      <c r="D173" s="6" t="str">
        <f>ANTIGÜEDAD!K172</f>
        <v>GLADIOLAS</v>
      </c>
      <c r="E173" s="29" t="str">
        <f>IFERROR(VLOOKUP(C173,'SITUACIÓN DE CARTERA'!A:AR,12,FALSE),VLOOKUP(C173,ANTIGÜEDAD!A:J,10,0))</f>
        <v>01</v>
      </c>
      <c r="F173" s="30">
        <f>VLOOKUP(C173,ANTIGÜEDAD!A:BE,17,FALSE)</f>
        <v>60000</v>
      </c>
      <c r="G173" s="30" t="str">
        <f>VLOOKUP(C173,ANTIGÜEDAD!A:BE,12,FALSE)</f>
        <v>MIGRADO</v>
      </c>
      <c r="H173" s="31">
        <f>VLOOKUP(C173,ANTIGÜEDAD!A:BE,14,FALSE)</f>
        <v>45883</v>
      </c>
      <c r="I173" s="19">
        <f>VLOOKUP(C173,ANTIGÜEDAD!A:BE,19,FALSE)</f>
        <v>16</v>
      </c>
      <c r="J173" s="31" t="str">
        <f>VLOOKUP(C173,ANTIGÜEDAD!A:BE,56,FALSE)</f>
        <v>Jueves</v>
      </c>
      <c r="K173" s="32" t="str">
        <f>VLOOKUP(C173,ANTIGÜEDAD!A:BE,57,FALSE)</f>
        <v>09:00</v>
      </c>
      <c r="L173" s="19" t="str">
        <f>VLOOKUP(C173,ANTIGÜEDAD!A:BE,20,FALSE)</f>
        <v>Semanal</v>
      </c>
      <c r="M173" s="30">
        <f>VLOOKUP(C173,ANTIGÜEDAD!A:BE,21,FALSE)</f>
        <v>4560.04</v>
      </c>
      <c r="N173" s="33" t="str">
        <f>IFERROR(VLOOKUP(C173,'Reporte de cobranza'!G:BL,34,FALSE),"")</f>
        <v>06/11/2025</v>
      </c>
      <c r="O173" s="30">
        <f>IF(AI173="Desertor sin mora",0,VLOOKUP(C173,ANTIGÜEDAD!A:BJ,44,FALSE))</f>
        <v>22797.600000000002</v>
      </c>
      <c r="P173" s="30">
        <f t="shared" si="40"/>
        <v>72960.639999999999</v>
      </c>
      <c r="Q173" s="30">
        <f t="shared" ca="1" si="21"/>
        <v>22800.199999999997</v>
      </c>
      <c r="R173" s="30">
        <f>IF(AI173="Desertor sin mora",0,VLOOKUP(C173,ANTIGÜEDAD!A:BJ,26,FALSE))</f>
        <v>18750</v>
      </c>
      <c r="S173" s="30">
        <f t="shared" ca="1" si="26"/>
        <v>-2.5999999999949068</v>
      </c>
      <c r="T173" s="30">
        <f>IF(V173&gt;0,IF(VLOOKUP(TEXT(C173,"000000"),Ahorros_concentrado!B:D,3,0)+F173*0.1&gt;V173,V173,VLOOKUP(TEXT(C173,"000000"),Ahorros_concentrado!B:D,3,0)+F173*0.1),0)</f>
        <v>0</v>
      </c>
      <c r="U173" s="30">
        <f t="shared" si="27"/>
        <v>0</v>
      </c>
      <c r="V173" s="30">
        <f>IF(AI173="Desertor sin mora",0,VLOOKUP(C173,'SITUACIÓN DE CARTERA'!A:AR,26,FALSE))</f>
        <v>0</v>
      </c>
      <c r="W173" s="134">
        <f>IF(AI173="Desertor sin mora",0,VLOOKUP(C173,'SITUACIÓN DE CARTERA'!A:AR,27,FALSE))/100</f>
        <v>0</v>
      </c>
      <c r="X173" s="30">
        <f>IF(V173&gt;0,VLOOKUP(C173,ANTIGÜEDAD!A:BE,26,FALSE),0)</f>
        <v>0</v>
      </c>
      <c r="Z173" s="34">
        <f>IF(AI173="Desertor sin mora",VLOOKUP(C173,ANTIGÜEDAD!A:Q,17,0)/AA173,F173/AA173)</f>
        <v>10000</v>
      </c>
      <c r="AA173" s="19">
        <f>IF(AI173="Desertor sin mora",VLOOKUP(C173,ANTIGÜEDAD!A:M,13,0),VLOOKUP(C173,'SITUACIÓN DE CARTERA'!A:AR,43,FALSE))</f>
        <v>6</v>
      </c>
      <c r="AB173" s="19">
        <f t="shared" ca="1" si="37"/>
        <v>11</v>
      </c>
      <c r="AC173" s="42">
        <f>IF(AI173="Desertor sin mora",0,(VLOOKUP(C173,'SITUACIÓN DE CARTERA'!A:AS,45,FALSE))/M173)</f>
        <v>11.000570170437102</v>
      </c>
      <c r="AD173" s="19">
        <f>IF(AI173="Desertor sin mora",0,VLOOKUP(C173,'Reporte de cobranza'!G:BL,35,FALSE))</f>
        <v>5</v>
      </c>
      <c r="AE173" s="19">
        <f>IF(AI173="Desertor sin mora",I173,VLOOKUP(C173,'Reporte de cobranza'!G:BL,36,FALSE))</f>
        <v>16</v>
      </c>
      <c r="AF173" s="19">
        <f>VLOOKUP(C173,ANTIGÜEDAD!A:BE,18,FALSE)</f>
        <v>0</v>
      </c>
      <c r="AG173" s="30">
        <f>IFERROR(VLOOKUP(C173,Ahorros_concentrado!B:D,3,FALSE),0)</f>
        <v>2724.96</v>
      </c>
      <c r="AH173" s="43">
        <f t="shared" ca="1" si="38"/>
        <v>5.4324882317619227E-2</v>
      </c>
      <c r="AI173" s="19" t="str">
        <f>IF(VLOOKUP(C173,ANTIGÜEDAD!A:AG,33,0)="Entregado","Vigente",IF(VLOOKUP(C173,ANTIGÜEDAD!A:AG,33,0)="Liquidado","Desertor sin mora",""))</f>
        <v>Vigente</v>
      </c>
      <c r="AJ173" s="98" t="str">
        <f t="shared" si="39"/>
        <v>000001501</v>
      </c>
    </row>
    <row r="174" spans="1:36" x14ac:dyDescent="0.3">
      <c r="A174" s="19" t="str">
        <f>VLOOKUP(C174,ANTIGÜEDAD!A:BJ,4,FALSE)</f>
        <v>IRVIN URIEL MORA VELAZCO</v>
      </c>
      <c r="B174" s="19" t="str">
        <f>IFERROR(VLOOKUP(ANTIGÜEDAD!F173,'Parche Promotores'!A:B,2,0),ANTIGÜEDAD!F173)</f>
        <v>Flores Mendez Veronica</v>
      </c>
      <c r="C174" s="6" t="str">
        <f>TEXT(ANTIGÜEDAD!I173,"000000")</f>
        <v>000207</v>
      </c>
      <c r="D174" s="6" t="str">
        <f>ANTIGÜEDAD!K173</f>
        <v>SAN RAFAEL</v>
      </c>
      <c r="E174" s="29" t="str">
        <f>IFERROR(VLOOKUP(C174,'SITUACIÓN DE CARTERA'!A:AR,12,FALSE),VLOOKUP(C174,ANTIGÜEDAD!A:J,10,0))</f>
        <v>01</v>
      </c>
      <c r="F174" s="30">
        <f>VLOOKUP(C174,ANTIGÜEDAD!A:BE,17,FALSE)</f>
        <v>80000</v>
      </c>
      <c r="G174" s="30" t="str">
        <f>VLOOKUP(C174,ANTIGÜEDAD!A:BE,12,FALSE)</f>
        <v>NUEVO</v>
      </c>
      <c r="H174" s="31">
        <f>VLOOKUP(C174,ANTIGÜEDAD!A:BE,14,FALSE)</f>
        <v>45961</v>
      </c>
      <c r="I174" s="19">
        <f>VLOOKUP(C174,ANTIGÜEDAD!A:BE,19,FALSE)</f>
        <v>16</v>
      </c>
      <c r="J174" s="31" t="str">
        <f>VLOOKUP(C174,ANTIGÜEDAD!A:BE,56,FALSE)</f>
        <v>Viernes</v>
      </c>
      <c r="K174" s="32" t="str">
        <f>VLOOKUP(C174,ANTIGÜEDAD!A:BE,57,FALSE)</f>
        <v>15:00</v>
      </c>
      <c r="L174" s="19" t="str">
        <f>VLOOKUP(C174,ANTIGÜEDAD!A:BE,20,FALSE)</f>
        <v>Semanal</v>
      </c>
      <c r="M174" s="30">
        <f>VLOOKUP(C174,ANTIGÜEDAD!A:BE,21,FALSE)</f>
        <v>6400</v>
      </c>
      <c r="N174" s="33" t="str">
        <f>IFERROR(VLOOKUP(C174,'Reporte de cobranza'!G:BL,34,FALSE),"")</f>
        <v>07/11/2025</v>
      </c>
      <c r="O174" s="30">
        <f>IF(AI174="Desertor sin mora",0,VLOOKUP(C174,ANTIGÜEDAD!A:BJ,44,FALSE))</f>
        <v>102400</v>
      </c>
      <c r="P174" s="30">
        <f t="shared" si="40"/>
        <v>102400</v>
      </c>
      <c r="Q174" s="30">
        <f t="shared" ca="1" si="21"/>
        <v>102400</v>
      </c>
      <c r="R174" s="30">
        <f>IF(AI174="Desertor sin mora",0,VLOOKUP(C174,ANTIGÜEDAD!A:BJ,26,FALSE))</f>
        <v>80000</v>
      </c>
      <c r="S174" s="30">
        <f t="shared" ca="1" si="26"/>
        <v>0</v>
      </c>
      <c r="T174" s="30">
        <f>IF(V174&gt;0,IF(VLOOKUP(TEXT(C174,"000000"),Ahorros_concentrado!B:D,3,0)+F174*0.1&gt;V174,V174,VLOOKUP(TEXT(C174,"000000"),Ahorros_concentrado!B:D,3,0)+F174*0.1),0)</f>
        <v>0</v>
      </c>
      <c r="U174" s="30">
        <f t="shared" si="27"/>
        <v>0</v>
      </c>
      <c r="V174" s="30">
        <f>IF(AI174="Desertor sin mora",0,VLOOKUP(C174,'SITUACIÓN DE CARTERA'!A:AR,26,FALSE))</f>
        <v>0</v>
      </c>
      <c r="W174" s="134">
        <f>IF(AI174="Desertor sin mora",0,VLOOKUP(C174,'SITUACIÓN DE CARTERA'!A:AR,27,FALSE))/100</f>
        <v>0</v>
      </c>
      <c r="X174" s="30">
        <f>IF(V174&gt;0,VLOOKUP(C174,ANTIGÜEDAD!A:BE,26,FALSE),0)</f>
        <v>0</v>
      </c>
      <c r="Z174" s="34">
        <f>IF(AI174="Desertor sin mora",VLOOKUP(C174,ANTIGÜEDAD!A:Q,17,0)/AA174,F174/AA174)</f>
        <v>10000</v>
      </c>
      <c r="AA174" s="19">
        <f>IF(AI174="Desertor sin mora",VLOOKUP(C174,ANTIGÜEDAD!A:M,13,0),VLOOKUP(C174,'SITUACIÓN DE CARTERA'!A:AR,43,FALSE))</f>
        <v>8</v>
      </c>
      <c r="AB174" s="19">
        <f t="shared" ca="1" si="37"/>
        <v>0</v>
      </c>
      <c r="AC174" s="42">
        <f>IF(AI174="Desertor sin mora",0,(VLOOKUP(C174,'SITUACIÓN DE CARTERA'!A:AS,45,FALSE))/M174)</f>
        <v>0</v>
      </c>
      <c r="AD174" s="19">
        <f>IF(AI174="Desertor sin mora",0,VLOOKUP(C174,'Reporte de cobranza'!G:BL,35,FALSE))</f>
        <v>16</v>
      </c>
      <c r="AE174" s="19">
        <f>IF(AI174="Desertor sin mora",I174,VLOOKUP(C174,'Reporte de cobranza'!G:BL,36,FALSE))</f>
        <v>16</v>
      </c>
      <c r="AF174" s="19">
        <f>VLOOKUP(C174,ANTIGÜEDAD!A:BE,18,FALSE)</f>
        <v>0</v>
      </c>
      <c r="AG174" s="30">
        <f>IFERROR(VLOOKUP(C174,Ahorros_concentrado!B:D,3,FALSE),0)</f>
        <v>0</v>
      </c>
      <c r="AH174" s="43">
        <f t="shared" ca="1" si="38"/>
        <v>0</v>
      </c>
      <c r="AI174" s="19" t="str">
        <f>IF(VLOOKUP(C174,ANTIGÜEDAD!A:AG,33,0)="Entregado","Vigente",IF(VLOOKUP(C174,ANTIGÜEDAD!A:AG,33,0)="Liquidado","Desertor sin mora",""))</f>
        <v>Vigente</v>
      </c>
      <c r="AJ174" s="98" t="str">
        <f t="shared" si="39"/>
        <v>000020701</v>
      </c>
    </row>
    <row r="175" spans="1:36" x14ac:dyDescent="0.3">
      <c r="A175" s="19" t="str">
        <f>VLOOKUP(C175,ANTIGÜEDAD!A:BJ,4,FALSE)</f>
        <v>IRVIN URIEL MORA VELAZCO</v>
      </c>
      <c r="B175" s="19" t="str">
        <f>IFERROR(VLOOKUP(ANTIGÜEDAD!F174,'Parche Promotores'!A:B,2,0),ANTIGÜEDAD!F174)</f>
        <v>Cuautle Pacheco Jheimy</v>
      </c>
      <c r="C175" s="6" t="str">
        <f>TEXT(ANTIGÜEDAD!I174,"000000")</f>
        <v>000185</v>
      </c>
      <c r="D175" s="6" t="str">
        <f>ANTIGÜEDAD!K174</f>
        <v>JOB</v>
      </c>
      <c r="E175" s="29" t="str">
        <f>IFERROR(VLOOKUP(C175,'SITUACIÓN DE CARTERA'!A:AR,12,FALSE),VLOOKUP(C175,ANTIGÜEDAD!A:J,10,0))</f>
        <v>01</v>
      </c>
      <c r="F175" s="30">
        <f>VLOOKUP(C175,ANTIGÜEDAD!A:BE,17,FALSE)</f>
        <v>252000</v>
      </c>
      <c r="G175" s="30" t="str">
        <f>VLOOKUP(C175,ANTIGÜEDAD!A:BE,12,FALSE)</f>
        <v>MIGRADO</v>
      </c>
      <c r="H175" s="31">
        <f>VLOOKUP(C175,ANTIGÜEDAD!A:BE,14,FALSE)</f>
        <v>45954</v>
      </c>
      <c r="I175" s="19">
        <f>VLOOKUP(C175,ANTIGÜEDAD!A:BE,19,FALSE)</f>
        <v>16</v>
      </c>
      <c r="J175" s="31" t="str">
        <f>VLOOKUP(C175,ANTIGÜEDAD!A:BE,56,FALSE)</f>
        <v>Viernes</v>
      </c>
      <c r="K175" s="32" t="str">
        <f>VLOOKUP(C175,ANTIGÜEDAD!A:BE,57,FALSE)</f>
        <v>10:00</v>
      </c>
      <c r="L175" s="19" t="str">
        <f>VLOOKUP(C175,ANTIGÜEDAD!A:BE,20,FALSE)</f>
        <v>Semanal</v>
      </c>
      <c r="M175" s="30">
        <f>VLOOKUP(C175,ANTIGÜEDAD!A:BE,21,FALSE)</f>
        <v>19152.170000000002</v>
      </c>
      <c r="N175" s="33" t="str">
        <f>IFERROR(VLOOKUP(C175,'Reporte de cobranza'!G:BL,34,FALSE),"")</f>
        <v>07/11/2025</v>
      </c>
      <c r="O175" s="30">
        <f>IF(AI175="Desertor sin mora",0,VLOOKUP(C175,ANTIGÜEDAD!A:BJ,44,FALSE))</f>
        <v>306434.69</v>
      </c>
      <c r="P175" s="30">
        <f t="shared" ref="P175:P177" si="41">M175*16</f>
        <v>306434.72000000003</v>
      </c>
      <c r="Q175" s="30">
        <f t="shared" ca="1" si="21"/>
        <v>306434.69</v>
      </c>
      <c r="R175" s="30">
        <f>IF(AI175="Desertor sin mora",0,VLOOKUP(C175,ANTIGÜEDAD!A:BJ,26,FALSE))</f>
        <v>252000</v>
      </c>
      <c r="S175" s="30">
        <f t="shared" ca="1" si="26"/>
        <v>0</v>
      </c>
      <c r="T175" s="30">
        <f>IF(V175&gt;0,IF(VLOOKUP(TEXT(C175,"000000"),Ahorros_concentrado!B:D,3,0)+F175*0.1&gt;V175,V175,VLOOKUP(TEXT(C175,"000000"),Ahorros_concentrado!B:D,3,0)+F175*0.1),0)</f>
        <v>15750</v>
      </c>
      <c r="U175" s="30">
        <f t="shared" si="27"/>
        <v>0</v>
      </c>
      <c r="V175" s="30">
        <f>IF(AI175="Desertor sin mora",0,VLOOKUP(C175,'SITUACIÓN DE CARTERA'!A:AR,26,FALSE))</f>
        <v>15750</v>
      </c>
      <c r="W175" s="134">
        <f>IF(AI175="Desertor sin mora",0,VLOOKUP(C175,'SITUACIÓN DE CARTERA'!A:AR,27,FALSE))/100</f>
        <v>6.25E-2</v>
      </c>
      <c r="X175" s="30">
        <f>IF(V175&gt;0,VLOOKUP(C175,ANTIGÜEDAD!A:BE,26,FALSE),0)</f>
        <v>252000</v>
      </c>
      <c r="Z175" s="34">
        <f>IF(AI175="Desertor sin mora",VLOOKUP(C175,ANTIGÜEDAD!A:Q,17,0)/AA175,F175/AA175)</f>
        <v>50400</v>
      </c>
      <c r="AA175" s="19">
        <f>IF(AI175="Desertor sin mora",VLOOKUP(C175,ANTIGÜEDAD!A:M,13,0),VLOOKUP(C175,'SITUACIÓN DE CARTERA'!A:AR,43,FALSE))</f>
        <v>5</v>
      </c>
      <c r="AB175" s="19">
        <f t="shared" ca="1" si="37"/>
        <v>1</v>
      </c>
      <c r="AC175" s="42">
        <f>IF(AI175="Desertor sin mora",0,(VLOOKUP(C175,'SITUACIÓN DE CARTERA'!A:AS,45,FALSE))/M175)</f>
        <v>0</v>
      </c>
      <c r="AD175" s="19">
        <f>IF(AI175="Desertor sin mora",0,VLOOKUP(C175,'Reporte de cobranza'!G:BL,35,FALSE))</f>
        <v>15</v>
      </c>
      <c r="AE175" s="19">
        <f>IF(AI175="Desertor sin mora",I175,VLOOKUP(C175,'Reporte de cobranza'!G:BL,36,FALSE))</f>
        <v>16</v>
      </c>
      <c r="AF175" s="19">
        <f>VLOOKUP(C175,ANTIGÜEDAD!A:BE,18,FALSE)</f>
        <v>0</v>
      </c>
      <c r="AG175" s="30">
        <f>IFERROR(VLOOKUP(C175,Ahorros_concentrado!B:D,3,FALSE),0)</f>
        <v>962</v>
      </c>
      <c r="AH175" s="43">
        <f t="shared" ca="1" si="38"/>
        <v>5.0229295166030787E-2</v>
      </c>
      <c r="AI175" s="19" t="str">
        <f>IF(VLOOKUP(C175,ANTIGÜEDAD!A:AG,33,0)="Entregado","Vigente",IF(VLOOKUP(C175,ANTIGÜEDAD!A:AG,33,0)="Liquidado","Desertor sin mora",""))</f>
        <v>Vigente</v>
      </c>
      <c r="AJ175" s="98" t="str">
        <f t="shared" si="39"/>
        <v>000018501</v>
      </c>
    </row>
    <row r="176" spans="1:36" x14ac:dyDescent="0.3">
      <c r="A176" s="19" t="str">
        <f>VLOOKUP(C176,ANTIGÜEDAD!A:BJ,4,FALSE)</f>
        <v>JUDITH PATRICIA SERRANO HERRER</v>
      </c>
      <c r="B176" s="19" t="str">
        <f>IFERROR(VLOOKUP(ANTIGÜEDAD!F175,'Parche Promotores'!A:B,2,0),ANTIGÜEDAD!F175)</f>
        <v>Becerril Aguirre Jonathan</v>
      </c>
      <c r="C176" s="6" t="str">
        <f>TEXT(ANTIGÜEDAD!I175,"000000")</f>
        <v>000096</v>
      </c>
      <c r="D176" s="6" t="str">
        <f>ANTIGÜEDAD!K175</f>
        <v>INVICTUS</v>
      </c>
      <c r="E176" s="29" t="str">
        <f>IFERROR(VLOOKUP(C176,'SITUACIÓN DE CARTERA'!A:AR,12,FALSE),VLOOKUP(C176,ANTIGÜEDAD!A:J,10,0))</f>
        <v>01</v>
      </c>
      <c r="F176" s="30">
        <f>VLOOKUP(C176,ANTIGÜEDAD!A:BE,17,FALSE)</f>
        <v>97000</v>
      </c>
      <c r="G176" s="30" t="str">
        <f>VLOOKUP(C176,ANTIGÜEDAD!A:BE,12,FALSE)</f>
        <v>MIGRADO</v>
      </c>
      <c r="H176" s="31">
        <f>VLOOKUP(C176,ANTIGÜEDAD!A:BE,14,FALSE)</f>
        <v>45922</v>
      </c>
      <c r="I176" s="19">
        <f>VLOOKUP(C176,ANTIGÜEDAD!A:BE,19,FALSE)</f>
        <v>16</v>
      </c>
      <c r="J176" s="31" t="str">
        <f>VLOOKUP(C176,ANTIGÜEDAD!A:BE,56,FALSE)</f>
        <v>Lunes</v>
      </c>
      <c r="K176" s="32" t="str">
        <f>VLOOKUP(C176,ANTIGÜEDAD!A:BE,57,FALSE)</f>
        <v>11:00</v>
      </c>
      <c r="L176" s="19" t="str">
        <f>VLOOKUP(C176,ANTIGÜEDAD!A:BE,20,FALSE)</f>
        <v>Semanal</v>
      </c>
      <c r="M176" s="30">
        <f>VLOOKUP(C176,ANTIGÜEDAD!A:BE,21,FALSE)</f>
        <v>7372.06</v>
      </c>
      <c r="N176" s="33" t="str">
        <f>IFERROR(VLOOKUP(C176,'Reporte de cobranza'!G:BL,34,FALSE),"")</f>
        <v>03/11/2025</v>
      </c>
      <c r="O176" s="30">
        <f>IF(AI176="Desertor sin mora",0,VLOOKUP(C176,ANTIGÜEDAD!A:BJ,44,FALSE))</f>
        <v>81093.03</v>
      </c>
      <c r="P176" s="30">
        <f t="shared" si="41"/>
        <v>117952.96000000001</v>
      </c>
      <c r="Q176" s="30">
        <f t="shared" ca="1" si="21"/>
        <v>81093.03</v>
      </c>
      <c r="R176" s="30">
        <f>IF(AI176="Desertor sin mora",0,VLOOKUP(C176,ANTIGÜEDAD!A:BJ,26,FALSE))</f>
        <v>66687.81</v>
      </c>
      <c r="S176" s="30">
        <f t="shared" ca="1" si="26"/>
        <v>0</v>
      </c>
      <c r="T176" s="30">
        <f>IF(V176&gt;0,IF(VLOOKUP(TEXT(C176,"000000"),Ahorros_concentrado!B:D,3,0)+F176*0.1&gt;V176,V176,VLOOKUP(TEXT(C176,"000000"),Ahorros_concentrado!B:D,3,0)+F176*0.1),0)</f>
        <v>0</v>
      </c>
      <c r="U176" s="30">
        <f t="shared" si="27"/>
        <v>0</v>
      </c>
      <c r="V176" s="30">
        <f>IF(AI176="Desertor sin mora",0,VLOOKUP(C176,'SITUACIÓN DE CARTERA'!A:AR,26,FALSE))</f>
        <v>0</v>
      </c>
      <c r="W176" s="134">
        <f>IF(AI176="Desertor sin mora",0,VLOOKUP(C176,'SITUACIÓN DE CARTERA'!A:AR,27,FALSE))/100</f>
        <v>0</v>
      </c>
      <c r="X176" s="30">
        <f>IF(V176&gt;0,VLOOKUP(C176,ANTIGÜEDAD!A:BE,26,FALSE),0)</f>
        <v>0</v>
      </c>
      <c r="Z176" s="34">
        <f>IF(AI176="Desertor sin mora",VLOOKUP(C176,ANTIGÜEDAD!A:Q,17,0)/AA176,F176/AA176)</f>
        <v>16166.666666666666</v>
      </c>
      <c r="AA176" s="19">
        <f>IF(AI176="Desertor sin mora",VLOOKUP(C176,ANTIGÜEDAD!A:M,13,0),VLOOKUP(C176,'SITUACIÓN DE CARTERA'!A:AR,43,FALSE))</f>
        <v>6</v>
      </c>
      <c r="AB176" s="19">
        <f t="shared" ca="1" si="37"/>
        <v>5</v>
      </c>
      <c r="AC176" s="42">
        <f>IF(AI176="Desertor sin mora",0,(VLOOKUP(C176,'SITUACIÓN DE CARTERA'!A:AS,45,FALSE))/M176)</f>
        <v>4.9999593058114016</v>
      </c>
      <c r="AD176" s="19">
        <f>IF(AI176="Desertor sin mora",0,VLOOKUP(C176,'Reporte de cobranza'!G:BL,35,FALSE))</f>
        <v>11</v>
      </c>
      <c r="AE176" s="19">
        <f>IF(AI176="Desertor sin mora",I176,VLOOKUP(C176,'Reporte de cobranza'!G:BL,36,FALSE))</f>
        <v>16</v>
      </c>
      <c r="AF176" s="19">
        <f>VLOOKUP(C176,ANTIGÜEDAD!A:BE,18,FALSE)</f>
        <v>0</v>
      </c>
      <c r="AG176" s="30">
        <f>IFERROR(VLOOKUP(C176,Ahorros_concentrado!B:D,3,FALSE),0)</f>
        <v>3660</v>
      </c>
      <c r="AH176" s="43">
        <f t="shared" ca="1" si="38"/>
        <v>9.929382018051941E-2</v>
      </c>
      <c r="AI176" s="19" t="str">
        <f>IF(VLOOKUP(C176,ANTIGÜEDAD!A:AG,33,0)="Entregado","Vigente",IF(VLOOKUP(C176,ANTIGÜEDAD!A:AG,33,0)="Liquidado","Desertor sin mora",""))</f>
        <v>Vigente</v>
      </c>
      <c r="AJ176" s="98" t="str">
        <f t="shared" si="39"/>
        <v>000009601</v>
      </c>
    </row>
    <row r="177" spans="1:36" x14ac:dyDescent="0.3">
      <c r="A177" s="19" t="str">
        <f>VLOOKUP(C177,ANTIGÜEDAD!A:BJ,4,FALSE)</f>
        <v>JUDITH PATRICIA SERRANO HERRER</v>
      </c>
      <c r="B177" s="19" t="str">
        <f>IFERROR(VLOOKUP(ANTIGÜEDAD!F176,'Parche Promotores'!A:B,2,0),ANTIGÜEDAD!F176)</f>
        <v>Becerril Aguirre Jonathan</v>
      </c>
      <c r="C177" s="6" t="str">
        <f>TEXT(ANTIGÜEDAD!I176,"000000")</f>
        <v>000152</v>
      </c>
      <c r="D177" s="6" t="str">
        <f>ANTIGÜEDAD!K176</f>
        <v>ANGELES</v>
      </c>
      <c r="E177" s="29" t="str">
        <f>IFERROR(VLOOKUP(C177,'SITUACIÓN DE CARTERA'!A:AR,12,FALSE),VLOOKUP(C177,ANTIGÜEDAD!A:J,10,0))</f>
        <v>01</v>
      </c>
      <c r="F177" s="30">
        <f>VLOOKUP(C177,ANTIGÜEDAD!A:BE,17,FALSE)</f>
        <v>58000</v>
      </c>
      <c r="G177" s="30" t="str">
        <f>VLOOKUP(C177,ANTIGÜEDAD!A:BE,12,FALSE)</f>
        <v>MIGRADO</v>
      </c>
      <c r="H177" s="31">
        <f>VLOOKUP(C177,ANTIGÜEDAD!A:BE,14,FALSE)</f>
        <v>45947</v>
      </c>
      <c r="I177" s="19">
        <f>VLOOKUP(C177,ANTIGÜEDAD!A:BE,19,FALSE)</f>
        <v>16</v>
      </c>
      <c r="J177" s="31" t="str">
        <f>VLOOKUP(C177,ANTIGÜEDAD!A:BE,56,FALSE)</f>
        <v>Viernes</v>
      </c>
      <c r="K177" s="32" t="str">
        <f>VLOOKUP(C177,ANTIGÜEDAD!A:BE,57,FALSE)</f>
        <v>16:00</v>
      </c>
      <c r="L177" s="19" t="str">
        <f>VLOOKUP(C177,ANTIGÜEDAD!A:BE,20,FALSE)</f>
        <v>Semanal</v>
      </c>
      <c r="M177" s="30">
        <f>VLOOKUP(C177,ANTIGÜEDAD!A:BE,21,FALSE)</f>
        <v>4408.04</v>
      </c>
      <c r="N177" s="33" t="str">
        <f>IFERROR(VLOOKUP(C177,'Reporte de cobranza'!G:BL,34,FALSE),"")</f>
        <v>07/11/2025</v>
      </c>
      <c r="O177" s="30">
        <f>IF(AI177="Desertor sin mora",0,VLOOKUP(C177,ANTIGÜEDAD!A:BJ,44,FALSE))</f>
        <v>61712.520000000004</v>
      </c>
      <c r="P177" s="30">
        <f t="shared" si="41"/>
        <v>70528.639999999999</v>
      </c>
      <c r="Q177" s="30">
        <f t="shared" ca="1" si="21"/>
        <v>61712.56</v>
      </c>
      <c r="R177" s="30">
        <f>IF(AI177="Desertor sin mora",0,VLOOKUP(C177,ANTIGÜEDAD!A:BJ,26,FALSE))</f>
        <v>50750</v>
      </c>
      <c r="S177" s="30">
        <f t="shared" ca="1" si="26"/>
        <v>-3.9999999993597157E-2</v>
      </c>
      <c r="T177" s="30">
        <f>IF(V177&gt;0,IF(VLOOKUP(TEXT(C177,"000000"),Ahorros_concentrado!B:D,3,0)+F177*0.1&gt;V177,V177,VLOOKUP(TEXT(C177,"000000"),Ahorros_concentrado!B:D,3,0)+F177*0.1),0)</f>
        <v>0</v>
      </c>
      <c r="U177" s="30">
        <f t="shared" si="27"/>
        <v>0</v>
      </c>
      <c r="V177" s="30">
        <f>IF(AI177="Desertor sin mora",0,VLOOKUP(C177,'SITUACIÓN DE CARTERA'!A:AR,26,FALSE))</f>
        <v>0</v>
      </c>
      <c r="W177" s="134">
        <f>IF(AI177="Desertor sin mora",0,VLOOKUP(C177,'SITUACIÓN DE CARTERA'!A:AR,27,FALSE))/100</f>
        <v>0</v>
      </c>
      <c r="X177" s="30">
        <f>IF(V177&gt;0,VLOOKUP(C177,ANTIGÜEDAD!A:BE,26,FALSE),0)</f>
        <v>0</v>
      </c>
      <c r="Z177" s="34">
        <f>IF(AI177="Desertor sin mora",VLOOKUP(C177,ANTIGÜEDAD!A:Q,17,0)/AA177,F177/AA177)</f>
        <v>11600</v>
      </c>
      <c r="AA177" s="19">
        <f>IF(AI177="Desertor sin mora",VLOOKUP(C177,ANTIGÜEDAD!A:M,13,0),VLOOKUP(C177,'SITUACIÓN DE CARTERA'!A:AR,43,FALSE))</f>
        <v>5</v>
      </c>
      <c r="AB177" s="19">
        <f t="shared" ca="1" si="37"/>
        <v>2</v>
      </c>
      <c r="AC177" s="42">
        <f>IF(AI177="Desertor sin mora",0,(VLOOKUP(C177,'SITUACIÓN DE CARTERA'!A:AS,45,FALSE))/M177)</f>
        <v>2.0000045371639095</v>
      </c>
      <c r="AD177" s="19">
        <f>IF(AI177="Desertor sin mora",0,VLOOKUP(C177,'Reporte de cobranza'!G:BL,35,FALSE))</f>
        <v>14</v>
      </c>
      <c r="AE177" s="19">
        <f>IF(AI177="Desertor sin mora",I177,VLOOKUP(C177,'Reporte de cobranza'!G:BL,36,FALSE))</f>
        <v>16</v>
      </c>
      <c r="AF177" s="19">
        <f>VLOOKUP(C177,ANTIGÜEDAD!A:BE,18,FALSE)</f>
        <v>0</v>
      </c>
      <c r="AG177" s="30">
        <f>IFERROR(VLOOKUP(C177,Ahorros_concentrado!B:D,3,FALSE),0)</f>
        <v>881.89999999999964</v>
      </c>
      <c r="AH177" s="43">
        <f t="shared" ca="1" si="38"/>
        <v>0.10003312129653992</v>
      </c>
      <c r="AI177" s="19" t="str">
        <f>IF(VLOOKUP(C177,ANTIGÜEDAD!A:AG,33,0)="Entregado","Vigente",IF(VLOOKUP(C177,ANTIGÜEDAD!A:AG,33,0)="Liquidado","Desertor sin mora",""))</f>
        <v>Vigente</v>
      </c>
      <c r="AJ177" s="98" t="str">
        <f t="shared" si="39"/>
        <v>000015201</v>
      </c>
    </row>
    <row r="178" spans="1:36" x14ac:dyDescent="0.3">
      <c r="A178" s="19" t="str">
        <f>VLOOKUP(C178,ANTIGÜEDAD!A:BJ,4,FALSE)</f>
        <v>JUDITH PATRICIA SERRANO HERRER</v>
      </c>
      <c r="B178" s="19" t="str">
        <f>IFERROR(VLOOKUP(ANTIGÜEDAD!F177,'Parche Promotores'!A:B,2,0),ANTIGÜEDAD!F177)</f>
        <v>ORTEGA FORTANEL GABRIELA</v>
      </c>
      <c r="C178" s="6" t="str">
        <f>TEXT(ANTIGÜEDAD!I177,"000000")</f>
        <v>000171</v>
      </c>
      <c r="D178" s="6" t="str">
        <f>ANTIGÜEDAD!K177</f>
        <v>02 ORO</v>
      </c>
      <c r="E178" s="29" t="str">
        <f>IFERROR(VLOOKUP(C178,'SITUACIÓN DE CARTERA'!A:AR,12,FALSE),VLOOKUP(C178,ANTIGÜEDAD!A:J,10,0))</f>
        <v>01</v>
      </c>
      <c r="F178" s="30">
        <f>VLOOKUP(C178,ANTIGÜEDAD!A:BE,17,FALSE)</f>
        <v>134000</v>
      </c>
      <c r="G178" s="30" t="str">
        <f>VLOOKUP(C178,ANTIGÜEDAD!A:BE,12,FALSE)</f>
        <v>MIGRADO</v>
      </c>
      <c r="H178" s="31">
        <f>VLOOKUP(C178,ANTIGÜEDAD!A:BE,14,FALSE)</f>
        <v>45951</v>
      </c>
      <c r="I178" s="19">
        <f>VLOOKUP(C178,ANTIGÜEDAD!A:BE,19,FALSE)</f>
        <v>16</v>
      </c>
      <c r="J178" s="31" t="str">
        <f>VLOOKUP(C178,ANTIGÜEDAD!A:BE,56,FALSE)</f>
        <v>Martes</v>
      </c>
      <c r="K178" s="32" t="str">
        <f>VLOOKUP(C178,ANTIGÜEDAD!A:BE,57,FALSE)</f>
        <v>11:00</v>
      </c>
      <c r="L178" s="19" t="str">
        <f>VLOOKUP(C178,ANTIGÜEDAD!A:BE,20,FALSE)</f>
        <v>Semanal</v>
      </c>
      <c r="M178" s="30">
        <f>VLOOKUP(C178,ANTIGÜEDAD!A:BE,21,FALSE)</f>
        <v>10184.09</v>
      </c>
      <c r="N178" s="33" t="str">
        <f>IFERROR(VLOOKUP(C178,'Reporte de cobranza'!G:BL,34,FALSE),"")</f>
        <v>04/11/2025</v>
      </c>
      <c r="O178" s="30">
        <f>IF(AI178="Desertor sin mora",0,VLOOKUP(C178,ANTIGÜEDAD!A:BJ,44,FALSE))</f>
        <v>152761.43</v>
      </c>
      <c r="P178" s="30">
        <f t="shared" ref="P178:P182" si="42">M178*16</f>
        <v>162945.44</v>
      </c>
      <c r="Q178" s="30">
        <f t="shared" ca="1" si="21"/>
        <v>152761.43</v>
      </c>
      <c r="R178" s="30">
        <f>IF(AI178="Desertor sin mora",0,VLOOKUP(C178,ANTIGÜEDAD!A:BJ,26,FALSE))</f>
        <v>125625.1</v>
      </c>
      <c r="S178" s="30">
        <f t="shared" ca="1" si="26"/>
        <v>0</v>
      </c>
      <c r="T178" s="30">
        <f>IF(V178&gt;0,IF(VLOOKUP(TEXT(C178,"000000"),Ahorros_concentrado!B:D,3,0)+F178*0.1&gt;V178,V178,VLOOKUP(TEXT(C178,"000000"),Ahorros_concentrado!B:D,3,0)+F178*0.1),0)</f>
        <v>0</v>
      </c>
      <c r="U178" s="30">
        <f t="shared" ref="U178:U182" si="43">V178-T178</f>
        <v>0</v>
      </c>
      <c r="V178" s="30">
        <f>IF(AI178="Desertor sin mora",0,VLOOKUP(C178,'SITUACIÓN DE CARTERA'!A:AR,26,FALSE))</f>
        <v>0</v>
      </c>
      <c r="W178" s="134">
        <f>IF(AI178="Desertor sin mora",0,VLOOKUP(C178,'SITUACIÓN DE CARTERA'!A:AR,27,FALSE))/100</f>
        <v>0</v>
      </c>
      <c r="X178" s="30">
        <f>IF(V178&gt;0,VLOOKUP(C178,ANTIGÜEDAD!A:BE,26,FALSE),0)</f>
        <v>0</v>
      </c>
      <c r="Z178" s="34">
        <f>IF(AI178="Desertor sin mora",VLOOKUP(C178,ANTIGÜEDAD!A:Q,17,0)/AA178,F178/AA178)</f>
        <v>26800</v>
      </c>
      <c r="AA178" s="19">
        <f>IF(AI178="Desertor sin mora",VLOOKUP(C178,ANTIGÜEDAD!A:M,13,0),VLOOKUP(C178,'SITUACIÓN DE CARTERA'!A:AR,43,FALSE))</f>
        <v>5</v>
      </c>
      <c r="AB178" s="19">
        <f t="shared" ref="AB178:AB182" ca="1" si="44">IF(AI178="Desertor sin mora",INT((TODAY()-H178)/7),AE178-AD178)</f>
        <v>1</v>
      </c>
      <c r="AC178" s="42">
        <f>IF(AI178="Desertor sin mora",0,(VLOOKUP(C178,'SITUACIÓN DE CARTERA'!A:AS,45,FALSE))/M178)</f>
        <v>0.99999116268611132</v>
      </c>
      <c r="AD178" s="19">
        <f>IF(AI178="Desertor sin mora",0,VLOOKUP(C178,'Reporte de cobranza'!G:BL,35,FALSE))</f>
        <v>15</v>
      </c>
      <c r="AE178" s="19">
        <f>IF(AI178="Desertor sin mora",I178,VLOOKUP(C178,'Reporte de cobranza'!G:BL,36,FALSE))</f>
        <v>16</v>
      </c>
      <c r="AF178" s="19">
        <f>VLOOKUP(C178,ANTIGÜEDAD!A:BE,18,FALSE)</f>
        <v>0</v>
      </c>
      <c r="AG178" s="30">
        <f>IFERROR(VLOOKUP(C178,Ahorros_concentrado!B:D,3,FALSE),0)</f>
        <v>1018</v>
      </c>
      <c r="AH178" s="43">
        <f t="shared" ref="AH178:AH182" ca="1" si="45">IFERROR((AG178/M178)/AB178,0)</f>
        <v>9.9959839317995028E-2</v>
      </c>
      <c r="AI178" s="19" t="str">
        <f>IF(VLOOKUP(C178,ANTIGÜEDAD!A:AG,33,0)="Entregado","Vigente",IF(VLOOKUP(C178,ANTIGÜEDAD!A:AG,33,0)="Liquidado","Desertor sin mora",""))</f>
        <v>Vigente</v>
      </c>
      <c r="AJ178" s="98" t="str">
        <f t="shared" ref="AJ178:AJ182" si="46">"0"&amp;TEXT(C178,"000000")&amp;TEXT(E178,"00")</f>
        <v>000017101</v>
      </c>
    </row>
    <row r="179" spans="1:36" x14ac:dyDescent="0.3">
      <c r="A179" s="19" t="str">
        <f>VLOOKUP(C179,ANTIGÜEDAD!A:BJ,4,FALSE)</f>
        <v>JUDITH PATRICIA SERRANO HERRER</v>
      </c>
      <c r="B179" s="19" t="str">
        <f>IFERROR(VLOOKUP(ANTIGÜEDAD!F178,'Parche Promotores'!A:B,2,0),ANTIGÜEDAD!F178)</f>
        <v>Becerril Aguirre Jonathan</v>
      </c>
      <c r="C179" s="6" t="str">
        <f>TEXT(ANTIGÜEDAD!I178,"000000")</f>
        <v>000164</v>
      </c>
      <c r="D179" s="6" t="str">
        <f>ANTIGÜEDAD!K178</f>
        <v>AURORA</v>
      </c>
      <c r="E179" s="29" t="str">
        <f>IFERROR(VLOOKUP(C179,'SITUACIÓN DE CARTERA'!A:AR,12,FALSE),VLOOKUP(C179,ANTIGÜEDAD!A:J,10,0))</f>
        <v>01</v>
      </c>
      <c r="F179" s="30">
        <f>VLOOKUP(C179,ANTIGÜEDAD!A:BE,17,FALSE)</f>
        <v>115000</v>
      </c>
      <c r="G179" s="30" t="str">
        <f>VLOOKUP(C179,ANTIGÜEDAD!A:BE,12,FALSE)</f>
        <v>MIGRADO</v>
      </c>
      <c r="H179" s="31">
        <f>VLOOKUP(C179,ANTIGÜEDAD!A:BE,14,FALSE)</f>
        <v>45947</v>
      </c>
      <c r="I179" s="19">
        <f>VLOOKUP(C179,ANTIGÜEDAD!A:BE,19,FALSE)</f>
        <v>16</v>
      </c>
      <c r="J179" s="31" t="str">
        <f>VLOOKUP(C179,ANTIGÜEDAD!A:BE,56,FALSE)</f>
        <v>Viernes</v>
      </c>
      <c r="K179" s="32" t="str">
        <f>VLOOKUP(C179,ANTIGÜEDAD!A:BE,57,FALSE)</f>
        <v>12:00</v>
      </c>
      <c r="L179" s="19" t="str">
        <f>VLOOKUP(C179,ANTIGÜEDAD!A:BE,20,FALSE)</f>
        <v>Semanal</v>
      </c>
      <c r="M179" s="30">
        <f>VLOOKUP(C179,ANTIGÜEDAD!A:BE,21,FALSE)</f>
        <v>8740.08</v>
      </c>
      <c r="N179" s="33" t="str">
        <f>IFERROR(VLOOKUP(C179,'Reporte de cobranza'!G:BL,34,FALSE),"")</f>
        <v>07/11/2025</v>
      </c>
      <c r="O179" s="30">
        <f>IF(AI179="Desertor sin mora",0,VLOOKUP(C179,ANTIGÜEDAD!A:BJ,44,FALSE))</f>
        <v>122359.23</v>
      </c>
      <c r="P179" s="30">
        <f t="shared" si="42"/>
        <v>139841.28</v>
      </c>
      <c r="Q179" s="30">
        <f t="shared" ca="1" si="21"/>
        <v>122361.12</v>
      </c>
      <c r="R179" s="30">
        <f>IF(AI179="Desertor sin mora",0,VLOOKUP(C179,ANTIGÜEDAD!A:BJ,26,FALSE))</f>
        <v>100625</v>
      </c>
      <c r="S179" s="30">
        <f t="shared" ca="1" si="26"/>
        <v>-1.8899999999994179</v>
      </c>
      <c r="T179" s="30">
        <f>IF(V179&gt;0,IF(VLOOKUP(TEXT(C179,"000000"),Ahorros_concentrado!B:D,3,0)+F179*0.1&gt;V179,V179,VLOOKUP(TEXT(C179,"000000"),Ahorros_concentrado!B:D,3,0)+F179*0.1),0)</f>
        <v>0</v>
      </c>
      <c r="U179" s="30">
        <f t="shared" si="43"/>
        <v>0</v>
      </c>
      <c r="V179" s="30">
        <f>IF(AI179="Desertor sin mora",0,VLOOKUP(C179,'SITUACIÓN DE CARTERA'!A:AR,26,FALSE))</f>
        <v>0</v>
      </c>
      <c r="W179" s="134">
        <f>IF(AI179="Desertor sin mora",0,VLOOKUP(C179,'SITUACIÓN DE CARTERA'!A:AR,27,FALSE))/100</f>
        <v>0</v>
      </c>
      <c r="X179" s="30">
        <f>IF(V179&gt;0,VLOOKUP(C179,ANTIGÜEDAD!A:BE,26,FALSE),0)</f>
        <v>0</v>
      </c>
      <c r="Z179" s="34">
        <f>IF(AI179="Desertor sin mora",VLOOKUP(C179,ANTIGÜEDAD!A:Q,17,0)/AA179,F179/AA179)</f>
        <v>14375</v>
      </c>
      <c r="AA179" s="19">
        <f>IF(AI179="Desertor sin mora",VLOOKUP(C179,ANTIGÜEDAD!A:M,13,0),VLOOKUP(C179,'SITUACIÓN DE CARTERA'!A:AR,43,FALSE))</f>
        <v>8</v>
      </c>
      <c r="AB179" s="19">
        <f t="shared" ca="1" si="44"/>
        <v>2</v>
      </c>
      <c r="AC179" s="42">
        <f>IF(AI179="Desertor sin mora",0,(VLOOKUP(C179,'SITUACIÓN DE CARTERA'!A:AS,45,FALSE))/M179)</f>
        <v>2.0002105243887929</v>
      </c>
      <c r="AD179" s="19">
        <f>IF(AI179="Desertor sin mora",0,VLOOKUP(C179,'Reporte de cobranza'!G:BL,35,FALSE))</f>
        <v>14</v>
      </c>
      <c r="AE179" s="19">
        <f>IF(AI179="Desertor sin mora",I179,VLOOKUP(C179,'Reporte de cobranza'!G:BL,36,FALSE))</f>
        <v>16</v>
      </c>
      <c r="AF179" s="19">
        <f>VLOOKUP(C179,ANTIGÜEDAD!A:BE,18,FALSE)</f>
        <v>0</v>
      </c>
      <c r="AG179" s="30">
        <f>IFERROR(VLOOKUP(C179,Ahorros_concentrado!B:D,3,FALSE),0)</f>
        <v>939</v>
      </c>
      <c r="AH179" s="43">
        <f t="shared" ca="1" si="45"/>
        <v>5.3718043770766402E-2</v>
      </c>
      <c r="AI179" s="19" t="str">
        <f>IF(VLOOKUP(C179,ANTIGÜEDAD!A:AG,33,0)="Entregado","Vigente",IF(VLOOKUP(C179,ANTIGÜEDAD!A:AG,33,0)="Liquidado","Desertor sin mora",""))</f>
        <v>Vigente</v>
      </c>
      <c r="AJ179" s="98" t="str">
        <f t="shared" si="46"/>
        <v>000016401</v>
      </c>
    </row>
    <row r="180" spans="1:36" x14ac:dyDescent="0.3">
      <c r="A180" s="19" t="str">
        <f>VLOOKUP(C180,ANTIGÜEDAD!A:BJ,4,FALSE)</f>
        <v>JUDITH PATRICIA SERRANO HERRER</v>
      </c>
      <c r="B180" s="19" t="str">
        <f>IFERROR(VLOOKUP(ANTIGÜEDAD!F179,'Parche Promotores'!A:B,2,0),ANTIGÜEDAD!F179)</f>
        <v>Roldan Cruz Hector Enrique</v>
      </c>
      <c r="C180" s="6" t="str">
        <f>TEXT(ANTIGÜEDAD!I179,"000000")</f>
        <v>000157</v>
      </c>
      <c r="D180" s="6" t="str">
        <f>ANTIGÜEDAD!K179</f>
        <v>YUGOSLAVIA</v>
      </c>
      <c r="E180" s="29" t="str">
        <f>IFERROR(VLOOKUP(C180,'SITUACIÓN DE CARTERA'!A:AR,12,FALSE),VLOOKUP(C180,ANTIGÜEDAD!A:J,10,0))</f>
        <v>01</v>
      </c>
      <c r="F180" s="30">
        <f>VLOOKUP(C180,ANTIGÜEDAD!A:BE,17,FALSE)</f>
        <v>56000</v>
      </c>
      <c r="G180" s="30" t="str">
        <f>VLOOKUP(C180,ANTIGÜEDAD!A:BE,12,FALSE)</f>
        <v>MIGRADO</v>
      </c>
      <c r="H180" s="31">
        <f>VLOOKUP(C180,ANTIGÜEDAD!A:BE,14,FALSE)</f>
        <v>45950</v>
      </c>
      <c r="I180" s="19">
        <f>VLOOKUP(C180,ANTIGÜEDAD!A:BE,19,FALSE)</f>
        <v>16</v>
      </c>
      <c r="J180" s="31" t="str">
        <f>VLOOKUP(C180,ANTIGÜEDAD!A:BE,56,FALSE)</f>
        <v>Lunes</v>
      </c>
      <c r="K180" s="32" t="str">
        <f>VLOOKUP(C180,ANTIGÜEDAD!A:BE,57,FALSE)</f>
        <v>12:00</v>
      </c>
      <c r="L180" s="19" t="str">
        <f>VLOOKUP(C180,ANTIGÜEDAD!A:BE,20,FALSE)</f>
        <v>Semanal</v>
      </c>
      <c r="M180" s="30">
        <f>VLOOKUP(C180,ANTIGÜEDAD!A:BE,21,FALSE)</f>
        <v>4256.04</v>
      </c>
      <c r="N180" s="33" t="str">
        <f>IFERROR(VLOOKUP(C180,'Reporte de cobranza'!G:BL,34,FALSE),"")</f>
        <v>03/11/2025</v>
      </c>
      <c r="O180" s="30">
        <f>IF(AI180="Desertor sin mora",0,VLOOKUP(C180,ANTIGÜEDAD!A:BJ,44,FALSE))</f>
        <v>63836.6</v>
      </c>
      <c r="P180" s="30">
        <f t="shared" si="42"/>
        <v>68096.639999999999</v>
      </c>
      <c r="Q180" s="30">
        <f t="shared" ca="1" si="21"/>
        <v>63840.6</v>
      </c>
      <c r="R180" s="30">
        <f>IF(AI180="Desertor sin mora",0,VLOOKUP(C180,ANTIGÜEDAD!A:BJ,26,FALSE))</f>
        <v>52500</v>
      </c>
      <c r="S180" s="30">
        <f t="shared" ca="1" si="26"/>
        <v>-4</v>
      </c>
      <c r="T180" s="30">
        <f>IF(V180&gt;0,IF(VLOOKUP(TEXT(C180,"000000"),Ahorros_concentrado!B:D,3,0)+F180*0.1&gt;V180,V180,VLOOKUP(TEXT(C180,"000000"),Ahorros_concentrado!B:D,3,0)+F180*0.1),0)</f>
        <v>0</v>
      </c>
      <c r="U180" s="30">
        <f t="shared" si="43"/>
        <v>0</v>
      </c>
      <c r="V180" s="30">
        <f>IF(AI180="Desertor sin mora",0,VLOOKUP(C180,'SITUACIÓN DE CARTERA'!A:AR,26,FALSE))</f>
        <v>0</v>
      </c>
      <c r="W180" s="134">
        <f>IF(AI180="Desertor sin mora",0,VLOOKUP(C180,'SITUACIÓN DE CARTERA'!A:AR,27,FALSE))/100</f>
        <v>0</v>
      </c>
      <c r="X180" s="30">
        <f>IF(V180&gt;0,VLOOKUP(C180,ANTIGÜEDAD!A:BE,26,FALSE),0)</f>
        <v>0</v>
      </c>
      <c r="Z180" s="34">
        <f>IF(AI180="Desertor sin mora",VLOOKUP(C180,ANTIGÜEDAD!A:Q,17,0)/AA180,F180/AA180)</f>
        <v>11200</v>
      </c>
      <c r="AA180" s="19">
        <f>IF(AI180="Desertor sin mora",VLOOKUP(C180,ANTIGÜEDAD!A:M,13,0),VLOOKUP(C180,'SITUACIÓN DE CARTERA'!A:AR,43,FALSE))</f>
        <v>5</v>
      </c>
      <c r="AB180" s="19">
        <f t="shared" ca="1" si="44"/>
        <v>1</v>
      </c>
      <c r="AC180" s="42">
        <f>IF(AI180="Desertor sin mora",0,(VLOOKUP(C180,'SITUACIÓN DE CARTERA'!A:AS,45,FALSE))/M180)</f>
        <v>1.0009304423830603</v>
      </c>
      <c r="AD180" s="19">
        <f>IF(AI180="Desertor sin mora",0,VLOOKUP(C180,'Reporte de cobranza'!G:BL,35,FALSE))</f>
        <v>15</v>
      </c>
      <c r="AE180" s="19">
        <f>IF(AI180="Desertor sin mora",I180,VLOOKUP(C180,'Reporte de cobranza'!G:BL,36,FALSE))</f>
        <v>16</v>
      </c>
      <c r="AF180" s="19">
        <f>VLOOKUP(C180,ANTIGÜEDAD!A:BE,18,FALSE)</f>
        <v>0</v>
      </c>
      <c r="AG180" s="30">
        <f>IFERROR(VLOOKUP(C180,Ahorros_concentrado!B:D,3,FALSE),0)</f>
        <v>506</v>
      </c>
      <c r="AH180" s="43">
        <f t="shared" ca="1" si="45"/>
        <v>0.11888986005770623</v>
      </c>
      <c r="AI180" s="19" t="str">
        <f>IF(VLOOKUP(C180,ANTIGÜEDAD!A:AG,33,0)="Entregado","Vigente",IF(VLOOKUP(C180,ANTIGÜEDAD!A:AG,33,0)="Liquidado","Desertor sin mora",""))</f>
        <v>Vigente</v>
      </c>
      <c r="AJ180" s="98" t="str">
        <f t="shared" si="46"/>
        <v>000015701</v>
      </c>
    </row>
    <row r="181" spans="1:36" x14ac:dyDescent="0.3">
      <c r="A181" s="19" t="str">
        <f>VLOOKUP(C181,ANTIGÜEDAD!A:BJ,4,FALSE)</f>
        <v>JUDITH PATRICIA SERRANO HERRER</v>
      </c>
      <c r="B181" s="19" t="str">
        <f>IFERROR(VLOOKUP(ANTIGÜEDAD!F180,'Parche Promotores'!A:B,2,0),ANTIGÜEDAD!F180)</f>
        <v>Roldan Cruz Hector Enrique</v>
      </c>
      <c r="C181" s="6" t="str">
        <f>TEXT(ANTIGÜEDAD!I180,"000000")</f>
        <v>000178</v>
      </c>
      <c r="D181" s="6" t="str">
        <f>ANTIGÜEDAD!K180</f>
        <v>MICTLAN</v>
      </c>
      <c r="E181" s="29" t="str">
        <f>IFERROR(VLOOKUP(C181,'SITUACIÓN DE CARTERA'!A:AR,12,FALSE),VLOOKUP(C181,ANTIGÜEDAD!A:J,10,0))</f>
        <v>01</v>
      </c>
      <c r="F181" s="30">
        <f>VLOOKUP(C181,ANTIGÜEDAD!A:BE,17,FALSE)</f>
        <v>142000</v>
      </c>
      <c r="G181" s="30" t="str">
        <f>VLOOKUP(C181,ANTIGÜEDAD!A:BE,12,FALSE)</f>
        <v>MIGRADO</v>
      </c>
      <c r="H181" s="31">
        <f>VLOOKUP(C181,ANTIGÜEDAD!A:BE,14,FALSE)</f>
        <v>45957</v>
      </c>
      <c r="I181" s="19">
        <f>VLOOKUP(C181,ANTIGÜEDAD!A:BE,19,FALSE)</f>
        <v>16</v>
      </c>
      <c r="J181" s="31" t="str">
        <f>VLOOKUP(C181,ANTIGÜEDAD!A:BE,56,FALSE)</f>
        <v>Lunes</v>
      </c>
      <c r="K181" s="32" t="str">
        <f>VLOOKUP(C181,ANTIGÜEDAD!A:BE,57,FALSE)</f>
        <v>12:00</v>
      </c>
      <c r="L181" s="19" t="str">
        <f>VLOOKUP(C181,ANTIGÜEDAD!A:BE,20,FALSE)</f>
        <v>Semanal</v>
      </c>
      <c r="M181" s="30">
        <f>VLOOKUP(C181,ANTIGÜEDAD!A:BE,21,FALSE)</f>
        <v>10792.09</v>
      </c>
      <c r="N181" s="33" t="str">
        <f>IFERROR(VLOOKUP(C181,'Reporte de cobranza'!G:BL,34,FALSE),"")</f>
        <v>03/11/2025</v>
      </c>
      <c r="O181" s="30">
        <f>IF(AI181="Desertor sin mora",0,VLOOKUP(C181,ANTIGÜEDAD!A:BJ,44,FALSE))</f>
        <v>172673.51</v>
      </c>
      <c r="P181" s="30">
        <f t="shared" si="42"/>
        <v>172673.44</v>
      </c>
      <c r="Q181" s="30">
        <f t="shared" ca="1" si="21"/>
        <v>172673.51</v>
      </c>
      <c r="R181" s="30">
        <f>IF(AI181="Desertor sin mora",0,VLOOKUP(C181,ANTIGÜEDAD!A:BJ,26,FALSE))</f>
        <v>142000</v>
      </c>
      <c r="S181" s="30">
        <f t="shared" ca="1" si="26"/>
        <v>0</v>
      </c>
      <c r="T181" s="30">
        <f>IF(V181&gt;0,IF(VLOOKUP(TEXT(C181,"000000"),Ahorros_concentrado!B:D,3,0)+F181*0.1&gt;V181,V181,VLOOKUP(TEXT(C181,"000000"),Ahorros_concentrado!B:D,3,0)+F181*0.1),0)</f>
        <v>0</v>
      </c>
      <c r="U181" s="30">
        <f t="shared" si="43"/>
        <v>0</v>
      </c>
      <c r="V181" s="30">
        <f>IF(AI181="Desertor sin mora",0,VLOOKUP(C181,'SITUACIÓN DE CARTERA'!A:AR,26,FALSE))</f>
        <v>0</v>
      </c>
      <c r="W181" s="134">
        <f>IF(AI181="Desertor sin mora",0,VLOOKUP(C181,'SITUACIÓN DE CARTERA'!A:AR,27,FALSE))/100</f>
        <v>0</v>
      </c>
      <c r="X181" s="30">
        <f>IF(V181&gt;0,VLOOKUP(C181,ANTIGÜEDAD!A:BE,26,FALSE),0)</f>
        <v>0</v>
      </c>
      <c r="Z181" s="34">
        <f>IF(AI181="Desertor sin mora",VLOOKUP(C181,ANTIGÜEDAD!A:Q,17,0)/AA181,F181/AA181)</f>
        <v>23666.666666666668</v>
      </c>
      <c r="AA181" s="19">
        <f>IF(AI181="Desertor sin mora",VLOOKUP(C181,ANTIGÜEDAD!A:M,13,0),VLOOKUP(C181,'SITUACIÓN DE CARTERA'!A:AR,43,FALSE))</f>
        <v>6</v>
      </c>
      <c r="AB181" s="19">
        <f t="shared" ca="1" si="44"/>
        <v>0</v>
      </c>
      <c r="AC181" s="42">
        <f>IF(AI181="Desertor sin mora",0,(VLOOKUP(C181,'SITUACIÓN DE CARTERA'!A:AS,45,FALSE))/M181)</f>
        <v>0</v>
      </c>
      <c r="AD181" s="19">
        <f>IF(AI181="Desertor sin mora",0,VLOOKUP(C181,'Reporte de cobranza'!G:BL,35,FALSE))</f>
        <v>16</v>
      </c>
      <c r="AE181" s="19">
        <f>IF(AI181="Desertor sin mora",I181,VLOOKUP(C181,'Reporte de cobranza'!G:BL,36,FALSE))</f>
        <v>16</v>
      </c>
      <c r="AF181" s="19">
        <f>VLOOKUP(C181,ANTIGÜEDAD!A:BE,18,FALSE)</f>
        <v>0</v>
      </c>
      <c r="AG181" s="30">
        <f>IFERROR(VLOOKUP(C181,Ahorros_concentrado!B:D,3,FALSE),0)</f>
        <v>0</v>
      </c>
      <c r="AH181" s="43">
        <f t="shared" ca="1" si="45"/>
        <v>0</v>
      </c>
      <c r="AI181" s="19" t="str">
        <f>IF(VLOOKUP(C181,ANTIGÜEDAD!A:AG,33,0)="Entregado","Vigente",IF(VLOOKUP(C181,ANTIGÜEDAD!A:AG,33,0)="Liquidado","Desertor sin mora",""))</f>
        <v>Vigente</v>
      </c>
      <c r="AJ181" s="98" t="str">
        <f t="shared" si="46"/>
        <v>000017801</v>
      </c>
    </row>
    <row r="182" spans="1:36" x14ac:dyDescent="0.3">
      <c r="A182" s="19" t="str">
        <f>VLOOKUP(C182,ANTIGÜEDAD!A:BJ,4,FALSE)</f>
        <v>IRVIN URIEL MORA VELAZCO</v>
      </c>
      <c r="B182" s="19" t="str">
        <f>IFERROR(VLOOKUP(ANTIGÜEDAD!F181,'Parche Promotores'!A:B,2,0),ANTIGÜEDAD!F181)</f>
        <v>Flores Mendez Veronica</v>
      </c>
      <c r="C182" s="6" t="str">
        <f>TEXT(ANTIGÜEDAD!I181,"000000")</f>
        <v>000193</v>
      </c>
      <c r="D182" s="6" t="str">
        <f>ANTIGÜEDAD!K181</f>
        <v>LOS EXITOSOS</v>
      </c>
      <c r="E182" s="29" t="str">
        <f>IFERROR(VLOOKUP(C182,'SITUACIÓN DE CARTERA'!A:AR,12,FALSE),VLOOKUP(C182,ANTIGÜEDAD!A:J,10,0))</f>
        <v>01</v>
      </c>
      <c r="F182" s="30">
        <f>VLOOKUP(C182,ANTIGÜEDAD!A:BE,17,FALSE)</f>
        <v>138000</v>
      </c>
      <c r="G182" s="30" t="str">
        <f>VLOOKUP(C182,ANTIGÜEDAD!A:BE,12,FALSE)</f>
        <v>MIGRADO</v>
      </c>
      <c r="H182" s="31">
        <f>VLOOKUP(C182,ANTIGÜEDAD!A:BE,14,FALSE)</f>
        <v>45959</v>
      </c>
      <c r="I182" s="19">
        <f>VLOOKUP(C182,ANTIGÜEDAD!A:BE,19,FALSE)</f>
        <v>16</v>
      </c>
      <c r="J182" s="31" t="str">
        <f>VLOOKUP(C182,ANTIGÜEDAD!A:BE,56,FALSE)</f>
        <v>Miércoles</v>
      </c>
      <c r="K182" s="32" t="str">
        <f>VLOOKUP(C182,ANTIGÜEDAD!A:BE,57,FALSE)</f>
        <v>14:00</v>
      </c>
      <c r="L182" s="19" t="str">
        <f>VLOOKUP(C182,ANTIGÜEDAD!A:BE,20,FALSE)</f>
        <v>Semanal</v>
      </c>
      <c r="M182" s="30">
        <f>VLOOKUP(C182,ANTIGÜEDAD!A:BE,21,FALSE)</f>
        <v>10488.09</v>
      </c>
      <c r="N182" s="33" t="str">
        <f>IFERROR(VLOOKUP(C182,'Reporte de cobranza'!G:BL,34,FALSE),"")</f>
        <v>05/11/2025</v>
      </c>
      <c r="O182" s="30">
        <f>IF(AI182="Desertor sin mora",0,VLOOKUP(C182,ANTIGÜEDAD!A:BJ,44,FALSE))</f>
        <v>167809.47</v>
      </c>
      <c r="P182" s="30">
        <f t="shared" si="42"/>
        <v>167809.44</v>
      </c>
      <c r="Q182" s="30">
        <f t="shared" ca="1" si="21"/>
        <v>167809.47</v>
      </c>
      <c r="R182" s="30">
        <f>IF(AI182="Desertor sin mora",0,VLOOKUP(C182,ANTIGÜEDAD!A:BJ,26,FALSE))</f>
        <v>138000</v>
      </c>
      <c r="S182" s="30">
        <f t="shared" ca="1" si="26"/>
        <v>0</v>
      </c>
      <c r="T182" s="30">
        <f>IF(V182&gt;0,IF(VLOOKUP(TEXT(C182,"000000"),Ahorros_concentrado!B:D,3,0)+F182*0.1&gt;V182,V182,VLOOKUP(TEXT(C182,"000000"),Ahorros_concentrado!B:D,3,0)+F182*0.1),0)</f>
        <v>0</v>
      </c>
      <c r="U182" s="30">
        <f t="shared" si="43"/>
        <v>0</v>
      </c>
      <c r="V182" s="30">
        <f>IF(AI182="Desertor sin mora",0,VLOOKUP(C182,'SITUACIÓN DE CARTERA'!A:AR,26,FALSE))</f>
        <v>0</v>
      </c>
      <c r="W182" s="134">
        <f>IF(AI182="Desertor sin mora",0,VLOOKUP(C182,'SITUACIÓN DE CARTERA'!A:AR,27,FALSE))/100</f>
        <v>0</v>
      </c>
      <c r="X182" s="30">
        <f>IF(V182&gt;0,VLOOKUP(C182,ANTIGÜEDAD!A:BE,26,FALSE),0)</f>
        <v>0</v>
      </c>
      <c r="Z182" s="34">
        <f>IF(AI182="Desertor sin mora",VLOOKUP(C182,ANTIGÜEDAD!A:Q,17,0)/AA182,F182/AA182)</f>
        <v>17250</v>
      </c>
      <c r="AA182" s="19">
        <f>IF(AI182="Desertor sin mora",VLOOKUP(C182,ANTIGÜEDAD!A:M,13,0),VLOOKUP(C182,'SITUACIÓN DE CARTERA'!A:AR,43,FALSE))</f>
        <v>8</v>
      </c>
      <c r="AB182" s="19">
        <f t="shared" ca="1" si="44"/>
        <v>0</v>
      </c>
      <c r="AC182" s="42">
        <f>IF(AI182="Desertor sin mora",0,(VLOOKUP(C182,'SITUACIÓN DE CARTERA'!A:AS,45,FALSE))/M182)</f>
        <v>0</v>
      </c>
      <c r="AD182" s="19">
        <f>IF(AI182="Desertor sin mora",0,VLOOKUP(C182,'Reporte de cobranza'!G:BL,35,FALSE))</f>
        <v>16</v>
      </c>
      <c r="AE182" s="19">
        <f>IF(AI182="Desertor sin mora",I182,VLOOKUP(C182,'Reporte de cobranza'!G:BL,36,FALSE))</f>
        <v>16</v>
      </c>
      <c r="AF182" s="19">
        <f>VLOOKUP(C182,ANTIGÜEDAD!A:BE,18,FALSE)</f>
        <v>0</v>
      </c>
      <c r="AG182" s="30">
        <f>IFERROR(VLOOKUP(C182,Ahorros_concentrado!B:D,3,FALSE),0)</f>
        <v>0</v>
      </c>
      <c r="AH182" s="43">
        <f t="shared" ca="1" si="45"/>
        <v>0</v>
      </c>
      <c r="AI182" s="19" t="str">
        <f>IF(VLOOKUP(C182,ANTIGÜEDAD!A:AG,33,0)="Entregado","Vigente",IF(VLOOKUP(C182,ANTIGÜEDAD!A:AG,33,0)="Liquidado","Desertor sin mora",""))</f>
        <v>Vigente</v>
      </c>
      <c r="AJ182" s="98" t="str">
        <f t="shared" si="46"/>
        <v>000019301</v>
      </c>
    </row>
    <row r="183" spans="1:36" x14ac:dyDescent="0.3">
      <c r="A183" s="19" t="str">
        <f>VLOOKUP(C183,ANTIGÜEDAD!A:BJ,4,FALSE)</f>
        <v>JUDITH PATRICIA SERRANO HERRER</v>
      </c>
      <c r="B183" s="19" t="str">
        <f>IFERROR(VLOOKUP(ANTIGÜEDAD!F182,'Parche Promotores'!A:B,2,0),ANTIGÜEDAD!F182)</f>
        <v>ORTEGA FORTANEL GABRIELA</v>
      </c>
      <c r="C183" s="6" t="str">
        <f>TEXT(ANTIGÜEDAD!I182,"000000")</f>
        <v>000113</v>
      </c>
      <c r="D183" s="6" t="str">
        <f>ANTIGÜEDAD!K182</f>
        <v>DIAMANTINA</v>
      </c>
      <c r="E183" s="29" t="str">
        <f>IFERROR(VLOOKUP(C183,'SITUACIÓN DE CARTERA'!A:AR,12,FALSE),VLOOKUP(C183,ANTIGÜEDAD!A:J,10,0))</f>
        <v>01</v>
      </c>
      <c r="F183" s="30">
        <f>VLOOKUP(C183,ANTIGÜEDAD!A:BE,17,FALSE)</f>
        <v>55000</v>
      </c>
      <c r="G183" s="30" t="str">
        <f>VLOOKUP(C183,ANTIGÜEDAD!A:BE,12,FALSE)</f>
        <v>MIGRADO</v>
      </c>
      <c r="H183" s="31">
        <f>VLOOKUP(C183,ANTIGÜEDAD!A:BE,14,FALSE)</f>
        <v>45930</v>
      </c>
      <c r="I183" s="19">
        <f>VLOOKUP(C183,ANTIGÜEDAD!A:BE,19,FALSE)</f>
        <v>16</v>
      </c>
      <c r="J183" s="31" t="str">
        <f>VLOOKUP(C183,ANTIGÜEDAD!A:BE,56,FALSE)</f>
        <v>Martes</v>
      </c>
      <c r="K183" s="32" t="str">
        <f>VLOOKUP(C183,ANTIGÜEDAD!A:BE,57,FALSE)</f>
        <v>10:00</v>
      </c>
      <c r="L183" s="19" t="str">
        <f>VLOOKUP(C183,ANTIGÜEDAD!A:BE,20,FALSE)</f>
        <v>Semanal</v>
      </c>
      <c r="M183" s="30">
        <f>VLOOKUP(C183,ANTIGÜEDAD!A:BE,21,FALSE)</f>
        <v>4180.04</v>
      </c>
      <c r="N183" s="33" t="str">
        <f>IFERROR(VLOOKUP(C183,'Reporte de cobranza'!G:BL,34,FALSE),"")</f>
        <v>04/11/2025</v>
      </c>
      <c r="O183" s="30">
        <f>IF(AI183="Desertor sin mora",0,VLOOKUP(C183,ANTIGÜEDAD!A:BJ,44,FALSE))</f>
        <v>50158.590000000004</v>
      </c>
      <c r="P183" s="30">
        <f t="shared" ref="P183:P189" si="47">M183*16</f>
        <v>66880.639999999999</v>
      </c>
      <c r="Q183" s="30">
        <f t="shared" ref="Q183:Q189" ca="1" si="48">MAX(-((AB183*M183)-P183),O183)</f>
        <v>50160.479999999996</v>
      </c>
      <c r="R183" s="30">
        <f>IF(AI183="Desertor sin mora",0,VLOOKUP(C183,ANTIGÜEDAD!A:BJ,26,FALSE))</f>
        <v>41250</v>
      </c>
      <c r="S183" s="30">
        <f t="shared" ref="S183:S189" ca="1" si="49">O183-Q183</f>
        <v>-1.889999999992142</v>
      </c>
      <c r="T183" s="30">
        <f>IF(V183&gt;0,IF(VLOOKUP(TEXT(C183,"000000"),Ahorros_concentrado!B:D,3,0)+F183*0.1&gt;V183,V183,VLOOKUP(TEXT(C183,"000000"),Ahorros_concentrado!B:D,3,0)+F183*0.1),0)</f>
        <v>0</v>
      </c>
      <c r="U183" s="30">
        <f t="shared" ref="U183:U189" si="50">V183-T183</f>
        <v>0</v>
      </c>
      <c r="V183" s="30">
        <f>IF(AI183="Desertor sin mora",0,VLOOKUP(C183,'SITUACIÓN DE CARTERA'!A:AR,26,FALSE))</f>
        <v>0</v>
      </c>
      <c r="W183" s="134">
        <f>IF(AI183="Desertor sin mora",0,VLOOKUP(C183,'SITUACIÓN DE CARTERA'!A:AR,27,FALSE))/100</f>
        <v>0</v>
      </c>
      <c r="X183" s="30">
        <f>IF(V183&gt;0,VLOOKUP(C183,ANTIGÜEDAD!A:BE,26,FALSE),0)</f>
        <v>0</v>
      </c>
      <c r="Z183" s="34">
        <f>IF(AI183="Desertor sin mora",VLOOKUP(C183,ANTIGÜEDAD!A:Q,17,0)/AA183,F183/AA183)</f>
        <v>11000</v>
      </c>
      <c r="AA183" s="19">
        <f>IF(AI183="Desertor sin mora",VLOOKUP(C183,ANTIGÜEDAD!A:M,13,0),VLOOKUP(C183,'SITUACIÓN DE CARTERA'!A:AR,43,FALSE))</f>
        <v>5</v>
      </c>
      <c r="AB183" s="19">
        <f t="shared" ref="AB183:AB189" ca="1" si="51">IF(AI183="Desertor sin mora",INT((TODAY()-H183)/7),AE183-AD183)</f>
        <v>4</v>
      </c>
      <c r="AC183" s="42">
        <f>IF(AI183="Desertor sin mora",0,(VLOOKUP(C183,'SITUACIÓN DE CARTERA'!A:AS,45,FALSE))/M183)</f>
        <v>4.0004401871752426</v>
      </c>
      <c r="AD183" s="19">
        <f>IF(AI183="Desertor sin mora",0,VLOOKUP(C183,'Reporte de cobranza'!G:BL,35,FALSE))</f>
        <v>12</v>
      </c>
      <c r="AE183" s="19">
        <f>IF(AI183="Desertor sin mora",I183,VLOOKUP(C183,'Reporte de cobranza'!G:BL,36,FALSE))</f>
        <v>16</v>
      </c>
      <c r="AF183" s="19">
        <f>VLOOKUP(C183,ANTIGÜEDAD!A:BE,18,FALSE)</f>
        <v>0</v>
      </c>
      <c r="AG183" s="30">
        <f>IFERROR(VLOOKUP(C183,Ahorros_concentrado!B:D,3,FALSE),0)</f>
        <v>796</v>
      </c>
      <c r="AH183" s="43">
        <f t="shared" ref="AH183:AH189" ca="1" si="52">IFERROR((AG183/M183)/AB183,0)</f>
        <v>4.7607199931101137E-2</v>
      </c>
      <c r="AI183" s="19" t="str">
        <f>IF(VLOOKUP(C183,ANTIGÜEDAD!A:AG,33,0)="Entregado","Vigente",IF(VLOOKUP(C183,ANTIGÜEDAD!A:AG,33,0)="Liquidado","Desertor sin mora",""))</f>
        <v>Vigente</v>
      </c>
      <c r="AJ183" s="98" t="str">
        <f t="shared" ref="AJ183:AJ189" si="53">"0"&amp;TEXT(C183,"000000")&amp;TEXT(E183,"00")</f>
        <v>000011301</v>
      </c>
    </row>
    <row r="184" spans="1:36" x14ac:dyDescent="0.3">
      <c r="A184" s="19" t="str">
        <f>VLOOKUP(C184,ANTIGÜEDAD!A:BJ,4,FALSE)</f>
        <v>JUDITH PATRICIA SERRANO HERRER</v>
      </c>
      <c r="B184" s="19" t="str">
        <f>IFERROR(VLOOKUP(ANTIGÜEDAD!F183,'Parche Promotores'!A:B,2,0),ANTIGÜEDAD!F183)</f>
        <v>Becerril Aguirre Jonathan</v>
      </c>
      <c r="C184" s="6" t="str">
        <f>TEXT(ANTIGÜEDAD!I183,"000000")</f>
        <v>000054</v>
      </c>
      <c r="D184" s="6" t="str">
        <f>ANTIGÜEDAD!K183</f>
        <v>VALIENTES</v>
      </c>
      <c r="E184" s="29" t="str">
        <f>IFERROR(VLOOKUP(C184,'SITUACIÓN DE CARTERA'!A:AR,12,FALSE),VLOOKUP(C184,ANTIGÜEDAD!A:J,10,0))</f>
        <v>01</v>
      </c>
      <c r="F184" s="30">
        <f>VLOOKUP(C184,ANTIGÜEDAD!A:BE,17,FALSE)</f>
        <v>40000</v>
      </c>
      <c r="G184" s="30" t="str">
        <f>VLOOKUP(C184,ANTIGÜEDAD!A:BE,12,FALSE)</f>
        <v>MIGRADO</v>
      </c>
      <c r="H184" s="31">
        <f>VLOOKUP(C184,ANTIGÜEDAD!A:BE,14,FALSE)</f>
        <v>45898</v>
      </c>
      <c r="I184" s="19">
        <f>VLOOKUP(C184,ANTIGÜEDAD!A:BE,19,FALSE)</f>
        <v>16</v>
      </c>
      <c r="J184" s="31" t="str">
        <f>VLOOKUP(C184,ANTIGÜEDAD!A:BE,56,FALSE)</f>
        <v>Viernes</v>
      </c>
      <c r="K184" s="32" t="str">
        <f>VLOOKUP(C184,ANTIGÜEDAD!A:BE,57,FALSE)</f>
        <v>16:00</v>
      </c>
      <c r="L184" s="19" t="str">
        <f>VLOOKUP(C184,ANTIGÜEDAD!A:BE,20,FALSE)</f>
        <v>Semanal</v>
      </c>
      <c r="M184" s="30">
        <f>VLOOKUP(C184,ANTIGÜEDAD!A:BE,21,FALSE)</f>
        <v>3040.03</v>
      </c>
      <c r="N184" s="33" t="str">
        <f>IFERROR(VLOOKUP(C184,'Reporte de cobranza'!G:BL,34,FALSE),"")</f>
        <v>07/11/2025</v>
      </c>
      <c r="O184" s="30">
        <f>IF(AI184="Desertor sin mora",0,VLOOKUP(C184,ANTIGÜEDAD!A:BJ,44,FALSE))</f>
        <v>21279.98</v>
      </c>
      <c r="P184" s="30">
        <f t="shared" si="47"/>
        <v>48640.480000000003</v>
      </c>
      <c r="Q184" s="30">
        <f t="shared" ca="1" si="48"/>
        <v>21280.210000000003</v>
      </c>
      <c r="R184" s="30">
        <f>IF(AI184="Desertor sin mora",0,VLOOKUP(C184,ANTIGÜEDAD!A:BJ,26,FALSE))</f>
        <v>17500</v>
      </c>
      <c r="S184" s="30">
        <f t="shared" ca="1" si="49"/>
        <v>-0.23000000000320142</v>
      </c>
      <c r="T184" s="30">
        <f>IF(V184&gt;0,IF(VLOOKUP(TEXT(C184,"000000"),Ahorros_concentrado!B:D,3,0)+F184*0.1&gt;V184,V184,VLOOKUP(TEXT(C184,"000000"),Ahorros_concentrado!B:D,3,0)+F184*0.1),0)</f>
        <v>0</v>
      </c>
      <c r="U184" s="30">
        <f t="shared" si="50"/>
        <v>0</v>
      </c>
      <c r="V184" s="30">
        <f>IF(AI184="Desertor sin mora",0,VLOOKUP(C184,'SITUACIÓN DE CARTERA'!A:AR,26,FALSE))</f>
        <v>0</v>
      </c>
      <c r="W184" s="134">
        <f>IF(AI184="Desertor sin mora",0,VLOOKUP(C184,'SITUACIÓN DE CARTERA'!A:AR,27,FALSE))/100</f>
        <v>0</v>
      </c>
      <c r="X184" s="30">
        <f>IF(V184&gt;0,VLOOKUP(C184,ANTIGÜEDAD!A:BE,26,FALSE),0)</f>
        <v>0</v>
      </c>
      <c r="Z184" s="34">
        <f>IF(AI184="Desertor sin mora",VLOOKUP(C184,ANTIGÜEDAD!A:Q,17,0)/AA184,F184/AA184)</f>
        <v>8000</v>
      </c>
      <c r="AA184" s="19">
        <f>IF(AI184="Desertor sin mora",VLOOKUP(C184,ANTIGÜEDAD!A:M,13,0),VLOOKUP(C184,'SITUACIÓN DE CARTERA'!A:AR,43,FALSE))</f>
        <v>5</v>
      </c>
      <c r="AB184" s="19">
        <f t="shared" ca="1" si="51"/>
        <v>9</v>
      </c>
      <c r="AC184" s="42">
        <f>IF(AI184="Desertor sin mora",0,(VLOOKUP(C184,'SITUACIÓN DE CARTERA'!A:AS,45,FALSE))/M184)</f>
        <v>9.0000592099420071</v>
      </c>
      <c r="AD184" s="19">
        <f>IF(AI184="Desertor sin mora",0,VLOOKUP(C184,'Reporte de cobranza'!G:BL,35,FALSE))</f>
        <v>7</v>
      </c>
      <c r="AE184" s="19">
        <f>IF(AI184="Desertor sin mora",I184,VLOOKUP(C184,'Reporte de cobranza'!G:BL,36,FALSE))</f>
        <v>16</v>
      </c>
      <c r="AF184" s="19">
        <f>VLOOKUP(C184,ANTIGÜEDAD!A:BE,18,FALSE)</f>
        <v>0</v>
      </c>
      <c r="AG184" s="30">
        <f>IFERROR(VLOOKUP(C184,Ahorros_concentrado!B:D,3,FALSE),0)</f>
        <v>3989.5499999999984</v>
      </c>
      <c r="AH184" s="43">
        <f t="shared" ca="1" si="52"/>
        <v>0.14581544699668528</v>
      </c>
      <c r="AI184" s="19" t="str">
        <f>IF(VLOOKUP(C184,ANTIGÜEDAD!A:AG,33,0)="Entregado","Vigente",IF(VLOOKUP(C184,ANTIGÜEDAD!A:AG,33,0)="Liquidado","Desertor sin mora",""))</f>
        <v>Vigente</v>
      </c>
      <c r="AJ184" s="98" t="str">
        <f t="shared" si="53"/>
        <v>000005401</v>
      </c>
    </row>
    <row r="185" spans="1:36" x14ac:dyDescent="0.3">
      <c r="A185" s="19" t="str">
        <f>VLOOKUP(C185,ANTIGÜEDAD!A:BJ,4,FALSE)</f>
        <v>ADRIANA ALEJALDRE GUZMAN</v>
      </c>
      <c r="B185" s="19" t="str">
        <f>IFERROR(VLOOKUP(ANTIGÜEDAD!F184,'Parche Promotores'!A:B,2,0),ANTIGÜEDAD!F184)</f>
        <v>Juarez Palma Ma Ines</v>
      </c>
      <c r="C185" s="6" t="str">
        <f>TEXT(ANTIGÜEDAD!I184,"000000")</f>
        <v>000135</v>
      </c>
      <c r="D185" s="6" t="str">
        <f>ANTIGÜEDAD!K184</f>
        <v>ARANDANOS</v>
      </c>
      <c r="E185" s="29" t="str">
        <f>IFERROR(VLOOKUP(C185,'SITUACIÓN DE CARTERA'!A:AR,12,FALSE),VLOOKUP(C185,ANTIGÜEDAD!A:J,10,0))</f>
        <v>01</v>
      </c>
      <c r="F185" s="30">
        <f>VLOOKUP(C185,ANTIGÜEDAD!A:BE,17,FALSE)</f>
        <v>109000</v>
      </c>
      <c r="G185" s="30" t="str">
        <f>VLOOKUP(C185,ANTIGÜEDAD!A:BE,12,FALSE)</f>
        <v>MIGRADO</v>
      </c>
      <c r="H185" s="31">
        <f>VLOOKUP(C185,ANTIGÜEDAD!A:BE,14,FALSE)</f>
        <v>45937</v>
      </c>
      <c r="I185" s="19">
        <f>VLOOKUP(C185,ANTIGÜEDAD!A:BE,19,FALSE)</f>
        <v>16</v>
      </c>
      <c r="J185" s="31" t="str">
        <f>VLOOKUP(C185,ANTIGÜEDAD!A:BE,56,FALSE)</f>
        <v>Martes</v>
      </c>
      <c r="K185" s="32" t="str">
        <f>VLOOKUP(C185,ANTIGÜEDAD!A:BE,57,FALSE)</f>
        <v>12:00</v>
      </c>
      <c r="L185" s="19" t="str">
        <f>VLOOKUP(C185,ANTIGÜEDAD!A:BE,20,FALSE)</f>
        <v>Semanal</v>
      </c>
      <c r="M185" s="30">
        <f>VLOOKUP(C185,ANTIGÜEDAD!A:BE,21,FALSE)</f>
        <v>8284.07</v>
      </c>
      <c r="N185" s="33" t="str">
        <f>IFERROR(VLOOKUP(C185,'Reporte de cobranza'!G:BL,34,FALSE),"")</f>
        <v>04/11/2025</v>
      </c>
      <c r="O185" s="30">
        <f>IF(AI185="Desertor sin mora",0,VLOOKUP(C185,ANTIGÜEDAD!A:BJ,44,FALSE))</f>
        <v>107665.16</v>
      </c>
      <c r="P185" s="30">
        <f t="shared" si="47"/>
        <v>132545.12</v>
      </c>
      <c r="Q185" s="30">
        <f t="shared" ca="1" si="48"/>
        <v>107692.91</v>
      </c>
      <c r="R185" s="30">
        <f>IF(AI185="Desertor sin mora",0,VLOOKUP(C185,ANTIGÜEDAD!A:BJ,26,FALSE))</f>
        <v>88562.5</v>
      </c>
      <c r="S185" s="30">
        <f t="shared" ca="1" si="49"/>
        <v>-27.75</v>
      </c>
      <c r="T185" s="30">
        <f>IF(V185&gt;0,IF(VLOOKUP(TEXT(C185,"000000"),Ahorros_concentrado!B:D,3,0)+F185*0.1&gt;V185,V185,VLOOKUP(TEXT(C185,"000000"),Ahorros_concentrado!B:D,3,0)+F185*0.1),0)</f>
        <v>0</v>
      </c>
      <c r="U185" s="30">
        <f t="shared" si="50"/>
        <v>0</v>
      </c>
      <c r="V185" s="30">
        <f>IF(AI185="Desertor sin mora",0,VLOOKUP(C185,'SITUACIÓN DE CARTERA'!A:AR,26,FALSE))</f>
        <v>0</v>
      </c>
      <c r="W185" s="134">
        <f>IF(AI185="Desertor sin mora",0,VLOOKUP(C185,'SITUACIÓN DE CARTERA'!A:AR,27,FALSE))/100</f>
        <v>0</v>
      </c>
      <c r="X185" s="30">
        <f>IF(V185&gt;0,VLOOKUP(C185,ANTIGÜEDAD!A:BE,26,FALSE),0)</f>
        <v>0</v>
      </c>
      <c r="Z185" s="34">
        <f>IF(AI185="Desertor sin mora",VLOOKUP(C185,ANTIGÜEDAD!A:Q,17,0)/AA185,F185/AA185)</f>
        <v>12111.111111111111</v>
      </c>
      <c r="AA185" s="19">
        <f>IF(AI185="Desertor sin mora",VLOOKUP(C185,ANTIGÜEDAD!A:M,13,0),VLOOKUP(C185,'SITUACIÓN DE CARTERA'!A:AR,43,FALSE))</f>
        <v>9</v>
      </c>
      <c r="AB185" s="19">
        <f t="shared" ca="1" si="51"/>
        <v>3</v>
      </c>
      <c r="AC185" s="42">
        <f>IF(AI185="Desertor sin mora",0,(VLOOKUP(C185,'SITUACIÓN DE CARTERA'!A:AS,45,FALSE))/M185)</f>
        <v>3.003354631238027</v>
      </c>
      <c r="AD185" s="19">
        <f>IF(AI185="Desertor sin mora",0,VLOOKUP(C185,'Reporte de cobranza'!G:BL,35,FALSE))</f>
        <v>13</v>
      </c>
      <c r="AE185" s="19">
        <f>IF(AI185="Desertor sin mora",I185,VLOOKUP(C185,'Reporte de cobranza'!G:BL,36,FALSE))</f>
        <v>16</v>
      </c>
      <c r="AF185" s="19">
        <f>VLOOKUP(C185,ANTIGÜEDAD!A:BE,18,FALSE)</f>
        <v>0</v>
      </c>
      <c r="AG185" s="30">
        <f>IFERROR(VLOOKUP(C185,Ahorros_concentrado!B:D,3,FALSE),0)</f>
        <v>1312</v>
      </c>
      <c r="AH185" s="43">
        <f t="shared" ca="1" si="52"/>
        <v>5.2792085693787398E-2</v>
      </c>
      <c r="AI185" s="19" t="str">
        <f>IF(VLOOKUP(C185,ANTIGÜEDAD!A:AG,33,0)="Entregado","Vigente",IF(VLOOKUP(C185,ANTIGÜEDAD!A:AG,33,0)="Liquidado","Desertor sin mora",""))</f>
        <v>Vigente</v>
      </c>
      <c r="AJ185" s="98" t="str">
        <f t="shared" si="53"/>
        <v>000013501</v>
      </c>
    </row>
    <row r="186" spans="1:36" x14ac:dyDescent="0.3">
      <c r="A186" s="19" t="str">
        <f>VLOOKUP(C186,ANTIGÜEDAD!A:BJ,4,FALSE)</f>
        <v>IRVIN URIEL MORA VELAZCO</v>
      </c>
      <c r="B186" s="19" t="str">
        <f>IFERROR(VLOOKUP(ANTIGÜEDAD!F185,'Parche Promotores'!A:B,2,0),ANTIGÜEDAD!F185)</f>
        <v>Flores Mendez Veronica</v>
      </c>
      <c r="C186" s="6" t="str">
        <f>TEXT(ANTIGÜEDAD!I185,"000000")</f>
        <v>000188</v>
      </c>
      <c r="D186" s="6" t="str">
        <f>ANTIGÜEDAD!K185</f>
        <v>SAN FRANCISCO</v>
      </c>
      <c r="E186" s="29" t="str">
        <f>IFERROR(VLOOKUP(C186,'SITUACIÓN DE CARTERA'!A:AR,12,FALSE),VLOOKUP(C186,ANTIGÜEDAD!A:J,10,0))</f>
        <v>01</v>
      </c>
      <c r="F186" s="30">
        <f>VLOOKUP(C186,ANTIGÜEDAD!A:BE,17,FALSE)</f>
        <v>68000</v>
      </c>
      <c r="G186" s="30" t="str">
        <f>VLOOKUP(C186,ANTIGÜEDAD!A:BE,12,FALSE)</f>
        <v>MIGRADO</v>
      </c>
      <c r="H186" s="31">
        <f>VLOOKUP(C186,ANTIGÜEDAD!A:BE,14,FALSE)</f>
        <v>45957</v>
      </c>
      <c r="I186" s="19">
        <f>VLOOKUP(C186,ANTIGÜEDAD!A:BE,19,FALSE)</f>
        <v>16</v>
      </c>
      <c r="J186" s="31" t="str">
        <f>VLOOKUP(C186,ANTIGÜEDAD!A:BE,56,FALSE)</f>
        <v>Lunes</v>
      </c>
      <c r="K186" s="32" t="str">
        <f>VLOOKUP(C186,ANTIGÜEDAD!A:BE,57,FALSE)</f>
        <v>13:00</v>
      </c>
      <c r="L186" s="19" t="str">
        <f>VLOOKUP(C186,ANTIGÜEDAD!A:BE,20,FALSE)</f>
        <v>Semanal</v>
      </c>
      <c r="M186" s="30">
        <f>VLOOKUP(C186,ANTIGÜEDAD!A:BE,21,FALSE)</f>
        <v>5168.05</v>
      </c>
      <c r="N186" s="33" t="str">
        <f>IFERROR(VLOOKUP(C186,'Reporte de cobranza'!G:BL,34,FALSE),"")</f>
        <v>03/11/2025</v>
      </c>
      <c r="O186" s="30">
        <f>IF(AI186="Desertor sin mora",0,VLOOKUP(C186,ANTIGÜEDAD!A:BJ,44,FALSE))</f>
        <v>82688.73</v>
      </c>
      <c r="P186" s="30">
        <f t="shared" si="47"/>
        <v>82688.800000000003</v>
      </c>
      <c r="Q186" s="30">
        <f t="shared" ca="1" si="48"/>
        <v>82688.800000000003</v>
      </c>
      <c r="R186" s="30">
        <f>IF(AI186="Desertor sin mora",0,VLOOKUP(C186,ANTIGÜEDAD!A:BJ,26,FALSE))</f>
        <v>68000</v>
      </c>
      <c r="S186" s="30">
        <f t="shared" ca="1" si="49"/>
        <v>-7.0000000006984919E-2</v>
      </c>
      <c r="T186" s="30">
        <f>IF(V186&gt;0,IF(VLOOKUP(TEXT(C186,"000000"),Ahorros_concentrado!B:D,3,0)+F186*0.1&gt;V186,V186,VLOOKUP(TEXT(C186,"000000"),Ahorros_concentrado!B:D,3,0)+F186*0.1),0)</f>
        <v>0</v>
      </c>
      <c r="U186" s="30">
        <f t="shared" si="50"/>
        <v>0</v>
      </c>
      <c r="V186" s="30">
        <f>IF(AI186="Desertor sin mora",0,VLOOKUP(C186,'SITUACIÓN DE CARTERA'!A:AR,26,FALSE))</f>
        <v>0</v>
      </c>
      <c r="W186" s="134">
        <f>IF(AI186="Desertor sin mora",0,VLOOKUP(C186,'SITUACIÓN DE CARTERA'!A:AR,27,FALSE))/100</f>
        <v>0</v>
      </c>
      <c r="X186" s="30">
        <f>IF(V186&gt;0,VLOOKUP(C186,ANTIGÜEDAD!A:BE,26,FALSE),0)</f>
        <v>0</v>
      </c>
      <c r="Z186" s="34">
        <f>IF(AI186="Desertor sin mora",VLOOKUP(C186,ANTIGÜEDAD!A:Q,17,0)/AA186,F186/AA186)</f>
        <v>13600</v>
      </c>
      <c r="AA186" s="19">
        <f>IF(AI186="Desertor sin mora",VLOOKUP(C186,ANTIGÜEDAD!A:M,13,0),VLOOKUP(C186,'SITUACIÓN DE CARTERA'!A:AR,43,FALSE))</f>
        <v>5</v>
      </c>
      <c r="AB186" s="19">
        <f t="shared" ca="1" si="51"/>
        <v>0</v>
      </c>
      <c r="AC186" s="42">
        <f>IF(AI186="Desertor sin mora",0,(VLOOKUP(C186,'SITUACIÓN DE CARTERA'!A:AS,45,FALSE))/M186)</f>
        <v>0</v>
      </c>
      <c r="AD186" s="19">
        <f>IF(AI186="Desertor sin mora",0,VLOOKUP(C186,'Reporte de cobranza'!G:BL,35,FALSE))</f>
        <v>16</v>
      </c>
      <c r="AE186" s="19">
        <f>IF(AI186="Desertor sin mora",I186,VLOOKUP(C186,'Reporte de cobranza'!G:BL,36,FALSE))</f>
        <v>16</v>
      </c>
      <c r="AF186" s="19">
        <f>VLOOKUP(C186,ANTIGÜEDAD!A:BE,18,FALSE)</f>
        <v>0</v>
      </c>
      <c r="AG186" s="30">
        <f>IFERROR(VLOOKUP(C186,Ahorros_concentrado!B:D,3,FALSE),0)</f>
        <v>0</v>
      </c>
      <c r="AH186" s="43">
        <f t="shared" ca="1" si="52"/>
        <v>0</v>
      </c>
      <c r="AI186" s="19" t="str">
        <f>IF(VLOOKUP(C186,ANTIGÜEDAD!A:AG,33,0)="Entregado","Vigente",IF(VLOOKUP(C186,ANTIGÜEDAD!A:AG,33,0)="Liquidado","Desertor sin mora",""))</f>
        <v>Vigente</v>
      </c>
      <c r="AJ186" s="98" t="str">
        <f t="shared" si="53"/>
        <v>000018801</v>
      </c>
    </row>
    <row r="187" spans="1:36" x14ac:dyDescent="0.3">
      <c r="A187" s="19" t="str">
        <f>VLOOKUP(C187,ANTIGÜEDAD!A:BJ,4,FALSE)</f>
        <v>ADRIANA ALEJALDRE GUZMAN</v>
      </c>
      <c r="B187" s="19" t="str">
        <f>IFERROR(VLOOKUP(ANTIGÜEDAD!F186,'Parche Promotores'!A:B,2,0),ANTIGÜEDAD!F186)</f>
        <v>Juarez Palma Ma Ines</v>
      </c>
      <c r="C187" s="6" t="str">
        <f>TEXT(ANTIGÜEDAD!I186,"000000")</f>
        <v>000140</v>
      </c>
      <c r="D187" s="6" t="str">
        <f>ANTIGÜEDAD!K186</f>
        <v>TRIBU</v>
      </c>
      <c r="E187" s="29" t="str">
        <f>IFERROR(VLOOKUP(C187,'SITUACIÓN DE CARTERA'!A:AR,12,FALSE),VLOOKUP(C187,ANTIGÜEDAD!A:J,10,0))</f>
        <v>01</v>
      </c>
      <c r="F187" s="30">
        <f>VLOOKUP(C187,ANTIGÜEDAD!A:BE,17,FALSE)</f>
        <v>150000</v>
      </c>
      <c r="G187" s="30" t="str">
        <f>VLOOKUP(C187,ANTIGÜEDAD!A:BE,12,FALSE)</f>
        <v>MIGRADO</v>
      </c>
      <c r="H187" s="31">
        <f>VLOOKUP(C187,ANTIGÜEDAD!A:BE,14,FALSE)</f>
        <v>45938</v>
      </c>
      <c r="I187" s="19">
        <f>VLOOKUP(C187,ANTIGÜEDAD!A:BE,19,FALSE)</f>
        <v>16</v>
      </c>
      <c r="J187" s="31" t="str">
        <f>VLOOKUP(C187,ANTIGÜEDAD!A:BE,56,FALSE)</f>
        <v>Miércoles</v>
      </c>
      <c r="K187" s="32" t="str">
        <f>VLOOKUP(C187,ANTIGÜEDAD!A:BE,57,FALSE)</f>
        <v>10:00</v>
      </c>
      <c r="L187" s="19" t="str">
        <f>VLOOKUP(C187,ANTIGÜEDAD!A:BE,20,FALSE)</f>
        <v>Semanal</v>
      </c>
      <c r="M187" s="30">
        <f>VLOOKUP(C187,ANTIGÜEDAD!A:BE,21,FALSE)</f>
        <v>11400.1</v>
      </c>
      <c r="N187" s="33" t="str">
        <f>IFERROR(VLOOKUP(C187,'Reporte de cobranza'!G:BL,34,FALSE),"")</f>
        <v>05/11/2025</v>
      </c>
      <c r="O187" s="30">
        <f>IF(AI187="Desertor sin mora",0,VLOOKUP(C187,ANTIGÜEDAD!A:BJ,44,FALSE))</f>
        <v>148171.6</v>
      </c>
      <c r="P187" s="30">
        <f t="shared" si="47"/>
        <v>182401.6</v>
      </c>
      <c r="Q187" s="30">
        <f t="shared" ca="1" si="48"/>
        <v>148201.29999999999</v>
      </c>
      <c r="R187" s="30">
        <f>IF(AI187="Desertor sin mora",0,VLOOKUP(C187,ANTIGÜEDAD!A:BJ,26,FALSE))</f>
        <v>121875</v>
      </c>
      <c r="S187" s="30">
        <f t="shared" ca="1" si="49"/>
        <v>-29.699999999982538</v>
      </c>
      <c r="T187" s="30">
        <f>IF(V187&gt;0,IF(VLOOKUP(TEXT(C187,"000000"),Ahorros_concentrado!B:D,3,0)+F187*0.1&gt;V187,V187,VLOOKUP(TEXT(C187,"000000"),Ahorros_concentrado!B:D,3,0)+F187*0.1),0)</f>
        <v>0</v>
      </c>
      <c r="U187" s="30">
        <f t="shared" si="50"/>
        <v>0</v>
      </c>
      <c r="V187" s="30">
        <f>IF(AI187="Desertor sin mora",0,VLOOKUP(C187,'SITUACIÓN DE CARTERA'!A:AR,26,FALSE))</f>
        <v>0</v>
      </c>
      <c r="W187" s="134">
        <f>IF(AI187="Desertor sin mora",0,VLOOKUP(C187,'SITUACIÓN DE CARTERA'!A:AR,27,FALSE))/100</f>
        <v>0</v>
      </c>
      <c r="X187" s="30">
        <f>IF(V187&gt;0,VLOOKUP(C187,ANTIGÜEDAD!A:BE,26,FALSE),0)</f>
        <v>0</v>
      </c>
      <c r="Z187" s="34">
        <f>IF(AI187="Desertor sin mora",VLOOKUP(C187,ANTIGÜEDAD!A:Q,17,0)/AA187,F187/AA187)</f>
        <v>15000</v>
      </c>
      <c r="AA187" s="19">
        <f>IF(AI187="Desertor sin mora",VLOOKUP(C187,ANTIGÜEDAD!A:M,13,0),VLOOKUP(C187,'SITUACIÓN DE CARTERA'!A:AR,43,FALSE))</f>
        <v>10</v>
      </c>
      <c r="AB187" s="19">
        <f t="shared" ca="1" si="51"/>
        <v>3</v>
      </c>
      <c r="AC187" s="42">
        <f>IF(AI187="Desertor sin mora",0,(VLOOKUP(C187,'SITUACIÓN DE CARTERA'!A:AS,45,FALSE))/M187)</f>
        <v>3.0026052403049097</v>
      </c>
      <c r="AD187" s="19">
        <f>IF(AI187="Desertor sin mora",0,VLOOKUP(C187,'Reporte de cobranza'!G:BL,35,FALSE))</f>
        <v>13</v>
      </c>
      <c r="AE187" s="19">
        <f>IF(AI187="Desertor sin mora",I187,VLOOKUP(C187,'Reporte de cobranza'!G:BL,36,FALSE))</f>
        <v>16</v>
      </c>
      <c r="AF187" s="19">
        <f>VLOOKUP(C187,ANTIGÜEDAD!A:BE,18,FALSE)</f>
        <v>0</v>
      </c>
      <c r="AG187" s="30">
        <f>IFERROR(VLOOKUP(C187,Ahorros_concentrado!B:D,3,FALSE),0)</f>
        <v>1710</v>
      </c>
      <c r="AH187" s="43">
        <f t="shared" ca="1" si="52"/>
        <v>4.999956140735607E-2</v>
      </c>
      <c r="AI187" s="19" t="str">
        <f>IF(VLOOKUP(C187,ANTIGÜEDAD!A:AG,33,0)="Entregado","Vigente",IF(VLOOKUP(C187,ANTIGÜEDAD!A:AG,33,0)="Liquidado","Desertor sin mora",""))</f>
        <v>Vigente</v>
      </c>
      <c r="AJ187" s="98" t="str">
        <f t="shared" si="53"/>
        <v>000014001</v>
      </c>
    </row>
    <row r="188" spans="1:36" x14ac:dyDescent="0.3">
      <c r="A188" s="19" t="str">
        <f>VLOOKUP(C188,ANTIGÜEDAD!A:BJ,4,FALSE)</f>
        <v>JUAN EDMUNDO LUNA AGUILLON</v>
      </c>
      <c r="B188" s="19" t="str">
        <f>IFERROR(VLOOKUP(ANTIGÜEDAD!F187,'Parche Promotores'!A:B,2,0),ANTIGÜEDAD!F187)</f>
        <v>Sanchez Posada Jose Olimpo</v>
      </c>
      <c r="C188" s="6" t="str">
        <f>TEXT(ANTIGÜEDAD!I187,"000000")</f>
        <v>000107</v>
      </c>
      <c r="D188" s="6" t="str">
        <f>ANTIGÜEDAD!K187</f>
        <v>SAN PABLO</v>
      </c>
      <c r="E188" s="29" t="str">
        <f>IFERROR(VLOOKUP(C188,'SITUACIÓN DE CARTERA'!A:AR,12,FALSE),VLOOKUP(C188,ANTIGÜEDAD!A:J,10,0))</f>
        <v>01</v>
      </c>
      <c r="F188" s="30">
        <f>VLOOKUP(C188,ANTIGÜEDAD!A:BE,17,FALSE)</f>
        <v>130000</v>
      </c>
      <c r="G188" s="30" t="str">
        <f>VLOOKUP(C188,ANTIGÜEDAD!A:BE,12,FALSE)</f>
        <v>MIGRADO</v>
      </c>
      <c r="H188" s="31">
        <f>VLOOKUP(C188,ANTIGÜEDAD!A:BE,14,FALSE)</f>
        <v>45925</v>
      </c>
      <c r="I188" s="19">
        <f>VLOOKUP(C188,ANTIGÜEDAD!A:BE,19,FALSE)</f>
        <v>16</v>
      </c>
      <c r="J188" s="31" t="str">
        <f>VLOOKUP(C188,ANTIGÜEDAD!A:BE,56,FALSE)</f>
        <v>Jueves</v>
      </c>
      <c r="K188" s="32">
        <f>VLOOKUP(C188,ANTIGÜEDAD!A:BE,57,FALSE)</f>
        <v>0</v>
      </c>
      <c r="L188" s="19" t="str">
        <f>VLOOKUP(C188,ANTIGÜEDAD!A:BE,20,FALSE)</f>
        <v>Semanal</v>
      </c>
      <c r="M188" s="30">
        <f>VLOOKUP(C188,ANTIGÜEDAD!A:BE,21,FALSE)</f>
        <v>9880.09</v>
      </c>
      <c r="N188" s="33" t="str">
        <f>IFERROR(VLOOKUP(C188,'Reporte de cobranza'!G:BL,34,FALSE),"")</f>
        <v>06/11/2025</v>
      </c>
      <c r="O188" s="30">
        <f>IF(AI188="Desertor sin mora",0,VLOOKUP(C188,ANTIGÜEDAD!A:BJ,44,FALSE))</f>
        <v>108680.94</v>
      </c>
      <c r="P188" s="30">
        <f t="shared" si="47"/>
        <v>158081.44</v>
      </c>
      <c r="Q188" s="30">
        <f t="shared" ca="1" si="48"/>
        <v>108680.99</v>
      </c>
      <c r="R188" s="30">
        <f>IF(AI188="Desertor sin mora",0,VLOOKUP(C188,ANTIGÜEDAD!A:BJ,26,FALSE))</f>
        <v>89375</v>
      </c>
      <c r="S188" s="30">
        <f t="shared" ca="1" si="49"/>
        <v>-5.0000000002910383E-2</v>
      </c>
      <c r="T188" s="30">
        <f>IF(V188&gt;0,IF(VLOOKUP(TEXT(C188,"000000"),Ahorros_concentrado!B:D,3,0)+F188*0.1&gt;V188,V188,VLOOKUP(TEXT(C188,"000000"),Ahorros_concentrado!B:D,3,0)+F188*0.1),0)</f>
        <v>0</v>
      </c>
      <c r="U188" s="30">
        <f t="shared" si="50"/>
        <v>0</v>
      </c>
      <c r="V188" s="30">
        <f>IF(AI188="Desertor sin mora",0,VLOOKUP(C188,'SITUACIÓN DE CARTERA'!A:AR,26,FALSE))</f>
        <v>0</v>
      </c>
      <c r="W188" s="134">
        <f>IF(AI188="Desertor sin mora",0,VLOOKUP(C188,'SITUACIÓN DE CARTERA'!A:AR,27,FALSE))/100</f>
        <v>0</v>
      </c>
      <c r="X188" s="30">
        <f>IF(V188&gt;0,VLOOKUP(C188,ANTIGÜEDAD!A:BE,26,FALSE),0)</f>
        <v>0</v>
      </c>
      <c r="Z188" s="34">
        <f>IF(AI188="Desertor sin mora",VLOOKUP(C188,ANTIGÜEDAD!A:Q,17,0)/AA188,F188/AA188)</f>
        <v>26000</v>
      </c>
      <c r="AA188" s="19">
        <f>IF(AI188="Desertor sin mora",VLOOKUP(C188,ANTIGÜEDAD!A:M,13,0),VLOOKUP(C188,'SITUACIÓN DE CARTERA'!A:AR,43,FALSE))</f>
        <v>5</v>
      </c>
      <c r="AB188" s="19">
        <f t="shared" ca="1" si="51"/>
        <v>5</v>
      </c>
      <c r="AC188" s="42">
        <f>IF(AI188="Desertor sin mora",0,(VLOOKUP(C188,'SITUACIÓN DE CARTERA'!A:AS,45,FALSE))/M188)</f>
        <v>5</v>
      </c>
      <c r="AD188" s="19">
        <f>IF(AI188="Desertor sin mora",0,VLOOKUP(C188,'Reporte de cobranza'!G:BL,35,FALSE))</f>
        <v>11</v>
      </c>
      <c r="AE188" s="19">
        <f>IF(AI188="Desertor sin mora",I188,VLOOKUP(C188,'Reporte de cobranza'!G:BL,36,FALSE))</f>
        <v>16</v>
      </c>
      <c r="AF188" s="19">
        <f>VLOOKUP(C188,ANTIGÜEDAD!A:BE,18,FALSE)</f>
        <v>0</v>
      </c>
      <c r="AG188" s="30">
        <f>IFERROR(VLOOKUP(C188,Ahorros_concentrado!B:D,3,FALSE),0)</f>
        <v>3564.5499999999993</v>
      </c>
      <c r="AH188" s="43">
        <f t="shared" ca="1" si="52"/>
        <v>7.2156225297542814E-2</v>
      </c>
      <c r="AI188" s="19" t="str">
        <f>IF(VLOOKUP(C188,ANTIGÜEDAD!A:AG,33,0)="Entregado","Vigente",IF(VLOOKUP(C188,ANTIGÜEDAD!A:AG,33,0)="Liquidado","Desertor sin mora",""))</f>
        <v>Vigente</v>
      </c>
      <c r="AJ188" s="98" t="str">
        <f t="shared" si="53"/>
        <v>000010701</v>
      </c>
    </row>
    <row r="189" spans="1:36" x14ac:dyDescent="0.3">
      <c r="A189" s="19" t="str">
        <f>VLOOKUP(C189,ANTIGÜEDAD!A:BJ,4,FALSE)</f>
        <v>ADRIANA ALEJALDRE GUZMAN</v>
      </c>
      <c r="B189" s="19" t="str">
        <f>IFERROR(VLOOKUP(ANTIGÜEDAD!F188,'Parche Promotores'!A:B,2,0),ANTIGÜEDAD!F188)</f>
        <v>Contreras Martinez Jose Luis</v>
      </c>
      <c r="C189" s="6" t="str">
        <f>TEXT(ANTIGÜEDAD!I188,"000000")</f>
        <v>000016</v>
      </c>
      <c r="D189" s="6" t="str">
        <f>ANTIGÜEDAD!K188</f>
        <v>MARGARITAS</v>
      </c>
      <c r="E189" s="29" t="str">
        <f>IFERROR(VLOOKUP(C189,'SITUACIÓN DE CARTERA'!A:AR,12,FALSE),VLOOKUP(C189,ANTIGÜEDAD!A:J,10,0))</f>
        <v>01</v>
      </c>
      <c r="F189" s="30">
        <f>VLOOKUP(C189,ANTIGÜEDAD!A:BE,17,FALSE)</f>
        <v>103000</v>
      </c>
      <c r="G189" s="30" t="str">
        <f>VLOOKUP(C189,ANTIGÜEDAD!A:BE,12,FALSE)</f>
        <v>MIGRADO</v>
      </c>
      <c r="H189" s="31">
        <f>VLOOKUP(C189,ANTIGÜEDAD!A:BE,14,FALSE)</f>
        <v>45883</v>
      </c>
      <c r="I189" s="19">
        <f>VLOOKUP(C189,ANTIGÜEDAD!A:BE,19,FALSE)</f>
        <v>16</v>
      </c>
      <c r="J189" s="31" t="str">
        <f>VLOOKUP(C189,ANTIGÜEDAD!A:BE,56,FALSE)</f>
        <v>Miércoles</v>
      </c>
      <c r="K189" s="32" t="str">
        <f>VLOOKUP(C189,ANTIGÜEDAD!A:BE,57,FALSE)</f>
        <v>14:00</v>
      </c>
      <c r="L189" s="19" t="str">
        <f>VLOOKUP(C189,ANTIGÜEDAD!A:BE,20,FALSE)</f>
        <v>Semanal</v>
      </c>
      <c r="M189" s="30">
        <f>VLOOKUP(C189,ANTIGÜEDAD!A:BE,21,FALSE)</f>
        <v>7828.07</v>
      </c>
      <c r="N189" s="33" t="str">
        <f>IFERROR(VLOOKUP(C189,'Reporte de cobranza'!G:BL,34,FALSE),"")</f>
        <v>05/11/2025</v>
      </c>
      <c r="O189" s="30">
        <f>IF(AI189="Desertor sin mora",0,VLOOKUP(C189,ANTIGÜEDAD!A:BJ,44,FALSE))</f>
        <v>46881.96</v>
      </c>
      <c r="P189" s="30">
        <f t="shared" si="47"/>
        <v>125249.12</v>
      </c>
      <c r="Q189" s="30">
        <f t="shared" ca="1" si="48"/>
        <v>46968.42</v>
      </c>
      <c r="R189" s="30">
        <f>IF(AI189="Desertor sin mora",0,VLOOKUP(C189,ANTIGÜEDAD!A:BJ,26,FALSE))</f>
        <v>38625</v>
      </c>
      <c r="S189" s="30">
        <f t="shared" ca="1" si="49"/>
        <v>-86.459999999999127</v>
      </c>
      <c r="T189" s="30">
        <f>IF(V189&gt;0,IF(VLOOKUP(TEXT(C189,"000000"),Ahorros_concentrado!B:D,3,0)+F189*0.1&gt;V189,V189,VLOOKUP(TEXT(C189,"000000"),Ahorros_concentrado!B:D,3,0)+F189*0.1),0)</f>
        <v>0</v>
      </c>
      <c r="U189" s="30">
        <f t="shared" si="50"/>
        <v>0</v>
      </c>
      <c r="V189" s="30">
        <f>IF(AI189="Desertor sin mora",0,VLOOKUP(C189,'SITUACIÓN DE CARTERA'!A:AR,26,FALSE))</f>
        <v>0</v>
      </c>
      <c r="W189" s="134">
        <f>IF(AI189="Desertor sin mora",0,VLOOKUP(C189,'SITUACIÓN DE CARTERA'!A:AR,27,FALSE))/100</f>
        <v>0</v>
      </c>
      <c r="X189" s="30">
        <f>IF(V189&gt;0,VLOOKUP(C189,ANTIGÜEDAD!A:BE,26,FALSE),0)</f>
        <v>0</v>
      </c>
      <c r="Z189" s="34">
        <f>IF(AI189="Desertor sin mora",VLOOKUP(C189,ANTIGÜEDAD!A:Q,17,0)/AA189,F189/AA189)</f>
        <v>20600</v>
      </c>
      <c r="AA189" s="19">
        <f>IF(AI189="Desertor sin mora",VLOOKUP(C189,ANTIGÜEDAD!A:M,13,0),VLOOKUP(C189,'SITUACIÓN DE CARTERA'!A:AR,43,FALSE))</f>
        <v>5</v>
      </c>
      <c r="AB189" s="19">
        <f t="shared" ca="1" si="51"/>
        <v>10</v>
      </c>
      <c r="AC189" s="42">
        <f>IF(AI189="Desertor sin mora",0,(VLOOKUP(C189,'SITUACIÓN DE CARTERA'!A:AS,45,FALSE))/M189)</f>
        <v>10.011042313111661</v>
      </c>
      <c r="AD189" s="19">
        <f>IF(AI189="Desertor sin mora",0,VLOOKUP(C189,'Reporte de cobranza'!G:BL,35,FALSE))</f>
        <v>6</v>
      </c>
      <c r="AE189" s="19">
        <f>IF(AI189="Desertor sin mora",I189,VLOOKUP(C189,'Reporte de cobranza'!G:BL,36,FALSE))</f>
        <v>16</v>
      </c>
      <c r="AF189" s="19">
        <f>VLOOKUP(C189,ANTIGÜEDAD!A:BE,18,FALSE)</f>
        <v>0</v>
      </c>
      <c r="AG189" s="30">
        <f>IFERROR(VLOOKUP(C189,Ahorros_concentrado!B:D,3,FALSE),0)</f>
        <v>2611.9300000000003</v>
      </c>
      <c r="AH189" s="43">
        <f t="shared" ca="1" si="52"/>
        <v>3.3366206485123409E-2</v>
      </c>
      <c r="AI189" s="19" t="str">
        <f>IF(VLOOKUP(C189,ANTIGÜEDAD!A:AG,33,0)="Entregado","Vigente",IF(VLOOKUP(C189,ANTIGÜEDAD!A:AG,33,0)="Liquidado","Desertor sin mora",""))</f>
        <v>Vigente</v>
      </c>
      <c r="AJ189" s="98" t="str">
        <f t="shared" si="53"/>
        <v>000001601</v>
      </c>
    </row>
    <row r="190" spans="1:36" x14ac:dyDescent="0.3">
      <c r="A190" s="19" t="str">
        <f>VLOOKUP(C190,ANTIGÜEDAD!A:BJ,4,FALSE)</f>
        <v>JUDITH PATRICIA SERRANO HERRER</v>
      </c>
      <c r="B190" s="19" t="str">
        <f>IFERROR(VLOOKUP(ANTIGÜEDAD!F189,'Parche Promotores'!A:B,2,0),ANTIGÜEDAD!F189)</f>
        <v>Becerril Aguirre Jonathan</v>
      </c>
      <c r="C190" s="6" t="str">
        <f>TEXT(ANTIGÜEDAD!I189,"000000")</f>
        <v>000205</v>
      </c>
      <c r="D190" s="6" t="str">
        <f>ANTIGÜEDAD!K189</f>
        <v>AGUILAS</v>
      </c>
      <c r="E190" s="29" t="str">
        <f>IFERROR(VLOOKUP(C190,'SITUACIÓN DE CARTERA'!A:AR,12,FALSE),VLOOKUP(C190,ANTIGÜEDAD!A:J,10,0))</f>
        <v>01</v>
      </c>
      <c r="F190" s="30">
        <f>VLOOKUP(C190,ANTIGÜEDAD!A:BE,17,FALSE)</f>
        <v>135000</v>
      </c>
      <c r="G190" s="30" t="str">
        <f>VLOOKUP(C190,ANTIGÜEDAD!A:BE,12,FALSE)</f>
        <v>MIGRADO</v>
      </c>
      <c r="H190" s="31">
        <f>VLOOKUP(C190,ANTIGÜEDAD!A:BE,14,FALSE)</f>
        <v>45961</v>
      </c>
      <c r="I190" s="19">
        <f>VLOOKUP(C190,ANTIGÜEDAD!A:BE,19,FALSE)</f>
        <v>16</v>
      </c>
      <c r="J190" s="31" t="str">
        <f>VLOOKUP(C190,ANTIGÜEDAD!A:BE,56,FALSE)</f>
        <v>Viernes</v>
      </c>
      <c r="K190" s="32" t="str">
        <f>VLOOKUP(C190,ANTIGÜEDAD!A:BE,57,FALSE)</f>
        <v>13:00</v>
      </c>
      <c r="L190" s="19" t="str">
        <f>VLOOKUP(C190,ANTIGÜEDAD!A:BE,20,FALSE)</f>
        <v>Semanal</v>
      </c>
      <c r="M190" s="30">
        <f>VLOOKUP(C190,ANTIGÜEDAD!A:BE,21,FALSE)</f>
        <v>10260.09</v>
      </c>
      <c r="N190" s="33" t="str">
        <f>IFERROR(VLOOKUP(C190,'Reporte de cobranza'!G:BL,34,FALSE),"")</f>
        <v>07/11/2025</v>
      </c>
      <c r="O190" s="30">
        <f>IF(AI190="Desertor sin mora",0,VLOOKUP(C190,ANTIGÜEDAD!A:BJ,44,FALSE))</f>
        <v>164161.44</v>
      </c>
      <c r="P190" s="30">
        <f t="shared" ref="P190:P200" si="54">M190*16</f>
        <v>164161.44</v>
      </c>
      <c r="Q190" s="30">
        <f t="shared" ref="Q190:Q200" ca="1" si="55">MAX(-((AB190*M190)-P190),O190)</f>
        <v>164161.44</v>
      </c>
      <c r="R190" s="30">
        <f>IF(AI190="Desertor sin mora",0,VLOOKUP(C190,ANTIGÜEDAD!A:BJ,26,FALSE))</f>
        <v>135000</v>
      </c>
      <c r="S190" s="30">
        <f t="shared" ref="S190:S200" ca="1" si="56">O190-Q190</f>
        <v>0</v>
      </c>
      <c r="T190" s="30">
        <f>IF(V190&gt;0,IF(VLOOKUP(TEXT(C190,"000000"),Ahorros_concentrado!B:D,3,0)+F190*0.1&gt;V190,V190,VLOOKUP(TEXT(C190,"000000"),Ahorros_concentrado!B:D,3,0)+F190*0.1),0)</f>
        <v>0</v>
      </c>
      <c r="U190" s="30">
        <f t="shared" ref="U190:U200" si="57">V190-T190</f>
        <v>0</v>
      </c>
      <c r="V190" s="30">
        <f>IF(AI190="Desertor sin mora",0,VLOOKUP(C190,'SITUACIÓN DE CARTERA'!A:AR,26,FALSE))</f>
        <v>0</v>
      </c>
      <c r="W190" s="134">
        <f>IF(AI190="Desertor sin mora",0,VLOOKUP(C190,'SITUACIÓN DE CARTERA'!A:AR,27,FALSE))/100</f>
        <v>0</v>
      </c>
      <c r="X190" s="30">
        <f>IF(V190&gt;0,VLOOKUP(C190,ANTIGÜEDAD!A:BE,26,FALSE),0)</f>
        <v>0</v>
      </c>
      <c r="Z190" s="34">
        <f>IF(AI190="Desertor sin mora",VLOOKUP(C190,ANTIGÜEDAD!A:Q,17,0)/AA190,F190/AA190)</f>
        <v>27000</v>
      </c>
      <c r="AA190" s="19">
        <f>IF(AI190="Desertor sin mora",VLOOKUP(C190,ANTIGÜEDAD!A:M,13,0),VLOOKUP(C190,'SITUACIÓN DE CARTERA'!A:AR,43,FALSE))</f>
        <v>5</v>
      </c>
      <c r="AB190" s="19">
        <f t="shared" ref="AB190:AB200" ca="1" si="58">IF(AI190="Desertor sin mora",INT((TODAY()-H190)/7),AE190-AD190)</f>
        <v>0</v>
      </c>
      <c r="AC190" s="42">
        <f>IF(AI190="Desertor sin mora",0,(VLOOKUP(C190,'SITUACIÓN DE CARTERA'!A:AS,45,FALSE))/M190)</f>
        <v>0</v>
      </c>
      <c r="AD190" s="19">
        <f>IF(AI190="Desertor sin mora",0,VLOOKUP(C190,'Reporte de cobranza'!G:BL,35,FALSE))</f>
        <v>16</v>
      </c>
      <c r="AE190" s="19">
        <f>IF(AI190="Desertor sin mora",I190,VLOOKUP(C190,'Reporte de cobranza'!G:BL,36,FALSE))</f>
        <v>16</v>
      </c>
      <c r="AF190" s="19">
        <f>VLOOKUP(C190,ANTIGÜEDAD!A:BE,18,FALSE)</f>
        <v>0</v>
      </c>
      <c r="AG190" s="30">
        <f>IFERROR(VLOOKUP(C190,Ahorros_concentrado!B:D,3,FALSE),0)</f>
        <v>0</v>
      </c>
      <c r="AH190" s="43">
        <f t="shared" ref="AH190:AH200" ca="1" si="59">IFERROR((AG190/M190)/AB190,0)</f>
        <v>0</v>
      </c>
      <c r="AI190" s="19" t="str">
        <f>IF(VLOOKUP(C190,ANTIGÜEDAD!A:AG,33,0)="Entregado","Vigente",IF(VLOOKUP(C190,ANTIGÜEDAD!A:AG,33,0)="Liquidado","Desertor sin mora",""))</f>
        <v>Vigente</v>
      </c>
      <c r="AJ190" s="98" t="str">
        <f t="shared" ref="AJ190:AJ200" si="60">"0"&amp;TEXT(C190,"000000")&amp;TEXT(E190,"00")</f>
        <v>000020501</v>
      </c>
    </row>
    <row r="191" spans="1:36" x14ac:dyDescent="0.3">
      <c r="A191" s="19" t="str">
        <f>VLOOKUP(C191,ANTIGÜEDAD!A:BJ,4,FALSE)</f>
        <v>IRVIN URIEL MORA VELAZCO</v>
      </c>
      <c r="B191" s="19" t="str">
        <f>IFERROR(VLOOKUP(ANTIGÜEDAD!F190,'Parche Promotores'!A:B,2,0),ANTIGÜEDAD!F190)</f>
        <v>Lopez Garcia Nahum Antonio</v>
      </c>
      <c r="C191" s="6" t="str">
        <f>TEXT(ANTIGÜEDAD!I190,"000000")</f>
        <v>000116</v>
      </c>
      <c r="D191" s="6" t="str">
        <f>ANTIGÜEDAD!K190</f>
        <v>SANDIA</v>
      </c>
      <c r="E191" s="29" t="str">
        <f>IFERROR(VLOOKUP(C191,'SITUACIÓN DE CARTERA'!A:AR,12,FALSE),VLOOKUP(C191,ANTIGÜEDAD!A:J,10,0))</f>
        <v>01</v>
      </c>
      <c r="F191" s="30">
        <f>VLOOKUP(C191,ANTIGÜEDAD!A:BE,17,FALSE)</f>
        <v>112000</v>
      </c>
      <c r="G191" s="30" t="str">
        <f>VLOOKUP(C191,ANTIGÜEDAD!A:BE,12,FALSE)</f>
        <v>MIGRADO</v>
      </c>
      <c r="H191" s="31">
        <f>VLOOKUP(C191,ANTIGÜEDAD!A:BE,14,FALSE)</f>
        <v>45926</v>
      </c>
      <c r="I191" s="19">
        <f>VLOOKUP(C191,ANTIGÜEDAD!A:BE,19,FALSE)</f>
        <v>16</v>
      </c>
      <c r="J191" s="31" t="str">
        <f>VLOOKUP(C191,ANTIGÜEDAD!A:BE,56,FALSE)</f>
        <v>Viernes</v>
      </c>
      <c r="K191" s="32" t="str">
        <f>VLOOKUP(C191,ANTIGÜEDAD!A:BE,57,FALSE)</f>
        <v>13:00</v>
      </c>
      <c r="L191" s="19" t="str">
        <f>VLOOKUP(C191,ANTIGÜEDAD!A:BE,20,FALSE)</f>
        <v>Semanal</v>
      </c>
      <c r="M191" s="30">
        <f>VLOOKUP(C191,ANTIGÜEDAD!A:BE,21,FALSE)</f>
        <v>8512.07</v>
      </c>
      <c r="N191" s="33" t="str">
        <f>IFERROR(VLOOKUP(C191,'Reporte de cobranza'!G:BL,34,FALSE),"")</f>
        <v>07/11/2025</v>
      </c>
      <c r="O191" s="30">
        <f>IF(AI191="Desertor sin mora",0,VLOOKUP(C191,ANTIGÜEDAD!A:BJ,44,FALSE))</f>
        <v>93633.19</v>
      </c>
      <c r="P191" s="30">
        <f t="shared" si="54"/>
        <v>136193.12</v>
      </c>
      <c r="Q191" s="30">
        <f t="shared" ca="1" si="55"/>
        <v>93633.19</v>
      </c>
      <c r="R191" s="30">
        <f>IF(AI191="Desertor sin mora",0,VLOOKUP(C191,ANTIGÜEDAD!A:BJ,26,FALSE))</f>
        <v>77000.38</v>
      </c>
      <c r="S191" s="30">
        <f t="shared" ca="1" si="56"/>
        <v>0</v>
      </c>
      <c r="T191" s="30">
        <f>IF(V191&gt;0,IF(VLOOKUP(TEXT(C191,"000000"),Ahorros_concentrado!B:D,3,0)+F191*0.1&gt;V191,V191,VLOOKUP(TEXT(C191,"000000"),Ahorros_concentrado!B:D,3,0)+F191*0.1),0)</f>
        <v>0</v>
      </c>
      <c r="U191" s="30">
        <f t="shared" si="57"/>
        <v>0</v>
      </c>
      <c r="V191" s="30">
        <f>IF(AI191="Desertor sin mora",0,VLOOKUP(C191,'SITUACIÓN DE CARTERA'!A:AR,26,FALSE))</f>
        <v>0</v>
      </c>
      <c r="W191" s="134">
        <f>IF(AI191="Desertor sin mora",0,VLOOKUP(C191,'SITUACIÓN DE CARTERA'!A:AR,27,FALSE))/100</f>
        <v>0</v>
      </c>
      <c r="X191" s="30">
        <f>IF(V191&gt;0,VLOOKUP(C191,ANTIGÜEDAD!A:BE,26,FALSE),0)</f>
        <v>0</v>
      </c>
      <c r="Z191" s="34">
        <f>IF(AI191="Desertor sin mora",VLOOKUP(C191,ANTIGÜEDAD!A:Q,17,0)/AA191,F191/AA191)</f>
        <v>16000</v>
      </c>
      <c r="AA191" s="19">
        <f>IF(AI191="Desertor sin mora",VLOOKUP(C191,ANTIGÜEDAD!A:M,13,0),VLOOKUP(C191,'SITUACIÓN DE CARTERA'!A:AR,43,FALSE))</f>
        <v>7</v>
      </c>
      <c r="AB191" s="19">
        <f t="shared" ca="1" si="58"/>
        <v>5</v>
      </c>
      <c r="AC191" s="42">
        <f>IF(AI191="Desertor sin mora",0,(VLOOKUP(C191,'SITUACIÓN DE CARTERA'!A:AS,45,FALSE))/M191)</f>
        <v>4.9999588819170899</v>
      </c>
      <c r="AD191" s="19">
        <f>IF(AI191="Desertor sin mora",0,VLOOKUP(C191,'Reporte de cobranza'!G:BL,35,FALSE))</f>
        <v>11</v>
      </c>
      <c r="AE191" s="19">
        <f>IF(AI191="Desertor sin mora",I191,VLOOKUP(C191,'Reporte de cobranza'!G:BL,36,FALSE))</f>
        <v>16</v>
      </c>
      <c r="AF191" s="19">
        <f>VLOOKUP(C191,ANTIGÜEDAD!A:BE,18,FALSE)</f>
        <v>0</v>
      </c>
      <c r="AG191" s="30">
        <f>IFERROR(VLOOKUP(C191,Ahorros_concentrado!B:D,3,FALSE),0)</f>
        <v>3272</v>
      </c>
      <c r="AH191" s="43">
        <f t="shared" ca="1" si="59"/>
        <v>7.6879067018950739E-2</v>
      </c>
      <c r="AI191" s="19" t="str">
        <f>IF(VLOOKUP(C191,ANTIGÜEDAD!A:AG,33,0)="Entregado","Vigente",IF(VLOOKUP(C191,ANTIGÜEDAD!A:AG,33,0)="Liquidado","Desertor sin mora",""))</f>
        <v>Vigente</v>
      </c>
      <c r="AJ191" s="98" t="str">
        <f t="shared" si="60"/>
        <v>000011601</v>
      </c>
    </row>
    <row r="192" spans="1:36" x14ac:dyDescent="0.3">
      <c r="A192" s="19" t="str">
        <f>VLOOKUP(C192,ANTIGÜEDAD!A:BJ,4,FALSE)</f>
        <v>JUDITH PATRICIA SERRANO HERRER</v>
      </c>
      <c r="B192" s="19" t="str">
        <f>IFERROR(VLOOKUP(ANTIGÜEDAD!F191,'Parche Promotores'!A:B,2,0),ANTIGÜEDAD!F191)</f>
        <v>Becerril Aguirre Jonathan</v>
      </c>
      <c r="C192" s="6" t="str">
        <f>TEXT(ANTIGÜEDAD!I191,"000000")</f>
        <v>000091</v>
      </c>
      <c r="D192" s="6" t="str">
        <f>ANTIGÜEDAD!K191</f>
        <v>CHICAS TEZOMPA</v>
      </c>
      <c r="E192" s="29" t="str">
        <f>IFERROR(VLOOKUP(C192,'SITUACIÓN DE CARTERA'!A:AR,12,FALSE),VLOOKUP(C192,ANTIGÜEDAD!A:J,10,0))</f>
        <v>01</v>
      </c>
      <c r="F192" s="30">
        <f>VLOOKUP(C192,ANTIGÜEDAD!A:BE,17,FALSE)</f>
        <v>100000</v>
      </c>
      <c r="G192" s="30" t="str">
        <f>VLOOKUP(C192,ANTIGÜEDAD!A:BE,12,FALSE)</f>
        <v>MIGRADO</v>
      </c>
      <c r="H192" s="31">
        <f>VLOOKUP(C192,ANTIGÜEDAD!A:BE,14,FALSE)</f>
        <v>45919</v>
      </c>
      <c r="I192" s="19">
        <f>VLOOKUP(C192,ANTIGÜEDAD!A:BE,19,FALSE)</f>
        <v>16</v>
      </c>
      <c r="J192" s="31" t="str">
        <f>VLOOKUP(C192,ANTIGÜEDAD!A:BE,56,FALSE)</f>
        <v>Viernes</v>
      </c>
      <c r="K192" s="32" t="str">
        <f>VLOOKUP(C192,ANTIGÜEDAD!A:BE,57,FALSE)</f>
        <v>11:00</v>
      </c>
      <c r="L192" s="19" t="str">
        <f>VLOOKUP(C192,ANTIGÜEDAD!A:BE,20,FALSE)</f>
        <v>Semanal</v>
      </c>
      <c r="M192" s="30">
        <f>VLOOKUP(C192,ANTIGÜEDAD!A:BE,21,FALSE)</f>
        <v>7600.07</v>
      </c>
      <c r="N192" s="33" t="str">
        <f>IFERROR(VLOOKUP(C192,'Reporte de cobranza'!G:BL,34,FALSE),"")</f>
        <v>07/11/2025</v>
      </c>
      <c r="O192" s="30">
        <f>IF(AI192="Desertor sin mora",0,VLOOKUP(C192,ANTIGÜEDAD!A:BJ,44,FALSE))</f>
        <v>76001.070000000007</v>
      </c>
      <c r="P192" s="30">
        <f t="shared" si="54"/>
        <v>121601.12</v>
      </c>
      <c r="Q192" s="30">
        <f t="shared" ca="1" si="55"/>
        <v>76001.070000000007</v>
      </c>
      <c r="R192" s="30">
        <f>IF(AI192="Desertor sin mora",0,VLOOKUP(C192,ANTIGÜEDAD!A:BJ,26,FALSE))</f>
        <v>62500.4</v>
      </c>
      <c r="S192" s="30">
        <f t="shared" ca="1" si="56"/>
        <v>0</v>
      </c>
      <c r="T192" s="30">
        <f>IF(V192&gt;0,IF(VLOOKUP(TEXT(C192,"000000"),Ahorros_concentrado!B:D,3,0)+F192*0.1&gt;V192,V192,VLOOKUP(TEXT(C192,"000000"),Ahorros_concentrado!B:D,3,0)+F192*0.1),0)</f>
        <v>0</v>
      </c>
      <c r="U192" s="30">
        <f t="shared" si="57"/>
        <v>0</v>
      </c>
      <c r="V192" s="30">
        <f>IF(AI192="Desertor sin mora",0,VLOOKUP(C192,'SITUACIÓN DE CARTERA'!A:AR,26,FALSE))</f>
        <v>0</v>
      </c>
      <c r="W192" s="134">
        <f>IF(AI192="Desertor sin mora",0,VLOOKUP(C192,'SITUACIÓN DE CARTERA'!A:AR,27,FALSE))/100</f>
        <v>0</v>
      </c>
      <c r="X192" s="30">
        <f>IF(V192&gt;0,VLOOKUP(C192,ANTIGÜEDAD!A:BE,26,FALSE),0)</f>
        <v>0</v>
      </c>
      <c r="Z192" s="34">
        <f>IF(AI192="Desertor sin mora",VLOOKUP(C192,ANTIGÜEDAD!A:Q,17,0)/AA192,F192/AA192)</f>
        <v>12500</v>
      </c>
      <c r="AA192" s="19">
        <f>IF(AI192="Desertor sin mora",VLOOKUP(C192,ANTIGÜEDAD!A:M,13,0),VLOOKUP(C192,'SITUACIÓN DE CARTERA'!A:AR,43,FALSE))</f>
        <v>8</v>
      </c>
      <c r="AB192" s="19">
        <f t="shared" ca="1" si="58"/>
        <v>6</v>
      </c>
      <c r="AC192" s="42">
        <f>IF(AI192="Desertor sin mora",0,(VLOOKUP(C192,'SITUACIÓN DE CARTERA'!A:AS,45,FALSE))/M192)</f>
        <v>5.9999447373511039</v>
      </c>
      <c r="AD192" s="19">
        <f>IF(AI192="Desertor sin mora",0,VLOOKUP(C192,'Reporte de cobranza'!G:BL,35,FALSE))</f>
        <v>10</v>
      </c>
      <c r="AE192" s="19">
        <f>IF(AI192="Desertor sin mora",I192,VLOOKUP(C192,'Reporte de cobranza'!G:BL,36,FALSE))</f>
        <v>16</v>
      </c>
      <c r="AF192" s="19">
        <f>VLOOKUP(C192,ANTIGÜEDAD!A:BE,18,FALSE)</f>
        <v>0</v>
      </c>
      <c r="AG192" s="30">
        <f>IFERROR(VLOOKUP(C192,Ahorros_concentrado!B:D,3,FALSE),0)</f>
        <v>4304</v>
      </c>
      <c r="AH192" s="43">
        <f t="shared" ca="1" si="59"/>
        <v>9.4385095575874087E-2</v>
      </c>
      <c r="AI192" s="19" t="str">
        <f>IF(VLOOKUP(C192,ANTIGÜEDAD!A:AG,33,0)="Entregado","Vigente",IF(VLOOKUP(C192,ANTIGÜEDAD!A:AG,33,0)="Liquidado","Desertor sin mora",""))</f>
        <v>Vigente</v>
      </c>
      <c r="AJ192" s="98" t="str">
        <f t="shared" si="60"/>
        <v>000009101</v>
      </c>
    </row>
    <row r="193" spans="1:36" x14ac:dyDescent="0.3">
      <c r="A193" s="19" t="str">
        <f>VLOOKUP(C193,ANTIGÜEDAD!A:BJ,4,FALSE)</f>
        <v>ADRIANA ALEJALDRE GUZMAN</v>
      </c>
      <c r="B193" s="19" t="str">
        <f>IFERROR(VLOOKUP(ANTIGÜEDAD!F192,'Parche Promotores'!A:B,2,0),ANTIGÜEDAD!F192)</f>
        <v>Lopez Cabrera Edith Alejandra</v>
      </c>
      <c r="C193" s="6" t="str">
        <f>TEXT(ANTIGÜEDAD!I192,"000000")</f>
        <v>000151</v>
      </c>
      <c r="D193" s="6" t="str">
        <f>ANTIGÜEDAD!K192</f>
        <v>PLATINO</v>
      </c>
      <c r="E193" s="29" t="str">
        <f>IFERROR(VLOOKUP(C193,'SITUACIÓN DE CARTERA'!A:AR,12,FALSE),VLOOKUP(C193,ANTIGÜEDAD!A:J,10,0))</f>
        <v>01</v>
      </c>
      <c r="F193" s="30">
        <f>VLOOKUP(C193,ANTIGÜEDAD!A:BE,17,FALSE)</f>
        <v>68000</v>
      </c>
      <c r="G193" s="30" t="str">
        <f>VLOOKUP(C193,ANTIGÜEDAD!A:BE,12,FALSE)</f>
        <v>MIGRADO</v>
      </c>
      <c r="H193" s="31">
        <f>VLOOKUP(C193,ANTIGÜEDAD!A:BE,14,FALSE)</f>
        <v>45945</v>
      </c>
      <c r="I193" s="19">
        <f>VLOOKUP(C193,ANTIGÜEDAD!A:BE,19,FALSE)</f>
        <v>16</v>
      </c>
      <c r="J193" s="31" t="str">
        <f>VLOOKUP(C193,ANTIGÜEDAD!A:BE,56,FALSE)</f>
        <v>Miércoles</v>
      </c>
      <c r="K193" s="32" t="str">
        <f>VLOOKUP(C193,ANTIGÜEDAD!A:BE,57,FALSE)</f>
        <v>09:00</v>
      </c>
      <c r="L193" s="19" t="str">
        <f>VLOOKUP(C193,ANTIGÜEDAD!A:BE,20,FALSE)</f>
        <v>Semanal</v>
      </c>
      <c r="M193" s="30">
        <f>VLOOKUP(C193,ANTIGÜEDAD!A:BE,21,FALSE)</f>
        <v>5168.05</v>
      </c>
      <c r="N193" s="33" t="str">
        <f>IFERROR(VLOOKUP(C193,'Reporte de cobranza'!G:BL,34,FALSE),"")</f>
        <v>05/11/2025</v>
      </c>
      <c r="O193" s="30">
        <f>IF(AI193="Desertor sin mora",0,VLOOKUP(C193,ANTIGÜEDAD!A:BJ,44,FALSE))</f>
        <v>72342.73</v>
      </c>
      <c r="P193" s="30">
        <f t="shared" si="54"/>
        <v>82688.800000000003</v>
      </c>
      <c r="Q193" s="30">
        <f t="shared" ca="1" si="55"/>
        <v>72352.7</v>
      </c>
      <c r="R193" s="30">
        <f>IF(AI193="Desertor sin mora",0,VLOOKUP(C193,ANTIGÜEDAD!A:BJ,26,FALSE))</f>
        <v>59500</v>
      </c>
      <c r="S193" s="30">
        <f t="shared" ca="1" si="56"/>
        <v>-9.9700000000011642</v>
      </c>
      <c r="T193" s="30">
        <f>IF(V193&gt;0,IF(VLOOKUP(TEXT(C193,"000000"),Ahorros_concentrado!B:D,3,0)+F193*0.1&gt;V193,V193,VLOOKUP(TEXT(C193,"000000"),Ahorros_concentrado!B:D,3,0)+F193*0.1),0)</f>
        <v>0</v>
      </c>
      <c r="U193" s="30">
        <f t="shared" si="57"/>
        <v>0</v>
      </c>
      <c r="V193" s="30">
        <f>IF(AI193="Desertor sin mora",0,VLOOKUP(C193,'SITUACIÓN DE CARTERA'!A:AR,26,FALSE))</f>
        <v>0</v>
      </c>
      <c r="W193" s="134">
        <f>IF(AI193="Desertor sin mora",0,VLOOKUP(C193,'SITUACIÓN DE CARTERA'!A:AR,27,FALSE))/100</f>
        <v>0</v>
      </c>
      <c r="X193" s="30">
        <f>IF(V193&gt;0,VLOOKUP(C193,ANTIGÜEDAD!A:BE,26,FALSE),0)</f>
        <v>0</v>
      </c>
      <c r="Z193" s="34">
        <f>IF(AI193="Desertor sin mora",VLOOKUP(C193,ANTIGÜEDAD!A:Q,17,0)/AA193,F193/AA193)</f>
        <v>11333.333333333334</v>
      </c>
      <c r="AA193" s="19">
        <f>IF(AI193="Desertor sin mora",VLOOKUP(C193,ANTIGÜEDAD!A:M,13,0),VLOOKUP(C193,'SITUACIÓN DE CARTERA'!A:AR,43,FALSE))</f>
        <v>6</v>
      </c>
      <c r="AB193" s="19">
        <f t="shared" ca="1" si="58"/>
        <v>2</v>
      </c>
      <c r="AC193" s="42">
        <f>IF(AI193="Desertor sin mora",0,(VLOOKUP(C193,'SITUACIÓN DE CARTERA'!A:AS,45,FALSE))/M193)</f>
        <v>2.0019156161414848</v>
      </c>
      <c r="AD193" s="19">
        <f>IF(AI193="Desertor sin mora",0,VLOOKUP(C193,'Reporte de cobranza'!G:BL,35,FALSE))</f>
        <v>14</v>
      </c>
      <c r="AE193" s="19">
        <f>IF(AI193="Desertor sin mora",I193,VLOOKUP(C193,'Reporte de cobranza'!G:BL,36,FALSE))</f>
        <v>16</v>
      </c>
      <c r="AF193" s="19">
        <f>VLOOKUP(C193,ANTIGÜEDAD!A:BE,18,FALSE)</f>
        <v>0</v>
      </c>
      <c r="AG193" s="30">
        <f>IFERROR(VLOOKUP(C193,Ahorros_concentrado!B:D,3,FALSE),0)</f>
        <v>587</v>
      </c>
      <c r="AH193" s="43">
        <f t="shared" ca="1" si="59"/>
        <v>5.6791246214723153E-2</v>
      </c>
      <c r="AI193" s="19" t="str">
        <f>IF(VLOOKUP(C193,ANTIGÜEDAD!A:AG,33,0)="Entregado","Vigente",IF(VLOOKUP(C193,ANTIGÜEDAD!A:AG,33,0)="Liquidado","Desertor sin mora",""))</f>
        <v>Vigente</v>
      </c>
      <c r="AJ193" s="98" t="str">
        <f t="shared" si="60"/>
        <v>000015101</v>
      </c>
    </row>
    <row r="194" spans="1:36" x14ac:dyDescent="0.3">
      <c r="A194" s="19" t="str">
        <f>VLOOKUP(C194,ANTIGÜEDAD!A:BJ,4,FALSE)</f>
        <v>ADRIANA ALEJALDRE GUZMAN</v>
      </c>
      <c r="B194" s="19" t="str">
        <f>IFERROR(VLOOKUP(ANTIGÜEDAD!F193,'Parche Promotores'!A:B,2,0),ANTIGÜEDAD!F193)</f>
        <v>Lopez Cabrera Edith Alejandra</v>
      </c>
      <c r="C194" s="6" t="str">
        <f>TEXT(ANTIGÜEDAD!I193,"000000")</f>
        <v>000043</v>
      </c>
      <c r="D194" s="6" t="str">
        <f>ANTIGÜEDAD!K193</f>
        <v>ADELITA</v>
      </c>
      <c r="E194" s="29" t="str">
        <f>IFERROR(VLOOKUP(C194,'SITUACIÓN DE CARTERA'!A:AR,12,FALSE),VLOOKUP(C194,ANTIGÜEDAD!A:J,10,0))</f>
        <v>01</v>
      </c>
      <c r="F194" s="30">
        <f>VLOOKUP(C194,ANTIGÜEDAD!A:BE,17,FALSE)</f>
        <v>85000</v>
      </c>
      <c r="G194" s="30" t="str">
        <f>VLOOKUP(C194,ANTIGÜEDAD!A:BE,12,FALSE)</f>
        <v>MIGRADO</v>
      </c>
      <c r="H194" s="31">
        <f>VLOOKUP(C194,ANTIGÜEDAD!A:BE,14,FALSE)</f>
        <v>45897</v>
      </c>
      <c r="I194" s="19">
        <f>VLOOKUP(C194,ANTIGÜEDAD!A:BE,19,FALSE)</f>
        <v>16</v>
      </c>
      <c r="J194" s="31" t="str">
        <f>VLOOKUP(C194,ANTIGÜEDAD!A:BE,56,FALSE)</f>
        <v>Jueves</v>
      </c>
      <c r="K194" s="32">
        <f>VLOOKUP(C194,ANTIGÜEDAD!A:BE,57,FALSE)</f>
        <v>0</v>
      </c>
      <c r="L194" s="19" t="str">
        <f>VLOOKUP(C194,ANTIGÜEDAD!A:BE,20,FALSE)</f>
        <v>Semanal</v>
      </c>
      <c r="M194" s="30">
        <f>VLOOKUP(C194,ANTIGÜEDAD!A:BE,21,FALSE)</f>
        <v>6460.06</v>
      </c>
      <c r="N194" s="33" t="str">
        <f>IFERROR(VLOOKUP(C194,'Reporte de cobranza'!G:BL,34,FALSE),"")</f>
        <v>06/11/2025</v>
      </c>
      <c r="O194" s="30">
        <f>IF(AI194="Desertor sin mora",0,VLOOKUP(C194,ANTIGÜEDAD!A:BJ,44,FALSE))</f>
        <v>45157.91</v>
      </c>
      <c r="P194" s="30">
        <f t="shared" si="54"/>
        <v>103360.96000000001</v>
      </c>
      <c r="Q194" s="30">
        <f t="shared" ca="1" si="55"/>
        <v>45220.420000000006</v>
      </c>
      <c r="R194" s="30">
        <f>IF(AI194="Desertor sin mora",0,VLOOKUP(C194,ANTIGÜEDAD!A:BJ,26,FALSE))</f>
        <v>37187.5</v>
      </c>
      <c r="S194" s="30">
        <f t="shared" ca="1" si="56"/>
        <v>-62.510000000002037</v>
      </c>
      <c r="T194" s="30">
        <f>IF(V194&gt;0,IF(VLOOKUP(TEXT(C194,"000000"),Ahorros_concentrado!B:D,3,0)+F194*0.1&gt;V194,V194,VLOOKUP(TEXT(C194,"000000"),Ahorros_concentrado!B:D,3,0)+F194*0.1),0)</f>
        <v>0</v>
      </c>
      <c r="U194" s="30">
        <f t="shared" si="57"/>
        <v>0</v>
      </c>
      <c r="V194" s="30">
        <f>IF(AI194="Desertor sin mora",0,VLOOKUP(C194,'SITUACIÓN DE CARTERA'!A:AR,26,FALSE))</f>
        <v>0</v>
      </c>
      <c r="W194" s="134">
        <f>IF(AI194="Desertor sin mora",0,VLOOKUP(C194,'SITUACIÓN DE CARTERA'!A:AR,27,FALSE))/100</f>
        <v>0</v>
      </c>
      <c r="X194" s="30">
        <f>IF(V194&gt;0,VLOOKUP(C194,ANTIGÜEDAD!A:BE,26,FALSE),0)</f>
        <v>0</v>
      </c>
      <c r="Z194" s="34">
        <f>IF(AI194="Desertor sin mora",VLOOKUP(C194,ANTIGÜEDAD!A:Q,17,0)/AA194,F194/AA194)</f>
        <v>12142.857142857143</v>
      </c>
      <c r="AA194" s="19">
        <f>IF(AI194="Desertor sin mora",VLOOKUP(C194,ANTIGÜEDAD!A:M,13,0),VLOOKUP(C194,'SITUACIÓN DE CARTERA'!A:AR,43,FALSE))</f>
        <v>7</v>
      </c>
      <c r="AB194" s="19">
        <f t="shared" ca="1" si="58"/>
        <v>9</v>
      </c>
      <c r="AC194" s="42">
        <f>IF(AI194="Desertor sin mora",0,(VLOOKUP(C194,'SITUACIÓN DE CARTERA'!A:AS,45,FALSE))/M194)</f>
        <v>9.0096686408485365</v>
      </c>
      <c r="AD194" s="19">
        <f>IF(AI194="Desertor sin mora",0,VLOOKUP(C194,'Reporte de cobranza'!G:BL,35,FALSE))</f>
        <v>7</v>
      </c>
      <c r="AE194" s="19">
        <f>IF(AI194="Desertor sin mora",I194,VLOOKUP(C194,'Reporte de cobranza'!G:BL,36,FALSE))</f>
        <v>16</v>
      </c>
      <c r="AF194" s="19">
        <f>VLOOKUP(C194,ANTIGÜEDAD!A:BE,18,FALSE)</f>
        <v>0</v>
      </c>
      <c r="AG194" s="30">
        <f>IFERROR(VLOOKUP(C194,Ahorros_concentrado!B:D,3,FALSE),0)</f>
        <v>2654</v>
      </c>
      <c r="AH194" s="43">
        <f t="shared" ca="1" si="59"/>
        <v>4.5648010837188641E-2</v>
      </c>
      <c r="AI194" s="19" t="str">
        <f>IF(VLOOKUP(C194,ANTIGÜEDAD!A:AG,33,0)="Entregado","Vigente",IF(VLOOKUP(C194,ANTIGÜEDAD!A:AG,33,0)="Liquidado","Desertor sin mora",""))</f>
        <v>Vigente</v>
      </c>
      <c r="AJ194" s="98" t="str">
        <f t="shared" si="60"/>
        <v>000004301</v>
      </c>
    </row>
    <row r="195" spans="1:36" x14ac:dyDescent="0.3">
      <c r="A195" s="19" t="str">
        <f>VLOOKUP(C195,ANTIGÜEDAD!A:BJ,4,FALSE)</f>
        <v>ADRIANA ALEJALDRE GUZMAN</v>
      </c>
      <c r="B195" s="19" t="str">
        <f>IFERROR(VLOOKUP(ANTIGÜEDAD!F194,'Parche Promotores'!A:B,2,0),ANTIGÜEDAD!F194)</f>
        <v>Juarez Palma Ma Ines</v>
      </c>
      <c r="C195" s="6" t="str">
        <f>TEXT(ANTIGÜEDAD!I194,"000000")</f>
        <v>000128</v>
      </c>
      <c r="D195" s="6" t="str">
        <f>ANTIGÜEDAD!K194</f>
        <v>MAGIA</v>
      </c>
      <c r="E195" s="29" t="str">
        <f>IFERROR(VLOOKUP(C195,'SITUACIÓN DE CARTERA'!A:AR,12,FALSE),VLOOKUP(C195,ANTIGÜEDAD!A:J,10,0))</f>
        <v>01</v>
      </c>
      <c r="F195" s="30">
        <f>VLOOKUP(C195,ANTIGÜEDAD!A:BE,17,FALSE)</f>
        <v>92000</v>
      </c>
      <c r="G195" s="30" t="str">
        <f>VLOOKUP(C195,ANTIGÜEDAD!A:BE,12,FALSE)</f>
        <v>MIGRADO</v>
      </c>
      <c r="H195" s="31">
        <f>VLOOKUP(C195,ANTIGÜEDAD!A:BE,14,FALSE)</f>
        <v>45931</v>
      </c>
      <c r="I195" s="19">
        <f>VLOOKUP(C195,ANTIGÜEDAD!A:BE,19,FALSE)</f>
        <v>16</v>
      </c>
      <c r="J195" s="31" t="str">
        <f>VLOOKUP(C195,ANTIGÜEDAD!A:BE,56,FALSE)</f>
        <v>Miércoles</v>
      </c>
      <c r="K195" s="32" t="str">
        <f>VLOOKUP(C195,ANTIGÜEDAD!A:BE,57,FALSE)</f>
        <v>12:00</v>
      </c>
      <c r="L195" s="19" t="str">
        <f>VLOOKUP(C195,ANTIGÜEDAD!A:BE,20,FALSE)</f>
        <v>Semanal</v>
      </c>
      <c r="M195" s="30">
        <f>VLOOKUP(C195,ANTIGÜEDAD!A:BE,21,FALSE)</f>
        <v>6992.06</v>
      </c>
      <c r="N195" s="33" t="str">
        <f>IFERROR(VLOOKUP(C195,'Reporte de cobranza'!G:BL,34,FALSE),"")</f>
        <v>05/11/2025</v>
      </c>
      <c r="O195" s="30">
        <f>IF(AI195="Desertor sin mora",0,VLOOKUP(C195,ANTIGÜEDAD!A:BJ,44,FALSE))</f>
        <v>83885.98</v>
      </c>
      <c r="P195" s="30">
        <f t="shared" si="54"/>
        <v>111872.96000000001</v>
      </c>
      <c r="Q195" s="30">
        <f t="shared" ca="1" si="55"/>
        <v>83904.72</v>
      </c>
      <c r="R195" s="30">
        <f>IF(AI195="Desertor sin mora",0,VLOOKUP(C195,ANTIGÜEDAD!A:BJ,26,FALSE))</f>
        <v>69000</v>
      </c>
      <c r="S195" s="30">
        <f t="shared" ca="1" si="56"/>
        <v>-18.740000000005239</v>
      </c>
      <c r="T195" s="30">
        <f>IF(V195&gt;0,IF(VLOOKUP(TEXT(C195,"000000"),Ahorros_concentrado!B:D,3,0)+F195*0.1&gt;V195,V195,VLOOKUP(TEXT(C195,"000000"),Ahorros_concentrado!B:D,3,0)+F195*0.1),0)</f>
        <v>0</v>
      </c>
      <c r="U195" s="30">
        <f t="shared" si="57"/>
        <v>0</v>
      </c>
      <c r="V195" s="30">
        <f>IF(AI195="Desertor sin mora",0,VLOOKUP(C195,'SITUACIÓN DE CARTERA'!A:AR,26,FALSE))</f>
        <v>0</v>
      </c>
      <c r="W195" s="134">
        <f>IF(AI195="Desertor sin mora",0,VLOOKUP(C195,'SITUACIÓN DE CARTERA'!A:AR,27,FALSE))/100</f>
        <v>0</v>
      </c>
      <c r="X195" s="30">
        <f>IF(V195&gt;0,VLOOKUP(C195,ANTIGÜEDAD!A:BE,26,FALSE),0)</f>
        <v>0</v>
      </c>
      <c r="Z195" s="34">
        <f>IF(AI195="Desertor sin mora",VLOOKUP(C195,ANTIGÜEDAD!A:Q,17,0)/AA195,F195/AA195)</f>
        <v>15333.333333333334</v>
      </c>
      <c r="AA195" s="19">
        <f>IF(AI195="Desertor sin mora",VLOOKUP(C195,ANTIGÜEDAD!A:M,13,0),VLOOKUP(C195,'SITUACIÓN DE CARTERA'!A:AR,43,FALSE))</f>
        <v>6</v>
      </c>
      <c r="AB195" s="19">
        <f t="shared" ca="1" si="58"/>
        <v>4</v>
      </c>
      <c r="AC195" s="42">
        <f>IF(AI195="Desertor sin mora",0,(VLOOKUP(C195,'SITUACIÓN DE CARTERA'!A:AS,45,FALSE))/M195)</f>
        <v>4.0026830433377283</v>
      </c>
      <c r="AD195" s="19">
        <f>IF(AI195="Desertor sin mora",0,VLOOKUP(C195,'Reporte de cobranza'!G:BL,35,FALSE))</f>
        <v>12</v>
      </c>
      <c r="AE195" s="19">
        <f>IF(AI195="Desertor sin mora",I195,VLOOKUP(C195,'Reporte de cobranza'!G:BL,36,FALSE))</f>
        <v>16</v>
      </c>
      <c r="AF195" s="19">
        <f>VLOOKUP(C195,ANTIGÜEDAD!A:BE,18,FALSE)</f>
        <v>0</v>
      </c>
      <c r="AG195" s="30">
        <f>IFERROR(VLOOKUP(C195,Ahorros_concentrado!B:D,3,FALSE),0)</f>
        <v>1399</v>
      </c>
      <c r="AH195" s="43">
        <f t="shared" ca="1" si="59"/>
        <v>5.0021023847049366E-2</v>
      </c>
      <c r="AI195" s="19" t="str">
        <f>IF(VLOOKUP(C195,ANTIGÜEDAD!A:AG,33,0)="Entregado","Vigente",IF(VLOOKUP(C195,ANTIGÜEDAD!A:AG,33,0)="Liquidado","Desertor sin mora",""))</f>
        <v>Vigente</v>
      </c>
      <c r="AJ195" s="98" t="str">
        <f t="shared" si="60"/>
        <v>000012801</v>
      </c>
    </row>
    <row r="196" spans="1:36" x14ac:dyDescent="0.3">
      <c r="A196" s="19" t="str">
        <f>VLOOKUP(C196,ANTIGÜEDAD!A:BJ,4,FALSE)</f>
        <v>ADRIANA ALEJALDRE GUZMAN</v>
      </c>
      <c r="B196" s="19" t="str">
        <f>IFERROR(VLOOKUP(ANTIGÜEDAD!F195,'Parche Promotores'!A:B,2,0),ANTIGÜEDAD!F195)</f>
        <v>Lopez Cabrera Edith Alejandra</v>
      </c>
      <c r="C196" s="6" t="str">
        <f>TEXT(ANTIGÜEDAD!I195,"000000")</f>
        <v>000018</v>
      </c>
      <c r="D196" s="6" t="str">
        <f>ANTIGÜEDAD!K195</f>
        <v>CRISTAL</v>
      </c>
      <c r="E196" s="29" t="str">
        <f>IFERROR(VLOOKUP(C196,'SITUACIÓN DE CARTERA'!A:AR,12,FALSE),VLOOKUP(C196,ANTIGÜEDAD!A:J,10,0))</f>
        <v>01</v>
      </c>
      <c r="F196" s="30">
        <f>VLOOKUP(C196,ANTIGÜEDAD!A:BE,17,FALSE)</f>
        <v>150000</v>
      </c>
      <c r="G196" s="30" t="str">
        <f>VLOOKUP(C196,ANTIGÜEDAD!A:BE,12,FALSE)</f>
        <v>MIGRADO</v>
      </c>
      <c r="H196" s="31">
        <f>VLOOKUP(C196,ANTIGÜEDAD!A:BE,14,FALSE)</f>
        <v>45896</v>
      </c>
      <c r="I196" s="19">
        <f>VLOOKUP(C196,ANTIGÜEDAD!A:BE,19,FALSE)</f>
        <v>16</v>
      </c>
      <c r="J196" s="31" t="str">
        <f>VLOOKUP(C196,ANTIGÜEDAD!A:BE,56,FALSE)</f>
        <v>Miércoles</v>
      </c>
      <c r="K196" s="32" t="str">
        <f>VLOOKUP(C196,ANTIGÜEDAD!A:BE,57,FALSE)</f>
        <v>12:00</v>
      </c>
      <c r="L196" s="19" t="str">
        <f>VLOOKUP(C196,ANTIGÜEDAD!A:BE,20,FALSE)</f>
        <v>Semanal</v>
      </c>
      <c r="M196" s="30">
        <f>VLOOKUP(C196,ANTIGÜEDAD!A:BE,21,FALSE)</f>
        <v>11400.1</v>
      </c>
      <c r="N196" s="33" t="str">
        <f>IFERROR(VLOOKUP(C196,'Reporte de cobranza'!G:BL,34,FALSE),"")</f>
        <v>05/11/2025</v>
      </c>
      <c r="O196" s="30">
        <f>IF(AI196="Desertor sin mora",0,VLOOKUP(C196,ANTIGÜEDAD!A:BJ,44,FALSE))</f>
        <v>79792.600000000006</v>
      </c>
      <c r="P196" s="30">
        <f t="shared" si="54"/>
        <v>182401.6</v>
      </c>
      <c r="Q196" s="30">
        <f t="shared" ca="1" si="55"/>
        <v>79800.7</v>
      </c>
      <c r="R196" s="30">
        <f>IF(AI196="Desertor sin mora",0,VLOOKUP(C196,ANTIGÜEDAD!A:BJ,26,FALSE))</f>
        <v>65625</v>
      </c>
      <c r="S196" s="30">
        <f t="shared" ca="1" si="56"/>
        <v>-8.0999999999912689</v>
      </c>
      <c r="T196" s="30">
        <f>IF(V196&gt;0,IF(VLOOKUP(TEXT(C196,"000000"),Ahorros_concentrado!B:D,3,0)+F196*0.1&gt;V196,V196,VLOOKUP(TEXT(C196,"000000"),Ahorros_concentrado!B:D,3,0)+F196*0.1),0)</f>
        <v>0</v>
      </c>
      <c r="U196" s="30">
        <f t="shared" si="57"/>
        <v>0</v>
      </c>
      <c r="V196" s="30">
        <f>IF(AI196="Desertor sin mora",0,VLOOKUP(C196,'SITUACIÓN DE CARTERA'!A:AR,26,FALSE))</f>
        <v>0</v>
      </c>
      <c r="W196" s="134">
        <f>IF(AI196="Desertor sin mora",0,VLOOKUP(C196,'SITUACIÓN DE CARTERA'!A:AR,27,FALSE))/100</f>
        <v>0</v>
      </c>
      <c r="X196" s="30">
        <f>IF(V196&gt;0,VLOOKUP(C196,ANTIGÜEDAD!A:BE,26,FALSE),0)</f>
        <v>0</v>
      </c>
      <c r="Z196" s="34">
        <f>IF(AI196="Desertor sin mora",VLOOKUP(C196,ANTIGÜEDAD!A:Q,17,0)/AA196,F196/AA196)</f>
        <v>21428.571428571428</v>
      </c>
      <c r="AA196" s="19">
        <f>IF(AI196="Desertor sin mora",VLOOKUP(C196,ANTIGÜEDAD!A:M,13,0),VLOOKUP(C196,'SITUACIÓN DE CARTERA'!A:AR,43,FALSE))</f>
        <v>7</v>
      </c>
      <c r="AB196" s="19">
        <f t="shared" ca="1" si="58"/>
        <v>9</v>
      </c>
      <c r="AC196" s="42">
        <f>IF(AI196="Desertor sin mora",0,(VLOOKUP(C196,'SITUACIÓN DE CARTERA'!A:AS,45,FALSE))/M196)</f>
        <v>9.0007105200831568</v>
      </c>
      <c r="AD196" s="19">
        <f>IF(AI196="Desertor sin mora",0,VLOOKUP(C196,'Reporte de cobranza'!G:BL,35,FALSE))</f>
        <v>7</v>
      </c>
      <c r="AE196" s="19">
        <f>IF(AI196="Desertor sin mora",I196,VLOOKUP(C196,'Reporte de cobranza'!G:BL,36,FALSE))</f>
        <v>16</v>
      </c>
      <c r="AF196" s="19">
        <f>VLOOKUP(C196,ANTIGÜEDAD!A:BE,18,FALSE)</f>
        <v>0</v>
      </c>
      <c r="AG196" s="30">
        <f>IFERROR(VLOOKUP(C196,Ahorros_concentrado!B:D,3,FALSE),0)</f>
        <v>0</v>
      </c>
      <c r="AH196" s="43">
        <f t="shared" ca="1" si="59"/>
        <v>0</v>
      </c>
      <c r="AI196" s="19" t="str">
        <f>IF(VLOOKUP(C196,ANTIGÜEDAD!A:AG,33,0)="Entregado","Vigente",IF(VLOOKUP(C196,ANTIGÜEDAD!A:AG,33,0)="Liquidado","Desertor sin mora",""))</f>
        <v>Vigente</v>
      </c>
      <c r="AJ196" s="98" t="str">
        <f t="shared" si="60"/>
        <v>000001801</v>
      </c>
    </row>
    <row r="197" spans="1:36" x14ac:dyDescent="0.3">
      <c r="A197" s="19" t="str">
        <f>VLOOKUP(C197,ANTIGÜEDAD!A:BJ,4,FALSE)</f>
        <v>JUAN EDMUNDO LUNA AGUILLON</v>
      </c>
      <c r="B197" s="19" t="str">
        <f>IFERROR(VLOOKUP(ANTIGÜEDAD!F196,'Parche Promotores'!A:B,2,0),ANTIGÜEDAD!F196)</f>
        <v>Sanchez Posada Jose Olimpo</v>
      </c>
      <c r="C197" s="6" t="str">
        <f>TEXT(ANTIGÜEDAD!I196,"000000")</f>
        <v>000041</v>
      </c>
      <c r="D197" s="6" t="str">
        <f>ANTIGÜEDAD!K196</f>
        <v>PUERTA DE ORO</v>
      </c>
      <c r="E197" s="29" t="str">
        <f>IFERROR(VLOOKUP(C197,'SITUACIÓN DE CARTERA'!A:AR,12,FALSE),VLOOKUP(C197,ANTIGÜEDAD!A:J,10,0))</f>
        <v>01</v>
      </c>
      <c r="F197" s="30">
        <f>VLOOKUP(C197,ANTIGÜEDAD!A:BE,17,FALSE)</f>
        <v>625000</v>
      </c>
      <c r="G197" s="30" t="str">
        <f>VLOOKUP(C197,ANTIGÜEDAD!A:BE,12,FALSE)</f>
        <v>MIGRADO</v>
      </c>
      <c r="H197" s="31">
        <f>VLOOKUP(C197,ANTIGÜEDAD!A:BE,14,FALSE)</f>
        <v>45896</v>
      </c>
      <c r="I197" s="19">
        <f>VLOOKUP(C197,ANTIGÜEDAD!A:BE,19,FALSE)</f>
        <v>16</v>
      </c>
      <c r="J197" s="31" t="str">
        <f>VLOOKUP(C197,ANTIGÜEDAD!A:BE,56,FALSE)</f>
        <v>Miércoles</v>
      </c>
      <c r="K197" s="32">
        <f>VLOOKUP(C197,ANTIGÜEDAD!A:BE,57,FALSE)</f>
        <v>0</v>
      </c>
      <c r="L197" s="19" t="str">
        <f>VLOOKUP(C197,ANTIGÜEDAD!A:BE,20,FALSE)</f>
        <v>Semanal</v>
      </c>
      <c r="M197" s="30">
        <f>VLOOKUP(C197,ANTIGÜEDAD!A:BE,21,FALSE)</f>
        <v>47500.42</v>
      </c>
      <c r="N197" s="33" t="str">
        <f>IFERROR(VLOOKUP(C197,'Reporte de cobranza'!G:BL,34,FALSE),"")</f>
        <v>05/11/2025</v>
      </c>
      <c r="O197" s="30">
        <f>IF(AI197="Desertor sin mora",0,VLOOKUP(C197,ANTIGÜEDAD!A:BJ,44,FALSE))</f>
        <v>332502.89</v>
      </c>
      <c r="P197" s="30">
        <f t="shared" si="54"/>
        <v>760006.72</v>
      </c>
      <c r="Q197" s="30">
        <f t="shared" ca="1" si="55"/>
        <v>332502.94</v>
      </c>
      <c r="R197" s="30">
        <f>IF(AI197="Desertor sin mora",0,VLOOKUP(C197,ANTIGÜEDAD!A:BJ,26,FALSE))</f>
        <v>273437.5</v>
      </c>
      <c r="S197" s="30">
        <f t="shared" ca="1" si="56"/>
        <v>-4.9999999988358468E-2</v>
      </c>
      <c r="T197" s="30">
        <f>IF(V197&gt;0,IF(VLOOKUP(TEXT(C197,"000000"),Ahorros_concentrado!B:D,3,0)+F197*0.1&gt;V197,V197,VLOOKUP(TEXT(C197,"000000"),Ahorros_concentrado!B:D,3,0)+F197*0.1),0)</f>
        <v>0</v>
      </c>
      <c r="U197" s="30">
        <f t="shared" si="57"/>
        <v>0</v>
      </c>
      <c r="V197" s="30">
        <f>IF(AI197="Desertor sin mora",0,VLOOKUP(C197,'SITUACIÓN DE CARTERA'!A:AR,26,FALSE))</f>
        <v>0</v>
      </c>
      <c r="W197" s="134">
        <f>IF(AI197="Desertor sin mora",0,VLOOKUP(C197,'SITUACIÓN DE CARTERA'!A:AR,27,FALSE))/100</f>
        <v>0</v>
      </c>
      <c r="X197" s="30">
        <f>IF(V197&gt;0,VLOOKUP(C197,ANTIGÜEDAD!A:BE,26,FALSE),0)</f>
        <v>0</v>
      </c>
      <c r="Z197" s="34">
        <f>IF(AI197="Desertor sin mora",VLOOKUP(C197,ANTIGÜEDAD!A:Q,17,0)/AA197,F197/AA197)</f>
        <v>56818.181818181816</v>
      </c>
      <c r="AA197" s="19">
        <f>IF(AI197="Desertor sin mora",VLOOKUP(C197,ANTIGÜEDAD!A:M,13,0),VLOOKUP(C197,'SITUACIÓN DE CARTERA'!A:AR,43,FALSE))</f>
        <v>11</v>
      </c>
      <c r="AB197" s="19">
        <f t="shared" ca="1" si="58"/>
        <v>9</v>
      </c>
      <c r="AC197" s="42">
        <f>IF(AI197="Desertor sin mora",0,(VLOOKUP(C197,'SITUACIÓN DE CARTERA'!A:AS,45,FALSE))/M197)</f>
        <v>9.0000000000000018</v>
      </c>
      <c r="AD197" s="19">
        <f>IF(AI197="Desertor sin mora",0,VLOOKUP(C197,'Reporte de cobranza'!G:BL,35,FALSE))</f>
        <v>7</v>
      </c>
      <c r="AE197" s="19">
        <f>IF(AI197="Desertor sin mora",I197,VLOOKUP(C197,'Reporte de cobranza'!G:BL,36,FALSE))</f>
        <v>16</v>
      </c>
      <c r="AF197" s="19">
        <f>VLOOKUP(C197,ANTIGÜEDAD!A:BE,18,FALSE)</f>
        <v>0</v>
      </c>
      <c r="AG197" s="30">
        <f>IFERROR(VLOOKUP(C197,Ahorros_concentrado!B:D,3,FALSE),0)</f>
        <v>42327.220000000016</v>
      </c>
      <c r="AH197" s="43">
        <f t="shared" ca="1" si="59"/>
        <v>9.9010165477367282E-2</v>
      </c>
      <c r="AI197" s="19" t="str">
        <f>IF(VLOOKUP(C197,ANTIGÜEDAD!A:AG,33,0)="Entregado","Vigente",IF(VLOOKUP(C197,ANTIGÜEDAD!A:AG,33,0)="Liquidado","Desertor sin mora",""))</f>
        <v>Vigente</v>
      </c>
      <c r="AJ197" s="98" t="str">
        <f t="shared" si="60"/>
        <v>000004101</v>
      </c>
    </row>
    <row r="198" spans="1:36" x14ac:dyDescent="0.3">
      <c r="A198" s="19" t="str">
        <f>VLOOKUP(C198,ANTIGÜEDAD!A:BJ,4,FALSE)</f>
        <v>JUDITH PATRICIA SERRANO HERRER</v>
      </c>
      <c r="B198" s="19" t="str">
        <f>IFERROR(VLOOKUP(ANTIGÜEDAD!F197,'Parche Promotores'!A:B,2,0),ANTIGÜEDAD!F197)</f>
        <v>ORTEGA FORTANEL GABRIELA</v>
      </c>
      <c r="C198" s="6" t="str">
        <f>TEXT(ANTIGÜEDAD!I197,"000000")</f>
        <v>000084</v>
      </c>
      <c r="D198" s="6" t="str">
        <f>ANTIGÜEDAD!K197</f>
        <v>SWEET CANDY</v>
      </c>
      <c r="E198" s="29" t="str">
        <f>IFERROR(VLOOKUP(C198,'SITUACIÓN DE CARTERA'!A:AR,12,FALSE),VLOOKUP(C198,ANTIGÜEDAD!A:J,10,0))</f>
        <v>01</v>
      </c>
      <c r="F198" s="30">
        <f>VLOOKUP(C198,ANTIGÜEDAD!A:BE,17,FALSE)</f>
        <v>39000</v>
      </c>
      <c r="G198" s="30" t="str">
        <f>VLOOKUP(C198,ANTIGÜEDAD!A:BE,12,FALSE)</f>
        <v>MIGRADO</v>
      </c>
      <c r="H198" s="31">
        <f>VLOOKUP(C198,ANTIGÜEDAD!A:BE,14,FALSE)</f>
        <v>45912</v>
      </c>
      <c r="I198" s="19">
        <f>VLOOKUP(C198,ANTIGÜEDAD!A:BE,19,FALSE)</f>
        <v>16</v>
      </c>
      <c r="J198" s="31" t="str">
        <f>VLOOKUP(C198,ANTIGÜEDAD!A:BE,56,FALSE)</f>
        <v>Viernes</v>
      </c>
      <c r="K198" s="32" t="str">
        <f>VLOOKUP(C198,ANTIGÜEDAD!A:BE,57,FALSE)</f>
        <v>16:00</v>
      </c>
      <c r="L198" s="19" t="str">
        <f>VLOOKUP(C198,ANTIGÜEDAD!A:BE,20,FALSE)</f>
        <v>Semanal</v>
      </c>
      <c r="M198" s="30">
        <f>VLOOKUP(C198,ANTIGÜEDAD!A:BE,21,FALSE)</f>
        <v>2964.03</v>
      </c>
      <c r="N198" s="33" t="str">
        <f>IFERROR(VLOOKUP(C198,'Reporte de cobranza'!G:BL,34,FALSE),"")</f>
        <v>07/11/2025</v>
      </c>
      <c r="O198" s="30">
        <f>IF(AI198="Desertor sin mora",0,VLOOKUP(C198,ANTIGÜEDAD!A:BJ,44,FALSE))</f>
        <v>26665.420000000002</v>
      </c>
      <c r="P198" s="30">
        <f t="shared" si="54"/>
        <v>47424.480000000003</v>
      </c>
      <c r="Q198" s="30">
        <f t="shared" ca="1" si="55"/>
        <v>26676.27</v>
      </c>
      <c r="R198" s="30">
        <f>IF(AI198="Desertor sin mora",0,VLOOKUP(C198,ANTIGÜEDAD!A:BJ,26,FALSE))</f>
        <v>21937.5</v>
      </c>
      <c r="S198" s="30">
        <f t="shared" ca="1" si="56"/>
        <v>-10.849999999998545</v>
      </c>
      <c r="T198" s="30">
        <f>IF(V198&gt;0,IF(VLOOKUP(TEXT(C198,"000000"),Ahorros_concentrado!B:D,3,0)+F198*0.1&gt;V198,V198,VLOOKUP(TEXT(C198,"000000"),Ahorros_concentrado!B:D,3,0)+F198*0.1),0)</f>
        <v>0</v>
      </c>
      <c r="U198" s="30">
        <f t="shared" si="57"/>
        <v>0</v>
      </c>
      <c r="V198" s="30">
        <f>IF(AI198="Desertor sin mora",0,VLOOKUP(C198,'SITUACIÓN DE CARTERA'!A:AR,26,FALSE))</f>
        <v>0</v>
      </c>
      <c r="W198" s="134">
        <f>IF(AI198="Desertor sin mora",0,VLOOKUP(C198,'SITUACIÓN DE CARTERA'!A:AR,27,FALSE))/100</f>
        <v>0</v>
      </c>
      <c r="X198" s="30">
        <f>IF(V198&gt;0,VLOOKUP(C198,ANTIGÜEDAD!A:BE,26,FALSE),0)</f>
        <v>0</v>
      </c>
      <c r="Z198" s="34">
        <f>IF(AI198="Desertor sin mora",VLOOKUP(C198,ANTIGÜEDAD!A:Q,17,0)/AA198,F198/AA198)</f>
        <v>7800</v>
      </c>
      <c r="AA198" s="19">
        <f>IF(AI198="Desertor sin mora",VLOOKUP(C198,ANTIGÜEDAD!A:M,13,0),VLOOKUP(C198,'SITUACIÓN DE CARTERA'!A:AR,43,FALSE))</f>
        <v>5</v>
      </c>
      <c r="AB198" s="19">
        <f t="shared" ca="1" si="58"/>
        <v>7</v>
      </c>
      <c r="AC198" s="42">
        <f>IF(AI198="Desertor sin mora",0,(VLOOKUP(C198,'SITUACIÓN DE CARTERA'!A:AS,45,FALSE))/M198)</f>
        <v>7.0036403140319088</v>
      </c>
      <c r="AD198" s="19">
        <f>IF(AI198="Desertor sin mora",0,VLOOKUP(C198,'Reporte de cobranza'!G:BL,35,FALSE))</f>
        <v>9</v>
      </c>
      <c r="AE198" s="19">
        <f>IF(AI198="Desertor sin mora",I198,VLOOKUP(C198,'Reporte de cobranza'!G:BL,36,FALSE))</f>
        <v>16</v>
      </c>
      <c r="AF198" s="19">
        <f>VLOOKUP(C198,ANTIGÜEDAD!A:BE,18,FALSE)</f>
        <v>0</v>
      </c>
      <c r="AG198" s="30">
        <f>IFERROR(VLOOKUP(C198,Ahorros_concentrado!B:D,3,FALSE),0)</f>
        <v>1788</v>
      </c>
      <c r="AH198" s="43">
        <f t="shared" ca="1" si="59"/>
        <v>8.6176108686002312E-2</v>
      </c>
      <c r="AI198" s="19" t="str">
        <f>IF(VLOOKUP(C198,ANTIGÜEDAD!A:AG,33,0)="Entregado","Vigente",IF(VLOOKUP(C198,ANTIGÜEDAD!A:AG,33,0)="Liquidado","Desertor sin mora",""))</f>
        <v>Vigente</v>
      </c>
      <c r="AJ198" s="98" t="str">
        <f t="shared" si="60"/>
        <v>000008401</v>
      </c>
    </row>
    <row r="199" spans="1:36" x14ac:dyDescent="0.3">
      <c r="A199" s="19" t="str">
        <f>VLOOKUP(C199,ANTIGÜEDAD!A:BJ,4,FALSE)</f>
        <v>JUAN EDMUNDO LUNA AGUILLON</v>
      </c>
      <c r="B199" s="19" t="str">
        <f>IFERROR(VLOOKUP(ANTIGÜEDAD!F198,'Parche Promotores'!A:B,2,0),ANTIGÜEDAD!F198)</f>
        <v>Martinez Bañuelos Nallely Sarahi</v>
      </c>
      <c r="C199" s="6" t="str">
        <f>TEXT(ANTIGÜEDAD!I198,"000000")</f>
        <v>000170</v>
      </c>
      <c r="D199" s="6" t="str">
        <f>ANTIGÜEDAD!K198</f>
        <v>FORTALEZA TECAMAC</v>
      </c>
      <c r="E199" s="29" t="str">
        <f>IFERROR(VLOOKUP(C199,'SITUACIÓN DE CARTERA'!A:AR,12,FALSE),VLOOKUP(C199,ANTIGÜEDAD!A:J,10,0))</f>
        <v>01</v>
      </c>
      <c r="F199" s="30">
        <f>VLOOKUP(C199,ANTIGÜEDAD!A:BE,17,FALSE)</f>
        <v>155000</v>
      </c>
      <c r="G199" s="30" t="str">
        <f>VLOOKUP(C199,ANTIGÜEDAD!A:BE,12,FALSE)</f>
        <v>MIGRADO</v>
      </c>
      <c r="H199" s="31">
        <f>VLOOKUP(C199,ANTIGÜEDAD!A:BE,14,FALSE)</f>
        <v>45951</v>
      </c>
      <c r="I199" s="19">
        <f>VLOOKUP(C199,ANTIGÜEDAD!A:BE,19,FALSE)</f>
        <v>16</v>
      </c>
      <c r="J199" s="31" t="str">
        <f>VLOOKUP(C199,ANTIGÜEDAD!A:BE,56,FALSE)</f>
        <v>Martes</v>
      </c>
      <c r="K199" s="32" t="str">
        <f>VLOOKUP(C199,ANTIGÜEDAD!A:BE,57,FALSE)</f>
        <v>14:00</v>
      </c>
      <c r="L199" s="19" t="str">
        <f>VLOOKUP(C199,ANTIGÜEDAD!A:BE,20,FALSE)</f>
        <v>Semanal</v>
      </c>
      <c r="M199" s="30">
        <f>VLOOKUP(C199,ANTIGÜEDAD!A:BE,21,FALSE)</f>
        <v>11780.1</v>
      </c>
      <c r="N199" s="33" t="str">
        <f>IFERROR(VLOOKUP(C199,'Reporte de cobranza'!G:BL,34,FALSE),"")</f>
        <v>04/11/2025</v>
      </c>
      <c r="O199" s="30">
        <f>IF(AI199="Desertor sin mora",0,VLOOKUP(C199,ANTIGÜEDAD!A:BJ,44,FALSE))</f>
        <v>176694.65</v>
      </c>
      <c r="P199" s="30">
        <f t="shared" si="54"/>
        <v>188481.6</v>
      </c>
      <c r="Q199" s="30">
        <f t="shared" ca="1" si="55"/>
        <v>176701.5</v>
      </c>
      <c r="R199" s="30">
        <f>IF(AI199="Desertor sin mora",0,VLOOKUP(C199,ANTIGÜEDAD!A:BJ,26,FALSE))</f>
        <v>145312.5</v>
      </c>
      <c r="S199" s="30">
        <f t="shared" ca="1" si="56"/>
        <v>-6.8500000000058208</v>
      </c>
      <c r="T199" s="30">
        <f>IF(V199&gt;0,IF(VLOOKUP(TEXT(C199,"000000"),Ahorros_concentrado!B:D,3,0)+F199*0.1&gt;V199,V199,VLOOKUP(TEXT(C199,"000000"),Ahorros_concentrado!B:D,3,0)+F199*0.1),0)</f>
        <v>0</v>
      </c>
      <c r="U199" s="30">
        <f t="shared" si="57"/>
        <v>0</v>
      </c>
      <c r="V199" s="30">
        <f>IF(AI199="Desertor sin mora",0,VLOOKUP(C199,'SITUACIÓN DE CARTERA'!A:AR,26,FALSE))</f>
        <v>0</v>
      </c>
      <c r="W199" s="134">
        <f>IF(AI199="Desertor sin mora",0,VLOOKUP(C199,'SITUACIÓN DE CARTERA'!A:AR,27,FALSE))/100</f>
        <v>0</v>
      </c>
      <c r="X199" s="30">
        <f>IF(V199&gt;0,VLOOKUP(C199,ANTIGÜEDAD!A:BE,26,FALSE),0)</f>
        <v>0</v>
      </c>
      <c r="Z199" s="34">
        <f>IF(AI199="Desertor sin mora",VLOOKUP(C199,ANTIGÜEDAD!A:Q,17,0)/AA199,F199/AA199)</f>
        <v>22142.857142857141</v>
      </c>
      <c r="AA199" s="19">
        <f>IF(AI199="Desertor sin mora",VLOOKUP(C199,ANTIGÜEDAD!A:M,13,0),VLOOKUP(C199,'SITUACIÓN DE CARTERA'!A:AR,43,FALSE))</f>
        <v>7</v>
      </c>
      <c r="AB199" s="19">
        <f t="shared" ca="1" si="58"/>
        <v>1</v>
      </c>
      <c r="AC199" s="42">
        <f>IF(AI199="Desertor sin mora",0,(VLOOKUP(C199,'SITUACIÓN DE CARTERA'!A:AS,45,FALSE))/M199)</f>
        <v>1.0005857335676267</v>
      </c>
      <c r="AD199" s="19">
        <f>IF(AI199="Desertor sin mora",0,VLOOKUP(C199,'Reporte de cobranza'!G:BL,35,FALSE))</f>
        <v>15</v>
      </c>
      <c r="AE199" s="19">
        <f>IF(AI199="Desertor sin mora",I199,VLOOKUP(C199,'Reporte de cobranza'!G:BL,36,FALSE))</f>
        <v>16</v>
      </c>
      <c r="AF199" s="19">
        <f>VLOOKUP(C199,ANTIGÜEDAD!A:BE,18,FALSE)</f>
        <v>0</v>
      </c>
      <c r="AG199" s="30">
        <f>IFERROR(VLOOKUP(C199,Ahorros_concentrado!B:D,3,FALSE),0)</f>
        <v>842</v>
      </c>
      <c r="AH199" s="43">
        <f t="shared" ca="1" si="59"/>
        <v>7.1476473035033655E-2</v>
      </c>
      <c r="AI199" s="19" t="str">
        <f>IF(VLOOKUP(C199,ANTIGÜEDAD!A:AG,33,0)="Entregado","Vigente",IF(VLOOKUP(C199,ANTIGÜEDAD!A:AG,33,0)="Liquidado","Desertor sin mora",""))</f>
        <v>Vigente</v>
      </c>
      <c r="AJ199" s="98" t="str">
        <f t="shared" si="60"/>
        <v>000017001</v>
      </c>
    </row>
    <row r="200" spans="1:36" x14ac:dyDescent="0.3">
      <c r="A200" s="19" t="str">
        <f>VLOOKUP(C200,ANTIGÜEDAD!A:BJ,4,FALSE)</f>
        <v>IRVIN URIEL MORA VELAZCO</v>
      </c>
      <c r="B200" s="19" t="str">
        <f>IFERROR(VLOOKUP(ANTIGÜEDAD!F199,'Parche Promotores'!A:B,2,0),ANTIGÜEDAD!F199)</f>
        <v>Lopez Garcia Nahum Antonio</v>
      </c>
      <c r="C200" s="6" t="str">
        <f>TEXT(ANTIGÜEDAD!I199,"000000")</f>
        <v>000118</v>
      </c>
      <c r="D200" s="6" t="str">
        <f>ANTIGÜEDAD!K199</f>
        <v>COLIBRI</v>
      </c>
      <c r="E200" s="29" t="str">
        <f>IFERROR(VLOOKUP(C200,'SITUACIÓN DE CARTERA'!A:AR,12,FALSE),VLOOKUP(C200,ANTIGÜEDAD!A:J,10,0))</f>
        <v>01</v>
      </c>
      <c r="F200" s="30">
        <f>VLOOKUP(C200,ANTIGÜEDAD!A:BE,17,FALSE)</f>
        <v>54000</v>
      </c>
      <c r="G200" s="30" t="str">
        <f>VLOOKUP(C200,ANTIGÜEDAD!A:BE,12,FALSE)</f>
        <v>MIGRADO</v>
      </c>
      <c r="H200" s="31">
        <f>VLOOKUP(C200,ANTIGÜEDAD!A:BE,14,FALSE)</f>
        <v>45943</v>
      </c>
      <c r="I200" s="19">
        <f>VLOOKUP(C200,ANTIGÜEDAD!A:BE,19,FALSE)</f>
        <v>16</v>
      </c>
      <c r="J200" s="31" t="str">
        <f>VLOOKUP(C200,ANTIGÜEDAD!A:BE,56,FALSE)</f>
        <v>Lunes</v>
      </c>
      <c r="K200" s="32" t="str">
        <f>VLOOKUP(C200,ANTIGÜEDAD!A:BE,57,FALSE)</f>
        <v>13:00</v>
      </c>
      <c r="L200" s="19" t="str">
        <f>VLOOKUP(C200,ANTIGÜEDAD!A:BE,20,FALSE)</f>
        <v>Semanal</v>
      </c>
      <c r="M200" s="30">
        <f>VLOOKUP(C200,ANTIGÜEDAD!A:BE,21,FALSE)</f>
        <v>4104.04</v>
      </c>
      <c r="N200" s="33" t="str">
        <f>IFERROR(VLOOKUP(C200,'Reporte de cobranza'!G:BL,34,FALSE),"")</f>
        <v>03/11/2025</v>
      </c>
      <c r="O200" s="30">
        <f>IF(AI200="Desertor sin mora",0,VLOOKUP(C200,ANTIGÜEDAD!A:BJ,44,FALSE))</f>
        <v>57456.58</v>
      </c>
      <c r="P200" s="30">
        <f t="shared" si="54"/>
        <v>65664.639999999999</v>
      </c>
      <c r="Q200" s="30">
        <f t="shared" ca="1" si="55"/>
        <v>57456.58</v>
      </c>
      <c r="R200" s="30">
        <f>IF(AI200="Desertor sin mora",0,VLOOKUP(C200,ANTIGÜEDAD!A:BJ,26,FALSE))</f>
        <v>47250.080000000002</v>
      </c>
      <c r="S200" s="30">
        <f t="shared" ca="1" si="56"/>
        <v>0</v>
      </c>
      <c r="T200" s="30">
        <f>IF(V200&gt;0,IF(VLOOKUP(TEXT(C200,"000000"),Ahorros_concentrado!B:D,3,0)+F200*0.1&gt;V200,V200,VLOOKUP(TEXT(C200,"000000"),Ahorros_concentrado!B:D,3,0)+F200*0.1),0)</f>
        <v>0</v>
      </c>
      <c r="U200" s="30">
        <f t="shared" si="57"/>
        <v>0</v>
      </c>
      <c r="V200" s="30">
        <f>IF(AI200="Desertor sin mora",0,VLOOKUP(C200,'SITUACIÓN DE CARTERA'!A:AR,26,FALSE))</f>
        <v>0</v>
      </c>
      <c r="W200" s="134">
        <f>IF(AI200="Desertor sin mora",0,VLOOKUP(C200,'SITUACIÓN DE CARTERA'!A:AR,27,FALSE))/100</f>
        <v>0</v>
      </c>
      <c r="X200" s="30">
        <f>IF(V200&gt;0,VLOOKUP(C200,ANTIGÜEDAD!A:BE,26,FALSE),0)</f>
        <v>0</v>
      </c>
      <c r="Z200" s="34">
        <f>IF(AI200="Desertor sin mora",VLOOKUP(C200,ANTIGÜEDAD!A:Q,17,0)/AA200,F200/AA200)</f>
        <v>9000</v>
      </c>
      <c r="AA200" s="19">
        <f>IF(AI200="Desertor sin mora",VLOOKUP(C200,ANTIGÜEDAD!A:M,13,0),VLOOKUP(C200,'SITUACIÓN DE CARTERA'!A:AR,43,FALSE))</f>
        <v>6</v>
      </c>
      <c r="AB200" s="19">
        <f t="shared" ca="1" si="58"/>
        <v>2</v>
      </c>
      <c r="AC200" s="42">
        <f>IF(AI200="Desertor sin mora",0,(VLOOKUP(C200,'SITUACIÓN DE CARTERA'!A:AS,45,FALSE))/M200)</f>
        <v>1.9999805070126022</v>
      </c>
      <c r="AD200" s="19">
        <f>IF(AI200="Desertor sin mora",0,VLOOKUP(C200,'Reporte de cobranza'!G:BL,35,FALSE))</f>
        <v>14</v>
      </c>
      <c r="AE200" s="19">
        <f>IF(AI200="Desertor sin mora",I200,VLOOKUP(C200,'Reporte de cobranza'!G:BL,36,FALSE))</f>
        <v>16</v>
      </c>
      <c r="AF200" s="19">
        <f>VLOOKUP(C200,ANTIGÜEDAD!A:BE,18,FALSE)</f>
        <v>0</v>
      </c>
      <c r="AG200" s="30">
        <f>IFERROR(VLOOKUP(C200,Ahorros_concentrado!B:D,3,FALSE),0)</f>
        <v>615</v>
      </c>
      <c r="AH200" s="43">
        <f t="shared" ca="1" si="59"/>
        <v>7.4926170310230897E-2</v>
      </c>
      <c r="AI200" s="19" t="str">
        <f>IF(VLOOKUP(C200,ANTIGÜEDAD!A:AG,33,0)="Entregado","Vigente",IF(VLOOKUP(C200,ANTIGÜEDAD!A:AG,33,0)="Liquidado","Desertor sin mora",""))</f>
        <v>Vigente</v>
      </c>
      <c r="AJ200" s="98" t="str">
        <f t="shared" si="60"/>
        <v>000011801</v>
      </c>
    </row>
    <row r="201" spans="1:36" ht="15" thickBot="1" x14ac:dyDescent="0.35">
      <c r="C201" s="6"/>
    </row>
    <row r="202" spans="1:36" customFormat="1" ht="15" thickBot="1" x14ac:dyDescent="0.35">
      <c r="A202" s="62"/>
      <c r="B202" s="62"/>
      <c r="C202" s="62">
        <f>COUNTA(C7:C200)</f>
        <v>194</v>
      </c>
      <c r="D202" s="62"/>
      <c r="E202" s="62"/>
      <c r="F202" s="63">
        <f>SUBTOTAL(9,F$7:F$201)</f>
        <v>19878000</v>
      </c>
      <c r="G202" s="62"/>
      <c r="H202" s="62"/>
      <c r="I202" s="62"/>
      <c r="J202" s="62"/>
      <c r="K202" s="62"/>
      <c r="L202" s="62"/>
      <c r="M202" s="63">
        <f>SUBTOTAL(9,M$7:M$201)</f>
        <v>1511067.3700000034</v>
      </c>
      <c r="N202" s="63"/>
      <c r="O202" s="63">
        <f>SUBTOTAL(9,O$7:O$201)</f>
        <v>16162592.720000003</v>
      </c>
      <c r="P202" s="63">
        <f>SUBTOTAL(9,P$7:P$201)</f>
        <v>24177077.920000054</v>
      </c>
      <c r="Q202" s="63">
        <f ca="1">SUBTOTAL(9,Q$7:Q$201)</f>
        <v>16263008.030000003</v>
      </c>
      <c r="R202" s="63">
        <f>SUBTOTAL(9,R$7:R$201)</f>
        <v>13294963.060000004</v>
      </c>
      <c r="S202" s="63">
        <f ca="1">SUBTOTAL(9,S$7:S$201)</f>
        <v>-100415.31000000003</v>
      </c>
      <c r="T202" s="63">
        <f>SUBTOTAL(9,T$7:T$201)</f>
        <v>86506.06</v>
      </c>
      <c r="U202" s="63">
        <f>SUBTOTAL(9,U$7:U$201)</f>
        <v>14116.270000000002</v>
      </c>
      <c r="V202" s="63">
        <f>SUBTOTAL(9,V$7:V$201)</f>
        <v>100622.33</v>
      </c>
      <c r="W202" s="127">
        <f>IFERROR(ROUND(V202/R202,3),0)</f>
        <v>8.0000000000000002E-3</v>
      </c>
      <c r="X202" s="63">
        <f>SUBTOTAL(9,X$7:X$201)</f>
        <v>811247.33000000007</v>
      </c>
      <c r="Y202" s="63">
        <f>SUBTOTAL(9,Y$7:Y131)</f>
        <v>0</v>
      </c>
      <c r="Z202" s="63">
        <f>SUBTOTAL(9,Z$7:$Z$200)</f>
        <v>3212092.7849927843</v>
      </c>
      <c r="AA202" s="97">
        <f>SUBTOTAL(9,AA$7:$AA$200)</f>
        <v>1198</v>
      </c>
      <c r="AB202" s="62"/>
      <c r="AC202" s="62"/>
      <c r="AD202" s="62"/>
      <c r="AE202" s="62"/>
      <c r="AF202" s="85">
        <f>SUBTOTAL(9,AF$7:AF131)</f>
        <v>34</v>
      </c>
      <c r="AG202" s="87">
        <f>SUBTOTAL(9,AG$7:AG131)</f>
        <v>406394.63</v>
      </c>
      <c r="AH202" s="88"/>
      <c r="AI202" s="19"/>
      <c r="AJ202" s="19"/>
    </row>
    <row r="203" spans="1:36" x14ac:dyDescent="0.3">
      <c r="C203" s="6"/>
    </row>
    <row r="204" spans="1:36" x14ac:dyDescent="0.3">
      <c r="C204">
        <f>C202-'Seguimiento por promotor'!G30</f>
        <v>0</v>
      </c>
      <c r="F204" s="84">
        <f>F202-'Seguimiento por promotor'!I30</f>
        <v>0</v>
      </c>
      <c r="M204" s="84">
        <f>M202-'Seguimiento por promotor'!J30</f>
        <v>3.2596290111541748E-9</v>
      </c>
      <c r="O204" s="84">
        <f>O202-'Seguimiento por promotor'!K30</f>
        <v>0</v>
      </c>
      <c r="P204" s="84">
        <f>P202-'Seguimiento por promotor'!L30</f>
        <v>5.2154064178466797E-8</v>
      </c>
      <c r="Q204" s="84"/>
      <c r="R204" s="84">
        <f>R202-'Seguimiento por promotor'!N30</f>
        <v>0</v>
      </c>
      <c r="T204" s="84">
        <f>T202-'Seguimiento por promotor'!O30</f>
        <v>0</v>
      </c>
      <c r="U204" s="84">
        <f>U202-'Seguimiento por promotor'!P30</f>
        <v>0</v>
      </c>
      <c r="V204" s="84">
        <f>V202-'Seguimiento por promotor'!Q30</f>
        <v>0</v>
      </c>
      <c r="AA204" s="135">
        <f>AA202-'Seguimiento por promotor'!H30</f>
        <v>0</v>
      </c>
    </row>
    <row r="205" spans="1:36" x14ac:dyDescent="0.3">
      <c r="C205" s="35">
        <f>COUNTA(ANTIGÜEDAD!$I$6:$I$1048576)-C202</f>
        <v>0</v>
      </c>
      <c r="F205" s="84">
        <f>SUM(ANTIGÜEDAD!Q:Q)-F202</f>
        <v>0</v>
      </c>
    </row>
  </sheetData>
  <autoFilter ref="A6:AK200" xr:uid="{00000000-0001-0000-0100-000000000000}"/>
  <mergeCells count="2">
    <mergeCell ref="T5:V5"/>
    <mergeCell ref="O5:R5"/>
  </mergeCells>
  <phoneticPr fontId="11" type="noConversion"/>
  <conditionalFormatting sqref="F204:F205">
    <cfRule type="cellIs" dxfId="2" priority="1" operator="greaterThan">
      <formula>" $-   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B96B9-C35A-451E-8AFD-2259D896FF48}">
  <sheetPr codeName="Hoja9">
    <pageSetUpPr fitToPage="1"/>
  </sheetPr>
  <dimension ref="A4:P10"/>
  <sheetViews>
    <sheetView showGridLines="0" topLeftCell="A6" zoomScaleNormal="100" workbookViewId="0">
      <selection activeCell="A6" sqref="A6"/>
    </sheetView>
  </sheetViews>
  <sheetFormatPr baseColWidth="10" defaultRowHeight="14.4" x14ac:dyDescent="0.3"/>
  <cols>
    <col min="1" max="1" width="30.33203125" style="94" customWidth="1"/>
    <col min="2" max="2" width="32.109375" style="94" customWidth="1"/>
    <col min="3" max="3" width="13.44140625" style="90" customWidth="1"/>
    <col min="4" max="4" width="20.33203125" style="89" customWidth="1"/>
    <col min="5" max="5" width="14.44140625" style="91" bestFit="1" customWidth="1"/>
    <col min="6" max="6" width="11.5546875" style="89"/>
    <col min="7" max="7" width="11.77734375" style="89" bestFit="1" customWidth="1"/>
    <col min="8" max="8" width="13.109375" style="89" bestFit="1" customWidth="1"/>
    <col min="9" max="9" width="9.44140625" style="89" customWidth="1"/>
    <col min="10" max="10" width="11.77734375" style="92" bestFit="1" customWidth="1"/>
    <col min="11" max="11" width="11.6640625" style="89" bestFit="1" customWidth="1"/>
    <col min="12" max="12" width="11.6640625" style="93" bestFit="1" customWidth="1"/>
    <col min="13" max="13" width="13" style="93" bestFit="1" customWidth="1"/>
    <col min="14" max="16" width="11.5546875" style="89"/>
  </cols>
  <sheetData>
    <row r="4" spans="1:16" ht="44.4" customHeight="1" x14ac:dyDescent="0.3"/>
    <row r="5" spans="1:16" ht="16.8" customHeight="1" thickBot="1" x14ac:dyDescent="0.35"/>
    <row r="6" spans="1:16" ht="24" customHeight="1" thickBot="1" x14ac:dyDescent="0.35">
      <c r="A6" s="82" t="s">
        <v>1627</v>
      </c>
      <c r="C6" s="82" t="s">
        <v>1626</v>
      </c>
    </row>
    <row r="9" spans="1:16" ht="15" thickBot="1" x14ac:dyDescent="0.35"/>
    <row r="10" spans="1:16" ht="29.4" thickBot="1" x14ac:dyDescent="0.35">
      <c r="A10" s="82" t="s">
        <v>1627</v>
      </c>
      <c r="B10" s="54" t="s">
        <v>1626</v>
      </c>
      <c r="C10" s="82" t="s">
        <v>0</v>
      </c>
      <c r="D10" s="54" t="s">
        <v>1</v>
      </c>
      <c r="E10" s="65" t="s">
        <v>175</v>
      </c>
      <c r="F10" s="65" t="s">
        <v>176</v>
      </c>
      <c r="G10" s="65" t="s">
        <v>177</v>
      </c>
      <c r="H10" s="65" t="s">
        <v>1623</v>
      </c>
      <c r="I10" s="65" t="s">
        <v>576</v>
      </c>
      <c r="J10" s="81" t="s">
        <v>1169</v>
      </c>
      <c r="K10" s="65" t="s">
        <v>1624</v>
      </c>
      <c r="L10" s="80" t="s">
        <v>1625</v>
      </c>
      <c r="M10" s="80" t="s">
        <v>1632</v>
      </c>
      <c r="N10" s="83" t="s">
        <v>1630</v>
      </c>
      <c r="O10" s="83" t="s">
        <v>1085</v>
      </c>
      <c r="P10" s="83" t="s">
        <v>1631</v>
      </c>
    </row>
  </sheetData>
  <printOptions horizontalCentered="1"/>
  <pageMargins left="0.3" right="0.3" top="0.5" bottom="0.5" header="0.3" footer="0.3"/>
  <pageSetup paperSize="9" scale="5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332C3-0F0E-4FB1-B296-2F1F266DD61F}">
  <sheetPr codeName="Hoja10"/>
  <dimension ref="A3:O20"/>
  <sheetViews>
    <sheetView topLeftCell="J1" workbookViewId="0">
      <selection activeCell="K3" sqref="K3"/>
    </sheetView>
  </sheetViews>
  <sheetFormatPr baseColWidth="10" defaultRowHeight="14.4" x14ac:dyDescent="0.3"/>
  <cols>
    <col min="2" max="2" width="33.21875" bestFit="1" customWidth="1"/>
    <col min="3" max="3" width="27.88671875" bestFit="1" customWidth="1"/>
    <col min="4" max="4" width="19.88671875" bestFit="1" customWidth="1"/>
    <col min="5" max="5" width="28.5546875" bestFit="1" customWidth="1"/>
    <col min="6" max="6" width="24.109375" bestFit="1" customWidth="1"/>
    <col min="7" max="7" width="20.77734375" bestFit="1" customWidth="1"/>
    <col min="8" max="8" width="28.6640625" bestFit="1" customWidth="1"/>
    <col min="9" max="9" width="26.44140625" bestFit="1" customWidth="1"/>
    <col min="10" max="10" width="30.21875" bestFit="1" customWidth="1"/>
    <col min="11" max="11" width="22.33203125" bestFit="1" customWidth="1"/>
    <col min="12" max="12" width="24.88671875" bestFit="1" customWidth="1"/>
    <col min="13" max="13" width="31.77734375" bestFit="1" customWidth="1"/>
    <col min="14" max="14" width="26.88671875" bestFit="1" customWidth="1"/>
    <col min="15" max="15" width="21.6640625" bestFit="1" customWidth="1"/>
  </cols>
  <sheetData>
    <row r="3" spans="1:15" x14ac:dyDescent="0.3">
      <c r="A3">
        <v>0</v>
      </c>
      <c r="B3" s="117" t="s">
        <v>1627</v>
      </c>
      <c r="C3" s="117" t="s">
        <v>1626</v>
      </c>
      <c r="D3" t="s">
        <v>1765</v>
      </c>
      <c r="E3" t="s">
        <v>1766</v>
      </c>
      <c r="F3" t="s">
        <v>1767</v>
      </c>
      <c r="G3" t="s">
        <v>1628</v>
      </c>
      <c r="H3" t="s">
        <v>1768</v>
      </c>
      <c r="I3" t="s">
        <v>1769</v>
      </c>
      <c r="J3" t="s">
        <v>1770</v>
      </c>
      <c r="K3" t="s">
        <v>2074</v>
      </c>
      <c r="L3" t="s">
        <v>2071</v>
      </c>
      <c r="M3" t="s">
        <v>2070</v>
      </c>
      <c r="N3" t="s">
        <v>2068</v>
      </c>
      <c r="O3" t="s">
        <v>1508</v>
      </c>
    </row>
    <row r="4" spans="1:15" x14ac:dyDescent="0.3">
      <c r="A4">
        <f t="shared" ref="A4:A16" si="0">IF(AND(B4&lt;&gt;"",B4&lt;&gt;"(en blanco)"),A3+1,0)</f>
        <v>1</v>
      </c>
      <c r="B4" t="s">
        <v>206</v>
      </c>
      <c r="C4" t="s">
        <v>144</v>
      </c>
      <c r="D4" s="142">
        <v>20</v>
      </c>
      <c r="E4" s="142">
        <v>131</v>
      </c>
      <c r="F4" s="142">
        <v>2102000</v>
      </c>
      <c r="G4" s="142">
        <v>159753.39000000001</v>
      </c>
      <c r="H4" s="142">
        <v>1519817.05</v>
      </c>
      <c r="I4" s="142">
        <v>2556054.2400000002</v>
      </c>
      <c r="J4" s="142">
        <v>1570366.3099999996</v>
      </c>
      <c r="K4" s="142">
        <v>1252334.19</v>
      </c>
      <c r="L4" s="142">
        <v>34842.92</v>
      </c>
      <c r="M4" s="142">
        <v>14116.270000000002</v>
      </c>
      <c r="N4" s="142">
        <v>48959.19</v>
      </c>
      <c r="O4" s="46">
        <v>180334.19</v>
      </c>
    </row>
    <row r="5" spans="1:15" x14ac:dyDescent="0.3">
      <c r="A5">
        <f t="shared" si="0"/>
        <v>2</v>
      </c>
      <c r="B5" t="s">
        <v>206</v>
      </c>
      <c r="C5" t="s">
        <v>502</v>
      </c>
      <c r="D5" s="142">
        <v>14</v>
      </c>
      <c r="E5" s="142">
        <v>100</v>
      </c>
      <c r="F5" s="142">
        <v>1394000</v>
      </c>
      <c r="G5" s="142">
        <v>105944.92000000001</v>
      </c>
      <c r="H5" s="142">
        <v>1166312.75</v>
      </c>
      <c r="I5" s="142">
        <v>1695118.7200000002</v>
      </c>
      <c r="J5" s="142">
        <v>1175101.56</v>
      </c>
      <c r="K5" s="142">
        <v>960125</v>
      </c>
      <c r="L5" s="142">
        <v>6250</v>
      </c>
      <c r="M5" s="142">
        <v>0</v>
      </c>
      <c r="N5" s="142">
        <v>6250</v>
      </c>
      <c r="O5" s="46">
        <v>62500</v>
      </c>
    </row>
    <row r="6" spans="1:15" x14ac:dyDescent="0.3">
      <c r="A6">
        <f t="shared" si="0"/>
        <v>3</v>
      </c>
      <c r="B6" t="s">
        <v>206</v>
      </c>
      <c r="C6" t="s">
        <v>155</v>
      </c>
      <c r="D6" s="142">
        <v>19</v>
      </c>
      <c r="E6" s="142">
        <v>120</v>
      </c>
      <c r="F6" s="142">
        <v>1793000</v>
      </c>
      <c r="G6" s="142">
        <v>136269.20000000001</v>
      </c>
      <c r="H6" s="142">
        <v>1424956.88</v>
      </c>
      <c r="I6" s="142">
        <v>2180307.2000000002</v>
      </c>
      <c r="J6" s="142">
        <v>1438616.7299999997</v>
      </c>
      <c r="K6" s="142">
        <v>1172701.21</v>
      </c>
      <c r="L6" s="142">
        <v>0</v>
      </c>
      <c r="M6" s="142">
        <v>0</v>
      </c>
      <c r="N6" s="142">
        <v>0</v>
      </c>
      <c r="O6" s="46">
        <v>0</v>
      </c>
    </row>
    <row r="7" spans="1:15" x14ac:dyDescent="0.3">
      <c r="A7">
        <f t="shared" si="0"/>
        <v>4</v>
      </c>
      <c r="B7" t="s">
        <v>206</v>
      </c>
      <c r="C7" t="s">
        <v>2141</v>
      </c>
      <c r="D7" s="142">
        <v>1</v>
      </c>
      <c r="E7" s="142">
        <v>5</v>
      </c>
      <c r="F7" s="142">
        <v>110000</v>
      </c>
      <c r="G7" s="142">
        <v>8360.07</v>
      </c>
      <c r="H7" s="142">
        <v>133761.17000000001</v>
      </c>
      <c r="I7" s="142">
        <v>133761.12</v>
      </c>
      <c r="J7" s="142">
        <v>133761.17000000001</v>
      </c>
      <c r="K7" s="142">
        <v>110000</v>
      </c>
      <c r="L7" s="142">
        <v>0</v>
      </c>
      <c r="M7" s="142">
        <v>0</v>
      </c>
      <c r="N7" s="142">
        <v>0</v>
      </c>
      <c r="O7" s="46">
        <v>0</v>
      </c>
    </row>
    <row r="8" spans="1:15" x14ac:dyDescent="0.3">
      <c r="A8">
        <f t="shared" si="0"/>
        <v>5</v>
      </c>
      <c r="B8" t="s">
        <v>207</v>
      </c>
      <c r="C8" t="s">
        <v>171</v>
      </c>
      <c r="D8" s="142">
        <v>16</v>
      </c>
      <c r="E8" s="142">
        <v>100</v>
      </c>
      <c r="F8" s="142">
        <v>1655000</v>
      </c>
      <c r="G8" s="142">
        <v>126101.07</v>
      </c>
      <c r="H8" s="142">
        <v>1348673.53</v>
      </c>
      <c r="I8" s="142">
        <v>2017617.12</v>
      </c>
      <c r="J8" s="142">
        <v>1348682.7400000002</v>
      </c>
      <c r="K8" s="142">
        <v>1104940.76</v>
      </c>
      <c r="L8" s="142">
        <v>4750</v>
      </c>
      <c r="M8" s="142">
        <v>0</v>
      </c>
      <c r="N8" s="142">
        <v>4750</v>
      </c>
      <c r="O8" s="46">
        <v>38000</v>
      </c>
    </row>
    <row r="9" spans="1:15" x14ac:dyDescent="0.3">
      <c r="A9">
        <f t="shared" si="0"/>
        <v>6</v>
      </c>
      <c r="B9" t="s">
        <v>207</v>
      </c>
      <c r="C9" t="s">
        <v>488</v>
      </c>
      <c r="D9" s="142">
        <v>10</v>
      </c>
      <c r="E9" s="142">
        <v>58</v>
      </c>
      <c r="F9" s="142">
        <v>718000</v>
      </c>
      <c r="G9" s="142">
        <v>54568.47</v>
      </c>
      <c r="H9" s="142">
        <v>585987.65</v>
      </c>
      <c r="I9" s="142">
        <v>873095.52</v>
      </c>
      <c r="J9" s="142">
        <v>585987.66</v>
      </c>
      <c r="K9" s="142">
        <v>481897.53</v>
      </c>
      <c r="L9" s="142">
        <v>20.51</v>
      </c>
      <c r="M9" s="142">
        <v>0</v>
      </c>
      <c r="N9" s="142">
        <v>20.51</v>
      </c>
      <c r="O9" s="46">
        <v>28895.510000000002</v>
      </c>
    </row>
    <row r="10" spans="1:15" x14ac:dyDescent="0.3">
      <c r="A10">
        <f t="shared" si="0"/>
        <v>7</v>
      </c>
      <c r="B10" t="s">
        <v>207</v>
      </c>
      <c r="C10" t="s">
        <v>190</v>
      </c>
      <c r="D10" s="142">
        <v>18</v>
      </c>
      <c r="E10" s="142">
        <v>113</v>
      </c>
      <c r="F10" s="142">
        <v>1884000</v>
      </c>
      <c r="G10" s="142">
        <v>143185.26999999999</v>
      </c>
      <c r="H10" s="142">
        <v>1527517.73</v>
      </c>
      <c r="I10" s="142">
        <v>2290964.3199999998</v>
      </c>
      <c r="J10" s="142">
        <v>1549009.3399999999</v>
      </c>
      <c r="K10" s="142">
        <v>1257139.29</v>
      </c>
      <c r="L10" s="142">
        <v>0</v>
      </c>
      <c r="M10" s="142">
        <v>0</v>
      </c>
      <c r="N10" s="142">
        <v>0</v>
      </c>
      <c r="O10" s="46">
        <v>0</v>
      </c>
    </row>
    <row r="11" spans="1:15" x14ac:dyDescent="0.3">
      <c r="A11">
        <f t="shared" si="0"/>
        <v>8</v>
      </c>
      <c r="B11" t="s">
        <v>207</v>
      </c>
      <c r="C11" t="s">
        <v>1840</v>
      </c>
      <c r="D11" s="142">
        <v>3</v>
      </c>
      <c r="E11" s="142">
        <v>16</v>
      </c>
      <c r="F11" s="142">
        <v>518000</v>
      </c>
      <c r="G11" s="142">
        <v>39368.350000000006</v>
      </c>
      <c r="H11" s="142">
        <v>624269.53</v>
      </c>
      <c r="I11" s="142">
        <v>629893.60000000009</v>
      </c>
      <c r="J11" s="142">
        <v>624269.56000000006</v>
      </c>
      <c r="K11" s="142">
        <v>513375.06</v>
      </c>
      <c r="L11" s="142">
        <v>15750</v>
      </c>
      <c r="M11" s="142">
        <v>0</v>
      </c>
      <c r="N11" s="142">
        <v>15750</v>
      </c>
      <c r="O11" s="46">
        <v>252000</v>
      </c>
    </row>
    <row r="12" spans="1:15" x14ac:dyDescent="0.3">
      <c r="A12">
        <f t="shared" si="0"/>
        <v>9</v>
      </c>
      <c r="B12" t="s">
        <v>204</v>
      </c>
      <c r="C12" t="s">
        <v>40</v>
      </c>
      <c r="D12" s="142">
        <v>19</v>
      </c>
      <c r="E12" s="142">
        <v>126</v>
      </c>
      <c r="F12" s="142">
        <v>2205000</v>
      </c>
      <c r="G12" s="142">
        <v>167581.47</v>
      </c>
      <c r="H12" s="142">
        <v>1613715.7899999998</v>
      </c>
      <c r="I12" s="142">
        <v>2681303.52</v>
      </c>
      <c r="J12" s="142">
        <v>1613722.9</v>
      </c>
      <c r="K12" s="142">
        <v>1327063.1100000001</v>
      </c>
      <c r="L12" s="142">
        <v>0</v>
      </c>
      <c r="M12" s="142">
        <v>0</v>
      </c>
      <c r="N12" s="142">
        <v>0</v>
      </c>
      <c r="O12" s="46">
        <v>0</v>
      </c>
    </row>
    <row r="13" spans="1:15" x14ac:dyDescent="0.3">
      <c r="A13">
        <f t="shared" si="0"/>
        <v>10</v>
      </c>
      <c r="B13" t="s">
        <v>204</v>
      </c>
      <c r="C13" t="s">
        <v>191</v>
      </c>
      <c r="D13" s="142">
        <v>18</v>
      </c>
      <c r="E13" s="142">
        <v>107</v>
      </c>
      <c r="F13" s="142">
        <v>1901000</v>
      </c>
      <c r="G13" s="142">
        <v>144477.28</v>
      </c>
      <c r="H13" s="142">
        <v>1421935.9900000002</v>
      </c>
      <c r="I13" s="142">
        <v>2311636.48</v>
      </c>
      <c r="J13" s="142">
        <v>1421980.9100000001</v>
      </c>
      <c r="K13" s="142">
        <v>1170017.73</v>
      </c>
      <c r="L13" s="142">
        <v>10705.130000000001</v>
      </c>
      <c r="M13" s="142">
        <v>0</v>
      </c>
      <c r="N13" s="142">
        <v>10705.130000000001</v>
      </c>
      <c r="O13" s="46">
        <v>116455.13</v>
      </c>
    </row>
    <row r="14" spans="1:15" x14ac:dyDescent="0.3">
      <c r="A14">
        <f t="shared" si="0"/>
        <v>11</v>
      </c>
      <c r="B14" t="s">
        <v>1526</v>
      </c>
      <c r="C14" t="s">
        <v>664</v>
      </c>
      <c r="D14" s="142">
        <v>17</v>
      </c>
      <c r="E14" s="142">
        <v>104</v>
      </c>
      <c r="F14" s="142">
        <v>1492000</v>
      </c>
      <c r="G14" s="142">
        <v>113393.00999999998</v>
      </c>
      <c r="H14" s="142">
        <v>1263883.3399999999</v>
      </c>
      <c r="I14" s="142">
        <v>1814288.1599999997</v>
      </c>
      <c r="J14" s="142">
        <v>1263895.18</v>
      </c>
      <c r="K14" s="142">
        <v>1039378.9600000001</v>
      </c>
      <c r="L14" s="142">
        <v>0</v>
      </c>
      <c r="M14" s="142">
        <v>0</v>
      </c>
      <c r="N14" s="142">
        <v>0</v>
      </c>
      <c r="O14" s="46">
        <v>0</v>
      </c>
    </row>
    <row r="15" spans="1:15" x14ac:dyDescent="0.3">
      <c r="A15">
        <f t="shared" si="0"/>
        <v>12</v>
      </c>
      <c r="B15" t="s">
        <v>1526</v>
      </c>
      <c r="C15" t="s">
        <v>149</v>
      </c>
      <c r="D15" s="142">
        <v>23</v>
      </c>
      <c r="E15" s="142">
        <v>129</v>
      </c>
      <c r="F15" s="142">
        <v>1981000</v>
      </c>
      <c r="G15" s="142">
        <v>150563.45999999996</v>
      </c>
      <c r="H15" s="142">
        <v>1430170.7900000003</v>
      </c>
      <c r="I15" s="142">
        <v>2409015.3599999994</v>
      </c>
      <c r="J15" s="142">
        <v>1434903.0700000003</v>
      </c>
      <c r="K15" s="142">
        <v>1176802.3600000001</v>
      </c>
      <c r="L15" s="142">
        <v>14187.5</v>
      </c>
      <c r="M15" s="142">
        <v>0</v>
      </c>
      <c r="N15" s="142">
        <v>14187.5</v>
      </c>
      <c r="O15" s="46">
        <v>133062.5</v>
      </c>
    </row>
    <row r="16" spans="1:15" x14ac:dyDescent="0.3">
      <c r="A16">
        <f t="shared" si="0"/>
        <v>13</v>
      </c>
      <c r="B16" t="s">
        <v>1526</v>
      </c>
      <c r="C16" t="s">
        <v>884</v>
      </c>
      <c r="D16" s="142">
        <v>12</v>
      </c>
      <c r="E16" s="142">
        <v>67</v>
      </c>
      <c r="F16" s="142">
        <v>1355000</v>
      </c>
      <c r="G16" s="142">
        <v>102980.89999999998</v>
      </c>
      <c r="H16" s="142">
        <v>1178951.3100000003</v>
      </c>
      <c r="I16" s="142">
        <v>1647694.3999999997</v>
      </c>
      <c r="J16" s="142">
        <v>1180062.79</v>
      </c>
      <c r="K16" s="142">
        <v>970437.86</v>
      </c>
      <c r="L16" s="142">
        <v>0</v>
      </c>
      <c r="M16" s="142">
        <v>0</v>
      </c>
      <c r="N16" s="142">
        <v>0</v>
      </c>
      <c r="O16" s="46">
        <v>0</v>
      </c>
    </row>
    <row r="17" spans="1:15" x14ac:dyDescent="0.3">
      <c r="A17">
        <f>IF(AND(B17&lt;&gt;"",B17&lt;&gt;"(en blanco)"),A16+1,0)</f>
        <v>14</v>
      </c>
      <c r="B17" t="s">
        <v>1526</v>
      </c>
      <c r="C17" t="s">
        <v>1685</v>
      </c>
      <c r="D17" s="142">
        <v>3</v>
      </c>
      <c r="E17" s="142">
        <v>16</v>
      </c>
      <c r="F17" s="142">
        <v>260000</v>
      </c>
      <c r="G17" s="142">
        <v>19760.169999999998</v>
      </c>
      <c r="H17" s="142">
        <v>302473.77</v>
      </c>
      <c r="I17" s="142">
        <v>316162.71999999997</v>
      </c>
      <c r="J17" s="142">
        <v>302482.67000000004</v>
      </c>
      <c r="K17" s="142">
        <v>248750</v>
      </c>
      <c r="L17" s="142">
        <v>0</v>
      </c>
      <c r="M17" s="142">
        <v>0</v>
      </c>
      <c r="N17" s="142">
        <v>0</v>
      </c>
      <c r="O17" s="46">
        <v>0</v>
      </c>
    </row>
    <row r="18" spans="1:15" x14ac:dyDescent="0.3">
      <c r="A18">
        <f t="shared" ref="A18:A20" si="1">IF(AND(B18&lt;&gt;"",B18&lt;&gt;"(en blanco)"),A17+1,0)</f>
        <v>15</v>
      </c>
      <c r="B18" t="s">
        <v>1526</v>
      </c>
      <c r="C18" t="s">
        <v>1999</v>
      </c>
      <c r="D18" s="142">
        <v>1</v>
      </c>
      <c r="E18" s="142">
        <v>6</v>
      </c>
      <c r="F18" s="142">
        <v>510000</v>
      </c>
      <c r="G18" s="142">
        <v>38760.340000000004</v>
      </c>
      <c r="H18" s="142">
        <v>620165.44000000006</v>
      </c>
      <c r="I18" s="142">
        <v>620165.44000000006</v>
      </c>
      <c r="J18" s="142">
        <v>620165.44000000006</v>
      </c>
      <c r="K18" s="142">
        <v>510000</v>
      </c>
      <c r="L18" s="142">
        <v>0</v>
      </c>
      <c r="M18" s="142">
        <v>0</v>
      </c>
      <c r="N18" s="142">
        <v>0</v>
      </c>
      <c r="O18" s="46">
        <v>0</v>
      </c>
    </row>
    <row r="19" spans="1:15" x14ac:dyDescent="0.3">
      <c r="A19">
        <f t="shared" si="1"/>
        <v>0</v>
      </c>
      <c r="B19" t="s">
        <v>1527</v>
      </c>
      <c r="C19" t="s">
        <v>1527</v>
      </c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46"/>
    </row>
    <row r="20" spans="1:15" x14ac:dyDescent="0.3">
      <c r="A20">
        <f t="shared" si="1"/>
        <v>1</v>
      </c>
      <c r="B20" t="s">
        <v>1318</v>
      </c>
      <c r="D20" s="142">
        <v>194</v>
      </c>
      <c r="E20" s="142">
        <v>1198</v>
      </c>
      <c r="F20" s="142">
        <v>19878000</v>
      </c>
      <c r="G20" s="142">
        <v>1511067.3700000029</v>
      </c>
      <c r="H20" s="142">
        <v>16162592.719999999</v>
      </c>
      <c r="I20" s="142">
        <v>24177077.920000046</v>
      </c>
      <c r="J20" s="142">
        <v>16263008.030000005</v>
      </c>
      <c r="K20" s="142">
        <v>13294963.060000001</v>
      </c>
      <c r="L20" s="142">
        <v>86506.06</v>
      </c>
      <c r="M20" s="142">
        <v>14116.270000000002</v>
      </c>
      <c r="N20" s="142">
        <v>100622.33000000002</v>
      </c>
      <c r="O20" s="46">
        <v>811247.33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941E-F1FA-4C5A-B962-CD2AF5783548}">
  <sheetPr codeName="Hoja11"/>
  <dimension ref="A3:O17"/>
  <sheetViews>
    <sheetView topLeftCell="D1" zoomScale="97" workbookViewId="0">
      <selection activeCell="K7" sqref="K7"/>
    </sheetView>
  </sheetViews>
  <sheetFormatPr baseColWidth="10" defaultRowHeight="14.4" x14ac:dyDescent="0.3"/>
  <cols>
    <col min="2" max="2" width="31.6640625" bestFit="1" customWidth="1"/>
    <col min="3" max="3" width="26.44140625" bestFit="1" customWidth="1"/>
    <col min="4" max="4" width="20.5546875" bestFit="1" customWidth="1"/>
    <col min="5" max="5" width="29.44140625" bestFit="1" customWidth="1"/>
    <col min="6" max="6" width="24.88671875" bestFit="1" customWidth="1"/>
    <col min="7" max="7" width="21.44140625" bestFit="1" customWidth="1"/>
    <col min="8" max="8" width="29.5546875" bestFit="1" customWidth="1"/>
    <col min="9" max="9" width="27.21875" bestFit="1" customWidth="1"/>
    <col min="10" max="10" width="31.109375" bestFit="1" customWidth="1"/>
    <col min="11" max="11" width="23" bestFit="1" customWidth="1"/>
    <col min="12" max="12" width="25.6640625" bestFit="1" customWidth="1"/>
    <col min="13" max="13" width="32.77734375" bestFit="1" customWidth="1"/>
    <col min="14" max="14" width="27.6640625" bestFit="1" customWidth="1"/>
    <col min="15" max="15" width="22.33203125" bestFit="1" customWidth="1"/>
  </cols>
  <sheetData>
    <row r="3" spans="1:15" x14ac:dyDescent="0.3">
      <c r="A3">
        <v>0</v>
      </c>
      <c r="B3" s="117" t="s">
        <v>1627</v>
      </c>
      <c r="C3" t="s">
        <v>1629</v>
      </c>
      <c r="D3" t="s">
        <v>1765</v>
      </c>
      <c r="E3" t="s">
        <v>1766</v>
      </c>
      <c r="F3" t="s">
        <v>1767</v>
      </c>
      <c r="G3" t="s">
        <v>1628</v>
      </c>
      <c r="H3" t="s">
        <v>1768</v>
      </c>
      <c r="I3" t="s">
        <v>1769</v>
      </c>
      <c r="J3" t="s">
        <v>1770</v>
      </c>
      <c r="K3" t="s">
        <v>2074</v>
      </c>
      <c r="L3" t="s">
        <v>2071</v>
      </c>
      <c r="M3" t="s">
        <v>2070</v>
      </c>
      <c r="N3" t="s">
        <v>2068</v>
      </c>
      <c r="O3" t="s">
        <v>1508</v>
      </c>
    </row>
    <row r="4" spans="1:15" x14ac:dyDescent="0.3">
      <c r="A4">
        <f t="shared" ref="A4:A17" si="0">IF(AND(B4&lt;&gt;"",B4&lt;&gt;"(en blanco)"),A3+1,0)</f>
        <v>1</v>
      </c>
      <c r="B4" t="s">
        <v>206</v>
      </c>
      <c r="C4" s="142">
        <v>54</v>
      </c>
      <c r="D4" s="142">
        <v>54</v>
      </c>
      <c r="E4" s="142">
        <v>356</v>
      </c>
      <c r="F4" s="142">
        <v>5399000</v>
      </c>
      <c r="G4" s="142">
        <v>410327.57999999996</v>
      </c>
      <c r="H4" s="142">
        <v>4244847.8500000006</v>
      </c>
      <c r="I4" s="142">
        <v>6565241.2799999993</v>
      </c>
      <c r="J4" s="142">
        <v>4317845.7700000014</v>
      </c>
      <c r="K4" s="142">
        <v>3495160.4</v>
      </c>
      <c r="L4" s="142">
        <v>41092.92</v>
      </c>
      <c r="M4" s="142">
        <v>14116.270000000002</v>
      </c>
      <c r="N4" s="142">
        <v>55209.19</v>
      </c>
      <c r="O4" s="46">
        <v>242834.19000000003</v>
      </c>
    </row>
    <row r="5" spans="1:15" x14ac:dyDescent="0.3">
      <c r="A5">
        <f t="shared" si="0"/>
        <v>2</v>
      </c>
      <c r="B5" t="s">
        <v>207</v>
      </c>
      <c r="C5" s="142">
        <v>47</v>
      </c>
      <c r="D5" s="142">
        <v>47</v>
      </c>
      <c r="E5" s="142">
        <v>287</v>
      </c>
      <c r="F5" s="142">
        <v>4775000</v>
      </c>
      <c r="G5" s="142">
        <v>363223.16</v>
      </c>
      <c r="H5" s="142">
        <v>4086448.4399999995</v>
      </c>
      <c r="I5" s="142">
        <v>5811570.5599999996</v>
      </c>
      <c r="J5" s="142">
        <v>4107949.3</v>
      </c>
      <c r="K5" s="142">
        <v>3357352.64</v>
      </c>
      <c r="L5" s="142">
        <v>20520.510000000002</v>
      </c>
      <c r="M5" s="142">
        <v>0</v>
      </c>
      <c r="N5" s="142">
        <v>20520.510000000002</v>
      </c>
      <c r="O5" s="46">
        <v>318895.51</v>
      </c>
    </row>
    <row r="6" spans="1:15" x14ac:dyDescent="0.3">
      <c r="A6">
        <f t="shared" si="0"/>
        <v>3</v>
      </c>
      <c r="B6" t="s">
        <v>204</v>
      </c>
      <c r="C6" s="142">
        <v>37</v>
      </c>
      <c r="D6" s="142">
        <v>37</v>
      </c>
      <c r="E6" s="142">
        <v>233</v>
      </c>
      <c r="F6" s="142">
        <v>4106000</v>
      </c>
      <c r="G6" s="142">
        <v>312058.74999999994</v>
      </c>
      <c r="H6" s="142">
        <v>3035651.7800000003</v>
      </c>
      <c r="I6" s="142">
        <v>4992939.9999999991</v>
      </c>
      <c r="J6" s="142">
        <v>3035703.8100000005</v>
      </c>
      <c r="K6" s="142">
        <v>2497080.8400000003</v>
      </c>
      <c r="L6" s="142">
        <v>10705.130000000001</v>
      </c>
      <c r="M6" s="142">
        <v>0</v>
      </c>
      <c r="N6" s="142">
        <v>10705.130000000001</v>
      </c>
      <c r="O6" s="46">
        <v>116455.13</v>
      </c>
    </row>
    <row r="7" spans="1:15" x14ac:dyDescent="0.3">
      <c r="A7">
        <f t="shared" si="0"/>
        <v>4</v>
      </c>
      <c r="B7" t="s">
        <v>1526</v>
      </c>
      <c r="C7" s="142">
        <v>56</v>
      </c>
      <c r="D7" s="142">
        <v>56</v>
      </c>
      <c r="E7" s="142">
        <v>322</v>
      </c>
      <c r="F7" s="142">
        <v>5598000</v>
      </c>
      <c r="G7" s="142">
        <v>425457.88000000024</v>
      </c>
      <c r="H7" s="142">
        <v>4795644.6500000013</v>
      </c>
      <c r="I7" s="142">
        <v>6807326.0800000038</v>
      </c>
      <c r="J7" s="142">
        <v>4801509.1500000013</v>
      </c>
      <c r="K7" s="142">
        <v>3945369.1799999997</v>
      </c>
      <c r="L7" s="142">
        <v>14187.5</v>
      </c>
      <c r="M7" s="142">
        <v>0</v>
      </c>
      <c r="N7" s="142">
        <v>14187.5</v>
      </c>
      <c r="O7" s="46">
        <v>133062.5</v>
      </c>
    </row>
    <row r="8" spans="1:15" x14ac:dyDescent="0.3">
      <c r="A8">
        <f t="shared" si="0"/>
        <v>0</v>
      </c>
      <c r="B8" t="s">
        <v>1527</v>
      </c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46"/>
    </row>
    <row r="9" spans="1:15" x14ac:dyDescent="0.3">
      <c r="A9">
        <f t="shared" si="0"/>
        <v>1</v>
      </c>
      <c r="B9" t="s">
        <v>1318</v>
      </c>
      <c r="C9" s="142">
        <v>194</v>
      </c>
      <c r="D9" s="142">
        <v>194</v>
      </c>
      <c r="E9" s="142">
        <v>1198</v>
      </c>
      <c r="F9" s="142">
        <v>19878000</v>
      </c>
      <c r="G9" s="142">
        <v>1511067.3700000029</v>
      </c>
      <c r="H9" s="142">
        <v>16162592.719999999</v>
      </c>
      <c r="I9" s="142">
        <v>24177077.920000046</v>
      </c>
      <c r="J9" s="142">
        <v>16263008.030000007</v>
      </c>
      <c r="K9" s="142">
        <v>13294963.060000001</v>
      </c>
      <c r="L9" s="142">
        <v>86506.06</v>
      </c>
      <c r="M9" s="142">
        <v>14116.270000000002</v>
      </c>
      <c r="N9" s="142">
        <v>100622.33000000002</v>
      </c>
      <c r="O9" s="46">
        <v>811247.33</v>
      </c>
    </row>
    <row r="10" spans="1:15" x14ac:dyDescent="0.3">
      <c r="A10">
        <f t="shared" si="0"/>
        <v>0</v>
      </c>
    </row>
    <row r="11" spans="1:15" x14ac:dyDescent="0.3">
      <c r="A11">
        <f t="shared" si="0"/>
        <v>0</v>
      </c>
    </row>
    <row r="12" spans="1:15" x14ac:dyDescent="0.3">
      <c r="A12">
        <f t="shared" si="0"/>
        <v>0</v>
      </c>
    </row>
    <row r="13" spans="1:15" x14ac:dyDescent="0.3">
      <c r="A13">
        <f t="shared" si="0"/>
        <v>0</v>
      </c>
    </row>
    <row r="14" spans="1:15" x14ac:dyDescent="0.3">
      <c r="A14">
        <f t="shared" si="0"/>
        <v>0</v>
      </c>
    </row>
    <row r="15" spans="1:15" x14ac:dyDescent="0.3">
      <c r="A15">
        <f t="shared" si="0"/>
        <v>0</v>
      </c>
    </row>
    <row r="16" spans="1:15" x14ac:dyDescent="0.3">
      <c r="A16">
        <f t="shared" si="0"/>
        <v>0</v>
      </c>
    </row>
    <row r="17" spans="1:1" x14ac:dyDescent="0.3">
      <c r="A17">
        <f t="shared" si="0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54931-672E-4144-BCE6-DCE643690E13}">
  <sheetPr codeName="Hoja12"/>
  <dimension ref="A2:B3"/>
  <sheetViews>
    <sheetView workbookViewId="0">
      <selection activeCell="B4" sqref="B4"/>
    </sheetView>
  </sheetViews>
  <sheetFormatPr baseColWidth="10" defaultRowHeight="14.4" x14ac:dyDescent="0.3"/>
  <sheetData>
    <row r="2" spans="1:2" x14ac:dyDescent="0.3">
      <c r="A2" t="s">
        <v>1771</v>
      </c>
      <c r="B2" t="s">
        <v>1772</v>
      </c>
    </row>
    <row r="3" spans="1:2" x14ac:dyDescent="0.3">
      <c r="A3" t="s">
        <v>165</v>
      </c>
      <c r="B3" t="s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415E7-7801-4A2D-B864-11A7E475C409}">
  <sheetPr codeName="Hoja3"/>
  <dimension ref="A1:AF341"/>
  <sheetViews>
    <sheetView topLeftCell="B166" zoomScale="130" zoomScaleNormal="130" workbookViewId="0">
      <selection activeCell="AS169" sqref="AS169"/>
    </sheetView>
  </sheetViews>
  <sheetFormatPr baseColWidth="10" defaultRowHeight="14.4" x14ac:dyDescent="0.3"/>
  <cols>
    <col min="1" max="1" width="12.44140625" style="6" customWidth="1"/>
    <col min="2" max="2" width="12.44140625" style="19" customWidth="1"/>
    <col min="3" max="3" width="19.33203125" style="19" bestFit="1" customWidth="1"/>
    <col min="4" max="4" width="20.44140625" style="19" customWidth="1"/>
    <col min="5" max="5" width="14.6640625" style="19" customWidth="1"/>
    <col min="6" max="6" width="14.88671875" style="19" customWidth="1"/>
    <col min="7" max="7" width="19.44140625" style="19" customWidth="1"/>
    <col min="8" max="15" width="11.5546875" style="19"/>
  </cols>
  <sheetData>
    <row r="1" spans="1:32" x14ac:dyDescent="0.3">
      <c r="A1"/>
    </row>
    <row r="2" spans="1:32" x14ac:dyDescent="0.3">
      <c r="A2"/>
    </row>
    <row r="3" spans="1:32" x14ac:dyDescent="0.3">
      <c r="A3"/>
    </row>
    <row r="4" spans="1:32" x14ac:dyDescent="0.3">
      <c r="A4"/>
    </row>
    <row r="5" spans="1:32" ht="55.2" customHeight="1" x14ac:dyDescent="0.3">
      <c r="A5" s="18" t="s">
        <v>0</v>
      </c>
      <c r="B5" s="20" t="s">
        <v>0</v>
      </c>
      <c r="C5" s="20" t="s">
        <v>1</v>
      </c>
      <c r="D5" s="20" t="s">
        <v>2</v>
      </c>
      <c r="E5" s="20" t="s">
        <v>3</v>
      </c>
      <c r="F5" s="20" t="s">
        <v>101</v>
      </c>
      <c r="G5" s="20" t="s">
        <v>4</v>
      </c>
      <c r="H5" s="20" t="s">
        <v>5</v>
      </c>
    </row>
    <row r="6" spans="1:32" x14ac:dyDescent="0.3">
      <c r="A6" s="16" t="str">
        <f>B6</f>
        <v>000001</v>
      </c>
      <c r="B6" s="67" t="s">
        <v>45</v>
      </c>
      <c r="C6" s="68" t="s">
        <v>46</v>
      </c>
      <c r="D6" s="69">
        <v>45868</v>
      </c>
      <c r="E6" s="70">
        <v>6</v>
      </c>
      <c r="F6" s="70">
        <v>0</v>
      </c>
      <c r="G6" s="69">
        <v>45870</v>
      </c>
      <c r="H6" s="70">
        <f>G6-D6</f>
        <v>2</v>
      </c>
      <c r="I6"/>
    </row>
    <row r="7" spans="1:32" x14ac:dyDescent="0.3">
      <c r="A7" s="16" t="str">
        <f>B7</f>
        <v>000002</v>
      </c>
      <c r="B7" s="67" t="s">
        <v>53</v>
      </c>
      <c r="C7" s="68" t="s">
        <v>54</v>
      </c>
      <c r="D7" s="69">
        <v>45867</v>
      </c>
      <c r="E7" s="70">
        <v>7</v>
      </c>
      <c r="F7" s="70">
        <v>0</v>
      </c>
      <c r="G7" s="69">
        <v>45874</v>
      </c>
      <c r="H7" s="70">
        <f t="shared" ref="H7:H101" si="0">G7-D7</f>
        <v>7</v>
      </c>
      <c r="I7"/>
      <c r="X7">
        <f>VLOOKUP(A7,Ahorros_concentrado!B:D,3)</f>
        <v>17300.44000000001</v>
      </c>
      <c r="AF7" t="e">
        <f>S7/Q7</f>
        <v>#DIV/0!</v>
      </c>
    </row>
    <row r="8" spans="1:32" x14ac:dyDescent="0.3">
      <c r="A8" s="16" t="str">
        <f t="shared" ref="A8:A71" si="1">B8</f>
        <v>000003</v>
      </c>
      <c r="B8" s="67" t="s">
        <v>156</v>
      </c>
      <c r="C8" s="68" t="s">
        <v>102</v>
      </c>
      <c r="D8" s="69">
        <v>45870</v>
      </c>
      <c r="E8" s="70">
        <v>6</v>
      </c>
      <c r="F8" s="70">
        <v>1</v>
      </c>
      <c r="G8" s="69">
        <v>45870</v>
      </c>
      <c r="H8" s="70">
        <f t="shared" si="0"/>
        <v>0</v>
      </c>
      <c r="I8"/>
      <c r="X8">
        <f>VLOOKUP(A8,Ahorros_concentrado!B:D,3)</f>
        <v>5768.7999999999993</v>
      </c>
    </row>
    <row r="9" spans="1:32" x14ac:dyDescent="0.3">
      <c r="A9" s="16">
        <f t="shared" si="1"/>
        <v>0</v>
      </c>
      <c r="B9" s="67"/>
      <c r="C9" s="68" t="s">
        <v>103</v>
      </c>
      <c r="D9" s="69">
        <v>45874</v>
      </c>
      <c r="E9" s="70">
        <v>6</v>
      </c>
      <c r="F9" s="70">
        <v>0</v>
      </c>
      <c r="G9" s="69">
        <v>45874</v>
      </c>
      <c r="H9" s="70">
        <f t="shared" si="0"/>
        <v>0</v>
      </c>
      <c r="I9"/>
      <c r="X9" t="e">
        <f>VLOOKUP(A9,Ahorros_concentrado!B:D,3)</f>
        <v>#N/A</v>
      </c>
    </row>
    <row r="10" spans="1:32" x14ac:dyDescent="0.3">
      <c r="A10" s="16" t="str">
        <f t="shared" si="1"/>
        <v>000015</v>
      </c>
      <c r="B10" s="67" t="s">
        <v>194</v>
      </c>
      <c r="C10" s="68" t="s">
        <v>104</v>
      </c>
      <c r="D10" s="69">
        <v>45874</v>
      </c>
      <c r="E10" s="70">
        <v>4</v>
      </c>
      <c r="F10" s="70">
        <v>3</v>
      </c>
      <c r="G10" s="69">
        <v>45874</v>
      </c>
      <c r="H10" s="70">
        <f t="shared" si="0"/>
        <v>0</v>
      </c>
      <c r="I10"/>
      <c r="X10">
        <f>VLOOKUP(A10,Ahorros_concentrado!B:D,3)</f>
        <v>2724.96</v>
      </c>
    </row>
    <row r="11" spans="1:32" x14ac:dyDescent="0.3">
      <c r="A11" s="16" t="str">
        <f t="shared" si="1"/>
        <v>000008</v>
      </c>
      <c r="B11" s="67" t="s">
        <v>158</v>
      </c>
      <c r="C11" s="68" t="s">
        <v>105</v>
      </c>
      <c r="D11" s="69">
        <v>45868</v>
      </c>
      <c r="E11" s="70">
        <v>11</v>
      </c>
      <c r="F11" s="70">
        <v>1</v>
      </c>
      <c r="G11" s="69">
        <v>45870</v>
      </c>
      <c r="H11" s="70">
        <f t="shared" si="0"/>
        <v>2</v>
      </c>
      <c r="I11"/>
      <c r="X11">
        <f>VLOOKUP(A11,Ahorros_concentrado!B:D,3)</f>
        <v>8069.84</v>
      </c>
    </row>
    <row r="12" spans="1:32" x14ac:dyDescent="0.3">
      <c r="A12" s="16" t="str">
        <f t="shared" si="1"/>
        <v>000006</v>
      </c>
      <c r="B12" s="67" t="s">
        <v>172</v>
      </c>
      <c r="C12" s="68" t="s">
        <v>106</v>
      </c>
      <c r="D12" s="69">
        <v>45862</v>
      </c>
      <c r="E12" s="70">
        <v>5</v>
      </c>
      <c r="F12" s="70">
        <v>1</v>
      </c>
      <c r="G12" s="69">
        <v>45869</v>
      </c>
      <c r="H12" s="70">
        <f t="shared" si="0"/>
        <v>7</v>
      </c>
      <c r="I12"/>
      <c r="X12">
        <f>VLOOKUP(A12,Ahorros_concentrado!B:D,3)</f>
        <v>7897.7599999999984</v>
      </c>
    </row>
    <row r="13" spans="1:32" x14ac:dyDescent="0.3">
      <c r="A13" s="16" t="str">
        <f t="shared" si="1"/>
        <v>000007</v>
      </c>
      <c r="B13" s="67" t="s">
        <v>152</v>
      </c>
      <c r="C13" s="68" t="s">
        <v>107</v>
      </c>
      <c r="D13" s="69">
        <v>45870</v>
      </c>
      <c r="E13" s="70">
        <v>5</v>
      </c>
      <c r="F13" s="70">
        <v>0</v>
      </c>
      <c r="G13" s="69">
        <v>45870</v>
      </c>
      <c r="H13" s="70">
        <f t="shared" si="0"/>
        <v>0</v>
      </c>
      <c r="I13"/>
      <c r="X13">
        <f>VLOOKUP(A13,Ahorros_concentrado!B:D,3)</f>
        <v>11655.8</v>
      </c>
    </row>
    <row r="14" spans="1:32" x14ac:dyDescent="0.3">
      <c r="A14" s="16" t="str">
        <f t="shared" si="1"/>
        <v>000004</v>
      </c>
      <c r="B14" s="67" t="s">
        <v>145</v>
      </c>
      <c r="C14" s="68" t="s">
        <v>108</v>
      </c>
      <c r="D14" s="69">
        <v>45862</v>
      </c>
      <c r="E14" s="70">
        <v>6</v>
      </c>
      <c r="F14" s="70">
        <v>0</v>
      </c>
      <c r="G14" s="69">
        <v>45866</v>
      </c>
      <c r="H14" s="70">
        <f t="shared" si="0"/>
        <v>4</v>
      </c>
      <c r="I14"/>
      <c r="X14">
        <f>VLOOKUP(A14,Ahorros_concentrado!B:D,3)</f>
        <v>5768.7999999999993</v>
      </c>
    </row>
    <row r="15" spans="1:32" x14ac:dyDescent="0.3">
      <c r="A15" s="16">
        <f t="shared" si="1"/>
        <v>0</v>
      </c>
      <c r="B15" s="67"/>
      <c r="C15" s="68" t="s">
        <v>109</v>
      </c>
      <c r="D15" s="69">
        <v>45875</v>
      </c>
      <c r="E15" s="70">
        <v>9</v>
      </c>
      <c r="F15" s="70">
        <v>0</v>
      </c>
      <c r="G15" s="69">
        <v>45875</v>
      </c>
      <c r="H15" s="70">
        <f t="shared" si="0"/>
        <v>0</v>
      </c>
      <c r="I15"/>
      <c r="X15" t="e">
        <f>VLOOKUP(A15,Ahorros_concentrado!B:D,3)</f>
        <v>#N/A</v>
      </c>
    </row>
    <row r="16" spans="1:32" x14ac:dyDescent="0.3">
      <c r="A16" s="16" t="str">
        <f t="shared" si="1"/>
        <v>000005</v>
      </c>
      <c r="B16" s="67" t="s">
        <v>150</v>
      </c>
      <c r="C16" s="68" t="s">
        <v>110</v>
      </c>
      <c r="D16" s="69">
        <v>45874</v>
      </c>
      <c r="E16" s="70">
        <v>6</v>
      </c>
      <c r="F16" s="70">
        <v>0</v>
      </c>
      <c r="G16" s="69">
        <v>45874</v>
      </c>
      <c r="H16" s="70">
        <f t="shared" si="0"/>
        <v>0</v>
      </c>
      <c r="I16"/>
      <c r="X16">
        <f>VLOOKUP(A16,Ahorros_concentrado!B:D,3)</f>
        <v>12959.8</v>
      </c>
    </row>
    <row r="17" spans="1:24" x14ac:dyDescent="0.3">
      <c r="A17" s="16">
        <f t="shared" si="1"/>
        <v>0</v>
      </c>
      <c r="B17" s="67"/>
      <c r="C17" s="68" t="s">
        <v>111</v>
      </c>
      <c r="D17" s="69">
        <v>45875</v>
      </c>
      <c r="E17" s="70">
        <v>6</v>
      </c>
      <c r="F17" s="70">
        <v>0</v>
      </c>
      <c r="G17" s="69">
        <v>45875</v>
      </c>
      <c r="H17" s="70">
        <f t="shared" si="0"/>
        <v>0</v>
      </c>
      <c r="I17"/>
      <c r="X17" t="e">
        <f>VLOOKUP(A17,Ahorros_concentrado!B:D,3)</f>
        <v>#N/A</v>
      </c>
    </row>
    <row r="18" spans="1:24" x14ac:dyDescent="0.3">
      <c r="A18" s="16">
        <f t="shared" si="1"/>
        <v>0</v>
      </c>
      <c r="B18" s="67"/>
      <c r="C18" s="68" t="s">
        <v>161</v>
      </c>
      <c r="D18" s="69">
        <v>45876</v>
      </c>
      <c r="E18" s="70">
        <v>5</v>
      </c>
      <c r="F18" s="70">
        <v>0</v>
      </c>
      <c r="G18" s="69">
        <v>45877</v>
      </c>
      <c r="H18" s="70">
        <f t="shared" si="0"/>
        <v>1</v>
      </c>
      <c r="I18"/>
      <c r="X18" t="e">
        <f>VLOOKUP(A18,Ahorros_concentrado!B:D,3)</f>
        <v>#N/A</v>
      </c>
    </row>
    <row r="19" spans="1:24" x14ac:dyDescent="0.3">
      <c r="A19" s="16">
        <f t="shared" si="1"/>
        <v>0</v>
      </c>
      <c r="B19" s="67"/>
      <c r="C19" s="68" t="s">
        <v>162</v>
      </c>
      <c r="D19" s="69">
        <v>45876</v>
      </c>
      <c r="E19" s="70">
        <v>6</v>
      </c>
      <c r="F19" s="70">
        <v>0</v>
      </c>
      <c r="G19" s="69">
        <v>45877</v>
      </c>
      <c r="H19" s="70">
        <f t="shared" si="0"/>
        <v>1</v>
      </c>
      <c r="I19"/>
      <c r="X19" t="e">
        <f>VLOOKUP(A19,Ahorros_concentrado!B:D,3)</f>
        <v>#N/A</v>
      </c>
    </row>
    <row r="20" spans="1:24" x14ac:dyDescent="0.3">
      <c r="A20" s="16">
        <f t="shared" si="1"/>
        <v>0</v>
      </c>
      <c r="B20" s="67"/>
      <c r="C20" s="68" t="s">
        <v>174</v>
      </c>
      <c r="D20" s="69">
        <v>45876</v>
      </c>
      <c r="E20" s="70">
        <v>5</v>
      </c>
      <c r="F20" s="70">
        <v>0</v>
      </c>
      <c r="G20" s="69">
        <v>45876</v>
      </c>
      <c r="H20" s="70">
        <f t="shared" si="0"/>
        <v>0</v>
      </c>
      <c r="I20"/>
      <c r="X20" t="e">
        <f>VLOOKUP(A20,Ahorros_concentrado!B:D,3)</f>
        <v>#N/A</v>
      </c>
    </row>
    <row r="21" spans="1:24" x14ac:dyDescent="0.3">
      <c r="A21" s="16">
        <f t="shared" si="1"/>
        <v>0</v>
      </c>
      <c r="B21" s="67"/>
      <c r="C21" s="75" t="s">
        <v>179</v>
      </c>
      <c r="D21" s="69">
        <v>45881</v>
      </c>
      <c r="E21" s="70">
        <v>6</v>
      </c>
      <c r="F21" s="70">
        <v>0</v>
      </c>
      <c r="G21" s="69">
        <v>45881</v>
      </c>
      <c r="H21" s="70">
        <f t="shared" si="0"/>
        <v>0</v>
      </c>
      <c r="I21"/>
      <c r="X21" t="e">
        <f>VLOOKUP(A21,Ahorros_concentrado!B:D,3)</f>
        <v>#N/A</v>
      </c>
    </row>
    <row r="22" spans="1:24" x14ac:dyDescent="0.3">
      <c r="A22" s="16">
        <f t="shared" si="1"/>
        <v>0</v>
      </c>
      <c r="B22" s="67"/>
      <c r="C22" s="75" t="s">
        <v>180</v>
      </c>
      <c r="D22" s="69">
        <v>45881</v>
      </c>
      <c r="E22" s="70">
        <v>5</v>
      </c>
      <c r="F22" s="70">
        <v>3</v>
      </c>
      <c r="G22" s="69">
        <v>45881</v>
      </c>
      <c r="H22" s="70">
        <f t="shared" si="0"/>
        <v>0</v>
      </c>
      <c r="I22"/>
      <c r="X22" t="e">
        <f>VLOOKUP(A22,Ahorros_concentrado!B:D,3)</f>
        <v>#N/A</v>
      </c>
    </row>
    <row r="23" spans="1:24" x14ac:dyDescent="0.3">
      <c r="A23" s="16">
        <f t="shared" si="1"/>
        <v>0</v>
      </c>
      <c r="B23" s="67"/>
      <c r="C23" s="75" t="s">
        <v>181</v>
      </c>
      <c r="D23" s="69">
        <v>45881</v>
      </c>
      <c r="E23" s="70">
        <v>5</v>
      </c>
      <c r="F23" s="70">
        <v>0</v>
      </c>
      <c r="G23" s="69">
        <v>45881</v>
      </c>
      <c r="H23" s="70">
        <f t="shared" si="0"/>
        <v>0</v>
      </c>
      <c r="I23"/>
      <c r="X23" t="e">
        <f>VLOOKUP(A23,Ahorros_concentrado!B:D,3)</f>
        <v>#N/A</v>
      </c>
    </row>
    <row r="24" spans="1:24" x14ac:dyDescent="0.3">
      <c r="A24" s="16">
        <f t="shared" si="1"/>
        <v>0</v>
      </c>
      <c r="B24" s="67"/>
      <c r="C24" s="75" t="s">
        <v>182</v>
      </c>
      <c r="D24" s="69">
        <v>45881</v>
      </c>
      <c r="E24" s="70">
        <v>6</v>
      </c>
      <c r="F24" s="70">
        <v>2</v>
      </c>
      <c r="G24" s="69">
        <v>45881</v>
      </c>
      <c r="H24" s="70">
        <f t="shared" si="0"/>
        <v>0</v>
      </c>
      <c r="I24"/>
      <c r="X24" t="e">
        <f>VLOOKUP(A24,Ahorros_concentrado!B:D,3)</f>
        <v>#N/A</v>
      </c>
    </row>
    <row r="25" spans="1:24" x14ac:dyDescent="0.3">
      <c r="A25" s="16">
        <f t="shared" si="1"/>
        <v>0</v>
      </c>
      <c r="B25" s="67"/>
      <c r="C25" s="68" t="s">
        <v>186</v>
      </c>
      <c r="D25" s="69">
        <v>45882</v>
      </c>
      <c r="E25" s="70">
        <v>5</v>
      </c>
      <c r="F25" s="70">
        <v>3</v>
      </c>
      <c r="G25" s="69">
        <v>45882</v>
      </c>
      <c r="H25" s="70">
        <f t="shared" si="0"/>
        <v>0</v>
      </c>
      <c r="I25"/>
      <c r="X25" t="e">
        <f>VLOOKUP(A25,Ahorros_concentrado!B:D,3)</f>
        <v>#N/A</v>
      </c>
    </row>
    <row r="26" spans="1:24" x14ac:dyDescent="0.3">
      <c r="A26" s="16">
        <f t="shared" si="1"/>
        <v>0</v>
      </c>
      <c r="B26" s="67"/>
      <c r="C26" s="76" t="s">
        <v>187</v>
      </c>
      <c r="D26" s="69">
        <v>45882</v>
      </c>
      <c r="E26" s="70">
        <v>10</v>
      </c>
      <c r="F26" s="70">
        <v>1</v>
      </c>
      <c r="G26" s="69">
        <v>45882</v>
      </c>
      <c r="H26" s="70">
        <f t="shared" si="0"/>
        <v>0</v>
      </c>
      <c r="I26"/>
      <c r="X26" t="e">
        <f>VLOOKUP(A26,Ahorros_concentrado!B:D,3)</f>
        <v>#N/A</v>
      </c>
    </row>
    <row r="27" spans="1:24" x14ac:dyDescent="0.3">
      <c r="A27" s="16">
        <f t="shared" si="1"/>
        <v>0</v>
      </c>
      <c r="B27" s="67"/>
      <c r="C27" s="77" t="s">
        <v>391</v>
      </c>
      <c r="D27" s="69">
        <v>45882</v>
      </c>
      <c r="E27" s="70">
        <v>7</v>
      </c>
      <c r="F27" s="70">
        <v>0</v>
      </c>
      <c r="G27" s="69">
        <v>45882</v>
      </c>
      <c r="H27" s="70">
        <f t="shared" si="0"/>
        <v>0</v>
      </c>
      <c r="I27"/>
      <c r="X27" t="e">
        <f>VLOOKUP(A27,Ahorros_concentrado!B:D,3)</f>
        <v>#N/A</v>
      </c>
    </row>
    <row r="28" spans="1:24" x14ac:dyDescent="0.3">
      <c r="A28" s="16">
        <f t="shared" si="1"/>
        <v>0</v>
      </c>
      <c r="B28" s="67"/>
      <c r="C28" s="78" t="s">
        <v>392</v>
      </c>
      <c r="D28" s="69">
        <v>45883</v>
      </c>
      <c r="E28" s="70">
        <v>4</v>
      </c>
      <c r="F28" s="70">
        <v>1</v>
      </c>
      <c r="G28" s="69">
        <v>45883</v>
      </c>
      <c r="H28" s="70">
        <f t="shared" si="0"/>
        <v>0</v>
      </c>
      <c r="I28"/>
      <c r="X28" t="e">
        <f>VLOOKUP(A28,Ahorros_concentrado!B:D,3)</f>
        <v>#N/A</v>
      </c>
    </row>
    <row r="29" spans="1:24" x14ac:dyDescent="0.3">
      <c r="A29" s="16">
        <f t="shared" si="1"/>
        <v>0</v>
      </c>
      <c r="B29" s="67"/>
      <c r="C29" s="71" t="s">
        <v>393</v>
      </c>
      <c r="D29" s="69">
        <v>45883</v>
      </c>
      <c r="E29" s="70">
        <v>7</v>
      </c>
      <c r="F29" s="70">
        <v>4</v>
      </c>
      <c r="G29" s="69">
        <v>45883</v>
      </c>
      <c r="H29" s="70">
        <f t="shared" si="0"/>
        <v>0</v>
      </c>
      <c r="I29"/>
      <c r="X29" t="e">
        <f>VLOOKUP(A29,Ahorros_concentrado!B:D,3)</f>
        <v>#N/A</v>
      </c>
    </row>
    <row r="30" spans="1:24" x14ac:dyDescent="0.3">
      <c r="A30" s="16">
        <f t="shared" si="1"/>
        <v>0</v>
      </c>
      <c r="B30" s="67"/>
      <c r="C30" s="71" t="s">
        <v>394</v>
      </c>
      <c r="D30" s="69">
        <v>45884</v>
      </c>
      <c r="E30" s="70">
        <v>6</v>
      </c>
      <c r="F30" s="70">
        <v>1</v>
      </c>
      <c r="G30" s="69">
        <v>45884</v>
      </c>
      <c r="H30" s="70">
        <f t="shared" si="0"/>
        <v>0</v>
      </c>
      <c r="I30"/>
      <c r="X30" t="e">
        <f>VLOOKUP(A30,Ahorros_concentrado!B:D,3)</f>
        <v>#N/A</v>
      </c>
    </row>
    <row r="31" spans="1:24" x14ac:dyDescent="0.3">
      <c r="A31" s="16">
        <f t="shared" si="1"/>
        <v>0</v>
      </c>
      <c r="B31" s="67"/>
      <c r="C31" s="71" t="s">
        <v>395</v>
      </c>
      <c r="D31" s="69">
        <v>45884</v>
      </c>
      <c r="E31" s="70">
        <v>5</v>
      </c>
      <c r="F31" s="70">
        <v>0</v>
      </c>
      <c r="G31" s="69">
        <v>45884</v>
      </c>
      <c r="H31" s="70">
        <f t="shared" si="0"/>
        <v>0</v>
      </c>
      <c r="I31"/>
      <c r="X31" t="e">
        <f>VLOOKUP(A31,Ahorros_concentrado!B:D,3)</f>
        <v>#N/A</v>
      </c>
    </row>
    <row r="32" spans="1:24" x14ac:dyDescent="0.3">
      <c r="A32" s="16">
        <f t="shared" si="1"/>
        <v>0</v>
      </c>
      <c r="B32" s="67"/>
      <c r="C32" s="52" t="s">
        <v>399</v>
      </c>
      <c r="D32" s="69">
        <v>45880</v>
      </c>
      <c r="E32" s="70">
        <v>5</v>
      </c>
      <c r="F32" s="70">
        <v>2</v>
      </c>
      <c r="G32" s="69">
        <v>45880</v>
      </c>
      <c r="H32" s="70">
        <f t="shared" si="0"/>
        <v>0</v>
      </c>
      <c r="I32"/>
      <c r="X32" t="e">
        <f>VLOOKUP(A32,Ahorros_concentrado!B:D,3)</f>
        <v>#N/A</v>
      </c>
    </row>
    <row r="33" spans="1:24" x14ac:dyDescent="0.3">
      <c r="A33" s="16">
        <f t="shared" si="1"/>
        <v>0</v>
      </c>
      <c r="B33" s="67"/>
      <c r="C33" s="68" t="s">
        <v>428</v>
      </c>
      <c r="D33" s="69">
        <v>45888</v>
      </c>
      <c r="E33" s="70">
        <v>5</v>
      </c>
      <c r="F33" s="70">
        <v>4</v>
      </c>
      <c r="G33" s="69">
        <v>45888</v>
      </c>
      <c r="H33" s="70">
        <f t="shared" si="0"/>
        <v>0</v>
      </c>
      <c r="I33"/>
      <c r="X33" t="e">
        <f>VLOOKUP(A33,Ahorros_concentrado!B:D,3)</f>
        <v>#N/A</v>
      </c>
    </row>
    <row r="34" spans="1:24" x14ac:dyDescent="0.3">
      <c r="A34" s="16">
        <f t="shared" si="1"/>
        <v>0</v>
      </c>
      <c r="B34" s="67"/>
      <c r="C34" s="68" t="s">
        <v>429</v>
      </c>
      <c r="D34" s="69">
        <v>45883</v>
      </c>
      <c r="E34" s="70">
        <v>5</v>
      </c>
      <c r="F34" s="70">
        <v>3</v>
      </c>
      <c r="G34" s="69">
        <v>45883</v>
      </c>
      <c r="H34" s="70">
        <f t="shared" si="0"/>
        <v>0</v>
      </c>
      <c r="I34"/>
      <c r="X34" t="e">
        <f>VLOOKUP(A34,Ahorros_concentrado!B:D,3)</f>
        <v>#N/A</v>
      </c>
    </row>
    <row r="35" spans="1:24" x14ac:dyDescent="0.3">
      <c r="A35" s="16">
        <f t="shared" si="1"/>
        <v>0</v>
      </c>
      <c r="B35" s="67"/>
      <c r="C35" s="68" t="s">
        <v>430</v>
      </c>
      <c r="D35" s="69">
        <v>45882</v>
      </c>
      <c r="E35" s="70">
        <v>8</v>
      </c>
      <c r="F35" s="70">
        <v>4</v>
      </c>
      <c r="G35" s="69">
        <v>45883</v>
      </c>
      <c r="H35" s="70">
        <f t="shared" si="0"/>
        <v>1</v>
      </c>
      <c r="I35"/>
      <c r="X35" t="e">
        <f>VLOOKUP(A35,Ahorros_concentrado!B:D,3)</f>
        <v>#N/A</v>
      </c>
    </row>
    <row r="36" spans="1:24" x14ac:dyDescent="0.3">
      <c r="A36" s="16">
        <f t="shared" si="1"/>
        <v>0</v>
      </c>
      <c r="B36" s="67"/>
      <c r="C36" s="68" t="s">
        <v>431</v>
      </c>
      <c r="D36" s="69">
        <v>45882</v>
      </c>
      <c r="E36" s="70">
        <v>8</v>
      </c>
      <c r="F36" s="70">
        <v>2</v>
      </c>
      <c r="G36" s="69">
        <v>45887</v>
      </c>
      <c r="H36" s="70">
        <f t="shared" si="0"/>
        <v>5</v>
      </c>
      <c r="I36"/>
      <c r="X36" t="e">
        <f>VLOOKUP(A36,Ahorros_concentrado!B:D,3)</f>
        <v>#N/A</v>
      </c>
    </row>
    <row r="37" spans="1:24" x14ac:dyDescent="0.3">
      <c r="A37" s="16">
        <f t="shared" si="1"/>
        <v>0</v>
      </c>
      <c r="B37" s="67"/>
      <c r="C37" s="68" t="s">
        <v>434</v>
      </c>
      <c r="D37" s="69">
        <v>45883</v>
      </c>
      <c r="E37" s="70">
        <v>5</v>
      </c>
      <c r="F37" s="70">
        <v>0</v>
      </c>
      <c r="G37" s="69">
        <v>45887</v>
      </c>
      <c r="H37" s="70">
        <f t="shared" si="0"/>
        <v>4</v>
      </c>
      <c r="I37"/>
      <c r="X37" t="e">
        <f>VLOOKUP(A37,Ahorros_concentrado!B:D,3)</f>
        <v>#N/A</v>
      </c>
    </row>
    <row r="38" spans="1:24" x14ac:dyDescent="0.3">
      <c r="A38" s="16">
        <f t="shared" si="1"/>
        <v>0</v>
      </c>
      <c r="B38" s="67"/>
      <c r="C38" s="68" t="s">
        <v>435</v>
      </c>
      <c r="D38" s="69">
        <v>45887</v>
      </c>
      <c r="E38" s="70">
        <v>5</v>
      </c>
      <c r="F38" s="70">
        <v>1</v>
      </c>
      <c r="G38" s="69">
        <v>45888</v>
      </c>
      <c r="H38" s="70">
        <f t="shared" si="0"/>
        <v>1</v>
      </c>
      <c r="I38"/>
      <c r="X38" t="e">
        <f>VLOOKUP(A38,Ahorros_concentrado!B:D,3)</f>
        <v>#N/A</v>
      </c>
    </row>
    <row r="39" spans="1:24" x14ac:dyDescent="0.3">
      <c r="A39" s="16">
        <f t="shared" si="1"/>
        <v>0</v>
      </c>
      <c r="B39" s="67"/>
      <c r="C39" s="68" t="s">
        <v>436</v>
      </c>
      <c r="D39" s="69">
        <v>45888</v>
      </c>
      <c r="E39" s="70">
        <v>5</v>
      </c>
      <c r="F39" s="70">
        <v>0</v>
      </c>
      <c r="G39" s="69">
        <v>45888</v>
      </c>
      <c r="H39" s="70">
        <f t="shared" si="0"/>
        <v>0</v>
      </c>
      <c r="I39"/>
      <c r="X39" t="e">
        <f>VLOOKUP(A39,Ahorros_concentrado!B:D,3)</f>
        <v>#N/A</v>
      </c>
    </row>
    <row r="40" spans="1:24" x14ac:dyDescent="0.3">
      <c r="A40" s="16" t="str">
        <f t="shared" si="1"/>
        <v>000027</v>
      </c>
      <c r="B40" s="67" t="s">
        <v>437</v>
      </c>
      <c r="C40" s="68" t="s">
        <v>438</v>
      </c>
      <c r="D40" s="69">
        <v>45887</v>
      </c>
      <c r="E40" s="70">
        <v>5</v>
      </c>
      <c r="F40" s="70">
        <v>1</v>
      </c>
      <c r="G40" s="69">
        <v>45887</v>
      </c>
      <c r="H40" s="70">
        <f t="shared" si="0"/>
        <v>0</v>
      </c>
      <c r="I40"/>
      <c r="X40">
        <f>VLOOKUP(A40,Ahorros_concentrado!B:D,3)</f>
        <v>3694</v>
      </c>
    </row>
    <row r="41" spans="1:24" x14ac:dyDescent="0.3">
      <c r="A41" s="16">
        <f t="shared" si="1"/>
        <v>0</v>
      </c>
      <c r="B41" s="67"/>
      <c r="C41" s="68" t="s">
        <v>439</v>
      </c>
      <c r="D41" s="69">
        <v>45887</v>
      </c>
      <c r="E41" s="70">
        <v>6</v>
      </c>
      <c r="F41" s="70">
        <v>1</v>
      </c>
      <c r="G41" s="69">
        <v>45888</v>
      </c>
      <c r="H41" s="70">
        <f t="shared" si="0"/>
        <v>1</v>
      </c>
      <c r="I41"/>
      <c r="X41" t="e">
        <f>VLOOKUP(A41,Ahorros_concentrado!B:D,3)</f>
        <v>#N/A</v>
      </c>
    </row>
    <row r="42" spans="1:24" x14ac:dyDescent="0.3">
      <c r="A42" s="16">
        <f t="shared" si="1"/>
        <v>0</v>
      </c>
      <c r="B42" s="67"/>
      <c r="C42" s="68" t="s">
        <v>440</v>
      </c>
      <c r="D42" s="69">
        <v>45887</v>
      </c>
      <c r="E42" s="70">
        <v>5</v>
      </c>
      <c r="F42" s="70">
        <v>0</v>
      </c>
      <c r="G42" s="69">
        <v>45889</v>
      </c>
      <c r="H42" s="70">
        <f t="shared" si="0"/>
        <v>2</v>
      </c>
      <c r="I42"/>
      <c r="X42" t="e">
        <f>VLOOKUP(A42,Ahorros_concentrado!B:D,3)</f>
        <v>#N/A</v>
      </c>
    </row>
    <row r="43" spans="1:24" x14ac:dyDescent="0.3">
      <c r="A43" s="16">
        <f t="shared" si="1"/>
        <v>0</v>
      </c>
      <c r="B43" s="67"/>
      <c r="C43" s="68" t="s">
        <v>506</v>
      </c>
      <c r="D43" s="69">
        <v>45890</v>
      </c>
      <c r="E43" s="70">
        <v>9</v>
      </c>
      <c r="F43" s="70">
        <v>0</v>
      </c>
      <c r="G43" s="69">
        <v>45891</v>
      </c>
      <c r="H43" s="70">
        <f t="shared" si="0"/>
        <v>1</v>
      </c>
      <c r="I43"/>
      <c r="X43" t="e">
        <f>VLOOKUP(A43,Ahorros_concentrado!B:D,3)</f>
        <v>#N/A</v>
      </c>
    </row>
    <row r="44" spans="1:24" x14ac:dyDescent="0.3">
      <c r="A44" s="16">
        <f t="shared" si="1"/>
        <v>0</v>
      </c>
      <c r="B44" s="67"/>
      <c r="C44" s="68" t="s">
        <v>507</v>
      </c>
      <c r="D44" s="69">
        <v>45891</v>
      </c>
      <c r="E44" s="70">
        <v>7</v>
      </c>
      <c r="F44" s="70">
        <v>0</v>
      </c>
      <c r="G44" s="69">
        <v>45891</v>
      </c>
      <c r="H44" s="70">
        <f t="shared" si="0"/>
        <v>0</v>
      </c>
      <c r="I44"/>
      <c r="X44" t="e">
        <f>VLOOKUP(A44,Ahorros_concentrado!B:D,3)</f>
        <v>#N/A</v>
      </c>
    </row>
    <row r="45" spans="1:24" x14ac:dyDescent="0.3">
      <c r="A45" s="16">
        <f t="shared" si="1"/>
        <v>0</v>
      </c>
      <c r="B45" s="67"/>
      <c r="C45" s="68" t="s">
        <v>572</v>
      </c>
      <c r="D45" s="69">
        <v>45888</v>
      </c>
      <c r="E45" s="70">
        <v>5</v>
      </c>
      <c r="F45" s="70">
        <v>0</v>
      </c>
      <c r="G45" s="69">
        <v>45890</v>
      </c>
      <c r="H45" s="70">
        <f t="shared" si="0"/>
        <v>2</v>
      </c>
      <c r="I45"/>
      <c r="X45" t="e">
        <f>VLOOKUP(A45,Ahorros_concentrado!B:D,3)</f>
        <v>#N/A</v>
      </c>
    </row>
    <row r="46" spans="1:24" x14ac:dyDescent="0.3">
      <c r="A46" s="16">
        <f t="shared" si="1"/>
        <v>0</v>
      </c>
      <c r="B46" s="67"/>
      <c r="C46" s="68" t="s">
        <v>573</v>
      </c>
      <c r="D46" s="69">
        <v>45889</v>
      </c>
      <c r="E46" s="70">
        <v>11</v>
      </c>
      <c r="F46" s="70">
        <v>0</v>
      </c>
      <c r="G46" s="69">
        <v>45893</v>
      </c>
      <c r="H46" s="70">
        <f t="shared" si="0"/>
        <v>4</v>
      </c>
      <c r="I46"/>
      <c r="X46" t="e">
        <f>VLOOKUP(A46,Ahorros_concentrado!B:D,3)</f>
        <v>#N/A</v>
      </c>
    </row>
    <row r="47" spans="1:24" x14ac:dyDescent="0.3">
      <c r="A47" s="16">
        <f t="shared" si="1"/>
        <v>0</v>
      </c>
      <c r="B47" s="67"/>
      <c r="C47" s="68" t="s">
        <v>574</v>
      </c>
      <c r="D47" s="69">
        <v>45890</v>
      </c>
      <c r="E47" s="70">
        <v>5</v>
      </c>
      <c r="F47" s="70">
        <v>1</v>
      </c>
      <c r="G47" s="69">
        <v>45890</v>
      </c>
      <c r="H47" s="70">
        <f t="shared" si="0"/>
        <v>0</v>
      </c>
      <c r="I47"/>
      <c r="X47" t="e">
        <f>VLOOKUP(A47,Ahorros_concentrado!B:D,3)</f>
        <v>#N/A</v>
      </c>
    </row>
    <row r="48" spans="1:24" x14ac:dyDescent="0.3">
      <c r="A48" s="16">
        <f t="shared" si="1"/>
        <v>0</v>
      </c>
      <c r="B48" s="67"/>
      <c r="C48" s="68" t="s">
        <v>575</v>
      </c>
      <c r="D48" s="69">
        <v>45894</v>
      </c>
      <c r="E48" s="70">
        <v>6</v>
      </c>
      <c r="F48" s="70">
        <v>1</v>
      </c>
      <c r="G48" s="69">
        <v>45894</v>
      </c>
      <c r="H48" s="70">
        <f t="shared" si="0"/>
        <v>0</v>
      </c>
      <c r="I48"/>
      <c r="X48" t="e">
        <f>VLOOKUP(A48,Ahorros_concentrado!B:D,3)</f>
        <v>#N/A</v>
      </c>
    </row>
    <row r="49" spans="1:24" x14ac:dyDescent="0.3">
      <c r="A49" s="16">
        <f t="shared" si="1"/>
        <v>0</v>
      </c>
      <c r="B49" s="67"/>
      <c r="C49" s="68" t="s">
        <v>661</v>
      </c>
      <c r="D49" s="69">
        <v>45890</v>
      </c>
      <c r="E49" s="70">
        <v>2</v>
      </c>
      <c r="F49" s="70">
        <v>0</v>
      </c>
      <c r="G49" s="69">
        <v>45890</v>
      </c>
      <c r="H49" s="70">
        <f t="shared" si="0"/>
        <v>0</v>
      </c>
      <c r="I49"/>
      <c r="X49" t="e">
        <f>VLOOKUP(A49,Ahorros_concentrado!B:D,3)</f>
        <v>#N/A</v>
      </c>
    </row>
    <row r="50" spans="1:24" x14ac:dyDescent="0.3">
      <c r="A50" s="16">
        <f t="shared" si="1"/>
        <v>0</v>
      </c>
      <c r="B50" s="67"/>
      <c r="C50" s="68" t="s">
        <v>674</v>
      </c>
      <c r="D50" s="69">
        <v>45895</v>
      </c>
      <c r="E50" s="70">
        <v>5</v>
      </c>
      <c r="F50" s="70">
        <v>2</v>
      </c>
      <c r="G50" s="69">
        <v>45896</v>
      </c>
      <c r="H50" s="70">
        <f t="shared" si="0"/>
        <v>1</v>
      </c>
      <c r="I50"/>
      <c r="X50" t="e">
        <f>VLOOKUP(A50,Ahorros_concentrado!B:D,3)</f>
        <v>#N/A</v>
      </c>
    </row>
    <row r="51" spans="1:24" x14ac:dyDescent="0.3">
      <c r="A51" s="16">
        <f t="shared" si="1"/>
        <v>0</v>
      </c>
      <c r="B51" s="67"/>
      <c r="C51" s="68" t="s">
        <v>684</v>
      </c>
      <c r="D51" s="69">
        <v>45896</v>
      </c>
      <c r="E51" s="70">
        <v>6</v>
      </c>
      <c r="F51" s="70">
        <v>1</v>
      </c>
      <c r="G51" s="69">
        <v>45896</v>
      </c>
      <c r="H51" s="70">
        <f t="shared" si="0"/>
        <v>0</v>
      </c>
      <c r="I51"/>
      <c r="X51" t="e">
        <f>VLOOKUP(A51,Ahorros_concentrado!B:D,3)</f>
        <v>#N/A</v>
      </c>
    </row>
    <row r="52" spans="1:24" x14ac:dyDescent="0.3">
      <c r="A52" s="16">
        <f t="shared" si="1"/>
        <v>0</v>
      </c>
      <c r="B52" s="67"/>
      <c r="C52" s="68" t="s">
        <v>689</v>
      </c>
      <c r="D52" s="69">
        <v>45897</v>
      </c>
      <c r="E52" s="70">
        <v>5</v>
      </c>
      <c r="F52" s="70">
        <v>1</v>
      </c>
      <c r="G52" s="69">
        <v>45897</v>
      </c>
      <c r="H52" s="70">
        <f t="shared" si="0"/>
        <v>0</v>
      </c>
      <c r="I52"/>
      <c r="X52" t="e">
        <f>VLOOKUP(A52,Ahorros_concentrado!B:D,3)</f>
        <v>#N/A</v>
      </c>
    </row>
    <row r="53" spans="1:24" x14ac:dyDescent="0.3">
      <c r="A53" s="16">
        <f t="shared" si="1"/>
        <v>0</v>
      </c>
      <c r="B53" s="67"/>
      <c r="C53" s="68" t="s">
        <v>735</v>
      </c>
      <c r="D53" s="69">
        <v>45894</v>
      </c>
      <c r="E53" s="70">
        <v>6</v>
      </c>
      <c r="F53" s="70">
        <v>1</v>
      </c>
      <c r="G53" s="69">
        <v>45897</v>
      </c>
      <c r="H53" s="70">
        <f t="shared" si="0"/>
        <v>3</v>
      </c>
      <c r="I53"/>
      <c r="X53" t="e">
        <f>VLOOKUP(A53,Ahorros_concentrado!B:D,3)</f>
        <v>#N/A</v>
      </c>
    </row>
    <row r="54" spans="1:24" x14ac:dyDescent="0.3">
      <c r="A54" s="16">
        <f t="shared" si="1"/>
        <v>0</v>
      </c>
      <c r="B54" s="67"/>
      <c r="C54" s="68" t="s">
        <v>395</v>
      </c>
      <c r="D54" s="69">
        <v>45895</v>
      </c>
      <c r="E54" s="70">
        <v>1</v>
      </c>
      <c r="F54" s="70">
        <v>0</v>
      </c>
      <c r="G54" s="69">
        <v>45895</v>
      </c>
      <c r="H54" s="70">
        <f t="shared" si="0"/>
        <v>0</v>
      </c>
      <c r="I54"/>
      <c r="X54" t="e">
        <f>VLOOKUP(A54,Ahorros_concentrado!B:D,3)</f>
        <v>#N/A</v>
      </c>
    </row>
    <row r="55" spans="1:24" x14ac:dyDescent="0.3">
      <c r="A55" s="16">
        <f t="shared" si="1"/>
        <v>0</v>
      </c>
      <c r="B55" s="67"/>
      <c r="C55" s="68" t="s">
        <v>802</v>
      </c>
      <c r="D55" s="69">
        <v>45898</v>
      </c>
      <c r="E55" s="70">
        <v>6</v>
      </c>
      <c r="F55" s="70">
        <v>1</v>
      </c>
      <c r="G55" s="69">
        <v>45901</v>
      </c>
      <c r="H55" s="70">
        <f t="shared" si="0"/>
        <v>3</v>
      </c>
      <c r="I55"/>
      <c r="X55" t="e">
        <f>VLOOKUP(A55,Ahorros_concentrado!B:D,3)</f>
        <v>#N/A</v>
      </c>
    </row>
    <row r="56" spans="1:24" x14ac:dyDescent="0.3">
      <c r="A56" s="16">
        <f t="shared" si="1"/>
        <v>0</v>
      </c>
      <c r="B56" s="67"/>
      <c r="C56" s="68" t="s">
        <v>803</v>
      </c>
      <c r="D56" s="69">
        <v>45870</v>
      </c>
      <c r="E56" s="70">
        <v>5</v>
      </c>
      <c r="F56" s="70">
        <v>1</v>
      </c>
      <c r="G56" s="69">
        <v>45870</v>
      </c>
      <c r="H56" s="70">
        <f t="shared" si="0"/>
        <v>0</v>
      </c>
      <c r="I56"/>
      <c r="X56" t="e">
        <f>VLOOKUP(A56,Ahorros_concentrado!B:D,3)</f>
        <v>#N/A</v>
      </c>
    </row>
    <row r="57" spans="1:24" x14ac:dyDescent="0.3">
      <c r="A57" s="16">
        <f t="shared" si="1"/>
        <v>0</v>
      </c>
      <c r="B57" s="67"/>
      <c r="C57" s="68" t="s">
        <v>804</v>
      </c>
      <c r="D57" s="69">
        <v>45901</v>
      </c>
      <c r="E57" s="70">
        <v>7</v>
      </c>
      <c r="F57" s="70">
        <v>0</v>
      </c>
      <c r="G57" s="69">
        <v>45901</v>
      </c>
      <c r="H57" s="70">
        <f t="shared" si="0"/>
        <v>0</v>
      </c>
      <c r="I57"/>
      <c r="X57" t="e">
        <f>VLOOKUP(A57,Ahorros_concentrado!B:D,3)</f>
        <v>#N/A</v>
      </c>
    </row>
    <row r="58" spans="1:24" x14ac:dyDescent="0.3">
      <c r="A58" s="16">
        <f t="shared" si="1"/>
        <v>0</v>
      </c>
      <c r="B58" s="67"/>
      <c r="C58" s="68" t="s">
        <v>810</v>
      </c>
      <c r="D58" s="69">
        <v>45901</v>
      </c>
      <c r="E58" s="70">
        <v>7</v>
      </c>
      <c r="F58" s="70">
        <v>0</v>
      </c>
      <c r="G58" s="69">
        <v>45901</v>
      </c>
      <c r="H58" s="70">
        <f t="shared" si="0"/>
        <v>0</v>
      </c>
      <c r="I58"/>
      <c r="X58" t="e">
        <f>VLOOKUP(A58,Ahorros_concentrado!B:D,3)</f>
        <v>#N/A</v>
      </c>
    </row>
    <row r="59" spans="1:24" x14ac:dyDescent="0.3">
      <c r="A59" s="16">
        <f t="shared" si="1"/>
        <v>0</v>
      </c>
      <c r="B59" s="67"/>
      <c r="C59" s="68" t="s">
        <v>811</v>
      </c>
      <c r="D59" s="69">
        <v>45895</v>
      </c>
      <c r="E59" s="70">
        <v>8</v>
      </c>
      <c r="F59" s="70">
        <v>2</v>
      </c>
      <c r="G59" s="69">
        <v>45897</v>
      </c>
      <c r="H59" s="70">
        <f t="shared" si="0"/>
        <v>2</v>
      </c>
      <c r="I59"/>
      <c r="X59" t="e">
        <f>VLOOKUP(A59,Ahorros_concentrado!B:D,3)</f>
        <v>#N/A</v>
      </c>
    </row>
    <row r="60" spans="1:24" x14ac:dyDescent="0.3">
      <c r="A60" s="16">
        <f t="shared" si="1"/>
        <v>0</v>
      </c>
      <c r="B60" s="67"/>
      <c r="C60" s="68" t="s">
        <v>812</v>
      </c>
      <c r="D60" s="69">
        <v>45897</v>
      </c>
      <c r="E60" s="70">
        <v>8</v>
      </c>
      <c r="F60" s="70">
        <v>2</v>
      </c>
      <c r="G60" s="69">
        <v>45902</v>
      </c>
      <c r="H60" s="70">
        <f t="shared" si="0"/>
        <v>5</v>
      </c>
      <c r="I60"/>
      <c r="X60" t="e">
        <f>VLOOKUP(A60,Ahorros_concentrado!B:D,3)</f>
        <v>#N/A</v>
      </c>
    </row>
    <row r="61" spans="1:24" x14ac:dyDescent="0.3">
      <c r="A61" s="16">
        <f t="shared" si="1"/>
        <v>0</v>
      </c>
      <c r="B61" s="67"/>
      <c r="C61" s="68" t="s">
        <v>813</v>
      </c>
      <c r="D61" s="69">
        <v>45902</v>
      </c>
      <c r="E61" s="70">
        <v>6</v>
      </c>
      <c r="F61" s="70">
        <v>2</v>
      </c>
      <c r="G61" s="69">
        <v>45902</v>
      </c>
      <c r="H61" s="70">
        <f t="shared" si="0"/>
        <v>0</v>
      </c>
      <c r="I61"/>
      <c r="X61" t="e">
        <f>VLOOKUP(A61,Ahorros_concentrado!B:D,3)</f>
        <v>#N/A</v>
      </c>
    </row>
    <row r="62" spans="1:24" x14ac:dyDescent="0.3">
      <c r="A62" s="16">
        <f t="shared" si="1"/>
        <v>0</v>
      </c>
      <c r="B62" s="67"/>
      <c r="C62" s="68" t="s">
        <v>815</v>
      </c>
      <c r="D62" s="69">
        <v>45901</v>
      </c>
      <c r="E62" s="70">
        <v>6</v>
      </c>
      <c r="F62" s="70">
        <v>0</v>
      </c>
      <c r="G62" s="69">
        <v>45903</v>
      </c>
      <c r="H62" s="70">
        <f t="shared" si="0"/>
        <v>2</v>
      </c>
      <c r="I62"/>
      <c r="X62" t="e">
        <f>VLOOKUP(A62,Ahorros_concentrado!B:D,3)</f>
        <v>#N/A</v>
      </c>
    </row>
    <row r="63" spans="1:24" x14ac:dyDescent="0.3">
      <c r="A63" s="16">
        <f t="shared" si="1"/>
        <v>0</v>
      </c>
      <c r="B63" s="67"/>
      <c r="C63" s="68" t="s">
        <v>827</v>
      </c>
      <c r="D63" s="69">
        <v>45902</v>
      </c>
      <c r="E63" s="70">
        <v>6</v>
      </c>
      <c r="F63" s="70">
        <v>0</v>
      </c>
      <c r="G63" s="69">
        <v>45902</v>
      </c>
      <c r="H63" s="70">
        <f t="shared" si="0"/>
        <v>0</v>
      </c>
      <c r="I63"/>
      <c r="X63" t="e">
        <f>VLOOKUP(A63,Ahorros_concentrado!B:D,3)</f>
        <v>#N/A</v>
      </c>
    </row>
    <row r="64" spans="1:24" x14ac:dyDescent="0.3">
      <c r="A64" s="16">
        <f t="shared" si="1"/>
        <v>0</v>
      </c>
      <c r="B64" s="67"/>
      <c r="C64" s="68" t="s">
        <v>828</v>
      </c>
      <c r="D64" s="69">
        <v>45901</v>
      </c>
      <c r="E64" s="70">
        <v>6</v>
      </c>
      <c r="F64" s="70">
        <v>0</v>
      </c>
      <c r="G64" s="69">
        <v>45901</v>
      </c>
      <c r="H64" s="70">
        <f t="shared" si="0"/>
        <v>0</v>
      </c>
      <c r="I64"/>
      <c r="X64" t="e">
        <f>VLOOKUP(A64,Ahorros_concentrado!B:D,3)</f>
        <v>#N/A</v>
      </c>
    </row>
    <row r="65" spans="1:24" x14ac:dyDescent="0.3">
      <c r="A65" s="16">
        <f t="shared" si="1"/>
        <v>0</v>
      </c>
      <c r="B65" s="67"/>
      <c r="C65" s="68" t="s">
        <v>829</v>
      </c>
      <c r="D65" s="69">
        <v>45903</v>
      </c>
      <c r="E65" s="70">
        <v>5</v>
      </c>
      <c r="F65" s="70">
        <v>0</v>
      </c>
      <c r="G65" s="69">
        <v>45903</v>
      </c>
      <c r="H65" s="70">
        <f t="shared" si="0"/>
        <v>0</v>
      </c>
      <c r="I65"/>
      <c r="X65" t="e">
        <f>VLOOKUP(A65,Ahorros_concentrado!B:D,3)</f>
        <v>#N/A</v>
      </c>
    </row>
    <row r="66" spans="1:24" x14ac:dyDescent="0.3">
      <c r="A66" s="16">
        <f t="shared" si="1"/>
        <v>0</v>
      </c>
      <c r="B66" s="67"/>
      <c r="C66" s="68" t="s">
        <v>830</v>
      </c>
      <c r="D66" s="69">
        <v>45901</v>
      </c>
      <c r="E66" s="70">
        <v>6</v>
      </c>
      <c r="F66" s="70">
        <v>0</v>
      </c>
      <c r="G66" s="69">
        <v>45901</v>
      </c>
      <c r="H66" s="70">
        <f t="shared" si="0"/>
        <v>0</v>
      </c>
      <c r="I66"/>
      <c r="X66" t="e">
        <f>VLOOKUP(A66,Ahorros_concentrado!B:D,3)</f>
        <v>#N/A</v>
      </c>
    </row>
    <row r="67" spans="1:24" x14ac:dyDescent="0.3">
      <c r="A67" s="16">
        <f t="shared" si="1"/>
        <v>0</v>
      </c>
      <c r="B67" s="67"/>
      <c r="C67" s="68" t="s">
        <v>831</v>
      </c>
      <c r="D67" s="69">
        <v>45903</v>
      </c>
      <c r="E67" s="70">
        <v>6</v>
      </c>
      <c r="F67" s="70">
        <v>0</v>
      </c>
      <c r="G67" s="69">
        <v>45903</v>
      </c>
      <c r="H67" s="70">
        <f t="shared" si="0"/>
        <v>0</v>
      </c>
      <c r="I67"/>
      <c r="X67" t="e">
        <f>VLOOKUP(A67,Ahorros_concentrado!B:D,3)</f>
        <v>#N/A</v>
      </c>
    </row>
    <row r="68" spans="1:24" x14ac:dyDescent="0.3">
      <c r="A68" s="16">
        <f t="shared" si="1"/>
        <v>0</v>
      </c>
      <c r="B68" s="67"/>
      <c r="C68" s="68" t="s">
        <v>877</v>
      </c>
      <c r="D68" s="69">
        <v>45903</v>
      </c>
      <c r="E68" s="70">
        <v>8</v>
      </c>
      <c r="F68" s="70">
        <v>0</v>
      </c>
      <c r="G68" s="69">
        <v>45904</v>
      </c>
      <c r="H68" s="70">
        <f t="shared" si="0"/>
        <v>1</v>
      </c>
      <c r="I68"/>
      <c r="X68" t="e">
        <f>VLOOKUP(A68,Ahorros_concentrado!B:D,3)</f>
        <v>#N/A</v>
      </c>
    </row>
    <row r="69" spans="1:24" x14ac:dyDescent="0.3">
      <c r="A69" s="16">
        <f t="shared" si="1"/>
        <v>0</v>
      </c>
      <c r="B69" s="67"/>
      <c r="C69" s="68" t="s">
        <v>811</v>
      </c>
      <c r="D69" s="69">
        <v>45903</v>
      </c>
      <c r="E69" s="70">
        <v>2</v>
      </c>
      <c r="F69" s="70">
        <v>0</v>
      </c>
      <c r="G69" s="69">
        <v>45903</v>
      </c>
      <c r="H69" s="70">
        <f t="shared" si="0"/>
        <v>0</v>
      </c>
      <c r="I69"/>
      <c r="X69" t="e">
        <f>VLOOKUP(A69,Ahorros_concentrado!B:D,3)</f>
        <v>#N/A</v>
      </c>
    </row>
    <row r="70" spans="1:24" x14ac:dyDescent="0.3">
      <c r="A70" s="16">
        <f t="shared" si="1"/>
        <v>0</v>
      </c>
      <c r="B70" s="67"/>
      <c r="C70" s="68" t="s">
        <v>878</v>
      </c>
      <c r="D70" s="69">
        <v>45905</v>
      </c>
      <c r="E70" s="70">
        <v>6</v>
      </c>
      <c r="F70" s="70">
        <v>2</v>
      </c>
      <c r="G70" s="69">
        <v>45905</v>
      </c>
      <c r="H70" s="70">
        <f t="shared" si="0"/>
        <v>0</v>
      </c>
      <c r="I70"/>
      <c r="X70" t="e">
        <f>VLOOKUP(A70,Ahorros_concentrado!B:D,3)</f>
        <v>#N/A</v>
      </c>
    </row>
    <row r="71" spans="1:24" x14ac:dyDescent="0.3">
      <c r="A71" s="16">
        <f t="shared" si="1"/>
        <v>0</v>
      </c>
      <c r="B71" s="67"/>
      <c r="C71" s="68" t="s">
        <v>879</v>
      </c>
      <c r="D71" s="69">
        <v>45904</v>
      </c>
      <c r="E71" s="70">
        <v>7</v>
      </c>
      <c r="F71" s="70">
        <v>0</v>
      </c>
      <c r="G71" s="69">
        <v>45904</v>
      </c>
      <c r="H71" s="70">
        <f t="shared" si="0"/>
        <v>0</v>
      </c>
      <c r="I71"/>
      <c r="X71" t="e">
        <f>VLOOKUP(A71,Ahorros_concentrado!B:D,3)</f>
        <v>#N/A</v>
      </c>
    </row>
    <row r="72" spans="1:24" x14ac:dyDescent="0.3">
      <c r="A72" s="16">
        <f t="shared" ref="A72:A135" si="2">B72</f>
        <v>0</v>
      </c>
      <c r="B72" s="67"/>
      <c r="C72" s="68" t="s">
        <v>880</v>
      </c>
      <c r="D72" s="69">
        <v>45904</v>
      </c>
      <c r="E72" s="70">
        <v>6</v>
      </c>
      <c r="F72" s="70">
        <v>0</v>
      </c>
      <c r="G72" s="69">
        <v>45908</v>
      </c>
      <c r="H72" s="70">
        <f t="shared" si="0"/>
        <v>4</v>
      </c>
      <c r="I72"/>
      <c r="X72" t="e">
        <f>VLOOKUP(A72,Ahorros_concentrado!B:D,3)</f>
        <v>#N/A</v>
      </c>
    </row>
    <row r="73" spans="1:24" x14ac:dyDescent="0.3">
      <c r="A73" s="16">
        <f t="shared" si="2"/>
        <v>0</v>
      </c>
      <c r="B73" s="67"/>
      <c r="C73" s="68" t="s">
        <v>881</v>
      </c>
      <c r="D73" s="69">
        <v>45908</v>
      </c>
      <c r="E73" s="70">
        <v>3</v>
      </c>
      <c r="F73" s="70">
        <v>0</v>
      </c>
      <c r="G73" s="69">
        <v>45908</v>
      </c>
      <c r="H73" s="70">
        <f t="shared" si="0"/>
        <v>0</v>
      </c>
      <c r="I73"/>
      <c r="X73" t="e">
        <f>VLOOKUP(A73,Ahorros_concentrado!B:D,3)</f>
        <v>#N/A</v>
      </c>
    </row>
    <row r="74" spans="1:24" x14ac:dyDescent="0.3">
      <c r="A74" s="16">
        <f t="shared" si="2"/>
        <v>0</v>
      </c>
      <c r="B74" s="67"/>
      <c r="C74" s="68" t="s">
        <v>689</v>
      </c>
      <c r="D74" s="69">
        <v>45908</v>
      </c>
      <c r="E74" s="70">
        <v>8</v>
      </c>
      <c r="F74" s="70">
        <v>1</v>
      </c>
      <c r="G74" s="69">
        <v>45910</v>
      </c>
      <c r="H74" s="70">
        <f t="shared" si="0"/>
        <v>2</v>
      </c>
      <c r="I74"/>
      <c r="X74" t="e">
        <f>VLOOKUP(A74,Ahorros_concentrado!B:D,3)</f>
        <v>#N/A</v>
      </c>
    </row>
    <row r="75" spans="1:24" x14ac:dyDescent="0.3">
      <c r="A75" s="16">
        <f t="shared" si="2"/>
        <v>0</v>
      </c>
      <c r="B75" s="67"/>
      <c r="C75" s="68" t="s">
        <v>932</v>
      </c>
      <c r="D75" s="69">
        <v>45908</v>
      </c>
      <c r="E75" s="70">
        <v>7</v>
      </c>
      <c r="F75" s="70">
        <v>2</v>
      </c>
      <c r="G75" s="69">
        <v>45909</v>
      </c>
      <c r="H75" s="70">
        <f t="shared" si="0"/>
        <v>1</v>
      </c>
      <c r="I75"/>
      <c r="X75" t="e">
        <f>VLOOKUP(A75,Ahorros_concentrado!B:D,3)</f>
        <v>#N/A</v>
      </c>
    </row>
    <row r="76" spans="1:24" x14ac:dyDescent="0.3">
      <c r="A76" s="16">
        <f t="shared" si="2"/>
        <v>0</v>
      </c>
      <c r="B76" s="67"/>
      <c r="C76" s="68" t="s">
        <v>936</v>
      </c>
      <c r="D76" s="69">
        <v>45910</v>
      </c>
      <c r="E76" s="70">
        <v>6</v>
      </c>
      <c r="F76" s="70">
        <v>0</v>
      </c>
      <c r="G76" s="69">
        <v>45910</v>
      </c>
      <c r="H76" s="70">
        <f t="shared" si="0"/>
        <v>0</v>
      </c>
      <c r="I76"/>
      <c r="X76" t="e">
        <f>VLOOKUP(A76,Ahorros_concentrado!B:D,3)</f>
        <v>#N/A</v>
      </c>
    </row>
    <row r="77" spans="1:24" x14ac:dyDescent="0.3">
      <c r="A77" s="16">
        <f t="shared" si="2"/>
        <v>0</v>
      </c>
      <c r="B77" s="67"/>
      <c r="C77" s="68" t="s">
        <v>878</v>
      </c>
      <c r="D77" s="69">
        <v>45909</v>
      </c>
      <c r="E77" s="70">
        <v>1</v>
      </c>
      <c r="F77" s="70">
        <v>0</v>
      </c>
      <c r="G77" s="69">
        <v>45909</v>
      </c>
      <c r="H77" s="70">
        <f t="shared" si="0"/>
        <v>0</v>
      </c>
      <c r="I77"/>
      <c r="X77" t="e">
        <f>VLOOKUP(A77,Ahorros_concentrado!B:D,3)</f>
        <v>#N/A</v>
      </c>
    </row>
    <row r="78" spans="1:24" x14ac:dyDescent="0.3">
      <c r="A78" s="16">
        <f t="shared" si="2"/>
        <v>0</v>
      </c>
      <c r="B78" s="67"/>
      <c r="C78" s="68" t="s">
        <v>880</v>
      </c>
      <c r="D78" s="69">
        <v>45908</v>
      </c>
      <c r="E78" s="70">
        <v>1</v>
      </c>
      <c r="F78" s="70">
        <v>0</v>
      </c>
      <c r="G78" s="69">
        <v>45908</v>
      </c>
      <c r="H78" s="70">
        <f t="shared" si="0"/>
        <v>0</v>
      </c>
      <c r="I78"/>
      <c r="X78" t="e">
        <f>VLOOKUP(A78,Ahorros_concentrado!B:D,3)</f>
        <v>#N/A</v>
      </c>
    </row>
    <row r="79" spans="1:24" x14ac:dyDescent="0.3">
      <c r="A79" s="16">
        <f t="shared" si="2"/>
        <v>0</v>
      </c>
      <c r="B79" s="67"/>
      <c r="C79" s="68" t="s">
        <v>937</v>
      </c>
      <c r="D79" s="69">
        <v>45909</v>
      </c>
      <c r="E79" s="70">
        <v>6</v>
      </c>
      <c r="F79" s="70">
        <v>1</v>
      </c>
      <c r="G79" s="69">
        <v>45909</v>
      </c>
      <c r="H79" s="70">
        <f t="shared" si="0"/>
        <v>0</v>
      </c>
      <c r="I79"/>
      <c r="X79" t="e">
        <f>VLOOKUP(A79,Ahorros_concentrado!B:D,3)</f>
        <v>#N/A</v>
      </c>
    </row>
    <row r="80" spans="1:24" x14ac:dyDescent="0.3">
      <c r="A80" s="16">
        <f t="shared" si="2"/>
        <v>0</v>
      </c>
      <c r="B80" s="67"/>
      <c r="C80" s="68" t="s">
        <v>938</v>
      </c>
      <c r="D80" s="69">
        <v>45909</v>
      </c>
      <c r="E80" s="70">
        <v>6</v>
      </c>
      <c r="F80" s="70">
        <v>3</v>
      </c>
      <c r="G80" s="69">
        <v>45909</v>
      </c>
      <c r="H80" s="70">
        <f t="shared" si="0"/>
        <v>0</v>
      </c>
      <c r="I80"/>
      <c r="X80" t="e">
        <f>VLOOKUP(A80,Ahorros_concentrado!B:D,3)</f>
        <v>#N/A</v>
      </c>
    </row>
    <row r="81" spans="1:24" x14ac:dyDescent="0.3">
      <c r="A81" s="16">
        <f t="shared" si="2"/>
        <v>0</v>
      </c>
      <c r="B81" s="67"/>
      <c r="C81" s="68" t="s">
        <v>939</v>
      </c>
      <c r="D81" s="69">
        <v>45909</v>
      </c>
      <c r="E81" s="70">
        <v>4</v>
      </c>
      <c r="F81" s="70">
        <v>0</v>
      </c>
      <c r="G81" s="69">
        <v>45909</v>
      </c>
      <c r="H81" s="70">
        <f t="shared" si="0"/>
        <v>0</v>
      </c>
      <c r="I81"/>
      <c r="X81" t="e">
        <f>VLOOKUP(A81,Ahorros_concentrado!B:D,3)</f>
        <v>#N/A</v>
      </c>
    </row>
    <row r="82" spans="1:24" x14ac:dyDescent="0.3">
      <c r="A82" s="16">
        <f t="shared" si="2"/>
        <v>0</v>
      </c>
      <c r="B82" s="67"/>
      <c r="C82" s="68" t="s">
        <v>940</v>
      </c>
      <c r="D82" s="69">
        <v>45901</v>
      </c>
      <c r="E82" s="70">
        <v>11</v>
      </c>
      <c r="F82" s="70">
        <v>0</v>
      </c>
      <c r="G82" s="69">
        <v>45906</v>
      </c>
      <c r="H82" s="70">
        <f t="shared" si="0"/>
        <v>5</v>
      </c>
      <c r="I82"/>
      <c r="X82" t="e">
        <f>VLOOKUP(A82,Ahorros_concentrado!B:D,3)</f>
        <v>#N/A</v>
      </c>
    </row>
    <row r="83" spans="1:24" x14ac:dyDescent="0.3">
      <c r="A83" s="16">
        <f t="shared" si="2"/>
        <v>0</v>
      </c>
      <c r="B83" s="67"/>
      <c r="C83" s="68" t="s">
        <v>941</v>
      </c>
      <c r="D83" s="69">
        <v>45910</v>
      </c>
      <c r="E83" s="70">
        <v>6</v>
      </c>
      <c r="F83" s="70">
        <v>0</v>
      </c>
      <c r="G83" s="69">
        <v>45910</v>
      </c>
      <c r="H83" s="70">
        <f t="shared" si="0"/>
        <v>0</v>
      </c>
      <c r="I83"/>
      <c r="X83" t="e">
        <f>VLOOKUP(A83,Ahorros_concentrado!B:D,3)</f>
        <v>#N/A</v>
      </c>
    </row>
    <row r="84" spans="1:24" x14ac:dyDescent="0.3">
      <c r="A84" s="16">
        <f t="shared" si="2"/>
        <v>0</v>
      </c>
      <c r="B84" s="67"/>
      <c r="C84" s="68" t="s">
        <v>930</v>
      </c>
      <c r="D84" s="69">
        <v>45909</v>
      </c>
      <c r="E84" s="70">
        <v>6</v>
      </c>
      <c r="F84" s="70">
        <v>0</v>
      </c>
      <c r="G84" s="69">
        <v>45909</v>
      </c>
      <c r="H84" s="70">
        <f t="shared" si="0"/>
        <v>0</v>
      </c>
      <c r="I84"/>
      <c r="X84" t="e">
        <f>VLOOKUP(A84,Ahorros_concentrado!B:D,3)</f>
        <v>#N/A</v>
      </c>
    </row>
    <row r="85" spans="1:24" x14ac:dyDescent="0.3">
      <c r="A85" s="16">
        <f t="shared" si="2"/>
        <v>0</v>
      </c>
      <c r="B85" s="67"/>
      <c r="C85" s="68" t="s">
        <v>942</v>
      </c>
      <c r="D85" s="69">
        <v>45910</v>
      </c>
      <c r="E85" s="70">
        <v>7</v>
      </c>
      <c r="F85" s="70">
        <v>0</v>
      </c>
      <c r="G85" s="69">
        <v>45910</v>
      </c>
      <c r="H85" s="70">
        <f t="shared" si="0"/>
        <v>0</v>
      </c>
      <c r="I85"/>
    </row>
    <row r="86" spans="1:24" x14ac:dyDescent="0.3">
      <c r="A86" s="16">
        <f t="shared" si="2"/>
        <v>0</v>
      </c>
      <c r="B86" s="67"/>
      <c r="C86" s="68" t="s">
        <v>815</v>
      </c>
      <c r="D86" s="69">
        <v>45909</v>
      </c>
      <c r="E86" s="70">
        <v>8</v>
      </c>
      <c r="F86" s="70">
        <v>2</v>
      </c>
      <c r="G86" s="69">
        <v>45909</v>
      </c>
      <c r="H86" s="70">
        <f t="shared" si="0"/>
        <v>0</v>
      </c>
      <c r="I86"/>
    </row>
    <row r="87" spans="1:24" x14ac:dyDescent="0.3">
      <c r="A87" s="16">
        <f t="shared" si="2"/>
        <v>0</v>
      </c>
      <c r="B87" s="67"/>
      <c r="C87" s="68" t="s">
        <v>943</v>
      </c>
      <c r="D87" s="69">
        <v>45910</v>
      </c>
      <c r="E87" s="70">
        <v>5</v>
      </c>
      <c r="F87" s="70">
        <v>0</v>
      </c>
      <c r="G87" s="69">
        <v>45910</v>
      </c>
      <c r="H87" s="70">
        <f t="shared" si="0"/>
        <v>0</v>
      </c>
      <c r="I87"/>
    </row>
    <row r="88" spans="1:24" x14ac:dyDescent="0.3">
      <c r="A88" s="16">
        <f t="shared" si="2"/>
        <v>0</v>
      </c>
      <c r="B88" s="67"/>
      <c r="C88" s="68" t="s">
        <v>942</v>
      </c>
      <c r="D88" s="69">
        <v>45910</v>
      </c>
      <c r="E88" s="70">
        <v>1</v>
      </c>
      <c r="F88" s="70">
        <v>0</v>
      </c>
      <c r="G88" s="69">
        <v>45910</v>
      </c>
      <c r="H88" s="70">
        <f t="shared" si="0"/>
        <v>0</v>
      </c>
      <c r="I88"/>
    </row>
    <row r="89" spans="1:24" x14ac:dyDescent="0.3">
      <c r="A89" s="16">
        <f t="shared" si="2"/>
        <v>0</v>
      </c>
      <c r="B89" s="67"/>
      <c r="C89" s="68" t="s">
        <v>936</v>
      </c>
      <c r="D89" s="69">
        <v>45910</v>
      </c>
      <c r="E89" s="70">
        <v>1</v>
      </c>
      <c r="F89" s="70">
        <v>0</v>
      </c>
      <c r="G89" s="69">
        <v>45910</v>
      </c>
      <c r="H89" s="70">
        <f t="shared" si="0"/>
        <v>0</v>
      </c>
      <c r="I89"/>
    </row>
    <row r="90" spans="1:24" x14ac:dyDescent="0.3">
      <c r="A90" s="16">
        <f t="shared" si="2"/>
        <v>0</v>
      </c>
      <c r="B90" s="67"/>
      <c r="C90" s="68" t="s">
        <v>939</v>
      </c>
      <c r="D90" s="69">
        <v>45909</v>
      </c>
      <c r="E90" s="70">
        <v>1</v>
      </c>
      <c r="F90" s="70">
        <v>0</v>
      </c>
      <c r="G90" s="69">
        <v>45909</v>
      </c>
      <c r="H90" s="70">
        <f t="shared" si="0"/>
        <v>0</v>
      </c>
      <c r="I90"/>
    </row>
    <row r="91" spans="1:24" x14ac:dyDescent="0.3">
      <c r="A91" s="16">
        <f t="shared" si="2"/>
        <v>0</v>
      </c>
      <c r="B91" s="67"/>
      <c r="C91" s="68" t="s">
        <v>944</v>
      </c>
      <c r="D91" s="69">
        <v>45910</v>
      </c>
      <c r="E91" s="70">
        <v>8</v>
      </c>
      <c r="F91" s="70">
        <v>3</v>
      </c>
      <c r="G91" s="69">
        <v>45910</v>
      </c>
      <c r="H91" s="70">
        <f t="shared" si="0"/>
        <v>0</v>
      </c>
      <c r="I91"/>
    </row>
    <row r="92" spans="1:24" x14ac:dyDescent="0.3">
      <c r="A92" s="16">
        <f t="shared" si="2"/>
        <v>0</v>
      </c>
      <c r="B92" s="67"/>
      <c r="C92" s="68" t="s">
        <v>945</v>
      </c>
      <c r="D92" s="69">
        <v>45911</v>
      </c>
      <c r="E92" s="70">
        <v>5</v>
      </c>
      <c r="F92" s="70">
        <v>0</v>
      </c>
      <c r="G92" s="69">
        <v>45911</v>
      </c>
      <c r="H92" s="70">
        <f t="shared" si="0"/>
        <v>0</v>
      </c>
      <c r="I92"/>
    </row>
    <row r="93" spans="1:24" x14ac:dyDescent="0.3">
      <c r="A93" s="16">
        <f t="shared" si="2"/>
        <v>0</v>
      </c>
      <c r="B93" s="67"/>
      <c r="C93" s="68" t="s">
        <v>946</v>
      </c>
      <c r="D93" s="69">
        <v>45911</v>
      </c>
      <c r="E93" s="70">
        <v>5</v>
      </c>
      <c r="F93" s="70">
        <v>0</v>
      </c>
      <c r="G93" s="69">
        <v>45911</v>
      </c>
      <c r="H93" s="70">
        <f t="shared" si="0"/>
        <v>0</v>
      </c>
      <c r="I93"/>
    </row>
    <row r="94" spans="1:24" x14ac:dyDescent="0.3">
      <c r="A94" s="16">
        <f t="shared" si="2"/>
        <v>0</v>
      </c>
      <c r="B94" s="67"/>
      <c r="C94" s="68" t="s">
        <v>945</v>
      </c>
      <c r="D94" s="69">
        <v>45911</v>
      </c>
      <c r="E94" s="70">
        <v>1</v>
      </c>
      <c r="F94" s="70">
        <v>0</v>
      </c>
      <c r="G94" s="69">
        <v>45911</v>
      </c>
      <c r="H94" s="70">
        <f t="shared" si="0"/>
        <v>0</v>
      </c>
      <c r="I94"/>
    </row>
    <row r="95" spans="1:24" x14ac:dyDescent="0.3">
      <c r="A95" s="16">
        <f t="shared" si="2"/>
        <v>0</v>
      </c>
      <c r="B95" s="67"/>
      <c r="C95" s="68" t="s">
        <v>936</v>
      </c>
      <c r="D95" s="69">
        <v>45911</v>
      </c>
      <c r="E95" s="70">
        <v>5</v>
      </c>
      <c r="F95" s="70">
        <v>0</v>
      </c>
      <c r="G95" s="69">
        <v>45911</v>
      </c>
      <c r="H95" s="70">
        <f t="shared" si="0"/>
        <v>0</v>
      </c>
      <c r="I95"/>
    </row>
    <row r="96" spans="1:24" x14ac:dyDescent="0.3">
      <c r="A96" s="16">
        <f t="shared" si="2"/>
        <v>0</v>
      </c>
      <c r="B96" s="67"/>
      <c r="C96" s="68" t="s">
        <v>983</v>
      </c>
      <c r="D96" s="69">
        <v>45911</v>
      </c>
      <c r="E96" s="70">
        <v>5</v>
      </c>
      <c r="F96" s="70">
        <v>0</v>
      </c>
      <c r="G96" s="69">
        <v>45911</v>
      </c>
      <c r="H96" s="70">
        <f t="shared" si="0"/>
        <v>0</v>
      </c>
      <c r="I96"/>
    </row>
    <row r="97" spans="1:9" x14ac:dyDescent="0.3">
      <c r="A97" s="16">
        <f t="shared" si="2"/>
        <v>0</v>
      </c>
      <c r="B97" s="67"/>
      <c r="C97" s="68" t="s">
        <v>984</v>
      </c>
      <c r="D97" s="69">
        <v>45909</v>
      </c>
      <c r="E97" s="70">
        <v>5</v>
      </c>
      <c r="F97" s="70">
        <v>1</v>
      </c>
      <c r="G97" s="69">
        <v>45911</v>
      </c>
      <c r="H97" s="70">
        <f t="shared" si="0"/>
        <v>2</v>
      </c>
      <c r="I97"/>
    </row>
    <row r="98" spans="1:9" x14ac:dyDescent="0.3">
      <c r="A98" s="16">
        <f t="shared" si="2"/>
        <v>0</v>
      </c>
      <c r="B98" s="67"/>
      <c r="C98" s="68" t="s">
        <v>1103</v>
      </c>
      <c r="D98" s="69">
        <v>45911</v>
      </c>
      <c r="E98" s="70">
        <v>6</v>
      </c>
      <c r="F98" s="70">
        <v>3</v>
      </c>
      <c r="G98" s="69">
        <v>45911</v>
      </c>
      <c r="H98" s="70">
        <f t="shared" si="0"/>
        <v>0</v>
      </c>
      <c r="I98"/>
    </row>
    <row r="99" spans="1:9" x14ac:dyDescent="0.3">
      <c r="A99" s="16">
        <f t="shared" si="2"/>
        <v>0</v>
      </c>
      <c r="B99" s="67"/>
      <c r="C99" s="68" t="s">
        <v>1104</v>
      </c>
      <c r="D99" s="69">
        <v>45917</v>
      </c>
      <c r="E99" s="70">
        <v>6</v>
      </c>
      <c r="F99" s="70">
        <v>2</v>
      </c>
      <c r="G99" s="69">
        <v>45917</v>
      </c>
      <c r="H99" s="70">
        <f t="shared" si="0"/>
        <v>0</v>
      </c>
      <c r="I99"/>
    </row>
    <row r="100" spans="1:9" x14ac:dyDescent="0.3">
      <c r="A100" s="16">
        <f t="shared" si="2"/>
        <v>0</v>
      </c>
      <c r="B100" s="67"/>
      <c r="C100" s="68" t="s">
        <v>1105</v>
      </c>
      <c r="D100" s="69">
        <v>45917</v>
      </c>
      <c r="E100" s="70">
        <v>7</v>
      </c>
      <c r="F100" s="70">
        <v>0</v>
      </c>
      <c r="G100" s="69">
        <v>45917</v>
      </c>
      <c r="H100" s="70">
        <f t="shared" si="0"/>
        <v>0</v>
      </c>
      <c r="I100"/>
    </row>
    <row r="101" spans="1:9" x14ac:dyDescent="0.3">
      <c r="A101" s="16">
        <f t="shared" si="2"/>
        <v>0</v>
      </c>
      <c r="B101" s="67"/>
      <c r="C101" s="68" t="s">
        <v>828</v>
      </c>
      <c r="D101" s="69">
        <v>45917</v>
      </c>
      <c r="E101" s="70">
        <v>5</v>
      </c>
      <c r="F101" s="70">
        <v>0</v>
      </c>
      <c r="G101" s="69">
        <v>45917</v>
      </c>
      <c r="H101" s="70">
        <f t="shared" si="0"/>
        <v>0</v>
      </c>
      <c r="I101"/>
    </row>
    <row r="102" spans="1:9" x14ac:dyDescent="0.3">
      <c r="A102" s="16">
        <f t="shared" si="2"/>
        <v>0</v>
      </c>
      <c r="B102" s="67"/>
      <c r="C102" s="68" t="s">
        <v>1106</v>
      </c>
      <c r="D102" s="69">
        <v>45917</v>
      </c>
      <c r="E102" s="70">
        <v>5</v>
      </c>
      <c r="F102" s="70">
        <v>1</v>
      </c>
      <c r="G102" s="69">
        <v>45917</v>
      </c>
      <c r="H102" s="70"/>
      <c r="I102"/>
    </row>
    <row r="103" spans="1:9" x14ac:dyDescent="0.3">
      <c r="A103" s="16">
        <f t="shared" si="2"/>
        <v>0</v>
      </c>
      <c r="B103" s="67"/>
      <c r="C103" s="68" t="s">
        <v>1126</v>
      </c>
      <c r="D103" s="69">
        <v>45915</v>
      </c>
      <c r="E103" s="70">
        <v>6</v>
      </c>
      <c r="F103" s="70">
        <v>3</v>
      </c>
      <c r="G103" s="69">
        <v>45915</v>
      </c>
      <c r="H103" s="70"/>
      <c r="I103"/>
    </row>
    <row r="104" spans="1:9" x14ac:dyDescent="0.3">
      <c r="A104" s="16">
        <f t="shared" si="2"/>
        <v>0</v>
      </c>
      <c r="B104" s="67"/>
      <c r="C104" s="68" t="s">
        <v>1127</v>
      </c>
      <c r="D104" s="69">
        <v>45917</v>
      </c>
      <c r="E104" s="70">
        <v>5</v>
      </c>
      <c r="F104" s="70">
        <v>0</v>
      </c>
      <c r="G104" s="69">
        <v>45917</v>
      </c>
      <c r="H104" s="70"/>
      <c r="I104"/>
    </row>
    <row r="105" spans="1:9" x14ac:dyDescent="0.3">
      <c r="A105" s="16">
        <f t="shared" si="2"/>
        <v>0</v>
      </c>
      <c r="B105" s="67"/>
      <c r="C105" s="68" t="s">
        <v>1128</v>
      </c>
      <c r="D105" s="69">
        <v>45917</v>
      </c>
      <c r="E105" s="70">
        <v>5</v>
      </c>
      <c r="F105" s="70">
        <v>0</v>
      </c>
      <c r="G105" s="69">
        <v>45917</v>
      </c>
      <c r="H105" s="70"/>
      <c r="I105"/>
    </row>
    <row r="106" spans="1:9" x14ac:dyDescent="0.3">
      <c r="A106" s="16">
        <f t="shared" si="2"/>
        <v>0</v>
      </c>
      <c r="B106" s="67"/>
      <c r="C106" s="68" t="s">
        <v>1129</v>
      </c>
      <c r="D106" s="69">
        <v>45917</v>
      </c>
      <c r="E106" s="70">
        <v>7</v>
      </c>
      <c r="F106" s="70">
        <v>0</v>
      </c>
      <c r="G106" s="69">
        <v>45917</v>
      </c>
      <c r="H106" s="70"/>
      <c r="I106"/>
    </row>
    <row r="107" spans="1:9" x14ac:dyDescent="0.3">
      <c r="A107" s="16">
        <f t="shared" si="2"/>
        <v>0</v>
      </c>
      <c r="B107" s="67"/>
      <c r="C107" s="68" t="s">
        <v>1130</v>
      </c>
      <c r="D107" s="69">
        <v>45918</v>
      </c>
      <c r="E107" s="70">
        <v>5</v>
      </c>
      <c r="F107" s="70">
        <v>0</v>
      </c>
      <c r="G107" s="69">
        <v>45918</v>
      </c>
      <c r="H107" s="70"/>
      <c r="I107"/>
    </row>
    <row r="108" spans="1:9" x14ac:dyDescent="0.3">
      <c r="A108" s="16">
        <f t="shared" si="2"/>
        <v>0</v>
      </c>
      <c r="B108" s="67"/>
      <c r="C108" s="68" t="s">
        <v>1131</v>
      </c>
      <c r="D108" s="69">
        <v>45918</v>
      </c>
      <c r="E108" s="70">
        <v>1</v>
      </c>
      <c r="F108" s="70">
        <v>0</v>
      </c>
      <c r="G108" s="69">
        <v>45918</v>
      </c>
      <c r="H108" s="70"/>
      <c r="I108"/>
    </row>
    <row r="109" spans="1:9" x14ac:dyDescent="0.3">
      <c r="A109" s="16">
        <f t="shared" si="2"/>
        <v>0</v>
      </c>
      <c r="B109" s="67"/>
      <c r="C109" s="68" t="s">
        <v>1129</v>
      </c>
      <c r="D109" s="69">
        <v>45918</v>
      </c>
      <c r="E109" s="70">
        <v>4</v>
      </c>
      <c r="F109" s="70">
        <v>0</v>
      </c>
      <c r="G109" s="69">
        <v>45918</v>
      </c>
      <c r="H109" s="70"/>
      <c r="I109"/>
    </row>
    <row r="110" spans="1:9" x14ac:dyDescent="0.3">
      <c r="A110" s="16">
        <f t="shared" si="2"/>
        <v>0</v>
      </c>
      <c r="B110" s="67"/>
      <c r="C110" s="68" t="s">
        <v>1157</v>
      </c>
      <c r="D110" s="69">
        <v>45919</v>
      </c>
      <c r="E110" s="70">
        <v>6</v>
      </c>
      <c r="F110" s="70">
        <v>2</v>
      </c>
      <c r="G110" s="69">
        <v>45919</v>
      </c>
      <c r="H110" s="70"/>
      <c r="I110"/>
    </row>
    <row r="111" spans="1:9" x14ac:dyDescent="0.3">
      <c r="A111" s="16">
        <f t="shared" si="2"/>
        <v>0</v>
      </c>
      <c r="B111" s="67"/>
      <c r="C111" s="68" t="s">
        <v>1158</v>
      </c>
      <c r="D111" s="69">
        <v>45919</v>
      </c>
      <c r="E111" s="70">
        <v>5</v>
      </c>
      <c r="F111" s="70">
        <v>0</v>
      </c>
      <c r="G111" s="69">
        <v>45919</v>
      </c>
      <c r="H111" s="70"/>
      <c r="I111"/>
    </row>
    <row r="112" spans="1:9" x14ac:dyDescent="0.3">
      <c r="A112" s="16">
        <f t="shared" si="2"/>
        <v>0</v>
      </c>
      <c r="B112" s="67"/>
      <c r="C112" s="68" t="s">
        <v>1159</v>
      </c>
      <c r="D112" s="69">
        <v>45918</v>
      </c>
      <c r="E112" s="70">
        <v>6</v>
      </c>
      <c r="F112" s="70">
        <v>0</v>
      </c>
      <c r="G112" s="69">
        <v>45918</v>
      </c>
      <c r="H112" s="70"/>
      <c r="I112"/>
    </row>
    <row r="113" spans="1:9" x14ac:dyDescent="0.3">
      <c r="A113" s="16">
        <f t="shared" si="2"/>
        <v>0</v>
      </c>
      <c r="B113" s="67"/>
      <c r="C113" s="68" t="s">
        <v>1160</v>
      </c>
      <c r="D113" s="69">
        <v>45922</v>
      </c>
      <c r="E113" s="70">
        <v>9</v>
      </c>
      <c r="F113" s="70">
        <v>0</v>
      </c>
      <c r="G113" s="69">
        <v>45922</v>
      </c>
      <c r="H113" s="70"/>
      <c r="I113"/>
    </row>
    <row r="114" spans="1:9" x14ac:dyDescent="0.3">
      <c r="A114" s="16">
        <f t="shared" si="2"/>
        <v>0</v>
      </c>
      <c r="B114" s="67"/>
      <c r="C114" s="68" t="s">
        <v>1103</v>
      </c>
      <c r="D114" s="69">
        <v>45922</v>
      </c>
      <c r="E114" s="70">
        <v>6</v>
      </c>
      <c r="F114" s="70">
        <v>0</v>
      </c>
      <c r="G114" s="69">
        <v>45922</v>
      </c>
      <c r="H114" s="70"/>
      <c r="I114"/>
    </row>
    <row r="115" spans="1:9" x14ac:dyDescent="0.3">
      <c r="A115" s="16">
        <f t="shared" si="2"/>
        <v>0</v>
      </c>
      <c r="B115" s="67"/>
      <c r="C115" s="68" t="s">
        <v>1161</v>
      </c>
      <c r="D115" s="69">
        <v>45922</v>
      </c>
      <c r="E115" s="70">
        <v>7</v>
      </c>
      <c r="F115" s="70">
        <v>0</v>
      </c>
      <c r="G115" s="69">
        <v>45922</v>
      </c>
      <c r="H115" s="70"/>
      <c r="I115"/>
    </row>
    <row r="116" spans="1:9" x14ac:dyDescent="0.3">
      <c r="A116" s="16">
        <f t="shared" si="2"/>
        <v>0</v>
      </c>
      <c r="B116" s="67"/>
      <c r="C116" s="68" t="s">
        <v>1162</v>
      </c>
      <c r="D116" s="69">
        <v>45911</v>
      </c>
      <c r="E116" s="70">
        <v>8</v>
      </c>
      <c r="F116" s="70">
        <v>4</v>
      </c>
      <c r="G116" s="69">
        <v>45922</v>
      </c>
      <c r="H116" s="70"/>
      <c r="I116"/>
    </row>
    <row r="117" spans="1:9" x14ac:dyDescent="0.3">
      <c r="A117" s="16">
        <f t="shared" si="2"/>
        <v>0</v>
      </c>
      <c r="B117" s="67"/>
      <c r="C117" s="68" t="s">
        <v>1198</v>
      </c>
      <c r="D117" s="69">
        <v>45920</v>
      </c>
      <c r="E117" s="70">
        <v>7</v>
      </c>
      <c r="F117" s="70">
        <v>0</v>
      </c>
      <c r="G117" s="69">
        <v>45923</v>
      </c>
      <c r="H117" s="70"/>
      <c r="I117"/>
    </row>
    <row r="118" spans="1:9" x14ac:dyDescent="0.3">
      <c r="A118" s="16">
        <f t="shared" si="2"/>
        <v>0</v>
      </c>
      <c r="B118" s="67"/>
      <c r="C118" s="68" t="s">
        <v>1199</v>
      </c>
      <c r="D118" s="69">
        <v>45894</v>
      </c>
      <c r="E118" s="70">
        <v>5</v>
      </c>
      <c r="F118" s="70">
        <v>1</v>
      </c>
      <c r="G118" s="69">
        <v>45922</v>
      </c>
      <c r="H118" s="70"/>
      <c r="I118"/>
    </row>
    <row r="119" spans="1:9" x14ac:dyDescent="0.3">
      <c r="A119" s="16">
        <f t="shared" si="2"/>
        <v>0</v>
      </c>
      <c r="B119" s="67"/>
      <c r="C119" s="68" t="s">
        <v>1200</v>
      </c>
      <c r="D119" s="69">
        <v>45923</v>
      </c>
      <c r="E119" s="70">
        <v>5</v>
      </c>
      <c r="F119" s="70">
        <v>0</v>
      </c>
      <c r="G119" s="69">
        <v>45923</v>
      </c>
      <c r="H119" s="70"/>
      <c r="I119"/>
    </row>
    <row r="120" spans="1:9" x14ac:dyDescent="0.3">
      <c r="A120" s="16">
        <f t="shared" si="2"/>
        <v>0</v>
      </c>
      <c r="B120" s="67"/>
      <c r="C120" s="68" t="s">
        <v>1201</v>
      </c>
      <c r="D120" s="69">
        <v>45922</v>
      </c>
      <c r="E120" s="70">
        <v>5</v>
      </c>
      <c r="F120" s="70">
        <v>0</v>
      </c>
      <c r="G120" s="69">
        <v>45922</v>
      </c>
      <c r="H120" s="70"/>
      <c r="I120"/>
    </row>
    <row r="121" spans="1:9" x14ac:dyDescent="0.3">
      <c r="A121" s="16">
        <f t="shared" si="2"/>
        <v>0</v>
      </c>
      <c r="B121" s="67"/>
      <c r="C121" s="68" t="s">
        <v>1202</v>
      </c>
      <c r="D121" s="69">
        <v>45922</v>
      </c>
      <c r="E121" s="70">
        <v>10</v>
      </c>
      <c r="F121" s="70">
        <v>2</v>
      </c>
      <c r="G121" s="69">
        <v>45922</v>
      </c>
      <c r="H121" s="70"/>
      <c r="I121"/>
    </row>
    <row r="122" spans="1:9" x14ac:dyDescent="0.3">
      <c r="A122" s="16">
        <f t="shared" si="2"/>
        <v>0</v>
      </c>
      <c r="B122" s="67"/>
      <c r="C122" s="68" t="s">
        <v>1203</v>
      </c>
      <c r="D122" s="69">
        <v>45923</v>
      </c>
      <c r="E122" s="70">
        <v>5</v>
      </c>
      <c r="F122" s="70">
        <v>0</v>
      </c>
      <c r="G122" s="69">
        <v>45923</v>
      </c>
      <c r="H122" s="70"/>
      <c r="I122"/>
    </row>
    <row r="123" spans="1:9" x14ac:dyDescent="0.3">
      <c r="A123" s="16">
        <f t="shared" si="2"/>
        <v>0</v>
      </c>
      <c r="B123" s="67"/>
      <c r="C123" s="68" t="s">
        <v>1204</v>
      </c>
      <c r="D123" s="69">
        <v>45923</v>
      </c>
      <c r="E123" s="70">
        <v>6</v>
      </c>
      <c r="F123" s="70">
        <v>0</v>
      </c>
      <c r="G123" s="69">
        <v>45923</v>
      </c>
      <c r="H123" s="70"/>
      <c r="I123"/>
    </row>
    <row r="124" spans="1:9" x14ac:dyDescent="0.3">
      <c r="A124" s="16">
        <f t="shared" si="2"/>
        <v>0</v>
      </c>
      <c r="B124" s="67"/>
      <c r="C124" s="68" t="s">
        <v>1205</v>
      </c>
      <c r="D124" s="69">
        <v>45923</v>
      </c>
      <c r="E124" s="70">
        <v>5</v>
      </c>
      <c r="F124" s="70">
        <v>1</v>
      </c>
      <c r="G124" s="69">
        <v>45923</v>
      </c>
      <c r="H124" s="70"/>
      <c r="I124"/>
    </row>
    <row r="125" spans="1:9" x14ac:dyDescent="0.3">
      <c r="A125" s="16">
        <f t="shared" si="2"/>
        <v>0</v>
      </c>
      <c r="B125" s="67"/>
      <c r="C125" s="68" t="s">
        <v>1206</v>
      </c>
      <c r="D125" s="69">
        <v>45923</v>
      </c>
      <c r="E125" s="70">
        <v>5</v>
      </c>
      <c r="F125" s="70">
        <v>1</v>
      </c>
      <c r="G125" s="69">
        <v>45923</v>
      </c>
      <c r="H125" s="70"/>
      <c r="I125"/>
    </row>
    <row r="126" spans="1:9" x14ac:dyDescent="0.3">
      <c r="A126" s="16">
        <f t="shared" si="2"/>
        <v>0</v>
      </c>
      <c r="B126" s="67"/>
      <c r="C126" s="68" t="s">
        <v>1207</v>
      </c>
      <c r="D126" s="69">
        <v>45922</v>
      </c>
      <c r="E126" s="70">
        <v>6</v>
      </c>
      <c r="F126" s="70">
        <v>2</v>
      </c>
      <c r="G126" s="69">
        <v>45923</v>
      </c>
      <c r="H126" s="70"/>
      <c r="I126"/>
    </row>
    <row r="127" spans="1:9" x14ac:dyDescent="0.3">
      <c r="A127" s="16">
        <f t="shared" si="2"/>
        <v>0</v>
      </c>
      <c r="B127" s="67"/>
      <c r="C127" s="68" t="s">
        <v>1199</v>
      </c>
      <c r="D127" s="69">
        <v>45922</v>
      </c>
      <c r="E127" s="70">
        <v>1</v>
      </c>
      <c r="F127" s="70">
        <v>1</v>
      </c>
      <c r="G127" s="69">
        <v>45922</v>
      </c>
      <c r="H127" s="70"/>
      <c r="I127"/>
    </row>
    <row r="128" spans="1:9" x14ac:dyDescent="0.3">
      <c r="A128" s="16">
        <f t="shared" si="2"/>
        <v>0</v>
      </c>
      <c r="B128" s="67"/>
      <c r="C128" s="68" t="s">
        <v>186</v>
      </c>
      <c r="D128" s="69">
        <v>45918</v>
      </c>
      <c r="E128" s="70">
        <v>6</v>
      </c>
      <c r="F128" s="70">
        <v>0</v>
      </c>
      <c r="G128" s="69">
        <v>45924</v>
      </c>
      <c r="H128" s="70"/>
      <c r="I128"/>
    </row>
    <row r="129" spans="1:9" x14ac:dyDescent="0.3">
      <c r="A129" s="16">
        <f t="shared" si="2"/>
        <v>0</v>
      </c>
      <c r="B129" s="67"/>
      <c r="C129" s="68" t="s">
        <v>1211</v>
      </c>
      <c r="D129" s="69">
        <v>45923</v>
      </c>
      <c r="E129" s="70">
        <v>5</v>
      </c>
      <c r="F129" s="70">
        <v>0</v>
      </c>
      <c r="G129" s="69">
        <v>45924</v>
      </c>
      <c r="H129" s="70"/>
      <c r="I129"/>
    </row>
    <row r="130" spans="1:9" x14ac:dyDescent="0.3">
      <c r="A130" s="16">
        <f t="shared" si="2"/>
        <v>0</v>
      </c>
      <c r="B130" s="67"/>
      <c r="C130" s="68" t="s">
        <v>1212</v>
      </c>
      <c r="D130" s="69">
        <v>45908</v>
      </c>
      <c r="E130" s="70">
        <v>6</v>
      </c>
      <c r="F130" s="70">
        <v>0</v>
      </c>
      <c r="G130" s="69">
        <v>45923</v>
      </c>
      <c r="H130" s="70"/>
      <c r="I130"/>
    </row>
    <row r="131" spans="1:9" x14ac:dyDescent="0.3">
      <c r="A131" s="16">
        <f t="shared" si="2"/>
        <v>0</v>
      </c>
      <c r="B131" s="67"/>
      <c r="C131" s="68" t="s">
        <v>1324</v>
      </c>
      <c r="D131" s="69">
        <v>45923</v>
      </c>
      <c r="E131" s="70">
        <v>6</v>
      </c>
      <c r="F131" s="70">
        <v>0</v>
      </c>
      <c r="G131" s="69">
        <v>45923</v>
      </c>
      <c r="H131" s="70"/>
      <c r="I131"/>
    </row>
    <row r="132" spans="1:9" x14ac:dyDescent="0.3">
      <c r="A132" s="16">
        <f t="shared" si="2"/>
        <v>0</v>
      </c>
      <c r="B132" s="67"/>
      <c r="C132" s="68" t="s">
        <v>1353</v>
      </c>
      <c r="D132" s="69">
        <v>45924</v>
      </c>
      <c r="E132" s="70">
        <v>7</v>
      </c>
      <c r="F132" s="70">
        <v>2</v>
      </c>
      <c r="G132" s="69">
        <v>45924</v>
      </c>
      <c r="H132" s="70"/>
      <c r="I132"/>
    </row>
    <row r="133" spans="1:9" x14ac:dyDescent="0.3">
      <c r="A133" s="16">
        <f t="shared" si="2"/>
        <v>0</v>
      </c>
      <c r="B133" s="67"/>
      <c r="C133" s="68" t="s">
        <v>439</v>
      </c>
      <c r="D133" s="69">
        <v>45924</v>
      </c>
      <c r="E133" s="70">
        <v>5</v>
      </c>
      <c r="F133" s="70">
        <v>0</v>
      </c>
      <c r="G133" s="69">
        <v>45925</v>
      </c>
      <c r="H133" s="70"/>
      <c r="I133"/>
    </row>
    <row r="134" spans="1:9" x14ac:dyDescent="0.3">
      <c r="A134" s="16">
        <f t="shared" si="2"/>
        <v>0</v>
      </c>
      <c r="B134" s="67"/>
      <c r="C134" s="68" t="s">
        <v>1354</v>
      </c>
      <c r="D134" s="69">
        <v>45925</v>
      </c>
      <c r="E134" s="70">
        <v>5</v>
      </c>
      <c r="F134" s="70">
        <v>0</v>
      </c>
      <c r="G134" s="69">
        <v>45925</v>
      </c>
      <c r="H134" s="70"/>
      <c r="I134"/>
    </row>
    <row r="135" spans="1:9" x14ac:dyDescent="0.3">
      <c r="A135" s="16">
        <f t="shared" si="2"/>
        <v>0</v>
      </c>
      <c r="B135" s="67"/>
      <c r="C135" s="68" t="s">
        <v>1355</v>
      </c>
      <c r="D135" s="69">
        <v>45925</v>
      </c>
      <c r="E135" s="70">
        <v>6</v>
      </c>
      <c r="F135" s="70">
        <v>1</v>
      </c>
      <c r="G135" s="69">
        <v>45925</v>
      </c>
      <c r="H135" s="70"/>
      <c r="I135"/>
    </row>
    <row r="136" spans="1:9" x14ac:dyDescent="0.3">
      <c r="A136" s="16">
        <f t="shared" ref="A136:A197" si="3">B136</f>
        <v>0</v>
      </c>
      <c r="B136" s="67"/>
      <c r="C136" s="68" t="s">
        <v>1356</v>
      </c>
      <c r="D136" s="69">
        <v>45924</v>
      </c>
      <c r="E136" s="70">
        <v>5</v>
      </c>
      <c r="F136" s="70">
        <v>0</v>
      </c>
      <c r="G136" s="69">
        <v>45925</v>
      </c>
      <c r="H136" s="70"/>
      <c r="I136"/>
    </row>
    <row r="137" spans="1:9" x14ac:dyDescent="0.3">
      <c r="A137" s="16">
        <f t="shared" si="3"/>
        <v>0</v>
      </c>
      <c r="B137" s="67"/>
      <c r="C137" s="68" t="s">
        <v>1324</v>
      </c>
      <c r="D137" s="69">
        <v>45925</v>
      </c>
      <c r="E137" s="70">
        <v>1</v>
      </c>
      <c r="F137" s="70">
        <v>0</v>
      </c>
      <c r="G137" s="69">
        <v>45925</v>
      </c>
      <c r="H137" s="70"/>
      <c r="I137"/>
    </row>
    <row r="138" spans="1:9" x14ac:dyDescent="0.3">
      <c r="A138" s="16">
        <f t="shared" si="3"/>
        <v>0</v>
      </c>
      <c r="B138" s="67"/>
      <c r="C138" s="68" t="s">
        <v>1211</v>
      </c>
      <c r="D138" s="69">
        <v>45924</v>
      </c>
      <c r="E138" s="70">
        <v>1</v>
      </c>
      <c r="F138" s="70">
        <v>0</v>
      </c>
      <c r="G138" s="69">
        <v>45924</v>
      </c>
      <c r="H138" s="70"/>
      <c r="I138"/>
    </row>
    <row r="139" spans="1:9" x14ac:dyDescent="0.3">
      <c r="A139" s="16">
        <f t="shared" si="3"/>
        <v>0</v>
      </c>
      <c r="B139" s="67"/>
      <c r="C139" s="68" t="s">
        <v>1357</v>
      </c>
      <c r="D139" s="69">
        <v>45925</v>
      </c>
      <c r="E139" s="70">
        <v>6</v>
      </c>
      <c r="F139" s="70">
        <v>3</v>
      </c>
      <c r="G139" s="69">
        <v>45925</v>
      </c>
      <c r="H139" s="70"/>
      <c r="I139"/>
    </row>
    <row r="140" spans="1:9" x14ac:dyDescent="0.3">
      <c r="A140" s="16">
        <f t="shared" si="3"/>
        <v>0</v>
      </c>
      <c r="B140" s="67"/>
      <c r="C140" s="68" t="s">
        <v>1358</v>
      </c>
      <c r="D140" s="69">
        <v>45925</v>
      </c>
      <c r="E140" s="70">
        <v>1</v>
      </c>
      <c r="F140" s="70">
        <v>0</v>
      </c>
      <c r="G140" s="69">
        <v>45925</v>
      </c>
      <c r="H140" s="70"/>
      <c r="I140"/>
    </row>
    <row r="141" spans="1:9" x14ac:dyDescent="0.3">
      <c r="A141" s="16">
        <f t="shared" si="3"/>
        <v>0</v>
      </c>
      <c r="B141" s="67"/>
      <c r="C141" s="68" t="s">
        <v>1359</v>
      </c>
      <c r="D141" s="69">
        <v>45926</v>
      </c>
      <c r="E141" s="70">
        <v>7</v>
      </c>
      <c r="F141" s="70">
        <v>1</v>
      </c>
      <c r="G141" s="69">
        <v>45926</v>
      </c>
      <c r="H141" s="70"/>
      <c r="I141"/>
    </row>
    <row r="142" spans="1:9" x14ac:dyDescent="0.3">
      <c r="A142" s="16">
        <f t="shared" si="3"/>
        <v>0</v>
      </c>
      <c r="B142" s="67"/>
      <c r="C142" s="68" t="s">
        <v>686</v>
      </c>
      <c r="D142" s="69">
        <v>45926</v>
      </c>
      <c r="E142" s="70">
        <v>6</v>
      </c>
      <c r="F142" s="70">
        <v>0</v>
      </c>
      <c r="G142" s="69">
        <v>45926</v>
      </c>
      <c r="H142" s="70"/>
      <c r="I142"/>
    </row>
    <row r="143" spans="1:9" x14ac:dyDescent="0.3">
      <c r="A143" s="16">
        <f t="shared" si="3"/>
        <v>0</v>
      </c>
      <c r="B143" s="67"/>
      <c r="C143" s="68" t="s">
        <v>1360</v>
      </c>
      <c r="D143" s="69">
        <v>45926</v>
      </c>
      <c r="E143" s="70">
        <v>5</v>
      </c>
      <c r="F143" s="70">
        <v>0</v>
      </c>
      <c r="G143" s="69">
        <v>45926</v>
      </c>
      <c r="H143" s="70"/>
      <c r="I143"/>
    </row>
    <row r="144" spans="1:9" x14ac:dyDescent="0.3">
      <c r="A144" s="16">
        <f t="shared" si="3"/>
        <v>0</v>
      </c>
      <c r="B144" s="67"/>
      <c r="C144" s="68" t="s">
        <v>1103</v>
      </c>
      <c r="D144" s="69">
        <v>45925</v>
      </c>
      <c r="E144" s="70">
        <v>1</v>
      </c>
      <c r="F144" s="70">
        <v>0</v>
      </c>
      <c r="G144" s="69">
        <v>45925</v>
      </c>
      <c r="H144" s="70"/>
      <c r="I144"/>
    </row>
    <row r="145" spans="1:9" x14ac:dyDescent="0.3">
      <c r="A145" s="16">
        <f t="shared" si="3"/>
        <v>0</v>
      </c>
      <c r="B145" s="67"/>
      <c r="C145" s="68" t="s">
        <v>1375</v>
      </c>
      <c r="D145" s="69">
        <v>45927</v>
      </c>
      <c r="E145" s="70">
        <v>5</v>
      </c>
      <c r="F145" s="70">
        <v>0</v>
      </c>
      <c r="G145" s="69">
        <v>45929</v>
      </c>
      <c r="H145" s="70"/>
      <c r="I145"/>
    </row>
    <row r="146" spans="1:9" x14ac:dyDescent="0.3">
      <c r="A146" s="16">
        <f t="shared" si="3"/>
        <v>0</v>
      </c>
      <c r="B146" s="67"/>
      <c r="C146" s="68" t="s">
        <v>1376</v>
      </c>
      <c r="D146" s="69">
        <v>45922</v>
      </c>
      <c r="E146" s="70">
        <v>6</v>
      </c>
      <c r="F146" s="70">
        <v>0</v>
      </c>
      <c r="G146" s="69">
        <v>45929</v>
      </c>
      <c r="H146" s="70"/>
      <c r="I146"/>
    </row>
    <row r="147" spans="1:9" x14ac:dyDescent="0.3">
      <c r="A147" s="16">
        <f t="shared" si="3"/>
        <v>0</v>
      </c>
      <c r="B147" s="67"/>
      <c r="C147" s="68" t="s">
        <v>1377</v>
      </c>
      <c r="D147" s="69">
        <v>45929</v>
      </c>
      <c r="E147" s="70">
        <v>5</v>
      </c>
      <c r="F147" s="70">
        <v>0</v>
      </c>
      <c r="G147" s="69">
        <v>45929</v>
      </c>
      <c r="H147" s="70"/>
      <c r="I147"/>
    </row>
    <row r="148" spans="1:9" x14ac:dyDescent="0.3">
      <c r="A148" s="16">
        <f t="shared" si="3"/>
        <v>0</v>
      </c>
      <c r="B148" s="67"/>
      <c r="C148" s="68" t="s">
        <v>1378</v>
      </c>
      <c r="D148" s="69">
        <v>45929</v>
      </c>
      <c r="E148" s="70">
        <v>9</v>
      </c>
      <c r="F148" s="70">
        <v>7</v>
      </c>
      <c r="G148" s="69">
        <v>45929</v>
      </c>
      <c r="H148" s="70"/>
      <c r="I148"/>
    </row>
    <row r="149" spans="1:9" x14ac:dyDescent="0.3">
      <c r="A149" s="16">
        <f t="shared" si="3"/>
        <v>0</v>
      </c>
      <c r="B149" s="67"/>
      <c r="C149" s="68" t="s">
        <v>103</v>
      </c>
      <c r="D149" s="69">
        <v>45929</v>
      </c>
      <c r="E149" s="70">
        <v>6</v>
      </c>
      <c r="F149" s="70">
        <v>0</v>
      </c>
      <c r="G149" s="69">
        <v>45929</v>
      </c>
      <c r="H149" s="70"/>
      <c r="I149"/>
    </row>
    <row r="150" spans="1:9" x14ac:dyDescent="0.3">
      <c r="A150" s="16">
        <f t="shared" si="3"/>
        <v>0</v>
      </c>
      <c r="B150" s="67"/>
      <c r="C150" s="68" t="s">
        <v>1382</v>
      </c>
      <c r="D150" s="69">
        <v>45929</v>
      </c>
      <c r="E150" s="70">
        <v>6</v>
      </c>
      <c r="F150" s="70">
        <v>0</v>
      </c>
      <c r="G150" s="69">
        <v>45930</v>
      </c>
      <c r="H150" s="70"/>
      <c r="I150"/>
    </row>
    <row r="151" spans="1:9" x14ac:dyDescent="0.3">
      <c r="A151" s="16">
        <f t="shared" si="3"/>
        <v>0</v>
      </c>
      <c r="B151" s="67"/>
      <c r="C151" s="68" t="s">
        <v>1376</v>
      </c>
      <c r="D151" s="69">
        <v>45930</v>
      </c>
      <c r="E151" s="70">
        <v>3</v>
      </c>
      <c r="F151" s="70">
        <v>0</v>
      </c>
      <c r="G151" s="69">
        <v>45930</v>
      </c>
      <c r="H151" s="70"/>
      <c r="I151"/>
    </row>
    <row r="152" spans="1:9" x14ac:dyDescent="0.3">
      <c r="A152" s="16">
        <f t="shared" si="3"/>
        <v>0</v>
      </c>
      <c r="B152" s="67"/>
      <c r="C152" s="68" t="s">
        <v>1383</v>
      </c>
      <c r="D152" s="69">
        <v>45926</v>
      </c>
      <c r="E152" s="70">
        <v>5</v>
      </c>
      <c r="F152" s="70">
        <v>0</v>
      </c>
      <c r="G152" s="69">
        <v>45926</v>
      </c>
      <c r="H152" s="70"/>
      <c r="I152"/>
    </row>
    <row r="153" spans="1:9" x14ac:dyDescent="0.3">
      <c r="A153" s="16">
        <f t="shared" si="3"/>
        <v>0</v>
      </c>
      <c r="B153" s="67"/>
      <c r="C153" s="68" t="s">
        <v>1384</v>
      </c>
      <c r="D153" s="69">
        <v>45926</v>
      </c>
      <c r="E153" s="70">
        <v>7</v>
      </c>
      <c r="F153" s="70">
        <v>0</v>
      </c>
      <c r="G153" s="69">
        <v>45926</v>
      </c>
      <c r="H153" s="70"/>
      <c r="I153"/>
    </row>
    <row r="154" spans="1:9" x14ac:dyDescent="0.3">
      <c r="A154" s="16">
        <f t="shared" si="3"/>
        <v>0</v>
      </c>
      <c r="B154" s="67"/>
      <c r="C154" s="68" t="s">
        <v>1445</v>
      </c>
      <c r="D154" s="69">
        <v>45931</v>
      </c>
      <c r="E154" s="70">
        <v>6</v>
      </c>
      <c r="F154" s="70">
        <v>1</v>
      </c>
      <c r="G154" s="69">
        <v>45931</v>
      </c>
      <c r="H154" s="70"/>
      <c r="I154"/>
    </row>
    <row r="155" spans="1:9" x14ac:dyDescent="0.3">
      <c r="A155" s="16">
        <f t="shared" si="3"/>
        <v>0</v>
      </c>
      <c r="B155" s="67"/>
      <c r="C155" s="68" t="s">
        <v>1446</v>
      </c>
      <c r="D155" s="69">
        <v>45931</v>
      </c>
      <c r="E155" s="70">
        <v>5</v>
      </c>
      <c r="F155" s="70">
        <v>1</v>
      </c>
      <c r="G155" s="69">
        <v>45931</v>
      </c>
      <c r="H155" s="70"/>
      <c r="I155"/>
    </row>
    <row r="156" spans="1:9" x14ac:dyDescent="0.3">
      <c r="A156" s="16">
        <f t="shared" si="3"/>
        <v>0</v>
      </c>
      <c r="B156" s="67"/>
      <c r="C156" s="68" t="s">
        <v>1447</v>
      </c>
      <c r="D156" s="69">
        <v>45931</v>
      </c>
      <c r="E156" s="70">
        <v>5</v>
      </c>
      <c r="F156" s="70">
        <v>0</v>
      </c>
      <c r="G156" s="69">
        <v>45931</v>
      </c>
      <c r="H156" s="70"/>
      <c r="I156"/>
    </row>
    <row r="157" spans="1:9" x14ac:dyDescent="0.3">
      <c r="A157" s="16">
        <f t="shared" si="3"/>
        <v>0</v>
      </c>
      <c r="B157" s="67"/>
      <c r="C157" s="68" t="s">
        <v>1514</v>
      </c>
      <c r="D157" s="69">
        <v>45931</v>
      </c>
      <c r="E157" s="70">
        <v>5</v>
      </c>
      <c r="F157" s="70">
        <v>1</v>
      </c>
      <c r="G157" s="69">
        <v>45931</v>
      </c>
      <c r="H157" s="70"/>
      <c r="I157"/>
    </row>
    <row r="158" spans="1:9" x14ac:dyDescent="0.3">
      <c r="A158" s="16">
        <f t="shared" si="3"/>
        <v>0</v>
      </c>
      <c r="B158" s="67"/>
      <c r="C158" s="68" t="s">
        <v>1515</v>
      </c>
      <c r="D158" s="69">
        <v>45931</v>
      </c>
      <c r="E158" s="70">
        <v>5</v>
      </c>
      <c r="F158" s="70">
        <v>0</v>
      </c>
      <c r="G158" s="69">
        <v>45931</v>
      </c>
      <c r="H158" s="70"/>
      <c r="I158"/>
    </row>
    <row r="159" spans="1:9" x14ac:dyDescent="0.3">
      <c r="A159" s="16">
        <f t="shared" si="3"/>
        <v>0</v>
      </c>
      <c r="B159" s="67"/>
      <c r="C159" s="68" t="s">
        <v>575</v>
      </c>
      <c r="D159" s="69">
        <v>45932</v>
      </c>
      <c r="E159" s="70">
        <v>5</v>
      </c>
      <c r="F159" s="70">
        <v>0</v>
      </c>
      <c r="G159" s="69">
        <v>45932</v>
      </c>
      <c r="H159" s="70"/>
      <c r="I159"/>
    </row>
    <row r="160" spans="1:9" x14ac:dyDescent="0.3">
      <c r="A160" s="16">
        <f t="shared" si="3"/>
        <v>0</v>
      </c>
      <c r="B160" s="67"/>
      <c r="C160" s="68" t="s">
        <v>1516</v>
      </c>
      <c r="D160" s="69">
        <v>45931</v>
      </c>
      <c r="E160" s="70">
        <v>8</v>
      </c>
      <c r="F160" s="70">
        <v>1</v>
      </c>
      <c r="G160" s="69">
        <v>45931</v>
      </c>
      <c r="H160" s="70"/>
      <c r="I160"/>
    </row>
    <row r="161" spans="1:9" x14ac:dyDescent="0.3">
      <c r="A161" s="16">
        <f t="shared" si="3"/>
        <v>0</v>
      </c>
      <c r="B161" s="67"/>
      <c r="C161" s="68" t="s">
        <v>1517</v>
      </c>
      <c r="D161" s="69">
        <v>45931</v>
      </c>
      <c r="E161" s="70">
        <v>9</v>
      </c>
      <c r="F161" s="70">
        <v>1</v>
      </c>
      <c r="G161" s="69">
        <v>45933</v>
      </c>
      <c r="H161" s="70"/>
      <c r="I161"/>
    </row>
    <row r="162" spans="1:9" x14ac:dyDescent="0.3">
      <c r="A162" s="16">
        <f t="shared" si="3"/>
        <v>0</v>
      </c>
      <c r="B162" s="67"/>
      <c r="C162" s="68" t="s">
        <v>1514</v>
      </c>
      <c r="D162" s="69">
        <v>45936</v>
      </c>
      <c r="E162" s="70">
        <v>2</v>
      </c>
      <c r="F162" s="70">
        <v>0</v>
      </c>
      <c r="G162" s="69">
        <v>45936</v>
      </c>
      <c r="H162" s="70"/>
      <c r="I162"/>
    </row>
    <row r="163" spans="1:9" x14ac:dyDescent="0.3">
      <c r="A163" s="16">
        <f t="shared" si="3"/>
        <v>0</v>
      </c>
      <c r="B163" s="67"/>
      <c r="C163" s="68" t="s">
        <v>1354</v>
      </c>
      <c r="D163" s="69">
        <v>45936</v>
      </c>
      <c r="E163" s="70">
        <v>1</v>
      </c>
      <c r="F163" s="70">
        <v>0</v>
      </c>
      <c r="G163" s="69">
        <v>45936</v>
      </c>
      <c r="H163" s="70"/>
      <c r="I163"/>
    </row>
    <row r="164" spans="1:9" x14ac:dyDescent="0.3">
      <c r="A164" s="16">
        <f t="shared" si="3"/>
        <v>0</v>
      </c>
      <c r="B164" s="67"/>
      <c r="C164" s="68" t="s">
        <v>1517</v>
      </c>
      <c r="D164" s="69">
        <v>45937</v>
      </c>
      <c r="E164" s="70">
        <v>1</v>
      </c>
      <c r="F164" s="70">
        <v>0</v>
      </c>
      <c r="G164" s="69">
        <v>45937</v>
      </c>
      <c r="H164" s="70"/>
      <c r="I164"/>
    </row>
    <row r="165" spans="1:9" x14ac:dyDescent="0.3">
      <c r="A165" s="16">
        <f t="shared" si="3"/>
        <v>0</v>
      </c>
      <c r="B165" s="67"/>
      <c r="C165" s="68" t="s">
        <v>1528</v>
      </c>
      <c r="D165" s="69">
        <v>45931</v>
      </c>
      <c r="E165" s="70">
        <v>7</v>
      </c>
      <c r="F165" s="70">
        <v>0</v>
      </c>
      <c r="G165" s="69">
        <v>45936</v>
      </c>
      <c r="H165" s="70"/>
      <c r="I165"/>
    </row>
    <row r="166" spans="1:9" x14ac:dyDescent="0.3">
      <c r="A166" s="16">
        <f t="shared" si="3"/>
        <v>0</v>
      </c>
      <c r="B166" s="67"/>
      <c r="C166" s="68" t="s">
        <v>1517</v>
      </c>
      <c r="D166" s="69">
        <v>45937</v>
      </c>
      <c r="E166" s="70">
        <v>1</v>
      </c>
      <c r="F166" s="70">
        <v>0</v>
      </c>
      <c r="G166" s="69">
        <v>45937</v>
      </c>
      <c r="H166" s="70"/>
      <c r="I166"/>
    </row>
    <row r="167" spans="1:9" x14ac:dyDescent="0.3">
      <c r="A167" s="16">
        <f t="shared" si="3"/>
        <v>0</v>
      </c>
      <c r="B167" s="67"/>
      <c r="C167" s="68" t="s">
        <v>295</v>
      </c>
      <c r="D167" s="69">
        <v>45937</v>
      </c>
      <c r="E167" s="70">
        <v>7</v>
      </c>
      <c r="F167" s="70">
        <v>0</v>
      </c>
      <c r="G167" s="69">
        <v>45938</v>
      </c>
      <c r="H167" s="74"/>
      <c r="I167"/>
    </row>
    <row r="168" spans="1:9" x14ac:dyDescent="0.3">
      <c r="A168" s="16">
        <f t="shared" si="3"/>
        <v>0</v>
      </c>
      <c r="B168" s="67"/>
      <c r="C168" s="68" t="s">
        <v>1563</v>
      </c>
      <c r="D168" s="69">
        <v>45938</v>
      </c>
      <c r="E168" s="70">
        <v>6</v>
      </c>
      <c r="F168" s="70">
        <v>0</v>
      </c>
      <c r="G168" s="69">
        <v>45938</v>
      </c>
      <c r="H168" s="74"/>
      <c r="I168"/>
    </row>
    <row r="169" spans="1:9" x14ac:dyDescent="0.3">
      <c r="A169" s="16">
        <f t="shared" si="3"/>
        <v>0</v>
      </c>
      <c r="B169" s="67"/>
      <c r="C169" s="68" t="s">
        <v>1564</v>
      </c>
      <c r="D169" s="69">
        <v>45921</v>
      </c>
      <c r="E169" s="70">
        <v>5</v>
      </c>
      <c r="F169" s="70">
        <v>1</v>
      </c>
      <c r="G169" s="69">
        <v>45938</v>
      </c>
      <c r="H169" s="74"/>
      <c r="I169"/>
    </row>
    <row r="170" spans="1:9" x14ac:dyDescent="0.3">
      <c r="A170" s="16">
        <f t="shared" si="3"/>
        <v>0</v>
      </c>
      <c r="B170" s="67"/>
      <c r="C170" s="68" t="s">
        <v>1573</v>
      </c>
      <c r="D170" s="69">
        <v>45938</v>
      </c>
      <c r="E170" s="70">
        <v>6</v>
      </c>
      <c r="F170" s="70">
        <v>0</v>
      </c>
      <c r="G170" s="69">
        <v>45938</v>
      </c>
      <c r="H170" s="74"/>
      <c r="I170"/>
    </row>
    <row r="171" spans="1:9" x14ac:dyDescent="0.3">
      <c r="A171" s="16">
        <f t="shared" si="3"/>
        <v>0</v>
      </c>
      <c r="B171" s="67"/>
      <c r="C171" s="68" t="s">
        <v>1574</v>
      </c>
      <c r="D171" s="69">
        <v>45939</v>
      </c>
      <c r="E171" s="70">
        <v>6</v>
      </c>
      <c r="F171" s="70">
        <v>1</v>
      </c>
      <c r="G171" s="69">
        <v>45939</v>
      </c>
      <c r="H171" s="74"/>
      <c r="I171"/>
    </row>
    <row r="172" spans="1:9" x14ac:dyDescent="0.3">
      <c r="A172" s="16">
        <f t="shared" si="3"/>
        <v>0</v>
      </c>
      <c r="B172" s="67"/>
      <c r="C172" s="68" t="s">
        <v>1596</v>
      </c>
      <c r="D172" s="69">
        <v>45939</v>
      </c>
      <c r="E172" s="70">
        <v>6</v>
      </c>
      <c r="F172" s="70">
        <v>0</v>
      </c>
      <c r="G172" s="69">
        <v>45939</v>
      </c>
      <c r="H172" s="74"/>
      <c r="I172"/>
    </row>
    <row r="173" spans="1:9" x14ac:dyDescent="0.3">
      <c r="A173" s="16">
        <f t="shared" si="3"/>
        <v>0</v>
      </c>
      <c r="B173" s="67"/>
      <c r="C173" s="68" t="s">
        <v>1573</v>
      </c>
      <c r="D173" s="69">
        <v>45939</v>
      </c>
      <c r="E173" s="70">
        <v>3</v>
      </c>
      <c r="F173" s="70">
        <v>0</v>
      </c>
      <c r="G173" s="69">
        <v>45939</v>
      </c>
      <c r="H173" s="74"/>
      <c r="I173"/>
    </row>
    <row r="174" spans="1:9" x14ac:dyDescent="0.3">
      <c r="A174" s="16">
        <f t="shared" si="3"/>
        <v>0</v>
      </c>
      <c r="B174" s="67"/>
      <c r="C174" s="68" t="s">
        <v>1597</v>
      </c>
      <c r="D174" s="69">
        <v>45939</v>
      </c>
      <c r="E174" s="70">
        <v>6</v>
      </c>
      <c r="F174" s="70">
        <v>1</v>
      </c>
      <c r="G174" s="69">
        <v>45939</v>
      </c>
      <c r="H174" s="74"/>
      <c r="I174"/>
    </row>
    <row r="175" spans="1:9" x14ac:dyDescent="0.3">
      <c r="A175" s="16">
        <f t="shared" si="3"/>
        <v>0</v>
      </c>
      <c r="B175" s="67"/>
      <c r="C175" s="68" t="s">
        <v>1598</v>
      </c>
      <c r="D175" s="69">
        <v>45923</v>
      </c>
      <c r="E175" s="70">
        <v>6</v>
      </c>
      <c r="F175" s="70">
        <v>0</v>
      </c>
      <c r="G175" s="69">
        <v>45938</v>
      </c>
      <c r="H175" s="74"/>
      <c r="I175"/>
    </row>
    <row r="176" spans="1:9" x14ac:dyDescent="0.3">
      <c r="A176" s="16">
        <f t="shared" si="3"/>
        <v>0</v>
      </c>
      <c r="B176" s="67"/>
      <c r="C176" s="68" t="s">
        <v>1573</v>
      </c>
      <c r="D176" s="69">
        <v>45940</v>
      </c>
      <c r="E176" s="70">
        <v>1</v>
      </c>
      <c r="F176" s="70">
        <v>0</v>
      </c>
      <c r="G176" s="69">
        <v>45940</v>
      </c>
      <c r="H176" s="74"/>
      <c r="I176"/>
    </row>
    <row r="177" spans="1:9" x14ac:dyDescent="0.3">
      <c r="A177" s="16">
        <f t="shared" si="3"/>
        <v>0</v>
      </c>
      <c r="B177" s="67"/>
      <c r="C177" s="68" t="s">
        <v>1599</v>
      </c>
      <c r="D177" s="69">
        <v>45940</v>
      </c>
      <c r="E177" s="70">
        <v>5</v>
      </c>
      <c r="F177" s="70">
        <v>2</v>
      </c>
      <c r="G177" s="69">
        <v>45940</v>
      </c>
      <c r="H177" s="74"/>
      <c r="I177"/>
    </row>
    <row r="178" spans="1:9" x14ac:dyDescent="0.3">
      <c r="A178" s="16">
        <f t="shared" si="3"/>
        <v>0</v>
      </c>
      <c r="B178" s="67"/>
      <c r="C178" s="68" t="s">
        <v>1563</v>
      </c>
      <c r="D178" s="69">
        <v>45940</v>
      </c>
      <c r="E178" s="70">
        <v>6</v>
      </c>
      <c r="F178" s="70">
        <v>1</v>
      </c>
      <c r="G178" s="69">
        <v>45940</v>
      </c>
      <c r="H178" s="74"/>
      <c r="I178"/>
    </row>
    <row r="179" spans="1:9" x14ac:dyDescent="0.3">
      <c r="A179" s="16">
        <f t="shared" si="3"/>
        <v>0</v>
      </c>
      <c r="B179" s="67"/>
      <c r="C179" s="68" t="s">
        <v>1600</v>
      </c>
      <c r="D179" s="69">
        <v>45940</v>
      </c>
      <c r="E179" s="70">
        <v>6</v>
      </c>
      <c r="F179" s="70">
        <v>0</v>
      </c>
      <c r="G179" s="69">
        <v>45940</v>
      </c>
      <c r="H179" s="74"/>
      <c r="I179"/>
    </row>
    <row r="180" spans="1:9" x14ac:dyDescent="0.3">
      <c r="A180" s="16">
        <f t="shared" si="3"/>
        <v>0</v>
      </c>
      <c r="B180" s="67"/>
      <c r="C180" s="68" t="s">
        <v>1601</v>
      </c>
      <c r="D180" s="69">
        <v>45940</v>
      </c>
      <c r="E180" s="70">
        <v>5</v>
      </c>
      <c r="F180" s="70">
        <v>0</v>
      </c>
      <c r="G180" s="69">
        <v>45940</v>
      </c>
      <c r="H180" s="74"/>
      <c r="I180"/>
    </row>
    <row r="181" spans="1:9" x14ac:dyDescent="0.3">
      <c r="A181" s="16">
        <f t="shared" si="3"/>
        <v>0</v>
      </c>
      <c r="B181" s="67"/>
      <c r="C181" s="68" t="s">
        <v>1633</v>
      </c>
      <c r="D181" s="69">
        <v>45943</v>
      </c>
      <c r="E181" s="70">
        <v>5</v>
      </c>
      <c r="F181" s="70">
        <v>0</v>
      </c>
      <c r="G181" s="69">
        <v>45943</v>
      </c>
      <c r="H181" s="74"/>
      <c r="I181"/>
    </row>
    <row r="182" spans="1:9" x14ac:dyDescent="0.3">
      <c r="A182" s="16">
        <f t="shared" si="3"/>
        <v>0</v>
      </c>
      <c r="B182" s="67"/>
      <c r="C182" s="68" t="s">
        <v>572</v>
      </c>
      <c r="D182" s="69">
        <v>45943</v>
      </c>
      <c r="E182" s="70">
        <v>6</v>
      </c>
      <c r="F182" s="70">
        <v>0</v>
      </c>
      <c r="G182" s="69">
        <v>45944</v>
      </c>
      <c r="H182" s="74"/>
      <c r="I182"/>
    </row>
    <row r="183" spans="1:9" x14ac:dyDescent="0.3">
      <c r="A183" s="16">
        <f t="shared" si="3"/>
        <v>0</v>
      </c>
      <c r="B183" s="67"/>
      <c r="C183" s="68" t="s">
        <v>1661</v>
      </c>
      <c r="D183" s="69">
        <v>45940</v>
      </c>
      <c r="E183" s="70">
        <v>9</v>
      </c>
      <c r="F183" s="70">
        <v>0</v>
      </c>
      <c r="G183" s="69">
        <v>45940</v>
      </c>
      <c r="H183" s="74"/>
      <c r="I183"/>
    </row>
    <row r="184" spans="1:9" x14ac:dyDescent="0.3">
      <c r="A184" s="16">
        <f t="shared" si="3"/>
        <v>0</v>
      </c>
      <c r="B184" s="67"/>
      <c r="C184" s="68" t="s">
        <v>1662</v>
      </c>
      <c r="D184" s="69">
        <v>45944</v>
      </c>
      <c r="E184" s="70">
        <v>5</v>
      </c>
      <c r="F184" s="70">
        <v>2</v>
      </c>
      <c r="G184" s="69">
        <v>45944</v>
      </c>
      <c r="H184" s="74"/>
      <c r="I184"/>
    </row>
    <row r="185" spans="1:9" x14ac:dyDescent="0.3">
      <c r="A185" s="16">
        <f t="shared" si="3"/>
        <v>0</v>
      </c>
      <c r="B185" s="67"/>
      <c r="C185" s="68" t="s">
        <v>1663</v>
      </c>
      <c r="D185" s="69">
        <v>45944</v>
      </c>
      <c r="E185" s="70">
        <v>5</v>
      </c>
      <c r="F185" s="70">
        <v>0</v>
      </c>
      <c r="G185" s="69">
        <v>45944</v>
      </c>
      <c r="H185" s="74"/>
      <c r="I185"/>
    </row>
    <row r="186" spans="1:9" x14ac:dyDescent="0.3">
      <c r="A186" s="16">
        <f t="shared" si="3"/>
        <v>0</v>
      </c>
      <c r="B186" s="67"/>
      <c r="C186" s="68" t="s">
        <v>1664</v>
      </c>
      <c r="D186" s="69">
        <v>45944</v>
      </c>
      <c r="E186" s="70">
        <v>6</v>
      </c>
      <c r="F186" s="70">
        <v>1</v>
      </c>
      <c r="G186" s="69">
        <v>45944</v>
      </c>
      <c r="H186" s="74"/>
      <c r="I186"/>
    </row>
    <row r="187" spans="1:9" x14ac:dyDescent="0.3">
      <c r="A187" s="16">
        <f t="shared" si="3"/>
        <v>0</v>
      </c>
      <c r="B187" s="67"/>
      <c r="C187" s="68" t="s">
        <v>1665</v>
      </c>
      <c r="D187" s="69">
        <v>45943</v>
      </c>
      <c r="E187" s="70">
        <v>5</v>
      </c>
      <c r="F187" s="70">
        <v>0</v>
      </c>
      <c r="G187" s="69">
        <v>45943</v>
      </c>
      <c r="H187" s="74"/>
      <c r="I187"/>
    </row>
    <row r="188" spans="1:9" x14ac:dyDescent="0.3">
      <c r="A188" s="16">
        <f t="shared" si="3"/>
        <v>0</v>
      </c>
      <c r="B188" s="49"/>
      <c r="C188" s="50"/>
      <c r="D188" s="51"/>
      <c r="E188" s="16"/>
      <c r="F188" s="16"/>
      <c r="G188" s="51"/>
      <c r="H188" s="72"/>
      <c r="I188"/>
    </row>
    <row r="189" spans="1:9" x14ac:dyDescent="0.3">
      <c r="A189" s="16">
        <f t="shared" si="3"/>
        <v>0</v>
      </c>
      <c r="B189" s="49"/>
      <c r="C189" s="50"/>
      <c r="D189" s="51"/>
      <c r="E189" s="16"/>
      <c r="F189" s="16"/>
      <c r="G189" s="51"/>
      <c r="H189" s="72"/>
      <c r="I189"/>
    </row>
    <row r="190" spans="1:9" x14ac:dyDescent="0.3">
      <c r="A190" s="16">
        <f t="shared" si="3"/>
        <v>0</v>
      </c>
      <c r="B190" s="49"/>
      <c r="C190" s="50"/>
      <c r="D190" s="51"/>
      <c r="E190" s="16"/>
      <c r="F190" s="16"/>
      <c r="G190" s="51"/>
      <c r="H190" s="72"/>
      <c r="I190"/>
    </row>
    <row r="191" spans="1:9" x14ac:dyDescent="0.3">
      <c r="A191" s="16">
        <f t="shared" si="3"/>
        <v>0</v>
      </c>
      <c r="B191" s="49"/>
      <c r="C191" s="50"/>
      <c r="D191" s="51"/>
      <c r="E191" s="16"/>
      <c r="F191" s="16"/>
      <c r="G191" s="51"/>
      <c r="H191" s="72"/>
      <c r="I191"/>
    </row>
    <row r="192" spans="1:9" x14ac:dyDescent="0.3">
      <c r="A192" s="16">
        <f t="shared" si="3"/>
        <v>0</v>
      </c>
      <c r="B192" s="49"/>
      <c r="C192" s="50"/>
      <c r="D192" s="51"/>
      <c r="E192" s="16"/>
      <c r="F192" s="16"/>
      <c r="G192" s="51"/>
      <c r="H192" s="72"/>
      <c r="I192"/>
    </row>
    <row r="193" spans="1:9" x14ac:dyDescent="0.3">
      <c r="A193" s="16">
        <f t="shared" si="3"/>
        <v>0</v>
      </c>
      <c r="B193" s="49"/>
      <c r="C193" s="50"/>
      <c r="D193" s="51"/>
      <c r="E193" s="16"/>
      <c r="F193" s="16"/>
      <c r="G193" s="51"/>
      <c r="H193" s="72"/>
      <c r="I193"/>
    </row>
    <row r="194" spans="1:9" x14ac:dyDescent="0.3">
      <c r="A194" s="16">
        <f t="shared" si="3"/>
        <v>0</v>
      </c>
      <c r="B194" s="49"/>
      <c r="C194" s="50"/>
      <c r="D194" s="51"/>
      <c r="E194" s="16"/>
      <c r="F194" s="16"/>
      <c r="G194" s="51"/>
      <c r="H194" s="72"/>
      <c r="I194"/>
    </row>
    <row r="195" spans="1:9" x14ac:dyDescent="0.3">
      <c r="A195" s="16">
        <f t="shared" si="3"/>
        <v>0</v>
      </c>
      <c r="B195" s="49"/>
      <c r="C195" s="50"/>
      <c r="D195" s="51"/>
      <c r="E195" s="16"/>
      <c r="F195" s="16"/>
      <c r="G195" s="51"/>
      <c r="H195" s="72"/>
      <c r="I195"/>
    </row>
    <row r="196" spans="1:9" x14ac:dyDescent="0.3">
      <c r="A196" s="16">
        <f t="shared" si="3"/>
        <v>0</v>
      </c>
      <c r="B196" s="49"/>
      <c r="C196" s="50"/>
      <c r="D196" s="51"/>
      <c r="E196" s="16"/>
      <c r="F196" s="16"/>
      <c r="G196" s="51"/>
      <c r="H196" s="72"/>
      <c r="I196"/>
    </row>
    <row r="197" spans="1:9" x14ac:dyDescent="0.3">
      <c r="A197" s="16">
        <f t="shared" si="3"/>
        <v>0</v>
      </c>
      <c r="B197" s="49"/>
      <c r="C197" s="50"/>
      <c r="D197" s="51"/>
      <c r="E197" s="16"/>
      <c r="F197" s="16"/>
      <c r="G197" s="51"/>
      <c r="H197" s="72"/>
      <c r="I197"/>
    </row>
    <row r="198" spans="1:9" x14ac:dyDescent="0.3">
      <c r="A198" s="15"/>
      <c r="B198" s="49"/>
      <c r="C198" s="50"/>
      <c r="D198" s="51"/>
      <c r="E198" s="16"/>
      <c r="F198" s="16"/>
      <c r="G198" s="51"/>
      <c r="H198" s="72"/>
      <c r="I198"/>
    </row>
    <row r="199" spans="1:9" x14ac:dyDescent="0.3">
      <c r="A199" s="15"/>
      <c r="B199" s="49"/>
      <c r="C199" s="50"/>
      <c r="D199" s="51"/>
      <c r="E199" s="16"/>
      <c r="F199" s="16"/>
      <c r="G199" s="51"/>
      <c r="H199" s="72"/>
      <c r="I199"/>
    </row>
    <row r="200" spans="1:9" x14ac:dyDescent="0.3">
      <c r="A200" s="15"/>
      <c r="B200" s="49"/>
      <c r="C200" s="50"/>
      <c r="D200" s="51"/>
      <c r="E200" s="16"/>
      <c r="F200" s="16"/>
      <c r="G200" s="51"/>
      <c r="H200" s="72"/>
      <c r="I200"/>
    </row>
    <row r="201" spans="1:9" x14ac:dyDescent="0.3">
      <c r="A201" s="15"/>
      <c r="B201" s="49"/>
      <c r="C201" s="50"/>
      <c r="D201" s="51"/>
      <c r="E201" s="16"/>
      <c r="F201" s="16"/>
      <c r="G201" s="51"/>
      <c r="H201" s="72"/>
      <c r="I201"/>
    </row>
    <row r="202" spans="1:9" x14ac:dyDescent="0.3">
      <c r="A202" s="15"/>
      <c r="B202" s="49"/>
      <c r="C202" s="50"/>
      <c r="D202" s="51"/>
      <c r="E202" s="16"/>
      <c r="F202" s="16"/>
      <c r="G202" s="51"/>
      <c r="H202" s="72"/>
      <c r="I202"/>
    </row>
    <row r="203" spans="1:9" x14ac:dyDescent="0.3">
      <c r="A203" s="15"/>
      <c r="B203" s="49"/>
      <c r="C203" s="50"/>
      <c r="D203" s="51"/>
      <c r="E203" s="16"/>
      <c r="F203" s="16"/>
      <c r="G203" s="51"/>
      <c r="H203" s="72"/>
      <c r="I203"/>
    </row>
    <row r="204" spans="1:9" x14ac:dyDescent="0.3">
      <c r="A204" s="15"/>
      <c r="B204" s="49"/>
      <c r="C204" s="50"/>
      <c r="D204" s="51"/>
      <c r="E204" s="16"/>
      <c r="F204" s="16"/>
      <c r="G204" s="51"/>
      <c r="H204" s="72"/>
      <c r="I204"/>
    </row>
    <row r="205" spans="1:9" x14ac:dyDescent="0.3">
      <c r="A205" s="15"/>
      <c r="B205" s="49"/>
      <c r="C205" s="50"/>
      <c r="D205" s="51"/>
      <c r="E205" s="16"/>
      <c r="F205" s="16"/>
      <c r="G205" s="51"/>
      <c r="H205" s="72"/>
      <c r="I205"/>
    </row>
    <row r="206" spans="1:9" x14ac:dyDescent="0.3">
      <c r="A206" s="15"/>
      <c r="B206" s="49"/>
      <c r="C206" s="50"/>
      <c r="D206" s="51"/>
      <c r="E206" s="16"/>
      <c r="F206" s="16"/>
      <c r="G206" s="51"/>
      <c r="H206" s="72"/>
      <c r="I206"/>
    </row>
    <row r="207" spans="1:9" x14ac:dyDescent="0.3">
      <c r="A207" s="15"/>
      <c r="B207" s="49"/>
      <c r="C207" s="50"/>
      <c r="D207" s="51"/>
      <c r="E207" s="16"/>
      <c r="F207" s="16"/>
      <c r="G207" s="51"/>
      <c r="H207" s="72"/>
      <c r="I207"/>
    </row>
    <row r="208" spans="1:9" x14ac:dyDescent="0.3">
      <c r="A208" s="15"/>
      <c r="B208" s="49"/>
      <c r="C208" s="50"/>
      <c r="D208" s="51"/>
      <c r="E208" s="16"/>
      <c r="F208" s="16"/>
      <c r="G208" s="51"/>
      <c r="H208" s="72"/>
      <c r="I208"/>
    </row>
    <row r="209" spans="1:9" x14ac:dyDescent="0.3">
      <c r="A209" s="15"/>
      <c r="B209" s="49"/>
      <c r="C209" s="50"/>
      <c r="D209" s="51"/>
      <c r="E209" s="16"/>
      <c r="F209" s="16"/>
      <c r="G209" s="51"/>
      <c r="H209" s="72"/>
      <c r="I209"/>
    </row>
    <row r="210" spans="1:9" x14ac:dyDescent="0.3">
      <c r="A210" s="15"/>
      <c r="B210" s="49"/>
      <c r="C210" s="50"/>
      <c r="D210" s="51"/>
      <c r="E210" s="16"/>
      <c r="F210" s="16"/>
      <c r="G210" s="51"/>
      <c r="H210" s="72"/>
      <c r="I210"/>
    </row>
    <row r="211" spans="1:9" x14ac:dyDescent="0.3">
      <c r="A211" s="15"/>
      <c r="B211" s="49"/>
      <c r="C211" s="50"/>
      <c r="D211" s="51"/>
      <c r="E211" s="16"/>
      <c r="F211" s="16"/>
      <c r="G211" s="51"/>
      <c r="H211" s="72"/>
      <c r="I211"/>
    </row>
    <row r="212" spans="1:9" x14ac:dyDescent="0.3">
      <c r="A212" s="15"/>
      <c r="B212" s="49"/>
      <c r="C212" s="50"/>
      <c r="D212" s="51"/>
      <c r="E212" s="16"/>
      <c r="F212" s="16"/>
      <c r="G212" s="51"/>
      <c r="H212" s="72"/>
      <c r="I212"/>
    </row>
    <row r="213" spans="1:9" x14ac:dyDescent="0.3">
      <c r="A213" s="15"/>
      <c r="B213" s="49"/>
      <c r="C213" s="50"/>
      <c r="D213" s="51"/>
      <c r="E213" s="16"/>
      <c r="F213" s="16"/>
      <c r="G213" s="51"/>
      <c r="H213" s="72"/>
      <c r="I213"/>
    </row>
    <row r="214" spans="1:9" x14ac:dyDescent="0.3">
      <c r="A214" s="15"/>
      <c r="B214" s="49"/>
      <c r="C214" s="50"/>
      <c r="D214" s="51"/>
      <c r="E214" s="16"/>
      <c r="F214" s="16"/>
      <c r="G214" s="51"/>
      <c r="H214" s="72"/>
      <c r="I214"/>
    </row>
    <row r="215" spans="1:9" x14ac:dyDescent="0.3">
      <c r="A215" s="15"/>
      <c r="B215" s="49"/>
      <c r="C215" s="50"/>
      <c r="D215" s="51"/>
      <c r="E215" s="16"/>
      <c r="F215" s="16"/>
      <c r="G215" s="51"/>
      <c r="H215" s="72"/>
      <c r="I215"/>
    </row>
    <row r="216" spans="1:9" x14ac:dyDescent="0.3">
      <c r="A216" s="15"/>
      <c r="B216" s="49"/>
      <c r="C216" s="50"/>
      <c r="D216" s="51"/>
      <c r="E216" s="16"/>
      <c r="F216" s="16"/>
      <c r="G216" s="51"/>
      <c r="H216" s="72"/>
      <c r="I216"/>
    </row>
    <row r="217" spans="1:9" x14ac:dyDescent="0.3">
      <c r="A217" s="15"/>
      <c r="B217" s="49"/>
      <c r="C217" s="50"/>
      <c r="D217" s="51"/>
      <c r="E217" s="16"/>
      <c r="F217" s="16"/>
      <c r="G217" s="51"/>
      <c r="H217" s="72"/>
      <c r="I217"/>
    </row>
    <row r="218" spans="1:9" x14ac:dyDescent="0.3">
      <c r="A218" s="15"/>
      <c r="B218" s="49"/>
      <c r="C218" s="50"/>
      <c r="D218" s="51"/>
      <c r="E218" s="16"/>
      <c r="F218" s="16"/>
      <c r="G218" s="51"/>
      <c r="H218" s="72"/>
      <c r="I218"/>
    </row>
    <row r="219" spans="1:9" x14ac:dyDescent="0.3">
      <c r="A219" s="15"/>
      <c r="B219" s="49"/>
      <c r="C219" s="50"/>
      <c r="D219" s="51"/>
      <c r="E219" s="16"/>
      <c r="F219" s="16"/>
      <c r="G219" s="51"/>
      <c r="H219" s="72"/>
      <c r="I219"/>
    </row>
    <row r="220" spans="1:9" x14ac:dyDescent="0.3">
      <c r="A220" s="15"/>
      <c r="B220" s="49"/>
      <c r="C220" s="50"/>
      <c r="D220" s="51"/>
      <c r="E220" s="16"/>
      <c r="F220" s="16"/>
      <c r="G220" s="51"/>
      <c r="H220" s="72"/>
      <c r="I220"/>
    </row>
    <row r="221" spans="1:9" x14ac:dyDescent="0.3">
      <c r="A221" s="15"/>
      <c r="B221" s="49"/>
      <c r="C221" s="50"/>
      <c r="D221" s="51"/>
      <c r="E221" s="16"/>
      <c r="F221" s="16"/>
      <c r="G221" s="51"/>
      <c r="H221" s="72"/>
      <c r="I221"/>
    </row>
    <row r="222" spans="1:9" x14ac:dyDescent="0.3">
      <c r="A222" s="15"/>
      <c r="B222" s="49"/>
      <c r="C222" s="50"/>
      <c r="D222" s="51"/>
      <c r="E222" s="16"/>
      <c r="F222" s="16"/>
      <c r="G222" s="51"/>
      <c r="H222" s="72"/>
      <c r="I222"/>
    </row>
    <row r="223" spans="1:9" x14ac:dyDescent="0.3">
      <c r="A223" s="15"/>
      <c r="B223" s="49"/>
      <c r="C223" s="50"/>
      <c r="D223" s="51"/>
      <c r="E223" s="16"/>
      <c r="F223" s="16"/>
      <c r="G223" s="51"/>
      <c r="H223" s="72"/>
      <c r="I223"/>
    </row>
    <row r="224" spans="1:9" x14ac:dyDescent="0.3">
      <c r="A224" s="15"/>
      <c r="B224" s="49"/>
      <c r="C224" s="50"/>
      <c r="D224" s="51"/>
      <c r="E224" s="16"/>
      <c r="F224" s="16"/>
      <c r="G224" s="51"/>
      <c r="H224" s="72"/>
      <c r="I224"/>
    </row>
    <row r="225" spans="1:9" x14ac:dyDescent="0.3">
      <c r="A225" s="15"/>
      <c r="B225" s="49"/>
      <c r="C225" s="50"/>
      <c r="D225" s="51"/>
      <c r="E225" s="16"/>
      <c r="F225" s="16"/>
      <c r="G225" s="51"/>
      <c r="H225" s="72"/>
      <c r="I225"/>
    </row>
    <row r="226" spans="1:9" x14ac:dyDescent="0.3">
      <c r="A226" s="15"/>
      <c r="B226" s="49"/>
      <c r="C226" s="50"/>
      <c r="D226" s="51"/>
      <c r="E226" s="16"/>
      <c r="F226" s="16"/>
      <c r="G226" s="51"/>
      <c r="H226" s="72"/>
      <c r="I226"/>
    </row>
    <row r="227" spans="1:9" x14ac:dyDescent="0.3">
      <c r="A227" s="15"/>
      <c r="B227" s="49"/>
      <c r="C227" s="50"/>
      <c r="D227" s="51"/>
      <c r="E227" s="16"/>
      <c r="F227" s="16"/>
      <c r="G227" s="51"/>
      <c r="H227" s="72"/>
      <c r="I227"/>
    </row>
    <row r="228" spans="1:9" x14ac:dyDescent="0.3">
      <c r="A228" s="15"/>
      <c r="B228" s="49"/>
      <c r="C228" s="50"/>
      <c r="D228" s="51"/>
      <c r="E228" s="16"/>
      <c r="F228" s="16"/>
      <c r="G228" s="51"/>
      <c r="H228" s="72"/>
      <c r="I228"/>
    </row>
    <row r="229" spans="1:9" x14ac:dyDescent="0.3">
      <c r="A229" s="15"/>
      <c r="B229" s="49"/>
      <c r="C229" s="50"/>
      <c r="D229" s="51"/>
      <c r="E229" s="16"/>
      <c r="F229" s="16"/>
      <c r="G229" s="51"/>
      <c r="H229" s="72"/>
      <c r="I229"/>
    </row>
    <row r="230" spans="1:9" x14ac:dyDescent="0.3">
      <c r="A230" s="15"/>
      <c r="B230" s="49"/>
      <c r="C230" s="50"/>
      <c r="D230" s="51"/>
      <c r="E230" s="16"/>
      <c r="F230" s="16"/>
      <c r="G230" s="51"/>
      <c r="H230" s="72"/>
      <c r="I230"/>
    </row>
    <row r="231" spans="1:9" x14ac:dyDescent="0.3">
      <c r="A231" s="15"/>
      <c r="B231" s="49"/>
      <c r="C231" s="50"/>
      <c r="D231" s="51"/>
      <c r="E231" s="16"/>
      <c r="F231" s="16"/>
      <c r="G231" s="51"/>
      <c r="H231" s="72"/>
      <c r="I231"/>
    </row>
    <row r="232" spans="1:9" x14ac:dyDescent="0.3">
      <c r="A232" s="15"/>
      <c r="B232" s="49"/>
      <c r="C232" s="50"/>
      <c r="D232" s="51"/>
      <c r="E232" s="16"/>
      <c r="F232" s="16"/>
      <c r="G232" s="51"/>
      <c r="H232" s="72"/>
      <c r="I232"/>
    </row>
    <row r="233" spans="1:9" x14ac:dyDescent="0.3">
      <c r="A233" s="15"/>
      <c r="B233" s="49"/>
      <c r="C233" s="50"/>
      <c r="D233" s="51"/>
      <c r="E233" s="16"/>
      <c r="F233" s="16"/>
      <c r="G233" s="51"/>
      <c r="H233" s="72"/>
      <c r="I233"/>
    </row>
    <row r="234" spans="1:9" x14ac:dyDescent="0.3">
      <c r="A234" s="15"/>
      <c r="B234" s="49"/>
      <c r="C234" s="50"/>
      <c r="D234" s="51"/>
      <c r="E234" s="16"/>
      <c r="F234" s="16"/>
      <c r="G234" s="51"/>
      <c r="H234" s="72"/>
      <c r="I234"/>
    </row>
    <row r="235" spans="1:9" x14ac:dyDescent="0.3">
      <c r="A235" s="15"/>
      <c r="B235" s="49"/>
      <c r="C235" s="50"/>
      <c r="D235" s="51"/>
      <c r="E235" s="16"/>
      <c r="F235" s="16"/>
      <c r="G235" s="51"/>
      <c r="H235" s="72"/>
      <c r="I235"/>
    </row>
    <row r="236" spans="1:9" x14ac:dyDescent="0.3">
      <c r="A236" s="15"/>
      <c r="B236" s="49"/>
      <c r="C236" s="50"/>
      <c r="D236" s="51"/>
      <c r="E236" s="16"/>
      <c r="F236" s="16"/>
      <c r="G236" s="51"/>
      <c r="H236" s="72"/>
      <c r="I236"/>
    </row>
    <row r="237" spans="1:9" x14ac:dyDescent="0.3">
      <c r="A237" s="15"/>
      <c r="B237" s="49"/>
      <c r="C237" s="50"/>
      <c r="D237" s="51"/>
      <c r="E237" s="16"/>
      <c r="F237" s="16"/>
      <c r="G237" s="51"/>
      <c r="H237" s="72"/>
      <c r="I237"/>
    </row>
    <row r="238" spans="1:9" x14ac:dyDescent="0.3">
      <c r="A238" s="15"/>
      <c r="B238" s="49"/>
      <c r="C238" s="50"/>
      <c r="D238" s="51"/>
      <c r="E238" s="16"/>
      <c r="F238" s="16"/>
      <c r="G238" s="51"/>
      <c r="H238" s="72"/>
      <c r="I238"/>
    </row>
    <row r="239" spans="1:9" x14ac:dyDescent="0.3">
      <c r="A239" s="15"/>
      <c r="B239" s="49"/>
      <c r="C239" s="50"/>
      <c r="D239" s="51"/>
      <c r="E239" s="16"/>
      <c r="F239" s="16"/>
      <c r="G239" s="51"/>
      <c r="H239" s="72"/>
      <c r="I239"/>
    </row>
    <row r="240" spans="1:9" x14ac:dyDescent="0.3">
      <c r="A240" s="15"/>
      <c r="B240" s="49"/>
      <c r="C240" s="50"/>
      <c r="D240" s="51"/>
      <c r="E240" s="16"/>
      <c r="F240" s="16"/>
      <c r="G240" s="51"/>
      <c r="H240" s="72"/>
      <c r="I240"/>
    </row>
    <row r="241" spans="1:9" x14ac:dyDescent="0.3">
      <c r="A241" s="15"/>
      <c r="B241" s="49"/>
      <c r="C241" s="50"/>
      <c r="D241" s="51"/>
      <c r="E241" s="16"/>
      <c r="F241" s="16"/>
      <c r="G241" s="51"/>
      <c r="H241" s="72"/>
      <c r="I241"/>
    </row>
    <row r="242" spans="1:9" x14ac:dyDescent="0.3">
      <c r="A242" s="15"/>
      <c r="B242" s="49"/>
      <c r="C242" s="50"/>
      <c r="D242" s="51"/>
      <c r="E242" s="16"/>
      <c r="F242" s="16"/>
      <c r="G242" s="51"/>
      <c r="H242" s="72"/>
      <c r="I242"/>
    </row>
    <row r="243" spans="1:9" x14ac:dyDescent="0.3">
      <c r="A243" s="15"/>
      <c r="B243" s="49"/>
      <c r="C243" s="50"/>
      <c r="D243" s="51"/>
      <c r="E243" s="16"/>
      <c r="F243" s="16"/>
      <c r="G243" s="51"/>
      <c r="H243" s="72"/>
      <c r="I243"/>
    </row>
    <row r="244" spans="1:9" x14ac:dyDescent="0.3">
      <c r="A244" s="15"/>
      <c r="B244" s="49"/>
      <c r="C244" s="50"/>
      <c r="D244" s="51"/>
      <c r="E244" s="16"/>
      <c r="F244" s="16"/>
      <c r="G244" s="51"/>
      <c r="H244" s="72"/>
      <c r="I244"/>
    </row>
    <row r="245" spans="1:9" x14ac:dyDescent="0.3">
      <c r="A245" s="15"/>
      <c r="B245" s="49"/>
      <c r="C245" s="50"/>
      <c r="D245" s="51"/>
      <c r="E245" s="16"/>
      <c r="F245" s="16"/>
      <c r="G245" s="51"/>
      <c r="H245" s="72"/>
      <c r="I245"/>
    </row>
    <row r="246" spans="1:9" x14ac:dyDescent="0.3">
      <c r="A246" s="15"/>
      <c r="B246" s="49"/>
      <c r="C246" s="50"/>
      <c r="D246" s="51"/>
      <c r="E246" s="16"/>
      <c r="F246" s="16"/>
      <c r="G246" s="51"/>
      <c r="H246" s="72"/>
      <c r="I246"/>
    </row>
    <row r="247" spans="1:9" x14ac:dyDescent="0.3">
      <c r="A247" s="15"/>
      <c r="B247" s="49"/>
      <c r="C247" s="50"/>
      <c r="D247" s="51"/>
      <c r="E247" s="16"/>
      <c r="F247" s="16"/>
      <c r="G247" s="51"/>
      <c r="H247" s="72"/>
      <c r="I247"/>
    </row>
    <row r="248" spans="1:9" x14ac:dyDescent="0.3">
      <c r="A248" s="15"/>
      <c r="B248" s="49"/>
      <c r="C248" s="50"/>
      <c r="D248" s="51"/>
      <c r="E248" s="16"/>
      <c r="F248" s="16"/>
      <c r="G248" s="51"/>
      <c r="H248" s="72"/>
      <c r="I248"/>
    </row>
    <row r="249" spans="1:9" x14ac:dyDescent="0.3">
      <c r="A249" s="15"/>
      <c r="B249" s="49"/>
      <c r="C249" s="50"/>
      <c r="D249" s="51"/>
      <c r="E249" s="16"/>
      <c r="F249" s="16"/>
      <c r="G249" s="51"/>
      <c r="H249" s="72"/>
      <c r="I249"/>
    </row>
    <row r="250" spans="1:9" x14ac:dyDescent="0.3">
      <c r="A250" s="15"/>
      <c r="B250" s="49"/>
      <c r="C250" s="50"/>
      <c r="D250" s="51"/>
      <c r="E250" s="16"/>
      <c r="F250" s="16"/>
      <c r="G250" s="51"/>
      <c r="H250" s="72"/>
      <c r="I250"/>
    </row>
    <row r="251" spans="1:9" x14ac:dyDescent="0.3">
      <c r="A251" s="15"/>
      <c r="B251" s="49"/>
      <c r="C251" s="50"/>
      <c r="D251" s="51"/>
      <c r="E251" s="16"/>
      <c r="F251" s="16"/>
      <c r="G251" s="51"/>
      <c r="H251" s="72"/>
      <c r="I251"/>
    </row>
    <row r="252" spans="1:9" x14ac:dyDescent="0.3">
      <c r="A252" s="15"/>
      <c r="B252" s="49"/>
      <c r="C252" s="50"/>
      <c r="D252" s="51"/>
      <c r="E252" s="16"/>
      <c r="F252" s="16"/>
      <c r="G252" s="51"/>
      <c r="H252" s="72"/>
      <c r="I252"/>
    </row>
    <row r="253" spans="1:9" x14ac:dyDescent="0.3">
      <c r="A253" s="15"/>
      <c r="B253" s="49"/>
      <c r="C253" s="50"/>
      <c r="D253" s="51"/>
      <c r="E253" s="16"/>
      <c r="F253" s="16"/>
      <c r="G253" s="51"/>
      <c r="H253" s="72"/>
      <c r="I253"/>
    </row>
    <row r="254" spans="1:9" x14ac:dyDescent="0.3">
      <c r="A254" s="15"/>
      <c r="B254" s="49"/>
      <c r="C254" s="50"/>
      <c r="D254" s="51"/>
      <c r="E254" s="16"/>
      <c r="F254" s="16"/>
      <c r="G254" s="51"/>
      <c r="H254" s="72"/>
      <c r="I254"/>
    </row>
    <row r="255" spans="1:9" x14ac:dyDescent="0.3">
      <c r="A255" s="15"/>
      <c r="B255" s="49"/>
      <c r="C255" s="50"/>
      <c r="D255" s="51"/>
      <c r="E255" s="16"/>
      <c r="F255" s="16"/>
      <c r="G255" s="51"/>
      <c r="H255" s="72"/>
      <c r="I255"/>
    </row>
    <row r="256" spans="1:9" x14ac:dyDescent="0.3">
      <c r="A256" s="15"/>
      <c r="B256" s="49"/>
      <c r="C256" s="50"/>
      <c r="D256" s="51"/>
      <c r="E256" s="16"/>
      <c r="F256" s="16"/>
      <c r="G256" s="51"/>
      <c r="H256" s="72"/>
      <c r="I256"/>
    </row>
    <row r="257" spans="1:9" x14ac:dyDescent="0.3">
      <c r="A257" s="15"/>
      <c r="B257" s="49"/>
      <c r="C257" s="50"/>
      <c r="D257" s="51"/>
      <c r="E257" s="16"/>
      <c r="F257" s="16"/>
      <c r="G257" s="51"/>
      <c r="H257" s="72"/>
      <c r="I257"/>
    </row>
    <row r="258" spans="1:9" x14ac:dyDescent="0.3">
      <c r="A258" s="15"/>
      <c r="B258" s="49"/>
      <c r="C258" s="50"/>
      <c r="D258" s="51"/>
      <c r="E258" s="16"/>
      <c r="F258" s="16"/>
      <c r="G258" s="51"/>
      <c r="H258" s="72"/>
      <c r="I258"/>
    </row>
    <row r="259" spans="1:9" x14ac:dyDescent="0.3">
      <c r="A259" s="15"/>
      <c r="B259" s="49"/>
      <c r="C259" s="50"/>
      <c r="D259" s="51"/>
      <c r="E259" s="16"/>
      <c r="F259" s="16"/>
      <c r="G259" s="51"/>
      <c r="H259" s="72"/>
      <c r="I259"/>
    </row>
    <row r="260" spans="1:9" x14ac:dyDescent="0.3">
      <c r="A260" s="15"/>
      <c r="B260" s="49"/>
      <c r="C260" s="50"/>
      <c r="D260" s="51"/>
      <c r="E260" s="16"/>
      <c r="F260" s="16"/>
      <c r="G260" s="51"/>
      <c r="H260" s="72"/>
      <c r="I260"/>
    </row>
    <row r="261" spans="1:9" x14ac:dyDescent="0.3">
      <c r="A261" s="15"/>
      <c r="B261" s="49"/>
      <c r="C261" s="50"/>
      <c r="D261" s="51"/>
      <c r="E261" s="16"/>
      <c r="F261" s="16"/>
      <c r="G261" s="51"/>
      <c r="H261" s="72"/>
      <c r="I261"/>
    </row>
    <row r="262" spans="1:9" x14ac:dyDescent="0.3">
      <c r="A262" s="15"/>
      <c r="B262" s="49"/>
      <c r="C262" s="50"/>
      <c r="D262" s="51"/>
      <c r="E262" s="16"/>
      <c r="F262" s="16"/>
      <c r="G262" s="51"/>
      <c r="H262" s="72"/>
      <c r="I262"/>
    </row>
    <row r="263" spans="1:9" x14ac:dyDescent="0.3">
      <c r="A263" s="15"/>
      <c r="B263" s="49"/>
      <c r="C263" s="50"/>
      <c r="D263" s="51"/>
      <c r="E263" s="16"/>
      <c r="F263" s="16"/>
      <c r="G263" s="51"/>
      <c r="H263" s="72"/>
      <c r="I263"/>
    </row>
    <row r="264" spans="1:9" x14ac:dyDescent="0.3">
      <c r="A264" s="15"/>
      <c r="B264" s="49"/>
      <c r="C264" s="50"/>
      <c r="D264" s="51"/>
      <c r="E264" s="16"/>
      <c r="F264" s="16"/>
      <c r="G264" s="51"/>
      <c r="H264" s="72"/>
      <c r="I264"/>
    </row>
    <row r="265" spans="1:9" x14ac:dyDescent="0.3">
      <c r="A265" s="15"/>
      <c r="B265" s="49"/>
      <c r="C265" s="50"/>
      <c r="D265" s="51"/>
      <c r="E265" s="16"/>
      <c r="F265" s="16"/>
      <c r="G265" s="51"/>
      <c r="H265" s="72"/>
      <c r="I265"/>
    </row>
    <row r="266" spans="1:9" x14ac:dyDescent="0.3">
      <c r="A266" s="15"/>
      <c r="B266" s="49"/>
      <c r="C266" s="72"/>
      <c r="D266" s="51"/>
      <c r="E266" s="16"/>
      <c r="F266" s="16"/>
      <c r="G266" s="51"/>
      <c r="H266" s="72"/>
      <c r="I266"/>
    </row>
    <row r="267" spans="1:9" x14ac:dyDescent="0.3">
      <c r="A267" s="15"/>
      <c r="B267" s="49"/>
      <c r="C267" s="72"/>
      <c r="D267" s="51"/>
      <c r="E267" s="16"/>
      <c r="F267" s="16"/>
      <c r="G267" s="51"/>
      <c r="H267" s="72"/>
      <c r="I267"/>
    </row>
    <row r="268" spans="1:9" x14ac:dyDescent="0.3">
      <c r="A268" s="15"/>
      <c r="B268" s="49"/>
      <c r="C268" s="72"/>
      <c r="D268" s="51"/>
      <c r="E268" s="16"/>
      <c r="F268" s="16"/>
      <c r="G268" s="51"/>
      <c r="H268" s="72"/>
      <c r="I268"/>
    </row>
    <row r="269" spans="1:9" x14ac:dyDescent="0.3">
      <c r="A269" s="15"/>
      <c r="B269" s="49"/>
      <c r="C269" s="72"/>
      <c r="D269" s="51"/>
      <c r="E269" s="16"/>
      <c r="F269" s="16"/>
      <c r="G269" s="51"/>
      <c r="H269" s="72"/>
      <c r="I269"/>
    </row>
    <row r="270" spans="1:9" x14ac:dyDescent="0.3">
      <c r="A270" s="15"/>
      <c r="B270" s="49"/>
      <c r="C270" s="72"/>
      <c r="D270" s="51"/>
      <c r="E270" s="16"/>
      <c r="F270" s="16"/>
      <c r="G270" s="51"/>
      <c r="H270" s="72"/>
      <c r="I270"/>
    </row>
    <row r="271" spans="1:9" x14ac:dyDescent="0.3">
      <c r="A271" s="15"/>
      <c r="B271" s="49"/>
      <c r="C271" s="72"/>
      <c r="D271" s="51"/>
      <c r="E271" s="16"/>
      <c r="F271" s="16"/>
      <c r="G271" s="51"/>
      <c r="H271" s="72"/>
      <c r="I271"/>
    </row>
    <row r="272" spans="1:9" x14ac:dyDescent="0.3">
      <c r="A272" s="15"/>
      <c r="B272" s="49"/>
      <c r="C272" s="72"/>
      <c r="D272" s="51"/>
      <c r="E272" s="16"/>
      <c r="F272" s="16"/>
      <c r="G272" s="51"/>
      <c r="H272" s="72"/>
      <c r="I272"/>
    </row>
    <row r="273" spans="1:9" x14ac:dyDescent="0.3">
      <c r="A273" s="15"/>
      <c r="B273" s="49"/>
      <c r="C273" s="72"/>
      <c r="D273" s="51"/>
      <c r="E273" s="16"/>
      <c r="F273" s="16"/>
      <c r="G273" s="51"/>
      <c r="H273" s="72"/>
      <c r="I273"/>
    </row>
    <row r="274" spans="1:9" x14ac:dyDescent="0.3">
      <c r="A274" s="15"/>
      <c r="B274" s="49"/>
      <c r="C274" s="72"/>
      <c r="D274" s="51"/>
      <c r="E274" s="16"/>
      <c r="F274" s="16"/>
      <c r="G274" s="51"/>
      <c r="H274" s="72"/>
      <c r="I274"/>
    </row>
    <row r="275" spans="1:9" x14ac:dyDescent="0.3">
      <c r="A275" s="15"/>
      <c r="B275" s="49"/>
      <c r="C275" s="72"/>
      <c r="D275" s="51"/>
      <c r="E275" s="16"/>
      <c r="F275" s="16"/>
      <c r="G275" s="51"/>
      <c r="H275" s="72"/>
      <c r="I275"/>
    </row>
    <row r="276" spans="1:9" x14ac:dyDescent="0.3">
      <c r="A276" s="15"/>
      <c r="B276" s="49"/>
      <c r="C276" s="72"/>
      <c r="D276" s="51"/>
      <c r="E276" s="16"/>
      <c r="F276" s="16"/>
      <c r="G276" s="51"/>
      <c r="H276" s="72"/>
      <c r="I276"/>
    </row>
    <row r="277" spans="1:9" x14ac:dyDescent="0.3">
      <c r="A277" s="15"/>
      <c r="B277" s="49"/>
      <c r="C277" s="72"/>
      <c r="D277" s="51"/>
      <c r="E277" s="16"/>
      <c r="F277" s="16"/>
      <c r="G277" s="51"/>
      <c r="H277" s="72"/>
      <c r="I277"/>
    </row>
    <row r="278" spans="1:9" x14ac:dyDescent="0.3">
      <c r="A278" s="15"/>
      <c r="B278" s="49"/>
      <c r="C278" s="72"/>
      <c r="D278" s="51"/>
      <c r="E278" s="16"/>
      <c r="F278" s="16"/>
      <c r="G278" s="51"/>
      <c r="H278" s="72"/>
      <c r="I278"/>
    </row>
    <row r="279" spans="1:9" x14ac:dyDescent="0.3">
      <c r="A279" s="15"/>
      <c r="B279" s="49"/>
      <c r="C279" s="72"/>
      <c r="D279" s="51"/>
      <c r="E279" s="16"/>
      <c r="F279" s="16"/>
      <c r="G279" s="51"/>
      <c r="H279" s="72"/>
      <c r="I279"/>
    </row>
    <row r="280" spans="1:9" x14ac:dyDescent="0.3">
      <c r="A280" s="15"/>
      <c r="B280" s="49"/>
      <c r="C280" s="72"/>
      <c r="D280" s="51"/>
      <c r="E280" s="16"/>
      <c r="F280" s="16"/>
      <c r="G280" s="51"/>
      <c r="H280" s="72"/>
      <c r="I280"/>
    </row>
    <row r="281" spans="1:9" x14ac:dyDescent="0.3">
      <c r="A281" s="15"/>
      <c r="B281" s="49"/>
      <c r="C281" s="72"/>
      <c r="D281" s="51"/>
      <c r="E281" s="16"/>
      <c r="F281" s="16"/>
      <c r="G281" s="51"/>
      <c r="H281" s="72"/>
      <c r="I281"/>
    </row>
    <row r="282" spans="1:9" x14ac:dyDescent="0.3">
      <c r="A282" s="15"/>
      <c r="B282" s="49"/>
      <c r="C282" s="72"/>
      <c r="D282" s="51"/>
      <c r="E282" s="16"/>
      <c r="F282" s="16"/>
      <c r="G282" s="51"/>
      <c r="H282" s="72"/>
      <c r="I282"/>
    </row>
    <row r="283" spans="1:9" x14ac:dyDescent="0.3">
      <c r="A283" s="15"/>
      <c r="B283" s="49"/>
      <c r="C283" s="72"/>
      <c r="D283" s="51"/>
      <c r="E283" s="16"/>
      <c r="F283" s="16"/>
      <c r="G283" s="51"/>
      <c r="H283" s="72"/>
      <c r="I283"/>
    </row>
    <row r="284" spans="1:9" x14ac:dyDescent="0.3">
      <c r="A284" s="15"/>
      <c r="B284" s="49"/>
      <c r="C284" s="72"/>
      <c r="D284" s="51"/>
      <c r="E284" s="16"/>
      <c r="F284" s="16"/>
      <c r="G284" s="51"/>
      <c r="H284" s="72"/>
      <c r="I284"/>
    </row>
    <row r="285" spans="1:9" x14ac:dyDescent="0.3">
      <c r="A285" s="15"/>
      <c r="B285" s="49"/>
      <c r="C285" s="72"/>
      <c r="D285" s="51"/>
      <c r="E285" s="16"/>
      <c r="F285" s="16"/>
      <c r="G285" s="51"/>
      <c r="H285" s="72"/>
      <c r="I285"/>
    </row>
    <row r="286" spans="1:9" x14ac:dyDescent="0.3">
      <c r="A286" s="15"/>
      <c r="B286" s="49"/>
      <c r="C286" s="72"/>
      <c r="D286" s="51"/>
      <c r="E286" s="16"/>
      <c r="F286" s="16"/>
      <c r="G286" s="51"/>
      <c r="H286" s="72"/>
      <c r="I286"/>
    </row>
    <row r="287" spans="1:9" x14ac:dyDescent="0.3">
      <c r="A287" s="15"/>
      <c r="B287" s="49"/>
      <c r="C287" s="72"/>
      <c r="D287" s="51"/>
      <c r="E287" s="16"/>
      <c r="F287" s="16"/>
      <c r="G287" s="51"/>
      <c r="H287" s="72"/>
      <c r="I287"/>
    </row>
    <row r="288" spans="1:9" x14ac:dyDescent="0.3">
      <c r="A288" s="15"/>
      <c r="B288" s="49"/>
      <c r="C288" s="72"/>
      <c r="D288" s="51"/>
      <c r="E288" s="16"/>
      <c r="F288" s="16"/>
      <c r="G288" s="51"/>
      <c r="H288" s="72"/>
      <c r="I288"/>
    </row>
    <row r="289" spans="1:9" x14ac:dyDescent="0.3">
      <c r="A289" s="15"/>
      <c r="B289" s="49"/>
      <c r="C289" s="72"/>
      <c r="D289" s="51"/>
      <c r="E289" s="16"/>
      <c r="F289" s="16"/>
      <c r="G289" s="51"/>
      <c r="H289" s="72"/>
      <c r="I289"/>
    </row>
    <row r="290" spans="1:9" x14ac:dyDescent="0.3">
      <c r="A290" s="15"/>
      <c r="B290" s="49"/>
      <c r="C290" s="72"/>
      <c r="D290" s="51"/>
      <c r="E290" s="16"/>
      <c r="F290" s="16"/>
      <c r="G290" s="51"/>
      <c r="H290" s="72"/>
      <c r="I290"/>
    </row>
    <row r="291" spans="1:9" x14ac:dyDescent="0.3">
      <c r="A291" s="15"/>
      <c r="B291" s="49"/>
      <c r="C291" s="72"/>
      <c r="D291" s="51"/>
      <c r="E291" s="16"/>
      <c r="F291" s="16"/>
      <c r="G291" s="51"/>
      <c r="H291" s="72"/>
      <c r="I291"/>
    </row>
    <row r="292" spans="1:9" x14ac:dyDescent="0.3">
      <c r="A292" s="15"/>
      <c r="B292" s="49"/>
      <c r="C292" s="72"/>
      <c r="D292" s="51"/>
      <c r="E292" s="16"/>
      <c r="F292" s="16"/>
      <c r="G292" s="51"/>
      <c r="H292" s="72"/>
      <c r="I292"/>
    </row>
    <row r="293" spans="1:9" x14ac:dyDescent="0.3">
      <c r="A293" s="15"/>
      <c r="B293" s="49"/>
      <c r="C293" s="72"/>
      <c r="D293" s="51"/>
      <c r="E293" s="16"/>
      <c r="F293" s="16"/>
      <c r="G293" s="51"/>
      <c r="H293" s="72"/>
      <c r="I293"/>
    </row>
    <row r="294" spans="1:9" x14ac:dyDescent="0.3">
      <c r="A294" s="15"/>
      <c r="B294" s="49"/>
      <c r="C294" s="72"/>
      <c r="D294" s="51"/>
      <c r="E294" s="16"/>
      <c r="F294" s="16"/>
      <c r="G294" s="51"/>
      <c r="H294" s="72"/>
      <c r="I294"/>
    </row>
    <row r="295" spans="1:9" x14ac:dyDescent="0.3">
      <c r="A295" s="15"/>
      <c r="B295" s="49"/>
      <c r="C295" s="72"/>
      <c r="D295" s="51"/>
      <c r="E295" s="16"/>
      <c r="F295" s="16"/>
      <c r="G295" s="51"/>
      <c r="H295" s="72"/>
      <c r="I295"/>
    </row>
    <row r="296" spans="1:9" x14ac:dyDescent="0.3">
      <c r="A296" s="15"/>
      <c r="B296" s="49"/>
      <c r="C296" s="72"/>
      <c r="D296" s="51"/>
      <c r="E296" s="16"/>
      <c r="F296" s="16"/>
      <c r="G296" s="51"/>
      <c r="H296" s="72"/>
      <c r="I296"/>
    </row>
    <row r="297" spans="1:9" x14ac:dyDescent="0.3">
      <c r="A297" s="15"/>
      <c r="B297" s="49"/>
      <c r="C297" s="72"/>
      <c r="D297" s="51"/>
      <c r="E297" s="16"/>
      <c r="F297" s="16"/>
      <c r="G297" s="51"/>
      <c r="H297" s="72"/>
      <c r="I297"/>
    </row>
    <row r="298" spans="1:9" x14ac:dyDescent="0.3">
      <c r="A298" s="15"/>
      <c r="B298" s="49"/>
      <c r="C298" s="72"/>
      <c r="D298" s="51"/>
      <c r="E298" s="16"/>
      <c r="F298" s="16"/>
      <c r="G298" s="51"/>
      <c r="H298" s="72"/>
      <c r="I298"/>
    </row>
    <row r="299" spans="1:9" x14ac:dyDescent="0.3">
      <c r="A299" s="15"/>
      <c r="B299" s="49"/>
      <c r="C299" s="72"/>
      <c r="D299" s="51"/>
      <c r="E299" s="16"/>
      <c r="F299" s="16"/>
      <c r="G299" s="51"/>
      <c r="H299" s="72"/>
      <c r="I299"/>
    </row>
    <row r="300" spans="1:9" x14ac:dyDescent="0.3">
      <c r="A300" s="15"/>
      <c r="B300" s="49"/>
      <c r="C300" s="72"/>
      <c r="D300" s="51"/>
      <c r="E300" s="16"/>
      <c r="F300" s="16"/>
      <c r="G300" s="51"/>
      <c r="H300" s="72"/>
      <c r="I300"/>
    </row>
    <row r="301" spans="1:9" x14ac:dyDescent="0.3">
      <c r="A301" s="15"/>
      <c r="B301" s="49"/>
      <c r="C301" s="72"/>
      <c r="D301" s="51"/>
      <c r="E301" s="16"/>
      <c r="F301" s="16"/>
      <c r="G301" s="51"/>
      <c r="H301" s="72"/>
      <c r="I301"/>
    </row>
    <row r="302" spans="1:9" x14ac:dyDescent="0.3">
      <c r="A302" s="15"/>
      <c r="B302" s="49"/>
      <c r="C302" s="72"/>
      <c r="D302" s="51"/>
      <c r="E302" s="16"/>
      <c r="F302" s="16"/>
      <c r="G302" s="51"/>
      <c r="H302" s="72"/>
      <c r="I302"/>
    </row>
    <row r="303" spans="1:9" x14ac:dyDescent="0.3">
      <c r="A303" s="15"/>
      <c r="B303" s="49"/>
      <c r="C303" s="72"/>
      <c r="D303" s="51"/>
      <c r="E303" s="16"/>
      <c r="F303" s="16"/>
      <c r="G303" s="51"/>
      <c r="H303" s="72"/>
      <c r="I303"/>
    </row>
    <row r="304" spans="1:9" x14ac:dyDescent="0.3">
      <c r="A304" s="15"/>
      <c r="B304" s="49"/>
      <c r="C304" s="72"/>
      <c r="D304" s="51"/>
      <c r="E304" s="16"/>
      <c r="F304" s="16"/>
      <c r="G304" s="51"/>
      <c r="H304" s="72"/>
      <c r="I304"/>
    </row>
    <row r="305" spans="1:9" x14ac:dyDescent="0.3">
      <c r="A305" s="15"/>
      <c r="B305" s="49"/>
      <c r="C305" s="72"/>
      <c r="D305" s="51"/>
      <c r="E305" s="16"/>
      <c r="F305" s="16"/>
      <c r="G305" s="51"/>
      <c r="H305" s="72"/>
      <c r="I305"/>
    </row>
    <row r="306" spans="1:9" x14ac:dyDescent="0.3">
      <c r="A306" s="15"/>
      <c r="B306" s="49"/>
      <c r="C306" s="72"/>
      <c r="D306" s="51"/>
      <c r="E306" s="16"/>
      <c r="F306" s="16"/>
      <c r="G306" s="51"/>
      <c r="H306" s="72"/>
      <c r="I306"/>
    </row>
    <row r="307" spans="1:9" x14ac:dyDescent="0.3">
      <c r="A307" s="15"/>
      <c r="B307" s="49"/>
      <c r="C307" s="72"/>
      <c r="D307" s="51"/>
      <c r="E307" s="16"/>
      <c r="F307" s="16"/>
      <c r="G307" s="51"/>
      <c r="H307" s="72"/>
      <c r="I307"/>
    </row>
    <row r="308" spans="1:9" x14ac:dyDescent="0.3">
      <c r="A308" s="15"/>
      <c r="B308" s="49"/>
      <c r="C308" s="72"/>
      <c r="D308" s="51"/>
      <c r="E308" s="16"/>
      <c r="F308" s="16"/>
      <c r="G308" s="51"/>
      <c r="H308" s="72"/>
      <c r="I308"/>
    </row>
    <row r="309" spans="1:9" x14ac:dyDescent="0.3">
      <c r="A309" s="15"/>
      <c r="B309" s="49"/>
      <c r="C309" s="72"/>
      <c r="D309" s="51"/>
      <c r="E309" s="16"/>
      <c r="F309" s="16"/>
      <c r="G309" s="51"/>
      <c r="H309" s="72"/>
      <c r="I309"/>
    </row>
    <row r="310" spans="1:9" x14ac:dyDescent="0.3">
      <c r="A310" s="15"/>
      <c r="B310" s="49"/>
      <c r="C310" s="72"/>
      <c r="D310" s="51"/>
      <c r="E310" s="16"/>
      <c r="F310" s="16"/>
      <c r="G310" s="51"/>
      <c r="H310" s="72"/>
      <c r="I310"/>
    </row>
    <row r="311" spans="1:9" x14ac:dyDescent="0.3">
      <c r="A311" s="15"/>
      <c r="B311" s="49"/>
      <c r="C311" s="72"/>
      <c r="D311" s="51"/>
      <c r="E311" s="16"/>
      <c r="F311" s="16"/>
      <c r="G311" s="51"/>
      <c r="H311" s="72"/>
      <c r="I311"/>
    </row>
    <row r="312" spans="1:9" x14ac:dyDescent="0.3">
      <c r="A312" s="15"/>
      <c r="B312" s="49"/>
      <c r="C312" s="72"/>
      <c r="D312" s="51"/>
      <c r="E312" s="16"/>
      <c r="F312" s="16"/>
      <c r="G312" s="51"/>
      <c r="H312" s="72"/>
      <c r="I312"/>
    </row>
    <row r="313" spans="1:9" x14ac:dyDescent="0.3">
      <c r="A313" s="15"/>
      <c r="B313" s="49"/>
      <c r="C313" s="72"/>
      <c r="D313" s="51"/>
      <c r="E313" s="16"/>
      <c r="F313" s="16"/>
      <c r="G313" s="51"/>
      <c r="H313" s="72"/>
      <c r="I313"/>
    </row>
    <row r="314" spans="1:9" x14ac:dyDescent="0.3">
      <c r="A314" s="15"/>
      <c r="B314" s="49"/>
      <c r="C314" s="72"/>
      <c r="D314" s="51"/>
      <c r="E314" s="16"/>
      <c r="F314" s="16"/>
      <c r="G314" s="51"/>
      <c r="H314" s="72"/>
      <c r="I314"/>
    </row>
    <row r="315" spans="1:9" x14ac:dyDescent="0.3">
      <c r="A315" s="15"/>
      <c r="B315" s="49"/>
      <c r="C315" s="72"/>
      <c r="D315" s="51"/>
      <c r="E315" s="16"/>
      <c r="F315" s="16"/>
      <c r="G315" s="51"/>
      <c r="H315" s="72"/>
      <c r="I315"/>
    </row>
    <row r="316" spans="1:9" x14ac:dyDescent="0.3">
      <c r="A316" s="15"/>
      <c r="B316" s="49"/>
      <c r="C316" s="72"/>
      <c r="D316" s="51"/>
      <c r="E316" s="16"/>
      <c r="F316" s="16"/>
      <c r="G316" s="51"/>
      <c r="H316" s="72"/>
      <c r="I316"/>
    </row>
    <row r="317" spans="1:9" x14ac:dyDescent="0.3">
      <c r="A317" s="15"/>
      <c r="B317" s="49"/>
      <c r="C317" s="72"/>
      <c r="D317" s="51"/>
      <c r="E317" s="16"/>
      <c r="F317" s="16"/>
      <c r="G317" s="51"/>
      <c r="H317" s="72"/>
      <c r="I317"/>
    </row>
    <row r="318" spans="1:9" x14ac:dyDescent="0.3">
      <c r="A318" s="15"/>
      <c r="B318" s="49"/>
      <c r="C318" s="72"/>
      <c r="D318" s="51"/>
      <c r="E318" s="16"/>
      <c r="F318" s="16"/>
      <c r="G318" s="51"/>
      <c r="H318" s="72"/>
      <c r="I318"/>
    </row>
    <row r="319" spans="1:9" x14ac:dyDescent="0.3">
      <c r="A319" s="15"/>
      <c r="B319" s="49"/>
      <c r="C319" s="72"/>
      <c r="D319" s="51"/>
      <c r="E319" s="16"/>
      <c r="F319" s="16"/>
      <c r="G319" s="51"/>
      <c r="H319" s="72"/>
      <c r="I319"/>
    </row>
    <row r="320" spans="1:9" x14ac:dyDescent="0.3">
      <c r="A320" s="15"/>
      <c r="B320" s="49"/>
      <c r="C320" s="72"/>
      <c r="D320" s="51"/>
      <c r="E320" s="16"/>
      <c r="F320" s="16"/>
      <c r="G320" s="51"/>
      <c r="H320" s="72"/>
      <c r="I320"/>
    </row>
    <row r="321" spans="1:9" x14ac:dyDescent="0.3">
      <c r="A321" s="15"/>
      <c r="B321" s="49"/>
      <c r="C321" s="72"/>
      <c r="D321" s="51"/>
      <c r="E321" s="16"/>
      <c r="F321" s="16"/>
      <c r="G321" s="51"/>
      <c r="H321" s="72"/>
      <c r="I321"/>
    </row>
    <row r="322" spans="1:9" x14ac:dyDescent="0.3">
      <c r="A322" s="15"/>
      <c r="B322" s="49"/>
      <c r="C322" s="72"/>
      <c r="D322" s="51"/>
      <c r="E322" s="16"/>
      <c r="F322" s="16"/>
      <c r="G322" s="51"/>
      <c r="H322" s="72"/>
      <c r="I322"/>
    </row>
    <row r="323" spans="1:9" x14ac:dyDescent="0.3">
      <c r="A323" s="15"/>
      <c r="B323" s="49"/>
      <c r="C323" s="72"/>
      <c r="D323" s="51"/>
      <c r="E323" s="16"/>
      <c r="F323" s="16"/>
      <c r="G323" s="51"/>
      <c r="H323" s="72"/>
      <c r="I323"/>
    </row>
    <row r="324" spans="1:9" x14ac:dyDescent="0.3">
      <c r="A324" s="15"/>
      <c r="B324" s="49"/>
      <c r="C324" s="72"/>
      <c r="D324" s="51"/>
      <c r="E324" s="16"/>
      <c r="F324" s="16"/>
      <c r="G324" s="51"/>
      <c r="H324" s="72"/>
      <c r="I324"/>
    </row>
    <row r="325" spans="1:9" x14ac:dyDescent="0.3">
      <c r="A325" s="15"/>
      <c r="B325" s="49"/>
      <c r="C325" s="72"/>
      <c r="D325" s="51"/>
      <c r="E325" s="16"/>
      <c r="F325" s="16"/>
      <c r="G325" s="51"/>
      <c r="H325" s="72"/>
      <c r="I325"/>
    </row>
    <row r="326" spans="1:9" x14ac:dyDescent="0.3">
      <c r="A326" s="15"/>
      <c r="B326" s="49"/>
      <c r="C326" s="72"/>
      <c r="D326" s="51"/>
      <c r="E326" s="16"/>
      <c r="F326" s="16"/>
      <c r="G326" s="51"/>
      <c r="H326" s="72"/>
      <c r="I326"/>
    </row>
    <row r="327" spans="1:9" x14ac:dyDescent="0.3">
      <c r="A327" s="15"/>
      <c r="B327" s="49"/>
      <c r="C327" s="72"/>
      <c r="D327" s="51"/>
      <c r="E327" s="16"/>
      <c r="F327" s="16"/>
      <c r="G327" s="51"/>
      <c r="H327" s="72"/>
      <c r="I327"/>
    </row>
    <row r="328" spans="1:9" x14ac:dyDescent="0.3">
      <c r="A328" s="15"/>
      <c r="B328" s="49"/>
      <c r="C328" s="72"/>
      <c r="D328" s="51"/>
      <c r="E328" s="16"/>
      <c r="F328" s="16"/>
      <c r="G328" s="51"/>
      <c r="H328" s="72"/>
      <c r="I328"/>
    </row>
    <row r="329" spans="1:9" x14ac:dyDescent="0.3">
      <c r="A329" s="15"/>
      <c r="B329" s="49"/>
      <c r="C329" s="72"/>
      <c r="D329" s="51"/>
      <c r="E329" s="16"/>
      <c r="F329" s="16"/>
      <c r="G329" s="51"/>
      <c r="H329" s="72"/>
      <c r="I329"/>
    </row>
    <row r="330" spans="1:9" x14ac:dyDescent="0.3">
      <c r="A330" s="15"/>
      <c r="B330" s="49"/>
      <c r="C330" s="72"/>
      <c r="D330" s="51"/>
      <c r="E330" s="16"/>
      <c r="F330" s="16"/>
      <c r="G330" s="51"/>
      <c r="H330" s="72"/>
      <c r="I330"/>
    </row>
    <row r="331" spans="1:9" x14ac:dyDescent="0.3">
      <c r="A331" s="17"/>
      <c r="B331" s="49"/>
      <c r="C331" s="72"/>
      <c r="D331" s="51"/>
      <c r="E331" s="16"/>
      <c r="F331" s="16"/>
      <c r="G331" s="51"/>
      <c r="H331" s="72"/>
      <c r="I331"/>
    </row>
    <row r="332" spans="1:9" x14ac:dyDescent="0.3">
      <c r="A332" s="17"/>
      <c r="B332" s="73"/>
      <c r="C332" s="72"/>
      <c r="D332" s="51"/>
      <c r="E332" s="16"/>
      <c r="F332" s="16"/>
      <c r="G332" s="51"/>
      <c r="H332" s="72"/>
      <c r="I332"/>
    </row>
    <row r="333" spans="1:9" x14ac:dyDescent="0.3">
      <c r="A333" s="17"/>
      <c r="B333" s="73"/>
      <c r="C333" s="72"/>
      <c r="D333" s="51"/>
      <c r="E333" s="16"/>
      <c r="F333" s="16"/>
      <c r="G333" s="51"/>
      <c r="H333" s="72"/>
      <c r="I333"/>
    </row>
    <row r="334" spans="1:9" x14ac:dyDescent="0.3">
      <c r="A334" s="17"/>
      <c r="B334" s="73"/>
      <c r="C334" s="72"/>
      <c r="D334" s="51"/>
      <c r="E334" s="16"/>
      <c r="F334" s="16"/>
      <c r="G334" s="72"/>
      <c r="H334" s="72"/>
      <c r="I334"/>
    </row>
    <row r="335" spans="1:9" x14ac:dyDescent="0.3">
      <c r="B335" s="73"/>
      <c r="C335" s="72"/>
      <c r="D335" s="51"/>
      <c r="E335" s="16"/>
      <c r="F335" s="16"/>
      <c r="G335" s="72"/>
      <c r="H335" s="72"/>
      <c r="I335"/>
    </row>
    <row r="336" spans="1:9" x14ac:dyDescent="0.3">
      <c r="B336" s="35"/>
      <c r="C336"/>
      <c r="D336"/>
      <c r="E336"/>
      <c r="F336"/>
      <c r="G336"/>
      <c r="H336"/>
      <c r="I336"/>
    </row>
    <row r="337" spans="2:9" x14ac:dyDescent="0.3">
      <c r="B337" s="35"/>
      <c r="C337"/>
      <c r="D337"/>
      <c r="E337"/>
      <c r="F337"/>
      <c r="G337"/>
      <c r="H337"/>
      <c r="I337"/>
    </row>
    <row r="338" spans="2:9" x14ac:dyDescent="0.3">
      <c r="B338" s="35"/>
      <c r="C338"/>
      <c r="D338"/>
      <c r="E338"/>
      <c r="F338"/>
      <c r="G338"/>
      <c r="H338"/>
      <c r="I338"/>
    </row>
    <row r="339" spans="2:9" x14ac:dyDescent="0.3">
      <c r="B339" s="35"/>
      <c r="C339"/>
      <c r="D339"/>
      <c r="E339"/>
      <c r="F339"/>
      <c r="G339"/>
      <c r="H339"/>
      <c r="I339"/>
    </row>
    <row r="340" spans="2:9" x14ac:dyDescent="0.3">
      <c r="B340" s="35"/>
      <c r="C340"/>
      <c r="D340"/>
      <c r="E340"/>
      <c r="F340"/>
      <c r="G340"/>
      <c r="H340"/>
      <c r="I340"/>
    </row>
    <row r="341" spans="2:9" x14ac:dyDescent="0.3">
      <c r="B341" s="35"/>
      <c r="C341"/>
      <c r="D341"/>
      <c r="E341"/>
      <c r="F341"/>
      <c r="G341"/>
      <c r="H341"/>
      <c r="I341"/>
    </row>
  </sheetData>
  <autoFilter ref="A5:G5" xr:uid="{648415E7-7801-4A2D-B864-11A7E475C409}"/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D8125-D515-43A7-80E0-50F2A41E8471}">
  <sheetPr codeName="Hoja4"/>
  <dimension ref="A1:AS201"/>
  <sheetViews>
    <sheetView topLeftCell="AR180" zoomScaleNormal="100" workbookViewId="0">
      <selection activeCell="AS201" sqref="AS192:AS201"/>
    </sheetView>
  </sheetViews>
  <sheetFormatPr baseColWidth="10" defaultRowHeight="14.4" x14ac:dyDescent="0.3"/>
  <cols>
    <col min="1" max="1" width="11.5546875" style="6"/>
    <col min="2" max="2" width="10.88671875" bestFit="1" customWidth="1"/>
    <col min="3" max="3" width="27.88671875" bestFit="1" customWidth="1"/>
    <col min="4" max="4" width="16.6640625" bestFit="1" customWidth="1"/>
    <col min="5" max="5" width="27.88671875" bestFit="1" customWidth="1"/>
    <col min="6" max="6" width="7.6640625" bestFit="1" customWidth="1"/>
    <col min="7" max="7" width="28.88671875" customWidth="1"/>
    <col min="8" max="8" width="9.6640625" bestFit="1" customWidth="1"/>
    <col min="9" max="9" width="19.109375" bestFit="1" customWidth="1"/>
    <col min="10" max="10" width="7.6640625" bestFit="1" customWidth="1"/>
    <col min="11" max="11" width="19.88671875" bestFit="1" customWidth="1"/>
    <col min="12" max="12" width="6" bestFit="1" customWidth="1"/>
    <col min="13" max="13" width="12.6640625" bestFit="1" customWidth="1"/>
    <col min="14" max="14" width="10.33203125" bestFit="1" customWidth="1"/>
    <col min="15" max="15" width="25.44140625" bestFit="1" customWidth="1"/>
    <col min="16" max="16" width="25.88671875" bestFit="1" customWidth="1"/>
    <col min="17" max="17" width="28.33203125" bestFit="1" customWidth="1"/>
    <col min="18" max="18" width="21" bestFit="1" customWidth="1"/>
    <col min="19" max="19" width="10.44140625" bestFit="1" customWidth="1"/>
    <col min="20" max="20" width="33.6640625" bestFit="1" customWidth="1"/>
    <col min="21" max="21" width="17.33203125" bestFit="1" customWidth="1"/>
    <col min="22" max="22" width="11.6640625" bestFit="1" customWidth="1"/>
    <col min="23" max="23" width="22.6640625" bestFit="1" customWidth="1"/>
    <col min="24" max="24" width="12.44140625" bestFit="1" customWidth="1"/>
    <col min="25" max="25" width="10" bestFit="1" customWidth="1"/>
    <col min="26" max="26" width="17" bestFit="1" customWidth="1"/>
    <col min="27" max="27" width="12.33203125" bestFit="1" customWidth="1"/>
    <col min="28" max="28" width="16.6640625" bestFit="1" customWidth="1"/>
    <col min="29" max="29" width="6.5546875" bestFit="1" customWidth="1"/>
    <col min="30" max="30" width="22" bestFit="1" customWidth="1"/>
    <col min="31" max="31" width="12.44140625" bestFit="1" customWidth="1"/>
    <col min="32" max="32" width="19" bestFit="1" customWidth="1"/>
    <col min="33" max="33" width="24.33203125" bestFit="1" customWidth="1"/>
    <col min="34" max="34" width="20.5546875" bestFit="1" customWidth="1"/>
    <col min="35" max="35" width="21.6640625" bestFit="1" customWidth="1"/>
    <col min="36" max="36" width="23.6640625" bestFit="1" customWidth="1"/>
    <col min="37" max="37" width="16.6640625" bestFit="1" customWidth="1"/>
    <col min="38" max="38" width="20.33203125" bestFit="1" customWidth="1"/>
    <col min="39" max="41" width="13.6640625" bestFit="1" customWidth="1"/>
    <col min="42" max="42" width="33.109375" bestFit="1" customWidth="1"/>
    <col min="43" max="43" width="24" bestFit="1" customWidth="1"/>
    <col min="44" max="44" width="37.33203125" bestFit="1" customWidth="1"/>
    <col min="45" max="45" width="37.33203125" style="1" customWidth="1"/>
  </cols>
  <sheetData>
    <row r="1" spans="1:45" x14ac:dyDescent="0.3">
      <c r="A1" t="s">
        <v>1529</v>
      </c>
    </row>
    <row r="2" spans="1:45" ht="18" x14ac:dyDescent="0.35">
      <c r="A2"/>
      <c r="G2" s="2" t="s">
        <v>10</v>
      </c>
    </row>
    <row r="3" spans="1:45" x14ac:dyDescent="0.3">
      <c r="A3"/>
    </row>
    <row r="4" spans="1:45" ht="15.6" x14ac:dyDescent="0.3">
      <c r="A4"/>
      <c r="G4" s="4" t="s">
        <v>11</v>
      </c>
    </row>
    <row r="5" spans="1:45" x14ac:dyDescent="0.3">
      <c r="A5"/>
    </row>
    <row r="6" spans="1:45" x14ac:dyDescent="0.3">
      <c r="A6"/>
      <c r="G6" s="3" t="s">
        <v>12</v>
      </c>
    </row>
    <row r="7" spans="1:45" x14ac:dyDescent="0.3">
      <c r="A7"/>
      <c r="T7" s="5" t="s">
        <v>135</v>
      </c>
      <c r="W7" s="5" t="s">
        <v>139</v>
      </c>
      <c r="X7" s="38">
        <f>X88+Y88</f>
        <v>61128.05</v>
      </c>
      <c r="Y7">
        <f>Y88*CARTERA!P5</f>
        <v>0</v>
      </c>
      <c r="Z7" s="38">
        <f>AB83+Z83</f>
        <v>37187.5</v>
      </c>
      <c r="AA7" s="1">
        <f>Z7*CARTERA!P5</f>
        <v>0</v>
      </c>
      <c r="AB7" s="46">
        <f>AA7-ANTIGÜEDAD!AR53</f>
        <v>-197219.85</v>
      </c>
      <c r="AF7" t="e">
        <f>S7/Q7</f>
        <v>#DIV/0!</v>
      </c>
    </row>
    <row r="8" spans="1:45" ht="55.2" customHeight="1" x14ac:dyDescent="0.3">
      <c r="A8" s="14" t="s">
        <v>100</v>
      </c>
      <c r="B8" s="99" t="s">
        <v>2039</v>
      </c>
      <c r="C8" s="99" t="s">
        <v>2040</v>
      </c>
      <c r="D8" s="99" t="s">
        <v>2041</v>
      </c>
      <c r="E8" s="105" t="s">
        <v>128</v>
      </c>
      <c r="F8" s="99" t="s">
        <v>129</v>
      </c>
      <c r="G8" s="99" t="s">
        <v>130</v>
      </c>
      <c r="H8" s="99" t="s">
        <v>131</v>
      </c>
      <c r="I8" s="99" t="s">
        <v>132</v>
      </c>
      <c r="J8" s="100" t="s">
        <v>13</v>
      </c>
      <c r="K8" s="100" t="s">
        <v>15</v>
      </c>
      <c r="L8" s="100" t="s">
        <v>16</v>
      </c>
      <c r="M8" s="100" t="s">
        <v>17</v>
      </c>
      <c r="N8" s="99" t="s">
        <v>133</v>
      </c>
      <c r="O8" s="100" t="s">
        <v>18</v>
      </c>
      <c r="P8" s="100" t="s">
        <v>19</v>
      </c>
      <c r="Q8" s="100" t="s">
        <v>20</v>
      </c>
      <c r="R8" s="100" t="s">
        <v>21</v>
      </c>
      <c r="S8" s="101" t="s">
        <v>134</v>
      </c>
      <c r="T8" s="101" t="s">
        <v>136</v>
      </c>
      <c r="U8" s="101" t="s">
        <v>137</v>
      </c>
      <c r="V8" s="101" t="s">
        <v>138</v>
      </c>
      <c r="W8" s="101" t="s">
        <v>140</v>
      </c>
      <c r="X8" s="102" t="s">
        <v>14</v>
      </c>
      <c r="Y8" s="102" t="s">
        <v>22</v>
      </c>
      <c r="Z8" s="101" t="s">
        <v>141</v>
      </c>
      <c r="AA8" s="102" t="s">
        <v>23</v>
      </c>
      <c r="AB8" s="101" t="s">
        <v>142</v>
      </c>
      <c r="AC8" s="102" t="s">
        <v>23</v>
      </c>
      <c r="AD8" s="102" t="s">
        <v>24</v>
      </c>
      <c r="AE8" s="102" t="s">
        <v>25</v>
      </c>
      <c r="AF8" s="102" t="s">
        <v>26</v>
      </c>
      <c r="AG8" s="103" t="s">
        <v>27</v>
      </c>
      <c r="AH8" s="103" t="s">
        <v>28</v>
      </c>
      <c r="AI8" s="104" t="s">
        <v>29</v>
      </c>
      <c r="AJ8" s="104" t="s">
        <v>30</v>
      </c>
      <c r="AK8" s="104" t="s">
        <v>31</v>
      </c>
      <c r="AL8" s="104" t="s">
        <v>32</v>
      </c>
      <c r="AM8" s="100" t="s">
        <v>33</v>
      </c>
      <c r="AN8" s="100" t="s">
        <v>34</v>
      </c>
      <c r="AO8" s="100" t="s">
        <v>35</v>
      </c>
      <c r="AP8" s="100" t="s">
        <v>36</v>
      </c>
      <c r="AQ8" s="100" t="s">
        <v>37</v>
      </c>
      <c r="AR8" s="100" t="s">
        <v>38</v>
      </c>
      <c r="AS8" s="116" t="s">
        <v>1170</v>
      </c>
    </row>
    <row r="9" spans="1:45" x14ac:dyDescent="0.3">
      <c r="A9" s="6" t="str">
        <f>J9</f>
        <v>000005</v>
      </c>
      <c r="B9" s="35" t="s">
        <v>148</v>
      </c>
      <c r="C9" s="35" t="s">
        <v>149</v>
      </c>
      <c r="D9" s="35" t="s">
        <v>148</v>
      </c>
      <c r="E9" s="35" t="s">
        <v>149</v>
      </c>
      <c r="F9" s="35" t="s">
        <v>41</v>
      </c>
      <c r="G9" s="35" t="s">
        <v>42</v>
      </c>
      <c r="H9" s="35" t="s">
        <v>43</v>
      </c>
      <c r="I9" s="35" t="s">
        <v>44</v>
      </c>
      <c r="J9" s="35" t="s">
        <v>150</v>
      </c>
      <c r="K9" s="35" t="s">
        <v>110</v>
      </c>
      <c r="L9" s="35" t="s">
        <v>47</v>
      </c>
      <c r="M9" s="35" t="s">
        <v>48</v>
      </c>
      <c r="N9" s="35" t="s">
        <v>49</v>
      </c>
      <c r="O9" s="35" t="s">
        <v>50</v>
      </c>
      <c r="P9" s="35" t="s">
        <v>51</v>
      </c>
      <c r="Q9" s="35"/>
      <c r="R9" s="35"/>
      <c r="S9" s="38">
        <v>154000</v>
      </c>
      <c r="T9" s="38">
        <v>105875</v>
      </c>
      <c r="U9" s="38">
        <v>22870.100000000002</v>
      </c>
      <c r="V9" s="38">
        <v>33265.64</v>
      </c>
      <c r="W9" s="38">
        <v>105875</v>
      </c>
      <c r="X9" s="38">
        <v>22905.200000000001</v>
      </c>
      <c r="Y9" s="38">
        <v>48125</v>
      </c>
      <c r="Z9" s="38">
        <v>0</v>
      </c>
      <c r="AA9" s="38">
        <v>0</v>
      </c>
      <c r="AB9" s="38">
        <v>48125</v>
      </c>
      <c r="AC9" s="38">
        <v>100</v>
      </c>
      <c r="AD9" s="38">
        <v>10395.5</v>
      </c>
      <c r="AE9" s="38">
        <v>9625</v>
      </c>
      <c r="AF9" s="38">
        <v>0</v>
      </c>
      <c r="AG9" s="123">
        <v>45880</v>
      </c>
      <c r="AH9" s="123">
        <v>45992</v>
      </c>
      <c r="AI9" s="120">
        <v>0</v>
      </c>
      <c r="AJ9" s="120">
        <v>0</v>
      </c>
      <c r="AK9" s="120">
        <v>0</v>
      </c>
      <c r="AL9" s="120">
        <v>0</v>
      </c>
      <c r="AM9" s="35"/>
      <c r="AN9" s="35"/>
      <c r="AO9" s="35"/>
      <c r="AP9" s="35" t="s">
        <v>52</v>
      </c>
      <c r="AQ9" s="35">
        <v>6</v>
      </c>
      <c r="AR9" s="35">
        <v>0</v>
      </c>
      <c r="AS9" s="1">
        <f>W9+X9</f>
        <v>128780.2</v>
      </c>
    </row>
    <row r="10" spans="1:45" x14ac:dyDescent="0.3">
      <c r="A10" s="6" t="str">
        <f>J10</f>
        <v>000007</v>
      </c>
      <c r="B10" s="35" t="s">
        <v>148</v>
      </c>
      <c r="C10" s="35" t="s">
        <v>149</v>
      </c>
      <c r="D10" s="35" t="s">
        <v>148</v>
      </c>
      <c r="E10" s="35" t="s">
        <v>149</v>
      </c>
      <c r="F10" s="35" t="s">
        <v>41</v>
      </c>
      <c r="G10" s="35" t="s">
        <v>42</v>
      </c>
      <c r="H10" s="35" t="s">
        <v>43</v>
      </c>
      <c r="I10" s="35" t="s">
        <v>44</v>
      </c>
      <c r="J10" s="35" t="s">
        <v>152</v>
      </c>
      <c r="K10" s="35" t="s">
        <v>107</v>
      </c>
      <c r="L10" s="35" t="s">
        <v>47</v>
      </c>
      <c r="M10" s="35" t="s">
        <v>48</v>
      </c>
      <c r="N10" s="35" t="s">
        <v>49</v>
      </c>
      <c r="O10" s="35" t="s">
        <v>50</v>
      </c>
      <c r="P10" s="35" t="s">
        <v>51</v>
      </c>
      <c r="Q10" s="35"/>
      <c r="R10" s="35"/>
      <c r="S10" s="38">
        <v>143000</v>
      </c>
      <c r="T10" s="38">
        <v>98312.5</v>
      </c>
      <c r="U10" s="38">
        <v>21236.600000000002</v>
      </c>
      <c r="V10" s="38">
        <v>30889.53</v>
      </c>
      <c r="W10" s="38">
        <v>98311.66</v>
      </c>
      <c r="X10" s="38">
        <v>21236.54</v>
      </c>
      <c r="Y10" s="38">
        <v>44688.340000000004</v>
      </c>
      <c r="Z10" s="38">
        <v>0</v>
      </c>
      <c r="AA10" s="38">
        <v>0</v>
      </c>
      <c r="AB10" s="38">
        <v>44688.340000000004</v>
      </c>
      <c r="AC10" s="38">
        <v>100</v>
      </c>
      <c r="AD10" s="38">
        <v>9653</v>
      </c>
      <c r="AE10" s="38">
        <v>8937.5</v>
      </c>
      <c r="AF10" s="38">
        <v>0</v>
      </c>
      <c r="AG10" s="123">
        <v>45880</v>
      </c>
      <c r="AH10" s="123">
        <v>45992</v>
      </c>
      <c r="AI10" s="120">
        <v>0</v>
      </c>
      <c r="AJ10" s="120">
        <v>0</v>
      </c>
      <c r="AK10" s="120">
        <v>0</v>
      </c>
      <c r="AL10" s="120">
        <v>0</v>
      </c>
      <c r="AM10" s="35"/>
      <c r="AN10" s="35"/>
      <c r="AO10" s="35"/>
      <c r="AP10" s="35" t="s">
        <v>52</v>
      </c>
      <c r="AQ10" s="35">
        <v>5</v>
      </c>
      <c r="AR10" s="35">
        <v>0</v>
      </c>
      <c r="AS10" s="1">
        <f t="shared" ref="AS10:AS73" si="0">W10+X10</f>
        <v>119548.20000000001</v>
      </c>
    </row>
    <row r="11" spans="1:45" x14ac:dyDescent="0.3">
      <c r="A11" s="6" t="str">
        <f t="shared" ref="A11:A74" si="1">J11</f>
        <v>000008</v>
      </c>
      <c r="B11" s="35" t="s">
        <v>148</v>
      </c>
      <c r="C11" s="35" t="s">
        <v>149</v>
      </c>
      <c r="D11" s="35" t="s">
        <v>148</v>
      </c>
      <c r="E11" s="35" t="s">
        <v>149</v>
      </c>
      <c r="F11" s="35" t="s">
        <v>41</v>
      </c>
      <c r="G11" s="35" t="s">
        <v>42</v>
      </c>
      <c r="H11" s="35" t="s">
        <v>43</v>
      </c>
      <c r="I11" s="35" t="s">
        <v>44</v>
      </c>
      <c r="J11" s="35" t="s">
        <v>158</v>
      </c>
      <c r="K11" s="35" t="s">
        <v>105</v>
      </c>
      <c r="L11" s="35" t="s">
        <v>47</v>
      </c>
      <c r="M11" s="35" t="s">
        <v>48</v>
      </c>
      <c r="N11" s="35" t="s">
        <v>49</v>
      </c>
      <c r="O11" s="35" t="s">
        <v>50</v>
      </c>
      <c r="P11" s="35" t="s">
        <v>51</v>
      </c>
      <c r="Q11" s="35"/>
      <c r="R11" s="35"/>
      <c r="S11" s="38">
        <v>125000</v>
      </c>
      <c r="T11" s="38">
        <v>85937.5</v>
      </c>
      <c r="U11" s="38">
        <v>18563.38</v>
      </c>
      <c r="V11" s="38">
        <v>27001.33</v>
      </c>
      <c r="W11" s="38">
        <v>85936.74</v>
      </c>
      <c r="X11" s="38">
        <v>18563.420000000002</v>
      </c>
      <c r="Y11" s="38">
        <v>39063.26</v>
      </c>
      <c r="Z11" s="38">
        <v>0</v>
      </c>
      <c r="AA11" s="38">
        <v>0</v>
      </c>
      <c r="AB11" s="38">
        <v>39063.26</v>
      </c>
      <c r="AC11" s="38">
        <v>100</v>
      </c>
      <c r="AD11" s="38">
        <v>8437.9</v>
      </c>
      <c r="AE11" s="38">
        <v>7812.5</v>
      </c>
      <c r="AF11" s="38">
        <v>0</v>
      </c>
      <c r="AG11" s="123">
        <v>45880</v>
      </c>
      <c r="AH11" s="123">
        <v>45992</v>
      </c>
      <c r="AI11" s="120">
        <v>0</v>
      </c>
      <c r="AJ11" s="120">
        <v>0</v>
      </c>
      <c r="AK11" s="120">
        <v>0</v>
      </c>
      <c r="AL11" s="120">
        <v>0</v>
      </c>
      <c r="AM11" s="35"/>
      <c r="AN11" s="35"/>
      <c r="AO11" s="35"/>
      <c r="AP11" s="35" t="s">
        <v>52</v>
      </c>
      <c r="AQ11" s="35">
        <v>12</v>
      </c>
      <c r="AR11" s="35">
        <v>0</v>
      </c>
      <c r="AS11" s="1">
        <f t="shared" si="0"/>
        <v>104500.16</v>
      </c>
    </row>
    <row r="12" spans="1:45" x14ac:dyDescent="0.3">
      <c r="A12" s="6" t="str">
        <f t="shared" si="1"/>
        <v>000012</v>
      </c>
      <c r="B12" s="35" t="s">
        <v>148</v>
      </c>
      <c r="C12" s="35" t="s">
        <v>149</v>
      </c>
      <c r="D12" s="35" t="s">
        <v>148</v>
      </c>
      <c r="E12" s="35" t="s">
        <v>149</v>
      </c>
      <c r="F12" s="35" t="s">
        <v>41</v>
      </c>
      <c r="G12" s="35" t="s">
        <v>42</v>
      </c>
      <c r="H12" s="35" t="s">
        <v>43</v>
      </c>
      <c r="I12" s="35" t="s">
        <v>44</v>
      </c>
      <c r="J12" s="35" t="s">
        <v>398</v>
      </c>
      <c r="K12" s="35" t="s">
        <v>174</v>
      </c>
      <c r="L12" s="35" t="s">
        <v>47</v>
      </c>
      <c r="M12" s="35" t="s">
        <v>48</v>
      </c>
      <c r="N12" s="35" t="s">
        <v>43</v>
      </c>
      <c r="O12" s="35" t="s">
        <v>486</v>
      </c>
      <c r="P12" s="35" t="s">
        <v>486</v>
      </c>
      <c r="Q12" s="35"/>
      <c r="R12" s="35"/>
      <c r="S12" s="38">
        <v>51000</v>
      </c>
      <c r="T12" s="38">
        <v>31875</v>
      </c>
      <c r="U12" s="38">
        <v>6946.8</v>
      </c>
      <c r="V12" s="38">
        <v>11114.9</v>
      </c>
      <c r="W12" s="38">
        <v>31873.360000000001</v>
      </c>
      <c r="X12" s="38">
        <v>6946.82</v>
      </c>
      <c r="Y12" s="38">
        <v>19126.64</v>
      </c>
      <c r="Z12" s="38">
        <v>0</v>
      </c>
      <c r="AA12" s="38">
        <v>0</v>
      </c>
      <c r="AB12" s="38">
        <v>19126.64</v>
      </c>
      <c r="AC12" s="38">
        <v>100</v>
      </c>
      <c r="AD12" s="38">
        <v>4327.9400000000005</v>
      </c>
      <c r="AE12" s="38">
        <v>3187.5</v>
      </c>
      <c r="AF12" s="38">
        <v>0</v>
      </c>
      <c r="AG12" s="123">
        <v>45888</v>
      </c>
      <c r="AH12" s="123">
        <v>46001</v>
      </c>
      <c r="AI12" s="120">
        <v>0</v>
      </c>
      <c r="AJ12" s="120">
        <v>0</v>
      </c>
      <c r="AK12" s="120">
        <v>0</v>
      </c>
      <c r="AL12" s="120">
        <v>0</v>
      </c>
      <c r="AM12" s="35"/>
      <c r="AN12" s="35"/>
      <c r="AO12" s="35"/>
      <c r="AP12" s="35" t="s">
        <v>52</v>
      </c>
      <c r="AQ12" s="35">
        <v>5</v>
      </c>
      <c r="AR12" s="35">
        <v>0</v>
      </c>
      <c r="AS12" s="1">
        <f t="shared" si="0"/>
        <v>38820.18</v>
      </c>
    </row>
    <row r="13" spans="1:45" x14ac:dyDescent="0.3">
      <c r="A13" s="6" t="str">
        <f t="shared" si="1"/>
        <v>000032</v>
      </c>
      <c r="B13" s="35" t="s">
        <v>148</v>
      </c>
      <c r="C13" s="35" t="s">
        <v>149</v>
      </c>
      <c r="D13" s="35" t="s">
        <v>148</v>
      </c>
      <c r="E13" s="35" t="s">
        <v>149</v>
      </c>
      <c r="F13" s="35" t="s">
        <v>41</v>
      </c>
      <c r="G13" s="35" t="s">
        <v>42</v>
      </c>
      <c r="H13" s="35" t="s">
        <v>43</v>
      </c>
      <c r="I13" s="35" t="s">
        <v>44</v>
      </c>
      <c r="J13" s="35" t="s">
        <v>491</v>
      </c>
      <c r="K13" s="35" t="s">
        <v>436</v>
      </c>
      <c r="L13" s="35" t="s">
        <v>47</v>
      </c>
      <c r="M13" s="35" t="s">
        <v>48</v>
      </c>
      <c r="N13" s="35" t="s">
        <v>43</v>
      </c>
      <c r="O13" s="35" t="s">
        <v>558</v>
      </c>
      <c r="P13" s="35" t="s">
        <v>209</v>
      </c>
      <c r="Q13" s="35"/>
      <c r="R13" s="35"/>
      <c r="S13" s="38">
        <v>167000</v>
      </c>
      <c r="T13" s="38">
        <v>104375</v>
      </c>
      <c r="U13" s="38">
        <v>22546.100000000002</v>
      </c>
      <c r="V13" s="38">
        <v>36073.78</v>
      </c>
      <c r="W13" s="38">
        <v>93937.5</v>
      </c>
      <c r="X13" s="38">
        <v>20322.5</v>
      </c>
      <c r="Y13" s="38">
        <v>73062.5</v>
      </c>
      <c r="Z13" s="38">
        <v>10437.5</v>
      </c>
      <c r="AA13" s="38">
        <v>14.285714285714286</v>
      </c>
      <c r="AB13" s="38">
        <v>62625</v>
      </c>
      <c r="AC13" s="38">
        <v>85.714285714285708</v>
      </c>
      <c r="AD13" s="38">
        <v>13527.66</v>
      </c>
      <c r="AE13" s="38">
        <v>10437.5</v>
      </c>
      <c r="AF13" s="38">
        <v>1</v>
      </c>
      <c r="AG13" s="123">
        <v>45891</v>
      </c>
      <c r="AH13" s="123">
        <v>46003</v>
      </c>
      <c r="AI13" s="120">
        <v>0</v>
      </c>
      <c r="AJ13" s="120">
        <v>0</v>
      </c>
      <c r="AK13" s="120">
        <v>0</v>
      </c>
      <c r="AL13" s="120">
        <v>0</v>
      </c>
      <c r="AM13" s="35"/>
      <c r="AN13" s="35"/>
      <c r="AO13" s="35"/>
      <c r="AP13" s="35" t="s">
        <v>52</v>
      </c>
      <c r="AQ13" s="35">
        <v>6</v>
      </c>
      <c r="AR13" s="35">
        <v>0</v>
      </c>
      <c r="AS13" s="1">
        <f t="shared" si="0"/>
        <v>114260</v>
      </c>
    </row>
    <row r="14" spans="1:45" x14ac:dyDescent="0.3">
      <c r="A14" s="6" t="str">
        <f t="shared" si="1"/>
        <v>000035</v>
      </c>
      <c r="B14" s="35" t="s">
        <v>148</v>
      </c>
      <c r="C14" s="35" t="s">
        <v>149</v>
      </c>
      <c r="D14" s="35" t="s">
        <v>148</v>
      </c>
      <c r="E14" s="35" t="s">
        <v>149</v>
      </c>
      <c r="F14" s="35" t="s">
        <v>41</v>
      </c>
      <c r="G14" s="35" t="s">
        <v>42</v>
      </c>
      <c r="H14" s="35" t="s">
        <v>43</v>
      </c>
      <c r="I14" s="35" t="s">
        <v>44</v>
      </c>
      <c r="J14" s="35" t="s">
        <v>568</v>
      </c>
      <c r="K14" s="35" t="s">
        <v>569</v>
      </c>
      <c r="L14" s="35" t="s">
        <v>47</v>
      </c>
      <c r="M14" s="35" t="s">
        <v>48</v>
      </c>
      <c r="N14" s="35" t="s">
        <v>43</v>
      </c>
      <c r="O14" s="35" t="s">
        <v>594</v>
      </c>
      <c r="P14" s="35" t="s">
        <v>51</v>
      </c>
      <c r="Q14" s="35"/>
      <c r="R14" s="35"/>
      <c r="S14" s="38">
        <v>129000</v>
      </c>
      <c r="T14" s="38">
        <v>72562.5</v>
      </c>
      <c r="U14" s="38">
        <v>15674.31</v>
      </c>
      <c r="V14" s="38">
        <v>27865.38</v>
      </c>
      <c r="W14" s="38">
        <v>72561.740000000005</v>
      </c>
      <c r="X14" s="38">
        <v>15674.26</v>
      </c>
      <c r="Y14" s="38">
        <v>56438.26</v>
      </c>
      <c r="Z14" s="38">
        <v>0</v>
      </c>
      <c r="AA14" s="38">
        <v>0</v>
      </c>
      <c r="AB14" s="38">
        <v>56438.26</v>
      </c>
      <c r="AC14" s="38">
        <v>100</v>
      </c>
      <c r="AD14" s="38">
        <v>12191.130000000001</v>
      </c>
      <c r="AE14" s="38">
        <v>8062.5</v>
      </c>
      <c r="AF14" s="38">
        <v>0</v>
      </c>
      <c r="AG14" s="123">
        <v>45895</v>
      </c>
      <c r="AH14" s="123">
        <v>46007</v>
      </c>
      <c r="AI14" s="120">
        <v>0</v>
      </c>
      <c r="AJ14" s="120">
        <v>0</v>
      </c>
      <c r="AK14" s="120">
        <v>0</v>
      </c>
      <c r="AL14" s="120">
        <v>0</v>
      </c>
      <c r="AM14" s="35"/>
      <c r="AN14" s="35"/>
      <c r="AO14" s="35"/>
      <c r="AP14" s="35" t="s">
        <v>52</v>
      </c>
      <c r="AQ14" s="35">
        <v>7</v>
      </c>
      <c r="AR14" s="35">
        <v>0</v>
      </c>
      <c r="AS14" s="1">
        <f t="shared" si="0"/>
        <v>88236</v>
      </c>
    </row>
    <row r="15" spans="1:45" x14ac:dyDescent="0.3">
      <c r="A15" s="6" t="str">
        <f t="shared" si="1"/>
        <v>000040</v>
      </c>
      <c r="B15" s="35" t="s">
        <v>148</v>
      </c>
      <c r="C15" s="35" t="s">
        <v>149</v>
      </c>
      <c r="D15" s="35" t="s">
        <v>148</v>
      </c>
      <c r="E15" s="35" t="s">
        <v>149</v>
      </c>
      <c r="F15" s="35" t="s">
        <v>41</v>
      </c>
      <c r="G15" s="35" t="s">
        <v>42</v>
      </c>
      <c r="H15" s="35" t="s">
        <v>43</v>
      </c>
      <c r="I15" s="35" t="s">
        <v>44</v>
      </c>
      <c r="J15" s="35" t="s">
        <v>598</v>
      </c>
      <c r="K15" s="35" t="s">
        <v>599</v>
      </c>
      <c r="L15" s="35" t="s">
        <v>47</v>
      </c>
      <c r="M15" s="35" t="s">
        <v>48</v>
      </c>
      <c r="N15" s="35" t="s">
        <v>43</v>
      </c>
      <c r="O15" s="35" t="s">
        <v>594</v>
      </c>
      <c r="P15" s="35" t="s">
        <v>51</v>
      </c>
      <c r="Q15" s="35"/>
      <c r="R15" s="35"/>
      <c r="S15" s="38">
        <v>95000</v>
      </c>
      <c r="T15" s="38">
        <v>53437.5</v>
      </c>
      <c r="U15" s="38">
        <v>11543.04</v>
      </c>
      <c r="V15" s="38">
        <v>20521.010000000002</v>
      </c>
      <c r="W15" s="38">
        <v>53436.93</v>
      </c>
      <c r="X15" s="38">
        <v>11543.07</v>
      </c>
      <c r="Y15" s="38">
        <v>41563.07</v>
      </c>
      <c r="Z15" s="38">
        <v>0</v>
      </c>
      <c r="AA15" s="38">
        <v>0</v>
      </c>
      <c r="AB15" s="38">
        <v>41563.07</v>
      </c>
      <c r="AC15" s="38">
        <v>100</v>
      </c>
      <c r="AD15" s="38">
        <v>8977.92</v>
      </c>
      <c r="AE15" s="38">
        <v>5937.5</v>
      </c>
      <c r="AF15" s="38">
        <v>0</v>
      </c>
      <c r="AG15" s="123">
        <v>45896</v>
      </c>
      <c r="AH15" s="123">
        <v>46008</v>
      </c>
      <c r="AI15" s="120">
        <v>0</v>
      </c>
      <c r="AJ15" s="120">
        <v>0</v>
      </c>
      <c r="AK15" s="120">
        <v>0</v>
      </c>
      <c r="AL15" s="120">
        <v>0</v>
      </c>
      <c r="AM15" s="35"/>
      <c r="AN15" s="35"/>
      <c r="AO15" s="35"/>
      <c r="AP15" s="35" t="s">
        <v>52</v>
      </c>
      <c r="AQ15" s="35">
        <v>5</v>
      </c>
      <c r="AR15" s="35">
        <v>0</v>
      </c>
      <c r="AS15" s="1">
        <f t="shared" si="0"/>
        <v>64980</v>
      </c>
    </row>
    <row r="16" spans="1:45" x14ac:dyDescent="0.3">
      <c r="A16" s="6" t="str">
        <f t="shared" si="1"/>
        <v>000051</v>
      </c>
      <c r="B16" s="35" t="s">
        <v>148</v>
      </c>
      <c r="C16" s="35" t="s">
        <v>149</v>
      </c>
      <c r="D16" s="35" t="s">
        <v>148</v>
      </c>
      <c r="E16" s="35" t="s">
        <v>149</v>
      </c>
      <c r="F16" s="35" t="s">
        <v>41</v>
      </c>
      <c r="G16" s="35" t="s">
        <v>42</v>
      </c>
      <c r="H16" s="35" t="s">
        <v>43</v>
      </c>
      <c r="I16" s="35" t="s">
        <v>44</v>
      </c>
      <c r="J16" s="35" t="s">
        <v>673</v>
      </c>
      <c r="K16" s="35" t="s">
        <v>674</v>
      </c>
      <c r="L16" s="35" t="s">
        <v>47</v>
      </c>
      <c r="M16" s="35" t="s">
        <v>48</v>
      </c>
      <c r="N16" s="35" t="s">
        <v>43</v>
      </c>
      <c r="O16" s="35" t="s">
        <v>594</v>
      </c>
      <c r="P16" s="35" t="s">
        <v>51</v>
      </c>
      <c r="Q16" s="35"/>
      <c r="R16" s="35"/>
      <c r="S16" s="38">
        <v>51000</v>
      </c>
      <c r="T16" s="38">
        <v>28687.5</v>
      </c>
      <c r="U16" s="38">
        <v>6196.77</v>
      </c>
      <c r="V16" s="38">
        <v>11016.54</v>
      </c>
      <c r="W16" s="38">
        <v>28687.5</v>
      </c>
      <c r="X16" s="38">
        <v>6200.5</v>
      </c>
      <c r="Y16" s="38">
        <v>22312.5</v>
      </c>
      <c r="Z16" s="38">
        <v>0</v>
      </c>
      <c r="AA16" s="38">
        <v>0</v>
      </c>
      <c r="AB16" s="38">
        <v>22312.5</v>
      </c>
      <c r="AC16" s="38">
        <v>100</v>
      </c>
      <c r="AD16" s="38">
        <v>4819.71</v>
      </c>
      <c r="AE16" s="38">
        <v>3187.5</v>
      </c>
      <c r="AF16" s="38">
        <v>0</v>
      </c>
      <c r="AG16" s="123">
        <v>45898</v>
      </c>
      <c r="AH16" s="123">
        <v>46010</v>
      </c>
      <c r="AI16" s="120">
        <v>0</v>
      </c>
      <c r="AJ16" s="120">
        <v>0</v>
      </c>
      <c r="AK16" s="120">
        <v>0</v>
      </c>
      <c r="AL16" s="120">
        <v>0</v>
      </c>
      <c r="AM16" s="35"/>
      <c r="AN16" s="35"/>
      <c r="AO16" s="35"/>
      <c r="AP16" s="35" t="s">
        <v>52</v>
      </c>
      <c r="AQ16" s="35">
        <v>5</v>
      </c>
      <c r="AR16" s="35">
        <v>0</v>
      </c>
      <c r="AS16" s="1">
        <f t="shared" si="0"/>
        <v>34888</v>
      </c>
    </row>
    <row r="17" spans="1:45" x14ac:dyDescent="0.3">
      <c r="A17" s="6" t="str">
        <f t="shared" si="1"/>
        <v>000061</v>
      </c>
      <c r="B17" s="35" t="s">
        <v>148</v>
      </c>
      <c r="C17" s="35" t="s">
        <v>149</v>
      </c>
      <c r="D17" s="35" t="s">
        <v>148</v>
      </c>
      <c r="E17" s="35" t="s">
        <v>149</v>
      </c>
      <c r="F17" s="35" t="s">
        <v>41</v>
      </c>
      <c r="G17" s="35" t="s">
        <v>42</v>
      </c>
      <c r="H17" s="35" t="s">
        <v>43</v>
      </c>
      <c r="I17" s="35" t="s">
        <v>44</v>
      </c>
      <c r="J17" s="35" t="s">
        <v>848</v>
      </c>
      <c r="K17" s="35" t="s">
        <v>829</v>
      </c>
      <c r="L17" s="35" t="s">
        <v>47</v>
      </c>
      <c r="M17" s="35" t="s">
        <v>48</v>
      </c>
      <c r="N17" s="35" t="s">
        <v>43</v>
      </c>
      <c r="O17" s="35" t="s">
        <v>594</v>
      </c>
      <c r="P17" s="35" t="s">
        <v>51</v>
      </c>
      <c r="Q17" s="35"/>
      <c r="R17" s="35"/>
      <c r="S17" s="38">
        <v>50000</v>
      </c>
      <c r="T17" s="38">
        <v>25000</v>
      </c>
      <c r="U17" s="38">
        <v>5400.24</v>
      </c>
      <c r="V17" s="38">
        <v>10800.53</v>
      </c>
      <c r="W17" s="38">
        <v>25000</v>
      </c>
      <c r="X17" s="38">
        <v>5405.02</v>
      </c>
      <c r="Y17" s="38">
        <v>25000</v>
      </c>
      <c r="Z17" s="38">
        <v>0</v>
      </c>
      <c r="AA17" s="38">
        <v>0</v>
      </c>
      <c r="AB17" s="38">
        <v>25000</v>
      </c>
      <c r="AC17" s="38">
        <v>100</v>
      </c>
      <c r="AD17" s="38">
        <v>5400.24</v>
      </c>
      <c r="AE17" s="38">
        <v>3125</v>
      </c>
      <c r="AF17" s="38">
        <v>0</v>
      </c>
      <c r="AG17" s="123">
        <v>45905</v>
      </c>
      <c r="AH17" s="123">
        <v>46017</v>
      </c>
      <c r="AI17" s="120">
        <v>0</v>
      </c>
      <c r="AJ17" s="120">
        <v>0</v>
      </c>
      <c r="AK17" s="120">
        <v>0</v>
      </c>
      <c r="AL17" s="120">
        <v>0</v>
      </c>
      <c r="AM17" s="35"/>
      <c r="AN17" s="35"/>
      <c r="AO17" s="35"/>
      <c r="AP17" s="35" t="s">
        <v>52</v>
      </c>
      <c r="AQ17" s="35">
        <v>5</v>
      </c>
      <c r="AR17" s="35">
        <v>0</v>
      </c>
      <c r="AS17" s="1">
        <f t="shared" si="0"/>
        <v>30405.02</v>
      </c>
    </row>
    <row r="18" spans="1:45" x14ac:dyDescent="0.3">
      <c r="A18" s="6" t="str">
        <f t="shared" si="1"/>
        <v>000085</v>
      </c>
      <c r="B18" s="35" t="s">
        <v>148</v>
      </c>
      <c r="C18" s="35" t="s">
        <v>149</v>
      </c>
      <c r="D18" s="35" t="s">
        <v>148</v>
      </c>
      <c r="E18" s="35" t="s">
        <v>149</v>
      </c>
      <c r="F18" s="35" t="s">
        <v>41</v>
      </c>
      <c r="G18" s="35" t="s">
        <v>42</v>
      </c>
      <c r="H18" s="35" t="s">
        <v>43</v>
      </c>
      <c r="I18" s="35" t="s">
        <v>44</v>
      </c>
      <c r="J18" s="35" t="s">
        <v>1006</v>
      </c>
      <c r="K18" s="35" t="s">
        <v>983</v>
      </c>
      <c r="L18" s="35" t="s">
        <v>47</v>
      </c>
      <c r="M18" s="35" t="s">
        <v>48</v>
      </c>
      <c r="N18" s="35" t="s">
        <v>43</v>
      </c>
      <c r="O18" s="35" t="s">
        <v>594</v>
      </c>
      <c r="P18" s="35" t="s">
        <v>51</v>
      </c>
      <c r="Q18" s="35"/>
      <c r="R18" s="35"/>
      <c r="S18" s="38">
        <v>120000</v>
      </c>
      <c r="T18" s="38">
        <v>52500</v>
      </c>
      <c r="U18" s="38">
        <v>11340.56</v>
      </c>
      <c r="V18" s="38">
        <v>25921.279999999999</v>
      </c>
      <c r="W18" s="38">
        <v>52500</v>
      </c>
      <c r="X18" s="38">
        <v>11344.24</v>
      </c>
      <c r="Y18" s="38">
        <v>67500</v>
      </c>
      <c r="Z18" s="38">
        <v>0</v>
      </c>
      <c r="AA18" s="38">
        <v>0</v>
      </c>
      <c r="AB18" s="38">
        <v>67500</v>
      </c>
      <c r="AC18" s="38">
        <v>100</v>
      </c>
      <c r="AD18" s="38">
        <v>14580.720000000001</v>
      </c>
      <c r="AE18" s="38">
        <v>7500</v>
      </c>
      <c r="AF18" s="38">
        <v>0</v>
      </c>
      <c r="AG18" s="123">
        <v>45912</v>
      </c>
      <c r="AH18" s="123">
        <v>46024</v>
      </c>
      <c r="AI18" s="120">
        <v>0</v>
      </c>
      <c r="AJ18" s="120">
        <v>0</v>
      </c>
      <c r="AK18" s="120">
        <v>0</v>
      </c>
      <c r="AL18" s="120">
        <v>0</v>
      </c>
      <c r="AM18" s="35"/>
      <c r="AN18" s="35"/>
      <c r="AO18" s="35"/>
      <c r="AP18" s="35" t="s">
        <v>52</v>
      </c>
      <c r="AQ18" s="35">
        <v>5</v>
      </c>
      <c r="AR18" s="35">
        <v>0</v>
      </c>
      <c r="AS18" s="1">
        <f t="shared" si="0"/>
        <v>63844.24</v>
      </c>
    </row>
    <row r="19" spans="1:45" x14ac:dyDescent="0.3">
      <c r="A19" s="6" t="str">
        <f t="shared" si="1"/>
        <v>000090</v>
      </c>
      <c r="B19" s="35" t="s">
        <v>148</v>
      </c>
      <c r="C19" s="35" t="s">
        <v>149</v>
      </c>
      <c r="D19" s="35" t="s">
        <v>148</v>
      </c>
      <c r="E19" s="35" t="s">
        <v>149</v>
      </c>
      <c r="F19" s="35" t="s">
        <v>41</v>
      </c>
      <c r="G19" s="35" t="s">
        <v>42</v>
      </c>
      <c r="H19" s="35" t="s">
        <v>43</v>
      </c>
      <c r="I19" s="35" t="s">
        <v>44</v>
      </c>
      <c r="J19" s="35" t="s">
        <v>1163</v>
      </c>
      <c r="K19" s="35" t="s">
        <v>1104</v>
      </c>
      <c r="L19" s="35" t="s">
        <v>47</v>
      </c>
      <c r="M19" s="35" t="s">
        <v>48</v>
      </c>
      <c r="N19" s="35" t="s">
        <v>43</v>
      </c>
      <c r="O19" s="35" t="s">
        <v>594</v>
      </c>
      <c r="P19" s="35" t="s">
        <v>51</v>
      </c>
      <c r="Q19" s="35"/>
      <c r="R19" s="35"/>
      <c r="S19" s="38">
        <v>60000</v>
      </c>
      <c r="T19" s="38">
        <v>18750</v>
      </c>
      <c r="U19" s="38">
        <v>4050.2000000000003</v>
      </c>
      <c r="V19" s="38">
        <v>12960.64</v>
      </c>
      <c r="W19" s="38">
        <v>18750</v>
      </c>
      <c r="X19" s="38">
        <v>4053.08</v>
      </c>
      <c r="Y19" s="38">
        <v>41250</v>
      </c>
      <c r="Z19" s="38">
        <v>0</v>
      </c>
      <c r="AA19" s="38">
        <v>0</v>
      </c>
      <c r="AB19" s="38">
        <v>41250</v>
      </c>
      <c r="AC19" s="38">
        <v>100</v>
      </c>
      <c r="AD19" s="38">
        <v>8910.44</v>
      </c>
      <c r="AE19" s="38">
        <v>3750</v>
      </c>
      <c r="AF19" s="38">
        <v>0</v>
      </c>
      <c r="AG19" s="123">
        <v>45922</v>
      </c>
      <c r="AH19" s="123">
        <v>46034</v>
      </c>
      <c r="AI19" s="120">
        <v>0</v>
      </c>
      <c r="AJ19" s="120">
        <v>0</v>
      </c>
      <c r="AK19" s="120">
        <v>0</v>
      </c>
      <c r="AL19" s="120">
        <v>0</v>
      </c>
      <c r="AM19" s="35"/>
      <c r="AN19" s="35"/>
      <c r="AO19" s="35"/>
      <c r="AP19" s="35" t="s">
        <v>52</v>
      </c>
      <c r="AQ19" s="35">
        <v>6</v>
      </c>
      <c r="AR19" s="35">
        <v>0</v>
      </c>
      <c r="AS19" s="1">
        <f t="shared" si="0"/>
        <v>22803.08</v>
      </c>
    </row>
    <row r="20" spans="1:45" x14ac:dyDescent="0.3">
      <c r="A20" s="6" t="str">
        <f t="shared" si="1"/>
        <v>000094</v>
      </c>
      <c r="B20" s="35" t="s">
        <v>148</v>
      </c>
      <c r="C20" s="35" t="s">
        <v>149</v>
      </c>
      <c r="D20" s="35" t="s">
        <v>148</v>
      </c>
      <c r="E20" s="35" t="s">
        <v>149</v>
      </c>
      <c r="F20" s="35" t="s">
        <v>41</v>
      </c>
      <c r="G20" s="35" t="s">
        <v>42</v>
      </c>
      <c r="H20" s="35" t="s">
        <v>43</v>
      </c>
      <c r="I20" s="35" t="s">
        <v>44</v>
      </c>
      <c r="J20" s="35" t="s">
        <v>1144</v>
      </c>
      <c r="K20" s="35" t="s">
        <v>1127</v>
      </c>
      <c r="L20" s="35" t="s">
        <v>47</v>
      </c>
      <c r="M20" s="35" t="s">
        <v>48</v>
      </c>
      <c r="N20" s="35" t="s">
        <v>43</v>
      </c>
      <c r="O20" s="35" t="s">
        <v>594</v>
      </c>
      <c r="P20" s="35" t="s">
        <v>51</v>
      </c>
      <c r="Q20" s="35"/>
      <c r="R20" s="35"/>
      <c r="S20" s="38">
        <v>170000</v>
      </c>
      <c r="T20" s="38">
        <v>63750</v>
      </c>
      <c r="U20" s="38">
        <v>13770.66</v>
      </c>
      <c r="V20" s="38">
        <v>36721.81</v>
      </c>
      <c r="W20" s="38">
        <v>63750</v>
      </c>
      <c r="X20" s="38">
        <v>13772.44</v>
      </c>
      <c r="Y20" s="38">
        <v>106250</v>
      </c>
      <c r="Z20" s="38">
        <v>0</v>
      </c>
      <c r="AA20" s="38">
        <v>0</v>
      </c>
      <c r="AB20" s="38">
        <v>106250</v>
      </c>
      <c r="AC20" s="38">
        <v>100</v>
      </c>
      <c r="AD20" s="38">
        <v>22951.100000000002</v>
      </c>
      <c r="AE20" s="38">
        <v>10625</v>
      </c>
      <c r="AF20" s="38">
        <v>0</v>
      </c>
      <c r="AG20" s="123">
        <v>45919</v>
      </c>
      <c r="AH20" s="123">
        <v>46031</v>
      </c>
      <c r="AI20" s="120">
        <v>0</v>
      </c>
      <c r="AJ20" s="120">
        <v>0</v>
      </c>
      <c r="AK20" s="120">
        <v>0</v>
      </c>
      <c r="AL20" s="120">
        <v>0</v>
      </c>
      <c r="AM20" s="35"/>
      <c r="AN20" s="35"/>
      <c r="AO20" s="35"/>
      <c r="AP20" s="35" t="s">
        <v>52</v>
      </c>
      <c r="AQ20" s="35">
        <v>5</v>
      </c>
      <c r="AR20" s="35">
        <v>0</v>
      </c>
      <c r="AS20" s="1">
        <f t="shared" si="0"/>
        <v>77522.44</v>
      </c>
    </row>
    <row r="21" spans="1:45" x14ac:dyDescent="0.3">
      <c r="A21" s="6" t="str">
        <f t="shared" si="1"/>
        <v>000097</v>
      </c>
      <c r="B21" s="35" t="s">
        <v>148</v>
      </c>
      <c r="C21" s="35" t="s">
        <v>149</v>
      </c>
      <c r="D21" s="35" t="s">
        <v>148</v>
      </c>
      <c r="E21" s="35" t="s">
        <v>149</v>
      </c>
      <c r="F21" s="35" t="s">
        <v>41</v>
      </c>
      <c r="G21" s="35" t="s">
        <v>42</v>
      </c>
      <c r="H21" s="35" t="s">
        <v>43</v>
      </c>
      <c r="I21" s="35" t="s">
        <v>44</v>
      </c>
      <c r="J21" s="35" t="s">
        <v>1316</v>
      </c>
      <c r="K21" s="35" t="s">
        <v>1158</v>
      </c>
      <c r="L21" s="35" t="s">
        <v>47</v>
      </c>
      <c r="M21" s="35" t="s">
        <v>48</v>
      </c>
      <c r="N21" s="35" t="s">
        <v>43</v>
      </c>
      <c r="O21" s="35" t="s">
        <v>594</v>
      </c>
      <c r="P21" s="35" t="s">
        <v>51</v>
      </c>
      <c r="Q21" s="35"/>
      <c r="R21" s="35"/>
      <c r="S21" s="38">
        <v>51000</v>
      </c>
      <c r="T21" s="38">
        <v>12750</v>
      </c>
      <c r="U21" s="38">
        <v>2754.12</v>
      </c>
      <c r="V21" s="38">
        <v>11016.54</v>
      </c>
      <c r="W21" s="38">
        <v>15933.33</v>
      </c>
      <c r="X21" s="38">
        <v>3442.67</v>
      </c>
      <c r="Y21" s="38">
        <v>35066.67</v>
      </c>
      <c r="Z21" s="38">
        <v>0</v>
      </c>
      <c r="AA21" s="38">
        <v>0</v>
      </c>
      <c r="AB21" s="38">
        <v>35066.67</v>
      </c>
      <c r="AC21" s="38">
        <v>100</v>
      </c>
      <c r="AD21" s="38">
        <v>8262.36</v>
      </c>
      <c r="AE21" s="38">
        <v>3187.5</v>
      </c>
      <c r="AF21" s="38">
        <v>0</v>
      </c>
      <c r="AG21" s="123">
        <v>45929</v>
      </c>
      <c r="AH21" s="123">
        <v>46041</v>
      </c>
      <c r="AI21" s="120">
        <v>0</v>
      </c>
      <c r="AJ21" s="120">
        <v>0</v>
      </c>
      <c r="AK21" s="120">
        <v>0</v>
      </c>
      <c r="AL21" s="120">
        <v>0</v>
      </c>
      <c r="AM21" s="35"/>
      <c r="AN21" s="35"/>
      <c r="AO21" s="35"/>
      <c r="AP21" s="35" t="s">
        <v>52</v>
      </c>
      <c r="AQ21" s="35">
        <v>5</v>
      </c>
      <c r="AR21" s="35">
        <v>0</v>
      </c>
      <c r="AS21" s="1">
        <f t="shared" si="0"/>
        <v>19376</v>
      </c>
    </row>
    <row r="22" spans="1:45" x14ac:dyDescent="0.3">
      <c r="A22" s="6" t="str">
        <f t="shared" si="1"/>
        <v>000103</v>
      </c>
      <c r="B22" s="35" t="s">
        <v>148</v>
      </c>
      <c r="C22" s="35" t="s">
        <v>149</v>
      </c>
      <c r="D22" s="35" t="s">
        <v>148</v>
      </c>
      <c r="E22" s="35" t="s">
        <v>149</v>
      </c>
      <c r="F22" s="35" t="s">
        <v>41</v>
      </c>
      <c r="G22" s="35" t="s">
        <v>42</v>
      </c>
      <c r="H22" s="35" t="s">
        <v>43</v>
      </c>
      <c r="I22" s="35" t="s">
        <v>44</v>
      </c>
      <c r="J22" s="35" t="s">
        <v>1208</v>
      </c>
      <c r="K22" s="35" t="s">
        <v>1200</v>
      </c>
      <c r="L22" s="35" t="s">
        <v>47</v>
      </c>
      <c r="M22" s="35" t="s">
        <v>48</v>
      </c>
      <c r="N22" s="35" t="s">
        <v>43</v>
      </c>
      <c r="O22" s="35" t="s">
        <v>594</v>
      </c>
      <c r="P22" s="35" t="s">
        <v>51</v>
      </c>
      <c r="Q22" s="35"/>
      <c r="R22" s="35"/>
      <c r="S22" s="38">
        <v>51000</v>
      </c>
      <c r="T22" s="38">
        <v>15937.5</v>
      </c>
      <c r="U22" s="38">
        <v>3442.65</v>
      </c>
      <c r="V22" s="38">
        <v>11016.54</v>
      </c>
      <c r="W22" s="38">
        <v>15937.5</v>
      </c>
      <c r="X22" s="38">
        <v>3443.62</v>
      </c>
      <c r="Y22" s="38">
        <v>35062.5</v>
      </c>
      <c r="Z22" s="38">
        <v>0</v>
      </c>
      <c r="AA22" s="38">
        <v>0</v>
      </c>
      <c r="AB22" s="38">
        <v>35062.5</v>
      </c>
      <c r="AC22" s="38">
        <v>100</v>
      </c>
      <c r="AD22" s="38">
        <v>7573.83</v>
      </c>
      <c r="AE22" s="38">
        <v>3187.5</v>
      </c>
      <c r="AF22" s="38">
        <v>0</v>
      </c>
      <c r="AG22" s="123">
        <v>45924</v>
      </c>
      <c r="AH22" s="123">
        <v>46036</v>
      </c>
      <c r="AI22" s="120">
        <v>0</v>
      </c>
      <c r="AJ22" s="120">
        <v>0</v>
      </c>
      <c r="AK22" s="120">
        <v>0</v>
      </c>
      <c r="AL22" s="120">
        <v>0</v>
      </c>
      <c r="AM22" s="35"/>
      <c r="AN22" s="35"/>
      <c r="AO22" s="35"/>
      <c r="AP22" s="35" t="s">
        <v>52</v>
      </c>
      <c r="AQ22" s="35">
        <v>5</v>
      </c>
      <c r="AR22" s="35">
        <v>0</v>
      </c>
      <c r="AS22" s="1">
        <f t="shared" si="0"/>
        <v>19381.12</v>
      </c>
    </row>
    <row r="23" spans="1:45" x14ac:dyDescent="0.3">
      <c r="A23" s="6" t="str">
        <f t="shared" si="1"/>
        <v>000121</v>
      </c>
      <c r="B23" s="35" t="s">
        <v>148</v>
      </c>
      <c r="C23" s="35" t="s">
        <v>149</v>
      </c>
      <c r="D23" s="35" t="s">
        <v>148</v>
      </c>
      <c r="E23" s="35" t="s">
        <v>149</v>
      </c>
      <c r="F23" s="35" t="s">
        <v>41</v>
      </c>
      <c r="G23" s="35" t="s">
        <v>42</v>
      </c>
      <c r="H23" s="35" t="s">
        <v>43</v>
      </c>
      <c r="I23" s="35" t="s">
        <v>44</v>
      </c>
      <c r="J23" s="35" t="s">
        <v>1423</v>
      </c>
      <c r="K23" s="35" t="s">
        <v>103</v>
      </c>
      <c r="L23" s="35" t="s">
        <v>47</v>
      </c>
      <c r="M23" s="35" t="s">
        <v>48</v>
      </c>
      <c r="N23" s="35" t="s">
        <v>43</v>
      </c>
      <c r="O23" s="35" t="s">
        <v>594</v>
      </c>
      <c r="P23" s="35" t="s">
        <v>51</v>
      </c>
      <c r="Q23" s="35"/>
      <c r="R23" s="35"/>
      <c r="S23" s="38">
        <v>57000</v>
      </c>
      <c r="T23" s="38">
        <v>14250</v>
      </c>
      <c r="U23" s="38">
        <v>3078.16</v>
      </c>
      <c r="V23" s="38">
        <v>12312.61</v>
      </c>
      <c r="W23" s="38">
        <v>14250</v>
      </c>
      <c r="X23" s="38">
        <v>3080.04</v>
      </c>
      <c r="Y23" s="38">
        <v>42750</v>
      </c>
      <c r="Z23" s="38">
        <v>0</v>
      </c>
      <c r="AA23" s="38">
        <v>0</v>
      </c>
      <c r="AB23" s="38">
        <v>42750</v>
      </c>
      <c r="AC23" s="38">
        <v>100</v>
      </c>
      <c r="AD23" s="38">
        <v>9234.48</v>
      </c>
      <c r="AE23" s="38">
        <v>3562.5</v>
      </c>
      <c r="AF23" s="38">
        <v>0</v>
      </c>
      <c r="AG23" s="123">
        <v>45930</v>
      </c>
      <c r="AH23" s="123">
        <v>46042</v>
      </c>
      <c r="AI23" s="120">
        <v>0</v>
      </c>
      <c r="AJ23" s="120">
        <v>0</v>
      </c>
      <c r="AK23" s="120">
        <v>0</v>
      </c>
      <c r="AL23" s="120">
        <v>0</v>
      </c>
      <c r="AM23" s="35"/>
      <c r="AN23" s="35"/>
      <c r="AO23" s="35"/>
      <c r="AP23" s="35" t="s">
        <v>52</v>
      </c>
      <c r="AQ23" s="35">
        <v>5</v>
      </c>
      <c r="AR23" s="35">
        <v>0</v>
      </c>
      <c r="AS23" s="1">
        <f t="shared" si="0"/>
        <v>17330.04</v>
      </c>
    </row>
    <row r="24" spans="1:45" x14ac:dyDescent="0.3">
      <c r="A24" s="6" t="str">
        <f t="shared" si="1"/>
        <v>000148</v>
      </c>
      <c r="B24" s="35" t="s">
        <v>148</v>
      </c>
      <c r="C24" s="35" t="s">
        <v>149</v>
      </c>
      <c r="D24" s="35" t="s">
        <v>148</v>
      </c>
      <c r="E24" s="35" t="s">
        <v>149</v>
      </c>
      <c r="F24" s="35" t="s">
        <v>41</v>
      </c>
      <c r="G24" s="35" t="s">
        <v>42</v>
      </c>
      <c r="H24" s="35" t="s">
        <v>43</v>
      </c>
      <c r="I24" s="35" t="s">
        <v>44</v>
      </c>
      <c r="J24" s="35" t="s">
        <v>1634</v>
      </c>
      <c r="K24" s="35" t="s">
        <v>1563</v>
      </c>
      <c r="L24" s="35" t="s">
        <v>47</v>
      </c>
      <c r="M24" s="35" t="s">
        <v>48</v>
      </c>
      <c r="N24" s="35" t="s">
        <v>43</v>
      </c>
      <c r="O24" s="35" t="s">
        <v>594</v>
      </c>
      <c r="P24" s="35" t="s">
        <v>51</v>
      </c>
      <c r="Q24" s="35"/>
      <c r="R24" s="35"/>
      <c r="S24" s="38">
        <v>58000</v>
      </c>
      <c r="T24" s="38">
        <v>7250</v>
      </c>
      <c r="U24" s="38">
        <v>1566.08</v>
      </c>
      <c r="V24" s="38">
        <v>12528.62</v>
      </c>
      <c r="W24" s="38">
        <v>7268.88</v>
      </c>
      <c r="X24" s="38">
        <v>2349.12</v>
      </c>
      <c r="Y24" s="38">
        <v>50731.12</v>
      </c>
      <c r="Z24" s="38">
        <v>0</v>
      </c>
      <c r="AA24" s="38">
        <v>0</v>
      </c>
      <c r="AB24" s="38">
        <v>50731.12</v>
      </c>
      <c r="AC24" s="38">
        <v>100</v>
      </c>
      <c r="AD24" s="38">
        <v>10962.56</v>
      </c>
      <c r="AE24" s="38">
        <v>3625</v>
      </c>
      <c r="AF24" s="38">
        <v>0</v>
      </c>
      <c r="AG24" s="123">
        <v>45943</v>
      </c>
      <c r="AH24" s="123">
        <v>46055</v>
      </c>
      <c r="AI24" s="120">
        <v>0</v>
      </c>
      <c r="AJ24" s="120">
        <v>0</v>
      </c>
      <c r="AK24" s="120">
        <v>0</v>
      </c>
      <c r="AL24" s="120">
        <v>0</v>
      </c>
      <c r="AM24" s="35"/>
      <c r="AN24" s="35"/>
      <c r="AO24" s="35"/>
      <c r="AP24" s="35" t="s">
        <v>52</v>
      </c>
      <c r="AQ24" s="35">
        <v>6</v>
      </c>
      <c r="AR24" s="35">
        <v>0</v>
      </c>
      <c r="AS24" s="1">
        <f t="shared" si="0"/>
        <v>9618</v>
      </c>
    </row>
    <row r="25" spans="1:45" x14ac:dyDescent="0.3">
      <c r="A25" s="6" t="str">
        <f t="shared" si="1"/>
        <v>000156</v>
      </c>
      <c r="B25" s="35" t="s">
        <v>148</v>
      </c>
      <c r="C25" s="35" t="s">
        <v>149</v>
      </c>
      <c r="D25" s="35" t="s">
        <v>148</v>
      </c>
      <c r="E25" s="35" t="s">
        <v>149</v>
      </c>
      <c r="F25" s="35" t="s">
        <v>41</v>
      </c>
      <c r="G25" s="35" t="s">
        <v>42</v>
      </c>
      <c r="H25" s="35" t="s">
        <v>43</v>
      </c>
      <c r="I25" s="35" t="s">
        <v>44</v>
      </c>
      <c r="J25" s="35" t="s">
        <v>1684</v>
      </c>
      <c r="K25" s="35" t="s">
        <v>1662</v>
      </c>
      <c r="L25" s="35" t="s">
        <v>47</v>
      </c>
      <c r="M25" s="35" t="s">
        <v>48</v>
      </c>
      <c r="N25" s="35" t="s">
        <v>43</v>
      </c>
      <c r="O25" s="35" t="s">
        <v>594</v>
      </c>
      <c r="P25" s="35" t="s">
        <v>51</v>
      </c>
      <c r="Q25" s="35"/>
      <c r="R25" s="35"/>
      <c r="S25" s="38">
        <v>87000</v>
      </c>
      <c r="T25" s="38">
        <v>10875</v>
      </c>
      <c r="U25" s="38">
        <v>2349.12</v>
      </c>
      <c r="V25" s="38">
        <v>18792.93</v>
      </c>
      <c r="W25" s="38">
        <v>10875</v>
      </c>
      <c r="X25" s="38">
        <v>2350.0100000000002</v>
      </c>
      <c r="Y25" s="38">
        <v>76125</v>
      </c>
      <c r="Z25" s="38">
        <v>0</v>
      </c>
      <c r="AA25" s="38">
        <v>0</v>
      </c>
      <c r="AB25" s="38">
        <v>76125</v>
      </c>
      <c r="AC25" s="38">
        <v>100</v>
      </c>
      <c r="AD25" s="38">
        <v>16443.84</v>
      </c>
      <c r="AE25" s="38">
        <v>5437.5</v>
      </c>
      <c r="AF25" s="38">
        <v>0</v>
      </c>
      <c r="AG25" s="123">
        <v>45945</v>
      </c>
      <c r="AH25" s="123">
        <v>46057</v>
      </c>
      <c r="AI25" s="120">
        <v>0</v>
      </c>
      <c r="AJ25" s="120">
        <v>0</v>
      </c>
      <c r="AK25" s="120">
        <v>0</v>
      </c>
      <c r="AL25" s="120">
        <v>0</v>
      </c>
      <c r="AM25" s="35"/>
      <c r="AN25" s="35"/>
      <c r="AO25" s="35"/>
      <c r="AP25" s="35" t="s">
        <v>52</v>
      </c>
      <c r="AQ25" s="35">
        <v>5</v>
      </c>
      <c r="AR25" s="35">
        <v>0</v>
      </c>
      <c r="AS25" s="1">
        <f t="shared" si="0"/>
        <v>13225.01</v>
      </c>
    </row>
    <row r="26" spans="1:45" x14ac:dyDescent="0.3">
      <c r="A26" s="6" t="str">
        <f t="shared" si="1"/>
        <v>000165</v>
      </c>
      <c r="B26" s="35" t="s">
        <v>148</v>
      </c>
      <c r="C26" s="35" t="s">
        <v>149</v>
      </c>
      <c r="D26" s="35" t="s">
        <v>148</v>
      </c>
      <c r="E26" s="35" t="s">
        <v>149</v>
      </c>
      <c r="F26" s="35" t="s">
        <v>41</v>
      </c>
      <c r="G26" s="35" t="s">
        <v>42</v>
      </c>
      <c r="H26" s="35" t="s">
        <v>43</v>
      </c>
      <c r="I26" s="35" t="s">
        <v>44</v>
      </c>
      <c r="J26" s="35" t="s">
        <v>1820</v>
      </c>
      <c r="K26" s="35" t="s">
        <v>1821</v>
      </c>
      <c r="L26" s="35" t="s">
        <v>47</v>
      </c>
      <c r="M26" s="35" t="s">
        <v>48</v>
      </c>
      <c r="N26" s="35" t="s">
        <v>43</v>
      </c>
      <c r="O26" s="35" t="s">
        <v>594</v>
      </c>
      <c r="P26" s="35" t="s">
        <v>51</v>
      </c>
      <c r="Q26" s="35"/>
      <c r="R26" s="35"/>
      <c r="S26" s="38">
        <v>46000</v>
      </c>
      <c r="T26" s="38">
        <v>5750</v>
      </c>
      <c r="U26" s="38">
        <v>1242.06</v>
      </c>
      <c r="V26" s="38">
        <v>9936.49</v>
      </c>
      <c r="W26" s="38">
        <v>5750</v>
      </c>
      <c r="X26" s="38">
        <v>1244</v>
      </c>
      <c r="Y26" s="38">
        <v>40250</v>
      </c>
      <c r="Z26" s="38">
        <v>0</v>
      </c>
      <c r="AA26" s="38">
        <v>0</v>
      </c>
      <c r="AB26" s="38">
        <v>40250</v>
      </c>
      <c r="AC26" s="38">
        <v>100</v>
      </c>
      <c r="AD26" s="38">
        <v>8694.42</v>
      </c>
      <c r="AE26" s="38">
        <v>2875</v>
      </c>
      <c r="AF26" s="38">
        <v>0</v>
      </c>
      <c r="AG26" s="123">
        <v>45947</v>
      </c>
      <c r="AH26" s="123">
        <v>46059</v>
      </c>
      <c r="AI26" s="120">
        <v>0</v>
      </c>
      <c r="AJ26" s="120">
        <v>0</v>
      </c>
      <c r="AK26" s="120">
        <v>0</v>
      </c>
      <c r="AL26" s="120">
        <v>0</v>
      </c>
      <c r="AM26" s="35"/>
      <c r="AN26" s="35"/>
      <c r="AO26" s="35"/>
      <c r="AP26" s="35" t="s">
        <v>52</v>
      </c>
      <c r="AQ26" s="35">
        <v>5</v>
      </c>
      <c r="AR26" s="35">
        <v>0</v>
      </c>
      <c r="AS26" s="1">
        <f t="shared" si="0"/>
        <v>6994</v>
      </c>
    </row>
    <row r="27" spans="1:45" x14ac:dyDescent="0.3">
      <c r="A27" s="6" t="str">
        <f t="shared" si="1"/>
        <v>000175</v>
      </c>
      <c r="B27" s="35" t="s">
        <v>148</v>
      </c>
      <c r="C27" s="35" t="s">
        <v>149</v>
      </c>
      <c r="D27" s="35" t="s">
        <v>148</v>
      </c>
      <c r="E27" s="35" t="s">
        <v>149</v>
      </c>
      <c r="F27" s="35" t="s">
        <v>41</v>
      </c>
      <c r="G27" s="35" t="s">
        <v>42</v>
      </c>
      <c r="H27" s="35" t="s">
        <v>43</v>
      </c>
      <c r="I27" s="35" t="s">
        <v>44</v>
      </c>
      <c r="J27" s="35" t="s">
        <v>1907</v>
      </c>
      <c r="K27" s="35" t="s">
        <v>1908</v>
      </c>
      <c r="L27" s="35" t="s">
        <v>47</v>
      </c>
      <c r="M27" s="35" t="s">
        <v>48</v>
      </c>
      <c r="N27" s="35" t="s">
        <v>43</v>
      </c>
      <c r="O27" s="35" t="s">
        <v>594</v>
      </c>
      <c r="P27" s="35" t="s">
        <v>51</v>
      </c>
      <c r="Q27" s="35"/>
      <c r="R27" s="35"/>
      <c r="S27" s="38">
        <v>60000</v>
      </c>
      <c r="T27" s="38">
        <v>3750</v>
      </c>
      <c r="U27" s="38">
        <v>810.04</v>
      </c>
      <c r="V27" s="38">
        <v>12960.64</v>
      </c>
      <c r="W27" s="38">
        <v>0</v>
      </c>
      <c r="X27" s="38">
        <v>0</v>
      </c>
      <c r="Y27" s="38">
        <v>60000</v>
      </c>
      <c r="Z27" s="38">
        <v>3750</v>
      </c>
      <c r="AA27" s="38">
        <v>6.25</v>
      </c>
      <c r="AB27" s="38">
        <v>56250</v>
      </c>
      <c r="AC27" s="38">
        <v>93.75</v>
      </c>
      <c r="AD27" s="38">
        <v>0</v>
      </c>
      <c r="AE27" s="38">
        <v>3750</v>
      </c>
      <c r="AF27" s="38">
        <v>1</v>
      </c>
      <c r="AG27" s="123">
        <v>45954</v>
      </c>
      <c r="AH27" s="123">
        <v>46066</v>
      </c>
      <c r="AI27" s="120">
        <v>0</v>
      </c>
      <c r="AJ27" s="120">
        <v>0</v>
      </c>
      <c r="AK27" s="120">
        <v>0</v>
      </c>
      <c r="AL27" s="120">
        <v>0</v>
      </c>
      <c r="AM27" s="35"/>
      <c r="AN27" s="35"/>
      <c r="AO27" s="35"/>
      <c r="AP27" s="35" t="s">
        <v>52</v>
      </c>
      <c r="AQ27" s="35">
        <v>5</v>
      </c>
      <c r="AR27" s="35">
        <v>0</v>
      </c>
      <c r="AS27" s="1">
        <f t="shared" si="0"/>
        <v>0</v>
      </c>
    </row>
    <row r="28" spans="1:45" x14ac:dyDescent="0.3">
      <c r="A28" s="6" t="str">
        <f t="shared" si="1"/>
        <v>000182</v>
      </c>
      <c r="B28" s="35" t="s">
        <v>148</v>
      </c>
      <c r="C28" s="35" t="s">
        <v>149</v>
      </c>
      <c r="D28" s="35" t="s">
        <v>148</v>
      </c>
      <c r="E28" s="35" t="s">
        <v>149</v>
      </c>
      <c r="F28" s="35" t="s">
        <v>41</v>
      </c>
      <c r="G28" s="35" t="s">
        <v>42</v>
      </c>
      <c r="H28" s="35" t="s">
        <v>43</v>
      </c>
      <c r="I28" s="35" t="s">
        <v>44</v>
      </c>
      <c r="J28" s="35" t="s">
        <v>1909</v>
      </c>
      <c r="K28" s="35" t="s">
        <v>1910</v>
      </c>
      <c r="L28" s="35" t="s">
        <v>47</v>
      </c>
      <c r="M28" s="35" t="s">
        <v>48</v>
      </c>
      <c r="N28" s="35" t="s">
        <v>43</v>
      </c>
      <c r="O28" s="35" t="s">
        <v>594</v>
      </c>
      <c r="P28" s="35" t="s">
        <v>51</v>
      </c>
      <c r="Q28" s="35"/>
      <c r="R28" s="35"/>
      <c r="S28" s="38">
        <v>57000</v>
      </c>
      <c r="T28" s="38">
        <v>3562.5</v>
      </c>
      <c r="U28" s="38">
        <v>769.54</v>
      </c>
      <c r="V28" s="38">
        <v>12312.61</v>
      </c>
      <c r="W28" s="38">
        <v>3562.5</v>
      </c>
      <c r="X28" s="38">
        <v>770.5</v>
      </c>
      <c r="Y28" s="38">
        <v>53437.5</v>
      </c>
      <c r="Z28" s="38">
        <v>0</v>
      </c>
      <c r="AA28" s="38">
        <v>0</v>
      </c>
      <c r="AB28" s="38">
        <v>53437.5</v>
      </c>
      <c r="AC28" s="38">
        <v>100</v>
      </c>
      <c r="AD28" s="38">
        <v>0</v>
      </c>
      <c r="AE28" s="38">
        <v>3562.5</v>
      </c>
      <c r="AF28" s="38">
        <v>0</v>
      </c>
      <c r="AG28" s="123">
        <v>45954</v>
      </c>
      <c r="AH28" s="123">
        <v>46066</v>
      </c>
      <c r="AI28" s="120">
        <v>0</v>
      </c>
      <c r="AJ28" s="120">
        <v>0</v>
      </c>
      <c r="AK28" s="120">
        <v>0</v>
      </c>
      <c r="AL28" s="120">
        <v>0</v>
      </c>
      <c r="AM28" s="35"/>
      <c r="AN28" s="35"/>
      <c r="AO28" s="35"/>
      <c r="AP28" s="35" t="s">
        <v>52</v>
      </c>
      <c r="AQ28" s="35">
        <v>5</v>
      </c>
      <c r="AR28" s="35">
        <v>0</v>
      </c>
      <c r="AS28" s="1">
        <f t="shared" si="0"/>
        <v>4333</v>
      </c>
    </row>
    <row r="29" spans="1:45" x14ac:dyDescent="0.3">
      <c r="A29" s="6" t="str">
        <f t="shared" si="1"/>
        <v>000190</v>
      </c>
      <c r="B29" s="35" t="s">
        <v>148</v>
      </c>
      <c r="C29" s="35" t="s">
        <v>149</v>
      </c>
      <c r="D29" s="35" t="s">
        <v>148</v>
      </c>
      <c r="E29" s="35" t="s">
        <v>149</v>
      </c>
      <c r="F29" s="35" t="s">
        <v>41</v>
      </c>
      <c r="G29" s="35" t="s">
        <v>42</v>
      </c>
      <c r="H29" s="35" t="s">
        <v>43</v>
      </c>
      <c r="I29" s="35" t="s">
        <v>44</v>
      </c>
      <c r="J29" s="35" t="s">
        <v>2031</v>
      </c>
      <c r="K29" s="35" t="s">
        <v>2032</v>
      </c>
      <c r="L29" s="35" t="s">
        <v>47</v>
      </c>
      <c r="M29" s="35" t="s">
        <v>48</v>
      </c>
      <c r="N29" s="35" t="s">
        <v>43</v>
      </c>
      <c r="O29" s="35" t="s">
        <v>594</v>
      </c>
      <c r="P29" s="35" t="s">
        <v>51</v>
      </c>
      <c r="Q29" s="35"/>
      <c r="R29" s="35"/>
      <c r="S29" s="38">
        <v>54000</v>
      </c>
      <c r="T29" s="38">
        <v>0</v>
      </c>
      <c r="U29" s="38">
        <v>0</v>
      </c>
      <c r="V29" s="38">
        <v>11664.58</v>
      </c>
      <c r="W29" s="38">
        <v>0</v>
      </c>
      <c r="X29" s="38">
        <v>0</v>
      </c>
      <c r="Y29" s="38">
        <v>54000</v>
      </c>
      <c r="Z29" s="38">
        <v>0</v>
      </c>
      <c r="AA29" s="38">
        <v>0</v>
      </c>
      <c r="AB29" s="38">
        <v>54000</v>
      </c>
      <c r="AC29" s="38">
        <v>100</v>
      </c>
      <c r="AD29" s="38">
        <v>0</v>
      </c>
      <c r="AE29" s="38">
        <v>3375</v>
      </c>
      <c r="AF29" s="38">
        <v>0</v>
      </c>
      <c r="AG29" s="123">
        <v>45959</v>
      </c>
      <c r="AH29" s="123">
        <v>46071</v>
      </c>
      <c r="AI29" s="120">
        <v>0</v>
      </c>
      <c r="AJ29" s="120">
        <v>0</v>
      </c>
      <c r="AK29" s="120">
        <v>0</v>
      </c>
      <c r="AL29" s="120">
        <v>0</v>
      </c>
      <c r="AM29" s="35"/>
      <c r="AN29" s="35"/>
      <c r="AO29" s="35"/>
      <c r="AP29" s="35" t="s">
        <v>52</v>
      </c>
      <c r="AQ29" s="35">
        <v>5</v>
      </c>
      <c r="AR29" s="35">
        <v>0</v>
      </c>
      <c r="AS29" s="1">
        <f t="shared" si="0"/>
        <v>0</v>
      </c>
    </row>
    <row r="30" spans="1:45" x14ac:dyDescent="0.3">
      <c r="A30" s="6" t="str">
        <f t="shared" si="1"/>
        <v>000197</v>
      </c>
      <c r="B30" s="35" t="s">
        <v>148</v>
      </c>
      <c r="C30" s="35" t="s">
        <v>149</v>
      </c>
      <c r="D30" s="35" t="s">
        <v>148</v>
      </c>
      <c r="E30" s="35" t="s">
        <v>149</v>
      </c>
      <c r="F30" s="35" t="s">
        <v>41</v>
      </c>
      <c r="G30" s="35" t="s">
        <v>42</v>
      </c>
      <c r="H30" s="35" t="s">
        <v>43</v>
      </c>
      <c r="I30" s="35" t="s">
        <v>44</v>
      </c>
      <c r="J30" s="35" t="s">
        <v>2075</v>
      </c>
      <c r="K30" s="35" t="s">
        <v>2076</v>
      </c>
      <c r="L30" s="35" t="s">
        <v>47</v>
      </c>
      <c r="M30" s="35" t="s">
        <v>48</v>
      </c>
      <c r="N30" s="35" t="s">
        <v>43</v>
      </c>
      <c r="O30" s="35" t="s">
        <v>594</v>
      </c>
      <c r="P30" s="35" t="s">
        <v>51</v>
      </c>
      <c r="Q30" s="35"/>
      <c r="R30" s="35"/>
      <c r="S30" s="38">
        <v>57000</v>
      </c>
      <c r="T30" s="38">
        <v>0</v>
      </c>
      <c r="U30" s="38">
        <v>0</v>
      </c>
      <c r="V30" s="38">
        <v>12312.61</v>
      </c>
      <c r="W30" s="38">
        <v>0</v>
      </c>
      <c r="X30" s="38">
        <v>0</v>
      </c>
      <c r="Y30" s="38">
        <v>57000</v>
      </c>
      <c r="Z30" s="38">
        <v>0</v>
      </c>
      <c r="AA30" s="38">
        <v>0</v>
      </c>
      <c r="AB30" s="38">
        <v>57000</v>
      </c>
      <c r="AC30" s="38">
        <v>100</v>
      </c>
      <c r="AD30" s="38">
        <v>0</v>
      </c>
      <c r="AE30" s="38">
        <v>3562.5</v>
      </c>
      <c r="AF30" s="38">
        <v>0</v>
      </c>
      <c r="AG30" s="123">
        <v>45960</v>
      </c>
      <c r="AH30" s="123">
        <v>46072</v>
      </c>
      <c r="AI30" s="120">
        <v>0</v>
      </c>
      <c r="AJ30" s="120">
        <v>0</v>
      </c>
      <c r="AK30" s="120">
        <v>0</v>
      </c>
      <c r="AL30" s="120">
        <v>0</v>
      </c>
      <c r="AM30" s="35"/>
      <c r="AN30" s="35"/>
      <c r="AO30" s="35"/>
      <c r="AP30" s="35" t="s">
        <v>52</v>
      </c>
      <c r="AQ30" s="35">
        <v>6</v>
      </c>
      <c r="AR30" s="35">
        <v>0</v>
      </c>
      <c r="AS30" s="1">
        <f t="shared" si="0"/>
        <v>0</v>
      </c>
    </row>
    <row r="31" spans="1:45" x14ac:dyDescent="0.3">
      <c r="A31" s="6" t="str">
        <f t="shared" si="1"/>
        <v>000203</v>
      </c>
      <c r="B31" s="35" t="s">
        <v>148</v>
      </c>
      <c r="C31" s="35" t="s">
        <v>149</v>
      </c>
      <c r="D31" s="35" t="s">
        <v>148</v>
      </c>
      <c r="E31" s="35" t="s">
        <v>149</v>
      </c>
      <c r="F31" s="35" t="s">
        <v>41</v>
      </c>
      <c r="G31" s="35" t="s">
        <v>42</v>
      </c>
      <c r="H31" s="35" t="s">
        <v>43</v>
      </c>
      <c r="I31" s="35" t="s">
        <v>44</v>
      </c>
      <c r="J31" s="35" t="s">
        <v>2131</v>
      </c>
      <c r="K31" s="35" t="s">
        <v>2132</v>
      </c>
      <c r="L31" s="35" t="s">
        <v>47</v>
      </c>
      <c r="M31" s="35" t="s">
        <v>48</v>
      </c>
      <c r="N31" s="35" t="s">
        <v>43</v>
      </c>
      <c r="O31" s="35" t="s">
        <v>594</v>
      </c>
      <c r="P31" s="35" t="s">
        <v>51</v>
      </c>
      <c r="Q31" s="35"/>
      <c r="R31" s="35"/>
      <c r="S31" s="38">
        <v>88000</v>
      </c>
      <c r="T31" s="38">
        <v>0</v>
      </c>
      <c r="U31" s="38">
        <v>0</v>
      </c>
      <c r="V31" s="38">
        <v>19008.939999999999</v>
      </c>
      <c r="W31" s="38">
        <v>0</v>
      </c>
      <c r="X31" s="38">
        <v>0</v>
      </c>
      <c r="Y31" s="38">
        <v>88000</v>
      </c>
      <c r="Z31" s="38">
        <v>0</v>
      </c>
      <c r="AA31" s="38">
        <v>0</v>
      </c>
      <c r="AB31" s="38">
        <v>88000</v>
      </c>
      <c r="AC31" s="38">
        <v>100</v>
      </c>
      <c r="AD31" s="38">
        <v>0</v>
      </c>
      <c r="AE31" s="38">
        <v>5500</v>
      </c>
      <c r="AF31" s="38">
        <v>0</v>
      </c>
      <c r="AG31" s="123">
        <v>45961</v>
      </c>
      <c r="AH31" s="123">
        <v>46073</v>
      </c>
      <c r="AI31" s="120">
        <v>0</v>
      </c>
      <c r="AJ31" s="120">
        <v>0</v>
      </c>
      <c r="AK31" s="120">
        <v>0</v>
      </c>
      <c r="AL31" s="120">
        <v>0</v>
      </c>
      <c r="AM31" s="35"/>
      <c r="AN31" s="35"/>
      <c r="AO31" s="35"/>
      <c r="AP31" s="35" t="s">
        <v>52</v>
      </c>
      <c r="AQ31" s="35">
        <v>5</v>
      </c>
      <c r="AR31" s="35">
        <v>0</v>
      </c>
      <c r="AS31" s="1">
        <f t="shared" si="0"/>
        <v>0</v>
      </c>
    </row>
    <row r="32" spans="1:45" x14ac:dyDescent="0.3">
      <c r="A32" s="6" t="str">
        <f t="shared" si="1"/>
        <v>000046</v>
      </c>
      <c r="B32" s="35" t="s">
        <v>663</v>
      </c>
      <c r="C32" s="35" t="s">
        <v>734</v>
      </c>
      <c r="D32" s="35" t="s">
        <v>663</v>
      </c>
      <c r="E32" s="35" t="s">
        <v>734</v>
      </c>
      <c r="F32" s="35" t="s">
        <v>41</v>
      </c>
      <c r="G32" s="35" t="s">
        <v>42</v>
      </c>
      <c r="H32" s="35" t="s">
        <v>43</v>
      </c>
      <c r="I32" s="35" t="s">
        <v>44</v>
      </c>
      <c r="J32" s="35" t="s">
        <v>665</v>
      </c>
      <c r="K32" s="35" t="s">
        <v>666</v>
      </c>
      <c r="L32" s="35" t="s">
        <v>47</v>
      </c>
      <c r="M32" s="35" t="s">
        <v>48</v>
      </c>
      <c r="N32" s="35" t="s">
        <v>43</v>
      </c>
      <c r="O32" s="35" t="s">
        <v>594</v>
      </c>
      <c r="P32" s="35" t="s">
        <v>51</v>
      </c>
      <c r="Q32" s="35"/>
      <c r="R32" s="35"/>
      <c r="S32" s="38">
        <v>140000</v>
      </c>
      <c r="T32" s="38">
        <v>78750</v>
      </c>
      <c r="U32" s="38">
        <v>17010.810000000001</v>
      </c>
      <c r="V32" s="38">
        <v>30241.49</v>
      </c>
      <c r="W32" s="38">
        <v>78749.16</v>
      </c>
      <c r="X32" s="38">
        <v>17010.84</v>
      </c>
      <c r="Y32" s="38">
        <v>61250.840000000004</v>
      </c>
      <c r="Z32" s="38">
        <v>0</v>
      </c>
      <c r="AA32" s="38">
        <v>0</v>
      </c>
      <c r="AB32" s="38">
        <v>61250.840000000004</v>
      </c>
      <c r="AC32" s="38">
        <v>100</v>
      </c>
      <c r="AD32" s="38">
        <v>13230.630000000001</v>
      </c>
      <c r="AE32" s="38">
        <v>8750</v>
      </c>
      <c r="AF32" s="38">
        <v>0</v>
      </c>
      <c r="AG32" s="123">
        <v>45897</v>
      </c>
      <c r="AH32" s="123">
        <v>46009</v>
      </c>
      <c r="AI32" s="120">
        <v>0</v>
      </c>
      <c r="AJ32" s="120">
        <v>0</v>
      </c>
      <c r="AK32" s="120">
        <v>0</v>
      </c>
      <c r="AL32" s="120">
        <v>0</v>
      </c>
      <c r="AM32" s="35"/>
      <c r="AN32" s="35"/>
      <c r="AO32" s="35"/>
      <c r="AP32" s="35" t="s">
        <v>52</v>
      </c>
      <c r="AQ32" s="35">
        <v>7</v>
      </c>
      <c r="AR32" s="35">
        <v>0</v>
      </c>
      <c r="AS32" s="1">
        <f t="shared" si="0"/>
        <v>95760</v>
      </c>
    </row>
    <row r="33" spans="1:45" x14ac:dyDescent="0.3">
      <c r="A33" s="6" t="str">
        <f t="shared" si="1"/>
        <v>000049</v>
      </c>
      <c r="B33" s="35" t="s">
        <v>663</v>
      </c>
      <c r="C33" s="35" t="s">
        <v>734</v>
      </c>
      <c r="D33" s="35" t="s">
        <v>663</v>
      </c>
      <c r="E33" s="35" t="s">
        <v>734</v>
      </c>
      <c r="F33" s="35" t="s">
        <v>41</v>
      </c>
      <c r="G33" s="35" t="s">
        <v>42</v>
      </c>
      <c r="H33" s="35" t="s">
        <v>43</v>
      </c>
      <c r="I33" s="35" t="s">
        <v>44</v>
      </c>
      <c r="J33" s="35" t="s">
        <v>683</v>
      </c>
      <c r="K33" s="35" t="s">
        <v>684</v>
      </c>
      <c r="L33" s="35" t="s">
        <v>47</v>
      </c>
      <c r="M33" s="35" t="s">
        <v>48</v>
      </c>
      <c r="N33" s="35" t="s">
        <v>43</v>
      </c>
      <c r="O33" s="35" t="s">
        <v>594</v>
      </c>
      <c r="P33" s="35" t="s">
        <v>51</v>
      </c>
      <c r="Q33" s="35"/>
      <c r="R33" s="35"/>
      <c r="S33" s="38">
        <v>100000</v>
      </c>
      <c r="T33" s="38">
        <v>56250</v>
      </c>
      <c r="U33" s="38">
        <v>12150.630000000001</v>
      </c>
      <c r="V33" s="38">
        <v>21601.07</v>
      </c>
      <c r="W33" s="38">
        <v>56249.39</v>
      </c>
      <c r="X33" s="38">
        <v>12150.61</v>
      </c>
      <c r="Y33" s="38">
        <v>43750.61</v>
      </c>
      <c r="Z33" s="38">
        <v>0</v>
      </c>
      <c r="AA33" s="38">
        <v>0</v>
      </c>
      <c r="AB33" s="38">
        <v>43750.61</v>
      </c>
      <c r="AC33" s="38">
        <v>100</v>
      </c>
      <c r="AD33" s="38">
        <v>9450.49</v>
      </c>
      <c r="AE33" s="38">
        <v>6250</v>
      </c>
      <c r="AF33" s="38">
        <v>0</v>
      </c>
      <c r="AG33" s="123">
        <v>45898</v>
      </c>
      <c r="AH33" s="123">
        <v>46010</v>
      </c>
      <c r="AI33" s="120">
        <v>0</v>
      </c>
      <c r="AJ33" s="120">
        <v>0</v>
      </c>
      <c r="AK33" s="120">
        <v>0</v>
      </c>
      <c r="AL33" s="120">
        <v>0</v>
      </c>
      <c r="AM33" s="35"/>
      <c r="AN33" s="35"/>
      <c r="AO33" s="35"/>
      <c r="AP33" s="35" t="s">
        <v>52</v>
      </c>
      <c r="AQ33" s="35">
        <v>6</v>
      </c>
      <c r="AR33" s="35">
        <v>0</v>
      </c>
      <c r="AS33" s="1">
        <f t="shared" si="0"/>
        <v>68400</v>
      </c>
    </row>
    <row r="34" spans="1:45" x14ac:dyDescent="0.3">
      <c r="A34" s="6" t="str">
        <f t="shared" si="1"/>
        <v>000054</v>
      </c>
      <c r="B34" s="35" t="s">
        <v>663</v>
      </c>
      <c r="C34" s="35" t="s">
        <v>734</v>
      </c>
      <c r="D34" s="35" t="s">
        <v>663</v>
      </c>
      <c r="E34" s="35" t="s">
        <v>734</v>
      </c>
      <c r="F34" s="35" t="s">
        <v>41</v>
      </c>
      <c r="G34" s="35" t="s">
        <v>42</v>
      </c>
      <c r="H34" s="35" t="s">
        <v>43</v>
      </c>
      <c r="I34" s="35" t="s">
        <v>44</v>
      </c>
      <c r="J34" s="35" t="s">
        <v>688</v>
      </c>
      <c r="K34" s="35" t="s">
        <v>689</v>
      </c>
      <c r="L34" s="35" t="s">
        <v>47</v>
      </c>
      <c r="M34" s="35" t="s">
        <v>48</v>
      </c>
      <c r="N34" s="35" t="s">
        <v>43</v>
      </c>
      <c r="O34" s="35" t="s">
        <v>594</v>
      </c>
      <c r="P34" s="35" t="s">
        <v>51</v>
      </c>
      <c r="Q34" s="35"/>
      <c r="R34" s="35"/>
      <c r="S34" s="38">
        <v>40000</v>
      </c>
      <c r="T34" s="38">
        <v>22500</v>
      </c>
      <c r="U34" s="38">
        <v>4860.2700000000004</v>
      </c>
      <c r="V34" s="38">
        <v>8640.43</v>
      </c>
      <c r="W34" s="38">
        <v>22500</v>
      </c>
      <c r="X34" s="38">
        <v>4860.45</v>
      </c>
      <c r="Y34" s="38">
        <v>17500</v>
      </c>
      <c r="Z34" s="38">
        <v>0</v>
      </c>
      <c r="AA34" s="38">
        <v>0</v>
      </c>
      <c r="AB34" s="38">
        <v>17500</v>
      </c>
      <c r="AC34" s="38">
        <v>100</v>
      </c>
      <c r="AD34" s="38">
        <v>3780.21</v>
      </c>
      <c r="AE34" s="38">
        <v>2500</v>
      </c>
      <c r="AF34" s="38">
        <v>0</v>
      </c>
      <c r="AG34" s="123">
        <v>45898</v>
      </c>
      <c r="AH34" s="123">
        <v>46010</v>
      </c>
      <c r="AI34" s="120">
        <v>0</v>
      </c>
      <c r="AJ34" s="120">
        <v>0</v>
      </c>
      <c r="AK34" s="120">
        <v>0</v>
      </c>
      <c r="AL34" s="120">
        <v>0</v>
      </c>
      <c r="AM34" s="35"/>
      <c r="AN34" s="35"/>
      <c r="AO34" s="35"/>
      <c r="AP34" s="35" t="s">
        <v>52</v>
      </c>
      <c r="AQ34" s="35">
        <v>5</v>
      </c>
      <c r="AR34" s="35">
        <v>0</v>
      </c>
      <c r="AS34" s="1">
        <f t="shared" si="0"/>
        <v>27360.45</v>
      </c>
    </row>
    <row r="35" spans="1:45" x14ac:dyDescent="0.3">
      <c r="A35" s="6" t="str">
        <f t="shared" si="1"/>
        <v>000072</v>
      </c>
      <c r="B35" s="35" t="s">
        <v>663</v>
      </c>
      <c r="C35" s="35" t="s">
        <v>734</v>
      </c>
      <c r="D35" s="35" t="s">
        <v>663</v>
      </c>
      <c r="E35" s="35" t="s">
        <v>734</v>
      </c>
      <c r="F35" s="35" t="s">
        <v>41</v>
      </c>
      <c r="G35" s="35" t="s">
        <v>42</v>
      </c>
      <c r="H35" s="35" t="s">
        <v>43</v>
      </c>
      <c r="I35" s="35" t="s">
        <v>44</v>
      </c>
      <c r="J35" s="35" t="s">
        <v>487</v>
      </c>
      <c r="K35" s="35" t="s">
        <v>938</v>
      </c>
      <c r="L35" s="35" t="s">
        <v>47</v>
      </c>
      <c r="M35" s="35" t="s">
        <v>48</v>
      </c>
      <c r="N35" s="35" t="s">
        <v>43</v>
      </c>
      <c r="O35" s="35" t="s">
        <v>594</v>
      </c>
      <c r="P35" s="35" t="s">
        <v>51</v>
      </c>
      <c r="Q35" s="35"/>
      <c r="R35" s="35"/>
      <c r="S35" s="38">
        <v>44000</v>
      </c>
      <c r="T35" s="38">
        <v>19250</v>
      </c>
      <c r="U35" s="38">
        <v>4158.21</v>
      </c>
      <c r="V35" s="38">
        <v>9504.4699999999993</v>
      </c>
      <c r="W35" s="38">
        <v>19249.8</v>
      </c>
      <c r="X35" s="38">
        <v>4158.2</v>
      </c>
      <c r="Y35" s="38">
        <v>24750.2</v>
      </c>
      <c r="Z35" s="38">
        <v>0</v>
      </c>
      <c r="AA35" s="38">
        <v>0</v>
      </c>
      <c r="AB35" s="38">
        <v>24750.2</v>
      </c>
      <c r="AC35" s="38">
        <v>100</v>
      </c>
      <c r="AD35" s="38">
        <v>5346.27</v>
      </c>
      <c r="AE35" s="38">
        <v>2750</v>
      </c>
      <c r="AF35" s="38">
        <v>0</v>
      </c>
      <c r="AG35" s="123">
        <v>45911</v>
      </c>
      <c r="AH35" s="123">
        <v>46023</v>
      </c>
      <c r="AI35" s="120">
        <v>0</v>
      </c>
      <c r="AJ35" s="120">
        <v>0</v>
      </c>
      <c r="AK35" s="120">
        <v>0</v>
      </c>
      <c r="AL35" s="120">
        <v>0</v>
      </c>
      <c r="AM35" s="35"/>
      <c r="AN35" s="35"/>
      <c r="AO35" s="35"/>
      <c r="AP35" s="35" t="s">
        <v>52</v>
      </c>
      <c r="AQ35" s="35">
        <v>6</v>
      </c>
      <c r="AR35" s="35">
        <v>0</v>
      </c>
      <c r="AS35" s="1">
        <f t="shared" si="0"/>
        <v>23408</v>
      </c>
    </row>
    <row r="36" spans="1:45" x14ac:dyDescent="0.3">
      <c r="A36" s="6" t="str">
        <f t="shared" si="1"/>
        <v>000074</v>
      </c>
      <c r="B36" s="35" t="s">
        <v>663</v>
      </c>
      <c r="C36" s="35" t="s">
        <v>734</v>
      </c>
      <c r="D36" s="35" t="s">
        <v>663</v>
      </c>
      <c r="E36" s="35" t="s">
        <v>734</v>
      </c>
      <c r="F36" s="35" t="s">
        <v>41</v>
      </c>
      <c r="G36" s="35" t="s">
        <v>42</v>
      </c>
      <c r="H36" s="35" t="s">
        <v>43</v>
      </c>
      <c r="I36" s="35" t="s">
        <v>44</v>
      </c>
      <c r="J36" s="35" t="s">
        <v>978</v>
      </c>
      <c r="K36" s="35" t="s">
        <v>936</v>
      </c>
      <c r="L36" s="35" t="s">
        <v>47</v>
      </c>
      <c r="M36" s="35" t="s">
        <v>48</v>
      </c>
      <c r="N36" s="35" t="s">
        <v>43</v>
      </c>
      <c r="O36" s="35" t="s">
        <v>594</v>
      </c>
      <c r="P36" s="35" t="s">
        <v>51</v>
      </c>
      <c r="Q36" s="35"/>
      <c r="R36" s="35"/>
      <c r="S36" s="38">
        <v>101000</v>
      </c>
      <c r="T36" s="38">
        <v>44187.5</v>
      </c>
      <c r="U36" s="38">
        <v>9544.99</v>
      </c>
      <c r="V36" s="38">
        <v>21817.08</v>
      </c>
      <c r="W36" s="38">
        <v>44187.040000000001</v>
      </c>
      <c r="X36" s="38">
        <v>9544.9600000000009</v>
      </c>
      <c r="Y36" s="38">
        <v>56812.959999999999</v>
      </c>
      <c r="Z36" s="38">
        <v>0</v>
      </c>
      <c r="AA36" s="38">
        <v>0</v>
      </c>
      <c r="AB36" s="38">
        <v>56812.959999999999</v>
      </c>
      <c r="AC36" s="38">
        <v>100</v>
      </c>
      <c r="AD36" s="38">
        <v>12272.130000000001</v>
      </c>
      <c r="AE36" s="38">
        <v>6312.5</v>
      </c>
      <c r="AF36" s="38">
        <v>0</v>
      </c>
      <c r="AG36" s="123">
        <v>45911</v>
      </c>
      <c r="AH36" s="123">
        <v>46023</v>
      </c>
      <c r="AI36" s="120">
        <v>0</v>
      </c>
      <c r="AJ36" s="120">
        <v>0</v>
      </c>
      <c r="AK36" s="120">
        <v>0</v>
      </c>
      <c r="AL36" s="120">
        <v>0</v>
      </c>
      <c r="AM36" s="35"/>
      <c r="AN36" s="35"/>
      <c r="AO36" s="35"/>
      <c r="AP36" s="35" t="s">
        <v>52</v>
      </c>
      <c r="AQ36" s="35">
        <v>7</v>
      </c>
      <c r="AR36" s="35">
        <v>0</v>
      </c>
      <c r="AS36" s="1">
        <f t="shared" si="0"/>
        <v>53732</v>
      </c>
    </row>
    <row r="37" spans="1:45" x14ac:dyDescent="0.3">
      <c r="A37" s="6" t="str">
        <f t="shared" si="1"/>
        <v>000091</v>
      </c>
      <c r="B37" s="35" t="s">
        <v>663</v>
      </c>
      <c r="C37" s="35" t="s">
        <v>734</v>
      </c>
      <c r="D37" s="35" t="s">
        <v>663</v>
      </c>
      <c r="E37" s="35" t="s">
        <v>734</v>
      </c>
      <c r="F37" s="35" t="s">
        <v>41</v>
      </c>
      <c r="G37" s="35" t="s">
        <v>42</v>
      </c>
      <c r="H37" s="35" t="s">
        <v>43</v>
      </c>
      <c r="I37" s="35" t="s">
        <v>44</v>
      </c>
      <c r="J37" s="35" t="s">
        <v>1145</v>
      </c>
      <c r="K37" s="35" t="s">
        <v>1146</v>
      </c>
      <c r="L37" s="35" t="s">
        <v>47</v>
      </c>
      <c r="M37" s="35" t="s">
        <v>48</v>
      </c>
      <c r="N37" s="35" t="s">
        <v>43</v>
      </c>
      <c r="O37" s="35" t="s">
        <v>594</v>
      </c>
      <c r="P37" s="35" t="s">
        <v>51</v>
      </c>
      <c r="Q37" s="35"/>
      <c r="R37" s="35"/>
      <c r="S37" s="38">
        <v>100000</v>
      </c>
      <c r="T37" s="38">
        <v>37500</v>
      </c>
      <c r="U37" s="38">
        <v>8100.42</v>
      </c>
      <c r="V37" s="38">
        <v>21601.07</v>
      </c>
      <c r="W37" s="38">
        <v>37499.599999999999</v>
      </c>
      <c r="X37" s="38">
        <v>8100.4000000000005</v>
      </c>
      <c r="Y37" s="38">
        <v>62500.4</v>
      </c>
      <c r="Z37" s="38">
        <v>0</v>
      </c>
      <c r="AA37" s="38">
        <v>0</v>
      </c>
      <c r="AB37" s="38">
        <v>62500.4</v>
      </c>
      <c r="AC37" s="38">
        <v>100</v>
      </c>
      <c r="AD37" s="38">
        <v>13500.7</v>
      </c>
      <c r="AE37" s="38">
        <v>6250</v>
      </c>
      <c r="AF37" s="38">
        <v>0</v>
      </c>
      <c r="AG37" s="123">
        <v>45919</v>
      </c>
      <c r="AH37" s="123">
        <v>46031</v>
      </c>
      <c r="AI37" s="120">
        <v>0</v>
      </c>
      <c r="AJ37" s="120">
        <v>0</v>
      </c>
      <c r="AK37" s="120">
        <v>0</v>
      </c>
      <c r="AL37" s="120">
        <v>0</v>
      </c>
      <c r="AM37" s="35"/>
      <c r="AN37" s="35"/>
      <c r="AO37" s="35"/>
      <c r="AP37" s="35" t="s">
        <v>52</v>
      </c>
      <c r="AQ37" s="35">
        <v>8</v>
      </c>
      <c r="AR37" s="35">
        <v>0</v>
      </c>
      <c r="AS37" s="1">
        <f t="shared" si="0"/>
        <v>45600</v>
      </c>
    </row>
    <row r="38" spans="1:45" x14ac:dyDescent="0.3">
      <c r="A38" s="6" t="str">
        <f t="shared" si="1"/>
        <v>000096</v>
      </c>
      <c r="B38" s="35" t="s">
        <v>663</v>
      </c>
      <c r="C38" s="35" t="s">
        <v>734</v>
      </c>
      <c r="D38" s="35" t="s">
        <v>663</v>
      </c>
      <c r="E38" s="35" t="s">
        <v>734</v>
      </c>
      <c r="F38" s="35" t="s">
        <v>41</v>
      </c>
      <c r="G38" s="35" t="s">
        <v>42</v>
      </c>
      <c r="H38" s="35" t="s">
        <v>43</v>
      </c>
      <c r="I38" s="35" t="s">
        <v>44</v>
      </c>
      <c r="J38" s="35" t="s">
        <v>1164</v>
      </c>
      <c r="K38" s="35" t="s">
        <v>1157</v>
      </c>
      <c r="L38" s="35" t="s">
        <v>47</v>
      </c>
      <c r="M38" s="35" t="s">
        <v>48</v>
      </c>
      <c r="N38" s="35" t="s">
        <v>43</v>
      </c>
      <c r="O38" s="35" t="s">
        <v>594</v>
      </c>
      <c r="P38" s="35" t="s">
        <v>51</v>
      </c>
      <c r="Q38" s="35"/>
      <c r="R38" s="35"/>
      <c r="S38" s="38">
        <v>97000</v>
      </c>
      <c r="T38" s="38">
        <v>30312.5</v>
      </c>
      <c r="U38" s="38">
        <v>6547.8</v>
      </c>
      <c r="V38" s="38">
        <v>20953.03</v>
      </c>
      <c r="W38" s="38">
        <v>30312.190000000002</v>
      </c>
      <c r="X38" s="38">
        <v>6547.81</v>
      </c>
      <c r="Y38" s="38">
        <v>66687.81</v>
      </c>
      <c r="Z38" s="38">
        <v>0</v>
      </c>
      <c r="AA38" s="38">
        <v>0</v>
      </c>
      <c r="AB38" s="38">
        <v>66687.81</v>
      </c>
      <c r="AC38" s="38">
        <v>100</v>
      </c>
      <c r="AD38" s="38">
        <v>14405.16</v>
      </c>
      <c r="AE38" s="38">
        <v>6062.5</v>
      </c>
      <c r="AF38" s="38">
        <v>0</v>
      </c>
      <c r="AG38" s="123">
        <v>45922</v>
      </c>
      <c r="AH38" s="123">
        <v>46034</v>
      </c>
      <c r="AI38" s="120">
        <v>0</v>
      </c>
      <c r="AJ38" s="120">
        <v>0</v>
      </c>
      <c r="AK38" s="120">
        <v>0</v>
      </c>
      <c r="AL38" s="120">
        <v>0</v>
      </c>
      <c r="AM38" s="35"/>
      <c r="AN38" s="35"/>
      <c r="AO38" s="35"/>
      <c r="AP38" s="35" t="s">
        <v>52</v>
      </c>
      <c r="AQ38" s="35">
        <v>6</v>
      </c>
      <c r="AR38" s="35">
        <v>0</v>
      </c>
      <c r="AS38" s="1">
        <f t="shared" si="0"/>
        <v>36860</v>
      </c>
    </row>
    <row r="39" spans="1:45" x14ac:dyDescent="0.3">
      <c r="A39" s="6" t="str">
        <f t="shared" si="1"/>
        <v>000105</v>
      </c>
      <c r="B39" s="35" t="s">
        <v>663</v>
      </c>
      <c r="C39" s="35" t="s">
        <v>734</v>
      </c>
      <c r="D39" s="35" t="s">
        <v>663</v>
      </c>
      <c r="E39" s="35" t="s">
        <v>734</v>
      </c>
      <c r="F39" s="35" t="s">
        <v>41</v>
      </c>
      <c r="G39" s="35" t="s">
        <v>42</v>
      </c>
      <c r="H39" s="35" t="s">
        <v>43</v>
      </c>
      <c r="I39" s="35" t="s">
        <v>44</v>
      </c>
      <c r="J39" s="35" t="s">
        <v>1270</v>
      </c>
      <c r="K39" s="35" t="s">
        <v>1204</v>
      </c>
      <c r="L39" s="35" t="s">
        <v>47</v>
      </c>
      <c r="M39" s="35" t="s">
        <v>48</v>
      </c>
      <c r="N39" s="35" t="s">
        <v>43</v>
      </c>
      <c r="O39" s="35" t="s">
        <v>594</v>
      </c>
      <c r="P39" s="35" t="s">
        <v>51</v>
      </c>
      <c r="Q39" s="35"/>
      <c r="R39" s="35"/>
      <c r="S39" s="38">
        <v>102000</v>
      </c>
      <c r="T39" s="38">
        <v>31875</v>
      </c>
      <c r="U39" s="38">
        <v>6885.35</v>
      </c>
      <c r="V39" s="38">
        <v>22033.09</v>
      </c>
      <c r="W39" s="38">
        <v>31875</v>
      </c>
      <c r="X39" s="38">
        <v>6895</v>
      </c>
      <c r="Y39" s="38">
        <v>70125</v>
      </c>
      <c r="Z39" s="38">
        <v>0</v>
      </c>
      <c r="AA39" s="38">
        <v>0</v>
      </c>
      <c r="AB39" s="38">
        <v>70125</v>
      </c>
      <c r="AC39" s="38">
        <v>100</v>
      </c>
      <c r="AD39" s="38">
        <v>15147.77</v>
      </c>
      <c r="AE39" s="38">
        <v>6375</v>
      </c>
      <c r="AF39" s="38">
        <v>0</v>
      </c>
      <c r="AG39" s="123">
        <v>45924</v>
      </c>
      <c r="AH39" s="123">
        <v>46036</v>
      </c>
      <c r="AI39" s="120">
        <v>0</v>
      </c>
      <c r="AJ39" s="120">
        <v>0</v>
      </c>
      <c r="AK39" s="120">
        <v>0</v>
      </c>
      <c r="AL39" s="120">
        <v>0</v>
      </c>
      <c r="AM39" s="35"/>
      <c r="AN39" s="35"/>
      <c r="AO39" s="35"/>
      <c r="AP39" s="35" t="s">
        <v>52</v>
      </c>
      <c r="AQ39" s="35">
        <v>6</v>
      </c>
      <c r="AR39" s="35">
        <v>0</v>
      </c>
      <c r="AS39" s="1">
        <f t="shared" si="0"/>
        <v>38770</v>
      </c>
    </row>
    <row r="40" spans="1:45" x14ac:dyDescent="0.3">
      <c r="A40" s="6" t="str">
        <f t="shared" si="1"/>
        <v>000111</v>
      </c>
      <c r="B40" s="35" t="s">
        <v>663</v>
      </c>
      <c r="C40" s="35" t="s">
        <v>734</v>
      </c>
      <c r="D40" s="35" t="s">
        <v>663</v>
      </c>
      <c r="E40" s="35" t="s">
        <v>734</v>
      </c>
      <c r="F40" s="35" t="s">
        <v>41</v>
      </c>
      <c r="G40" s="35" t="s">
        <v>42</v>
      </c>
      <c r="H40" s="35" t="s">
        <v>43</v>
      </c>
      <c r="I40" s="35" t="s">
        <v>44</v>
      </c>
      <c r="J40" s="35" t="s">
        <v>1311</v>
      </c>
      <c r="K40" s="35" t="s">
        <v>1207</v>
      </c>
      <c r="L40" s="35" t="s">
        <v>47</v>
      </c>
      <c r="M40" s="35" t="s">
        <v>48</v>
      </c>
      <c r="N40" s="35" t="s">
        <v>43</v>
      </c>
      <c r="O40" s="35" t="s">
        <v>594</v>
      </c>
      <c r="P40" s="35" t="s">
        <v>51</v>
      </c>
      <c r="Q40" s="35"/>
      <c r="R40" s="35"/>
      <c r="S40" s="38">
        <v>66000</v>
      </c>
      <c r="T40" s="38">
        <v>20625</v>
      </c>
      <c r="U40" s="38">
        <v>4455.2</v>
      </c>
      <c r="V40" s="38">
        <v>14256.7</v>
      </c>
      <c r="W40" s="38">
        <v>20624.79</v>
      </c>
      <c r="X40" s="38">
        <v>4455.21</v>
      </c>
      <c r="Y40" s="38">
        <v>45375.21</v>
      </c>
      <c r="Z40" s="38">
        <v>0</v>
      </c>
      <c r="AA40" s="38">
        <v>0</v>
      </c>
      <c r="AB40" s="38">
        <v>45375.21</v>
      </c>
      <c r="AC40" s="38">
        <v>100</v>
      </c>
      <c r="AD40" s="38">
        <v>9801.44</v>
      </c>
      <c r="AE40" s="38">
        <v>4125</v>
      </c>
      <c r="AF40" s="38">
        <v>0</v>
      </c>
      <c r="AG40" s="123">
        <v>45925</v>
      </c>
      <c r="AH40" s="123">
        <v>46037</v>
      </c>
      <c r="AI40" s="120">
        <v>0</v>
      </c>
      <c r="AJ40" s="120">
        <v>0</v>
      </c>
      <c r="AK40" s="120">
        <v>0</v>
      </c>
      <c r="AL40" s="120">
        <v>0</v>
      </c>
      <c r="AM40" s="35"/>
      <c r="AN40" s="35"/>
      <c r="AO40" s="35"/>
      <c r="AP40" s="35" t="s">
        <v>52</v>
      </c>
      <c r="AQ40" s="35">
        <v>6</v>
      </c>
      <c r="AR40" s="35">
        <v>0</v>
      </c>
      <c r="AS40" s="1">
        <f t="shared" si="0"/>
        <v>25080</v>
      </c>
    </row>
    <row r="41" spans="1:45" x14ac:dyDescent="0.3">
      <c r="A41" s="6" t="str">
        <f t="shared" si="1"/>
        <v>000114</v>
      </c>
      <c r="B41" s="35" t="s">
        <v>663</v>
      </c>
      <c r="C41" s="35" t="s">
        <v>734</v>
      </c>
      <c r="D41" s="35" t="s">
        <v>663</v>
      </c>
      <c r="E41" s="35" t="s">
        <v>734</v>
      </c>
      <c r="F41" s="35" t="s">
        <v>41</v>
      </c>
      <c r="G41" s="35" t="s">
        <v>42</v>
      </c>
      <c r="H41" s="35" t="s">
        <v>43</v>
      </c>
      <c r="I41" s="35" t="s">
        <v>44</v>
      </c>
      <c r="J41" s="35" t="s">
        <v>1271</v>
      </c>
      <c r="K41" s="35" t="s">
        <v>1159</v>
      </c>
      <c r="L41" s="35" t="s">
        <v>47</v>
      </c>
      <c r="M41" s="35" t="s">
        <v>48</v>
      </c>
      <c r="N41" s="35" t="s">
        <v>43</v>
      </c>
      <c r="O41" s="35" t="s">
        <v>594</v>
      </c>
      <c r="P41" s="35" t="s">
        <v>51</v>
      </c>
      <c r="Q41" s="35"/>
      <c r="R41" s="35"/>
      <c r="S41" s="38">
        <v>60000</v>
      </c>
      <c r="T41" s="38">
        <v>18750</v>
      </c>
      <c r="U41" s="38">
        <v>4050.2000000000003</v>
      </c>
      <c r="V41" s="38">
        <v>12960.64</v>
      </c>
      <c r="W41" s="38">
        <v>18749.86</v>
      </c>
      <c r="X41" s="38">
        <v>4050.1800000000003</v>
      </c>
      <c r="Y41" s="38">
        <v>41250.14</v>
      </c>
      <c r="Z41" s="38">
        <v>0</v>
      </c>
      <c r="AA41" s="38">
        <v>0</v>
      </c>
      <c r="AB41" s="38">
        <v>41250.14</v>
      </c>
      <c r="AC41" s="38">
        <v>100</v>
      </c>
      <c r="AD41" s="38">
        <v>8910.44</v>
      </c>
      <c r="AE41" s="38">
        <v>3750</v>
      </c>
      <c r="AF41" s="38">
        <v>0</v>
      </c>
      <c r="AG41" s="123">
        <v>45925</v>
      </c>
      <c r="AH41" s="123">
        <v>46037</v>
      </c>
      <c r="AI41" s="120">
        <v>0</v>
      </c>
      <c r="AJ41" s="120">
        <v>0</v>
      </c>
      <c r="AK41" s="120">
        <v>0</v>
      </c>
      <c r="AL41" s="120">
        <v>0</v>
      </c>
      <c r="AM41" s="35"/>
      <c r="AN41" s="35"/>
      <c r="AO41" s="35"/>
      <c r="AP41" s="35" t="s">
        <v>52</v>
      </c>
      <c r="AQ41" s="35">
        <v>6</v>
      </c>
      <c r="AR41" s="35">
        <v>0</v>
      </c>
      <c r="AS41" s="1">
        <f t="shared" si="0"/>
        <v>22800.04</v>
      </c>
    </row>
    <row r="42" spans="1:45" x14ac:dyDescent="0.3">
      <c r="A42" s="6" t="str">
        <f t="shared" si="1"/>
        <v>000117</v>
      </c>
      <c r="B42" s="35" t="s">
        <v>663</v>
      </c>
      <c r="C42" s="35" t="s">
        <v>734</v>
      </c>
      <c r="D42" s="35" t="s">
        <v>663</v>
      </c>
      <c r="E42" s="35" t="s">
        <v>734</v>
      </c>
      <c r="F42" s="35" t="s">
        <v>41</v>
      </c>
      <c r="G42" s="35" t="s">
        <v>42</v>
      </c>
      <c r="H42" s="35" t="s">
        <v>43</v>
      </c>
      <c r="I42" s="35" t="s">
        <v>44</v>
      </c>
      <c r="J42" s="35" t="s">
        <v>1386</v>
      </c>
      <c r="K42" s="35" t="s">
        <v>1355</v>
      </c>
      <c r="L42" s="35" t="s">
        <v>47</v>
      </c>
      <c r="M42" s="35" t="s">
        <v>48</v>
      </c>
      <c r="N42" s="35" t="s">
        <v>43</v>
      </c>
      <c r="O42" s="35" t="s">
        <v>594</v>
      </c>
      <c r="P42" s="35" t="s">
        <v>51</v>
      </c>
      <c r="Q42" s="35"/>
      <c r="R42" s="35"/>
      <c r="S42" s="38">
        <v>114000</v>
      </c>
      <c r="T42" s="38">
        <v>28500</v>
      </c>
      <c r="U42" s="38">
        <v>6156.32</v>
      </c>
      <c r="V42" s="38">
        <v>24625.22</v>
      </c>
      <c r="W42" s="38">
        <v>28499.68</v>
      </c>
      <c r="X42" s="38">
        <v>6156.32</v>
      </c>
      <c r="Y42" s="38">
        <v>85500.32</v>
      </c>
      <c r="Z42" s="38">
        <v>0</v>
      </c>
      <c r="AA42" s="38">
        <v>0</v>
      </c>
      <c r="AB42" s="38">
        <v>85500.32</v>
      </c>
      <c r="AC42" s="38">
        <v>100</v>
      </c>
      <c r="AD42" s="38">
        <v>18468.96</v>
      </c>
      <c r="AE42" s="38">
        <v>7125</v>
      </c>
      <c r="AF42" s="38">
        <v>0</v>
      </c>
      <c r="AG42" s="123">
        <v>45930</v>
      </c>
      <c r="AH42" s="123">
        <v>46042</v>
      </c>
      <c r="AI42" s="120">
        <v>0</v>
      </c>
      <c r="AJ42" s="120">
        <v>0</v>
      </c>
      <c r="AK42" s="120">
        <v>0</v>
      </c>
      <c r="AL42" s="120">
        <v>0</v>
      </c>
      <c r="AM42" s="35"/>
      <c r="AN42" s="35"/>
      <c r="AO42" s="35"/>
      <c r="AP42" s="35" t="s">
        <v>52</v>
      </c>
      <c r="AQ42" s="35">
        <v>7</v>
      </c>
      <c r="AR42" s="35">
        <v>0</v>
      </c>
      <c r="AS42" s="1">
        <f t="shared" si="0"/>
        <v>34656</v>
      </c>
    </row>
    <row r="43" spans="1:45" x14ac:dyDescent="0.3">
      <c r="A43" s="6" t="str">
        <f t="shared" si="1"/>
        <v>000129</v>
      </c>
      <c r="B43" s="35" t="s">
        <v>663</v>
      </c>
      <c r="C43" s="35" t="s">
        <v>734</v>
      </c>
      <c r="D43" s="35" t="s">
        <v>663</v>
      </c>
      <c r="E43" s="35" t="s">
        <v>734</v>
      </c>
      <c r="F43" s="35" t="s">
        <v>41</v>
      </c>
      <c r="G43" s="35" t="s">
        <v>42</v>
      </c>
      <c r="H43" s="35" t="s">
        <v>43</v>
      </c>
      <c r="I43" s="35" t="s">
        <v>44</v>
      </c>
      <c r="J43" s="35" t="s">
        <v>1475</v>
      </c>
      <c r="K43" s="35" t="s">
        <v>1378</v>
      </c>
      <c r="L43" s="35" t="s">
        <v>47</v>
      </c>
      <c r="M43" s="35" t="s">
        <v>48</v>
      </c>
      <c r="N43" s="35" t="s">
        <v>43</v>
      </c>
      <c r="O43" s="35" t="s">
        <v>594</v>
      </c>
      <c r="P43" s="35" t="s">
        <v>51</v>
      </c>
      <c r="Q43" s="35"/>
      <c r="R43" s="35"/>
      <c r="S43" s="38">
        <v>62000</v>
      </c>
      <c r="T43" s="38">
        <v>15500</v>
      </c>
      <c r="U43" s="38">
        <v>3348.16</v>
      </c>
      <c r="V43" s="38">
        <v>13392.66</v>
      </c>
      <c r="W43" s="38">
        <v>15499.82</v>
      </c>
      <c r="X43" s="38">
        <v>3348.1800000000003</v>
      </c>
      <c r="Y43" s="38">
        <v>46500.18</v>
      </c>
      <c r="Z43" s="38">
        <v>0</v>
      </c>
      <c r="AA43" s="38">
        <v>0</v>
      </c>
      <c r="AB43" s="38">
        <v>46500.18</v>
      </c>
      <c r="AC43" s="38">
        <v>100</v>
      </c>
      <c r="AD43" s="38">
        <v>10044.48</v>
      </c>
      <c r="AE43" s="38">
        <v>3875</v>
      </c>
      <c r="AF43" s="38">
        <v>0</v>
      </c>
      <c r="AG43" s="123">
        <v>45932</v>
      </c>
      <c r="AH43" s="123">
        <v>46044</v>
      </c>
      <c r="AI43" s="120">
        <v>0</v>
      </c>
      <c r="AJ43" s="120">
        <v>0</v>
      </c>
      <c r="AK43" s="120">
        <v>0</v>
      </c>
      <c r="AL43" s="120">
        <v>0</v>
      </c>
      <c r="AM43" s="35"/>
      <c r="AN43" s="35"/>
      <c r="AO43" s="35"/>
      <c r="AP43" s="35" t="s">
        <v>52</v>
      </c>
      <c r="AQ43" s="35">
        <v>6</v>
      </c>
      <c r="AR43" s="35">
        <v>0</v>
      </c>
      <c r="AS43" s="1">
        <f t="shared" si="0"/>
        <v>18848</v>
      </c>
    </row>
    <row r="44" spans="1:45" x14ac:dyDescent="0.3">
      <c r="A44" s="6" t="str">
        <f t="shared" si="1"/>
        <v>000136</v>
      </c>
      <c r="B44" s="35" t="s">
        <v>663</v>
      </c>
      <c r="C44" s="35" t="s">
        <v>734</v>
      </c>
      <c r="D44" s="35" t="s">
        <v>663</v>
      </c>
      <c r="E44" s="35" t="s">
        <v>734</v>
      </c>
      <c r="F44" s="35" t="s">
        <v>41</v>
      </c>
      <c r="G44" s="35" t="s">
        <v>42</v>
      </c>
      <c r="H44" s="35" t="s">
        <v>43</v>
      </c>
      <c r="I44" s="35" t="s">
        <v>44</v>
      </c>
      <c r="J44" s="35" t="s">
        <v>1530</v>
      </c>
      <c r="K44" s="35" t="s">
        <v>575</v>
      </c>
      <c r="L44" s="35" t="s">
        <v>47</v>
      </c>
      <c r="M44" s="35" t="s">
        <v>48</v>
      </c>
      <c r="N44" s="35" t="s">
        <v>43</v>
      </c>
      <c r="O44" s="35" t="s">
        <v>594</v>
      </c>
      <c r="P44" s="35" t="s">
        <v>51</v>
      </c>
      <c r="Q44" s="35"/>
      <c r="R44" s="35"/>
      <c r="S44" s="38">
        <v>116000</v>
      </c>
      <c r="T44" s="38">
        <v>21750</v>
      </c>
      <c r="U44" s="38">
        <v>4698.24</v>
      </c>
      <c r="V44" s="38">
        <v>25057.24</v>
      </c>
      <c r="W44" s="38">
        <v>21749.760000000002</v>
      </c>
      <c r="X44" s="38">
        <v>4698.24</v>
      </c>
      <c r="Y44" s="38">
        <v>94250.240000000005</v>
      </c>
      <c r="Z44" s="38">
        <v>0</v>
      </c>
      <c r="AA44" s="38">
        <v>0</v>
      </c>
      <c r="AB44" s="38">
        <v>94250.240000000005</v>
      </c>
      <c r="AC44" s="38">
        <v>100</v>
      </c>
      <c r="AD44" s="38">
        <v>20359.04</v>
      </c>
      <c r="AE44" s="38">
        <v>7250</v>
      </c>
      <c r="AF44" s="38">
        <v>0</v>
      </c>
      <c r="AG44" s="123">
        <v>45936</v>
      </c>
      <c r="AH44" s="123">
        <v>46048</v>
      </c>
      <c r="AI44" s="120">
        <v>0</v>
      </c>
      <c r="AJ44" s="120">
        <v>0</v>
      </c>
      <c r="AK44" s="120">
        <v>0</v>
      </c>
      <c r="AL44" s="120">
        <v>0</v>
      </c>
      <c r="AM44" s="35"/>
      <c r="AN44" s="35"/>
      <c r="AO44" s="35"/>
      <c r="AP44" s="35" t="s">
        <v>52</v>
      </c>
      <c r="AQ44" s="35">
        <v>5</v>
      </c>
      <c r="AR44" s="35">
        <v>0</v>
      </c>
      <c r="AS44" s="1">
        <f t="shared" si="0"/>
        <v>26448</v>
      </c>
    </row>
    <row r="45" spans="1:45" x14ac:dyDescent="0.3">
      <c r="A45" s="6" t="str">
        <f t="shared" si="1"/>
        <v>000152</v>
      </c>
      <c r="B45" s="35" t="s">
        <v>663</v>
      </c>
      <c r="C45" s="35" t="s">
        <v>734</v>
      </c>
      <c r="D45" s="35" t="s">
        <v>663</v>
      </c>
      <c r="E45" s="35" t="s">
        <v>734</v>
      </c>
      <c r="F45" s="35" t="s">
        <v>41</v>
      </c>
      <c r="G45" s="35" t="s">
        <v>42</v>
      </c>
      <c r="H45" s="35" t="s">
        <v>43</v>
      </c>
      <c r="I45" s="35" t="s">
        <v>44</v>
      </c>
      <c r="J45" s="35" t="s">
        <v>1780</v>
      </c>
      <c r="K45" s="35" t="s">
        <v>1633</v>
      </c>
      <c r="L45" s="35" t="s">
        <v>47</v>
      </c>
      <c r="M45" s="35" t="s">
        <v>48</v>
      </c>
      <c r="N45" s="35" t="s">
        <v>43</v>
      </c>
      <c r="O45" s="35" t="s">
        <v>594</v>
      </c>
      <c r="P45" s="35" t="s">
        <v>51</v>
      </c>
      <c r="Q45" s="35"/>
      <c r="R45" s="35"/>
      <c r="S45" s="38">
        <v>58000</v>
      </c>
      <c r="T45" s="38">
        <v>7250</v>
      </c>
      <c r="U45" s="38">
        <v>1566.08</v>
      </c>
      <c r="V45" s="38">
        <v>12528.62</v>
      </c>
      <c r="W45" s="38">
        <v>7250</v>
      </c>
      <c r="X45" s="38">
        <v>1566.1000000000001</v>
      </c>
      <c r="Y45" s="38">
        <v>50750</v>
      </c>
      <c r="Z45" s="38">
        <v>0</v>
      </c>
      <c r="AA45" s="38">
        <v>0</v>
      </c>
      <c r="AB45" s="38">
        <v>50750</v>
      </c>
      <c r="AC45" s="38">
        <v>100</v>
      </c>
      <c r="AD45" s="38">
        <v>10962.56</v>
      </c>
      <c r="AE45" s="38">
        <v>3625</v>
      </c>
      <c r="AF45" s="38">
        <v>0</v>
      </c>
      <c r="AG45" s="123">
        <v>45947</v>
      </c>
      <c r="AH45" s="123">
        <v>46059</v>
      </c>
      <c r="AI45" s="120">
        <v>0</v>
      </c>
      <c r="AJ45" s="120">
        <v>0</v>
      </c>
      <c r="AK45" s="120">
        <v>0</v>
      </c>
      <c r="AL45" s="120">
        <v>0</v>
      </c>
      <c r="AM45" s="35"/>
      <c r="AN45" s="35"/>
      <c r="AO45" s="35"/>
      <c r="AP45" s="35" t="s">
        <v>52</v>
      </c>
      <c r="AQ45" s="35">
        <v>5</v>
      </c>
      <c r="AR45" s="35">
        <v>0</v>
      </c>
      <c r="AS45" s="1">
        <f t="shared" si="0"/>
        <v>8816.1</v>
      </c>
    </row>
    <row r="46" spans="1:45" x14ac:dyDescent="0.3">
      <c r="A46" s="6" t="str">
        <f t="shared" si="1"/>
        <v>000153</v>
      </c>
      <c r="B46" s="35" t="s">
        <v>663</v>
      </c>
      <c r="C46" s="35" t="s">
        <v>734</v>
      </c>
      <c r="D46" s="35" t="s">
        <v>663</v>
      </c>
      <c r="E46" s="35" t="s">
        <v>734</v>
      </c>
      <c r="F46" s="35" t="s">
        <v>41</v>
      </c>
      <c r="G46" s="35" t="s">
        <v>42</v>
      </c>
      <c r="H46" s="35" t="s">
        <v>43</v>
      </c>
      <c r="I46" s="35" t="s">
        <v>44</v>
      </c>
      <c r="J46" s="35" t="s">
        <v>1796</v>
      </c>
      <c r="K46" s="35" t="s">
        <v>572</v>
      </c>
      <c r="L46" s="35" t="s">
        <v>47</v>
      </c>
      <c r="M46" s="35" t="s">
        <v>48</v>
      </c>
      <c r="N46" s="35" t="s">
        <v>43</v>
      </c>
      <c r="O46" s="35" t="s">
        <v>594</v>
      </c>
      <c r="P46" s="35" t="s">
        <v>51</v>
      </c>
      <c r="Q46" s="35"/>
      <c r="R46" s="35"/>
      <c r="S46" s="38">
        <v>42000</v>
      </c>
      <c r="T46" s="38">
        <v>5250</v>
      </c>
      <c r="U46" s="38">
        <v>1134.06</v>
      </c>
      <c r="V46" s="38">
        <v>9072.4500000000007</v>
      </c>
      <c r="W46" s="38">
        <v>5249.95</v>
      </c>
      <c r="X46" s="38">
        <v>1134.05</v>
      </c>
      <c r="Y46" s="38">
        <v>36750.050000000003</v>
      </c>
      <c r="Z46" s="38">
        <v>0</v>
      </c>
      <c r="AA46" s="38">
        <v>0</v>
      </c>
      <c r="AB46" s="38">
        <v>36750.050000000003</v>
      </c>
      <c r="AC46" s="38">
        <v>100</v>
      </c>
      <c r="AD46" s="38">
        <v>7938.42</v>
      </c>
      <c r="AE46" s="38">
        <v>2625</v>
      </c>
      <c r="AF46" s="38">
        <v>0</v>
      </c>
      <c r="AG46" s="123">
        <v>45947</v>
      </c>
      <c r="AH46" s="123">
        <v>46059</v>
      </c>
      <c r="AI46" s="120">
        <v>0</v>
      </c>
      <c r="AJ46" s="120">
        <v>0</v>
      </c>
      <c r="AK46" s="120">
        <v>0</v>
      </c>
      <c r="AL46" s="120">
        <v>0</v>
      </c>
      <c r="AM46" s="35"/>
      <c r="AN46" s="35"/>
      <c r="AO46" s="35"/>
      <c r="AP46" s="35" t="s">
        <v>52</v>
      </c>
      <c r="AQ46" s="35">
        <v>5</v>
      </c>
      <c r="AR46" s="35">
        <v>0</v>
      </c>
      <c r="AS46" s="1">
        <f t="shared" si="0"/>
        <v>6384</v>
      </c>
    </row>
    <row r="47" spans="1:45" x14ac:dyDescent="0.3">
      <c r="A47" s="6" t="str">
        <f t="shared" si="1"/>
        <v>000164</v>
      </c>
      <c r="B47" s="35" t="s">
        <v>663</v>
      </c>
      <c r="C47" s="35" t="s">
        <v>734</v>
      </c>
      <c r="D47" s="35" t="s">
        <v>663</v>
      </c>
      <c r="E47" s="35" t="s">
        <v>734</v>
      </c>
      <c r="F47" s="35" t="s">
        <v>41</v>
      </c>
      <c r="G47" s="35" t="s">
        <v>42</v>
      </c>
      <c r="H47" s="35" t="s">
        <v>43</v>
      </c>
      <c r="I47" s="35" t="s">
        <v>44</v>
      </c>
      <c r="J47" s="35" t="s">
        <v>1809</v>
      </c>
      <c r="K47" s="35" t="s">
        <v>1810</v>
      </c>
      <c r="L47" s="35" t="s">
        <v>47</v>
      </c>
      <c r="M47" s="35" t="s">
        <v>48</v>
      </c>
      <c r="N47" s="35" t="s">
        <v>43</v>
      </c>
      <c r="O47" s="35" t="s">
        <v>594</v>
      </c>
      <c r="P47" s="35" t="s">
        <v>51</v>
      </c>
      <c r="Q47" s="35"/>
      <c r="R47" s="35"/>
      <c r="S47" s="38">
        <v>115000</v>
      </c>
      <c r="T47" s="38">
        <v>14375</v>
      </c>
      <c r="U47" s="38">
        <v>3105.16</v>
      </c>
      <c r="V47" s="38">
        <v>24841.23</v>
      </c>
      <c r="W47" s="38">
        <v>14375</v>
      </c>
      <c r="X47" s="38">
        <v>3107</v>
      </c>
      <c r="Y47" s="38">
        <v>100625</v>
      </c>
      <c r="Z47" s="38">
        <v>0</v>
      </c>
      <c r="AA47" s="38">
        <v>0</v>
      </c>
      <c r="AB47" s="38">
        <v>100625</v>
      </c>
      <c r="AC47" s="38">
        <v>100</v>
      </c>
      <c r="AD47" s="38">
        <v>21736.12</v>
      </c>
      <c r="AE47" s="38">
        <v>7187.5</v>
      </c>
      <c r="AF47" s="38">
        <v>0</v>
      </c>
      <c r="AG47" s="123">
        <v>45947</v>
      </c>
      <c r="AH47" s="123">
        <v>46059</v>
      </c>
      <c r="AI47" s="120">
        <v>0</v>
      </c>
      <c r="AJ47" s="120">
        <v>0</v>
      </c>
      <c r="AK47" s="120">
        <v>0</v>
      </c>
      <c r="AL47" s="120">
        <v>0</v>
      </c>
      <c r="AM47" s="35"/>
      <c r="AN47" s="35"/>
      <c r="AO47" s="35"/>
      <c r="AP47" s="35" t="s">
        <v>52</v>
      </c>
      <c r="AQ47" s="35">
        <v>8</v>
      </c>
      <c r="AR47" s="35">
        <v>0</v>
      </c>
      <c r="AS47" s="1">
        <f t="shared" si="0"/>
        <v>17482</v>
      </c>
    </row>
    <row r="48" spans="1:45" x14ac:dyDescent="0.3">
      <c r="A48" s="6" t="str">
        <f t="shared" si="1"/>
        <v>000205</v>
      </c>
      <c r="B48" s="35" t="s">
        <v>663</v>
      </c>
      <c r="C48" s="35" t="s">
        <v>734</v>
      </c>
      <c r="D48" s="35" t="s">
        <v>663</v>
      </c>
      <c r="E48" s="35" t="s">
        <v>734</v>
      </c>
      <c r="F48" s="35" t="s">
        <v>41</v>
      </c>
      <c r="G48" s="35" t="s">
        <v>42</v>
      </c>
      <c r="H48" s="35" t="s">
        <v>43</v>
      </c>
      <c r="I48" s="35" t="s">
        <v>44</v>
      </c>
      <c r="J48" s="35" t="s">
        <v>2133</v>
      </c>
      <c r="K48" s="35" t="s">
        <v>2134</v>
      </c>
      <c r="L48" s="35" t="s">
        <v>47</v>
      </c>
      <c r="M48" s="35" t="s">
        <v>48</v>
      </c>
      <c r="N48" s="35" t="s">
        <v>43</v>
      </c>
      <c r="O48" s="35" t="s">
        <v>594</v>
      </c>
      <c r="P48" s="35" t="s">
        <v>51</v>
      </c>
      <c r="Q48" s="35"/>
      <c r="R48" s="35"/>
      <c r="S48" s="38">
        <v>135000</v>
      </c>
      <c r="T48" s="38">
        <v>0</v>
      </c>
      <c r="U48" s="38">
        <v>0</v>
      </c>
      <c r="V48" s="38">
        <v>29161.440000000002</v>
      </c>
      <c r="W48" s="38">
        <v>0</v>
      </c>
      <c r="X48" s="38">
        <v>0</v>
      </c>
      <c r="Y48" s="38">
        <v>135000</v>
      </c>
      <c r="Z48" s="38">
        <v>0</v>
      </c>
      <c r="AA48" s="38">
        <v>0</v>
      </c>
      <c r="AB48" s="38">
        <v>135000</v>
      </c>
      <c r="AC48" s="38">
        <v>100</v>
      </c>
      <c r="AD48" s="38">
        <v>0</v>
      </c>
      <c r="AE48" s="38">
        <v>8437.5</v>
      </c>
      <c r="AF48" s="38">
        <v>0</v>
      </c>
      <c r="AG48" s="123">
        <v>45961</v>
      </c>
      <c r="AH48" s="123">
        <v>46073</v>
      </c>
      <c r="AI48" s="120">
        <v>0</v>
      </c>
      <c r="AJ48" s="120">
        <v>0</v>
      </c>
      <c r="AK48" s="120">
        <v>0</v>
      </c>
      <c r="AL48" s="120">
        <v>0</v>
      </c>
      <c r="AM48" s="35"/>
      <c r="AN48" s="35"/>
      <c r="AO48" s="35"/>
      <c r="AP48" s="35" t="s">
        <v>52</v>
      </c>
      <c r="AQ48" s="35">
        <v>5</v>
      </c>
      <c r="AR48" s="35">
        <v>0</v>
      </c>
      <c r="AS48" s="1">
        <f t="shared" si="0"/>
        <v>0</v>
      </c>
    </row>
    <row r="49" spans="1:45" x14ac:dyDescent="0.3">
      <c r="A49" s="6" t="str">
        <f t="shared" si="1"/>
        <v>000057</v>
      </c>
      <c r="B49" s="35" t="s">
        <v>883</v>
      </c>
      <c r="C49" s="35" t="s">
        <v>884</v>
      </c>
      <c r="D49" s="35" t="s">
        <v>883</v>
      </c>
      <c r="E49" s="35" t="s">
        <v>884</v>
      </c>
      <c r="F49" s="35" t="s">
        <v>41</v>
      </c>
      <c r="G49" s="35" t="s">
        <v>42</v>
      </c>
      <c r="H49" s="35" t="s">
        <v>43</v>
      </c>
      <c r="I49" s="35" t="s">
        <v>44</v>
      </c>
      <c r="J49" s="35" t="s">
        <v>809</v>
      </c>
      <c r="K49" s="35" t="s">
        <v>804</v>
      </c>
      <c r="L49" s="35" t="s">
        <v>47</v>
      </c>
      <c r="M49" s="35" t="s">
        <v>48</v>
      </c>
      <c r="N49" s="35" t="s">
        <v>43</v>
      </c>
      <c r="O49" s="35" t="s">
        <v>594</v>
      </c>
      <c r="P49" s="35" t="s">
        <v>51</v>
      </c>
      <c r="Q49" s="35"/>
      <c r="R49" s="35"/>
      <c r="S49" s="38">
        <v>210000</v>
      </c>
      <c r="T49" s="38">
        <v>105000</v>
      </c>
      <c r="U49" s="38">
        <v>22681.119999999999</v>
      </c>
      <c r="V49" s="38">
        <v>45362.239999999998</v>
      </c>
      <c r="W49" s="38">
        <v>105000</v>
      </c>
      <c r="X49" s="38">
        <v>22685</v>
      </c>
      <c r="Y49" s="38">
        <v>105000</v>
      </c>
      <c r="Z49" s="38">
        <v>0</v>
      </c>
      <c r="AA49" s="38">
        <v>0</v>
      </c>
      <c r="AB49" s="38">
        <v>105000</v>
      </c>
      <c r="AC49" s="38">
        <v>100</v>
      </c>
      <c r="AD49" s="38">
        <v>22681.119999999999</v>
      </c>
      <c r="AE49" s="38">
        <v>13125</v>
      </c>
      <c r="AF49" s="38">
        <v>0</v>
      </c>
      <c r="AG49" s="123">
        <v>45903</v>
      </c>
      <c r="AH49" s="123">
        <v>46015</v>
      </c>
      <c r="AI49" s="120">
        <v>0</v>
      </c>
      <c r="AJ49" s="120">
        <v>0</v>
      </c>
      <c r="AK49" s="120">
        <v>0</v>
      </c>
      <c r="AL49" s="120">
        <v>0</v>
      </c>
      <c r="AM49" s="35"/>
      <c r="AN49" s="35"/>
      <c r="AO49" s="35"/>
      <c r="AP49" s="35" t="s">
        <v>52</v>
      </c>
      <c r="AQ49" s="35">
        <v>7</v>
      </c>
      <c r="AR49" s="35">
        <v>0</v>
      </c>
      <c r="AS49" s="1">
        <f t="shared" si="0"/>
        <v>127685</v>
      </c>
    </row>
    <row r="50" spans="1:45" x14ac:dyDescent="0.3">
      <c r="A50" s="6" t="str">
        <f t="shared" si="1"/>
        <v>000077</v>
      </c>
      <c r="B50" s="35" t="s">
        <v>883</v>
      </c>
      <c r="C50" s="35" t="s">
        <v>884</v>
      </c>
      <c r="D50" s="35" t="s">
        <v>883</v>
      </c>
      <c r="E50" s="35" t="s">
        <v>884</v>
      </c>
      <c r="F50" s="35" t="s">
        <v>41</v>
      </c>
      <c r="G50" s="35" t="s">
        <v>42</v>
      </c>
      <c r="H50" s="35" t="s">
        <v>43</v>
      </c>
      <c r="I50" s="35" t="s">
        <v>44</v>
      </c>
      <c r="J50" s="35" t="s">
        <v>501</v>
      </c>
      <c r="K50" s="35" t="s">
        <v>944</v>
      </c>
      <c r="L50" s="35" t="s">
        <v>47</v>
      </c>
      <c r="M50" s="35" t="s">
        <v>48</v>
      </c>
      <c r="N50" s="35" t="s">
        <v>43</v>
      </c>
      <c r="O50" s="35" t="s">
        <v>594</v>
      </c>
      <c r="P50" s="35" t="s">
        <v>51</v>
      </c>
      <c r="Q50" s="35"/>
      <c r="R50" s="35"/>
      <c r="S50" s="38">
        <v>198000</v>
      </c>
      <c r="T50" s="38">
        <v>86625</v>
      </c>
      <c r="U50" s="38">
        <v>18711.91</v>
      </c>
      <c r="V50" s="38">
        <v>42770.11</v>
      </c>
      <c r="W50" s="38">
        <v>86625</v>
      </c>
      <c r="X50" s="38">
        <v>19803</v>
      </c>
      <c r="Y50" s="38">
        <v>111375</v>
      </c>
      <c r="Z50" s="38">
        <v>0</v>
      </c>
      <c r="AA50" s="38">
        <v>0</v>
      </c>
      <c r="AB50" s="38">
        <v>111375</v>
      </c>
      <c r="AC50" s="38">
        <v>100</v>
      </c>
      <c r="AD50" s="38">
        <v>24058.170000000002</v>
      </c>
      <c r="AE50" s="38">
        <v>12375</v>
      </c>
      <c r="AF50" s="38">
        <v>0</v>
      </c>
      <c r="AG50" s="123">
        <v>45912</v>
      </c>
      <c r="AH50" s="123">
        <v>46024</v>
      </c>
      <c r="AI50" s="120">
        <v>0</v>
      </c>
      <c r="AJ50" s="120">
        <v>0</v>
      </c>
      <c r="AK50" s="120">
        <v>0</v>
      </c>
      <c r="AL50" s="120">
        <v>0</v>
      </c>
      <c r="AM50" s="35"/>
      <c r="AN50" s="35"/>
      <c r="AO50" s="35"/>
      <c r="AP50" s="35" t="s">
        <v>52</v>
      </c>
      <c r="AQ50" s="35">
        <v>8</v>
      </c>
      <c r="AR50" s="35">
        <v>0</v>
      </c>
      <c r="AS50" s="1">
        <f t="shared" si="0"/>
        <v>106428</v>
      </c>
    </row>
    <row r="51" spans="1:45" x14ac:dyDescent="0.3">
      <c r="A51" s="6" t="str">
        <f t="shared" si="1"/>
        <v>000084</v>
      </c>
      <c r="B51" s="35" t="s">
        <v>883</v>
      </c>
      <c r="C51" s="35" t="s">
        <v>884</v>
      </c>
      <c r="D51" s="35" t="s">
        <v>883</v>
      </c>
      <c r="E51" s="35" t="s">
        <v>884</v>
      </c>
      <c r="F51" s="35" t="s">
        <v>41</v>
      </c>
      <c r="G51" s="35" t="s">
        <v>42</v>
      </c>
      <c r="H51" s="35" t="s">
        <v>43</v>
      </c>
      <c r="I51" s="35" t="s">
        <v>44</v>
      </c>
      <c r="J51" s="35" t="s">
        <v>883</v>
      </c>
      <c r="K51" s="35" t="s">
        <v>939</v>
      </c>
      <c r="L51" s="35" t="s">
        <v>47</v>
      </c>
      <c r="M51" s="35" t="s">
        <v>48</v>
      </c>
      <c r="N51" s="35" t="s">
        <v>43</v>
      </c>
      <c r="O51" s="35" t="s">
        <v>594</v>
      </c>
      <c r="P51" s="35" t="s">
        <v>51</v>
      </c>
      <c r="Q51" s="35"/>
      <c r="R51" s="35"/>
      <c r="S51" s="38">
        <v>39000</v>
      </c>
      <c r="T51" s="38">
        <v>17062.5</v>
      </c>
      <c r="U51" s="38">
        <v>3685.71</v>
      </c>
      <c r="V51" s="38">
        <v>8424.42</v>
      </c>
      <c r="W51" s="38">
        <v>17062.5</v>
      </c>
      <c r="X51" s="38">
        <v>3696.5</v>
      </c>
      <c r="Y51" s="38">
        <v>21937.5</v>
      </c>
      <c r="Z51" s="38">
        <v>0</v>
      </c>
      <c r="AA51" s="38">
        <v>0</v>
      </c>
      <c r="AB51" s="38">
        <v>21937.5</v>
      </c>
      <c r="AC51" s="38">
        <v>100</v>
      </c>
      <c r="AD51" s="38">
        <v>4738.7700000000004</v>
      </c>
      <c r="AE51" s="38">
        <v>2437.5</v>
      </c>
      <c r="AF51" s="38">
        <v>0</v>
      </c>
      <c r="AG51" s="123">
        <v>45912</v>
      </c>
      <c r="AH51" s="123">
        <v>46024</v>
      </c>
      <c r="AI51" s="120">
        <v>0</v>
      </c>
      <c r="AJ51" s="120">
        <v>0</v>
      </c>
      <c r="AK51" s="120">
        <v>0</v>
      </c>
      <c r="AL51" s="120">
        <v>0</v>
      </c>
      <c r="AM51" s="35"/>
      <c r="AN51" s="35"/>
      <c r="AO51" s="35"/>
      <c r="AP51" s="35" t="s">
        <v>52</v>
      </c>
      <c r="AQ51" s="35">
        <v>5</v>
      </c>
      <c r="AR51" s="35">
        <v>0</v>
      </c>
      <c r="AS51" s="1">
        <f t="shared" si="0"/>
        <v>20759</v>
      </c>
    </row>
    <row r="52" spans="1:45" x14ac:dyDescent="0.3">
      <c r="A52" s="6" t="str">
        <f t="shared" si="1"/>
        <v>000086</v>
      </c>
      <c r="B52" s="35" t="s">
        <v>883</v>
      </c>
      <c r="C52" s="35" t="s">
        <v>884</v>
      </c>
      <c r="D52" s="35" t="s">
        <v>883</v>
      </c>
      <c r="E52" s="35" t="s">
        <v>884</v>
      </c>
      <c r="F52" s="35" t="s">
        <v>41</v>
      </c>
      <c r="G52" s="35" t="s">
        <v>42</v>
      </c>
      <c r="H52" s="35" t="s">
        <v>43</v>
      </c>
      <c r="I52" s="35" t="s">
        <v>44</v>
      </c>
      <c r="J52" s="35" t="s">
        <v>1052</v>
      </c>
      <c r="K52" s="35" t="s">
        <v>945</v>
      </c>
      <c r="L52" s="35" t="s">
        <v>47</v>
      </c>
      <c r="M52" s="35" t="s">
        <v>48</v>
      </c>
      <c r="N52" s="35" t="s">
        <v>43</v>
      </c>
      <c r="O52" s="35" t="s">
        <v>594</v>
      </c>
      <c r="P52" s="35" t="s">
        <v>51</v>
      </c>
      <c r="Q52" s="35"/>
      <c r="R52" s="35"/>
      <c r="S52" s="38">
        <v>60000</v>
      </c>
      <c r="T52" s="38">
        <v>26250</v>
      </c>
      <c r="U52" s="38">
        <v>5670.28</v>
      </c>
      <c r="V52" s="38">
        <v>12960.64</v>
      </c>
      <c r="W52" s="38">
        <v>26250</v>
      </c>
      <c r="X52" s="38">
        <v>5673</v>
      </c>
      <c r="Y52" s="38">
        <v>33750</v>
      </c>
      <c r="Z52" s="38">
        <v>0</v>
      </c>
      <c r="AA52" s="38">
        <v>0</v>
      </c>
      <c r="AB52" s="38">
        <v>33750</v>
      </c>
      <c r="AC52" s="38">
        <v>100</v>
      </c>
      <c r="AD52" s="38">
        <v>7290.3600000000006</v>
      </c>
      <c r="AE52" s="38">
        <v>3750</v>
      </c>
      <c r="AF52" s="38">
        <v>0</v>
      </c>
      <c r="AG52" s="123">
        <v>45912</v>
      </c>
      <c r="AH52" s="123">
        <v>46024</v>
      </c>
      <c r="AI52" s="120">
        <v>0</v>
      </c>
      <c r="AJ52" s="120">
        <v>0</v>
      </c>
      <c r="AK52" s="120">
        <v>0</v>
      </c>
      <c r="AL52" s="120">
        <v>0</v>
      </c>
      <c r="AM52" s="35"/>
      <c r="AN52" s="35"/>
      <c r="AO52" s="35"/>
      <c r="AP52" s="35" t="s">
        <v>52</v>
      </c>
      <c r="AQ52" s="35">
        <v>6</v>
      </c>
      <c r="AR52" s="35">
        <v>0</v>
      </c>
      <c r="AS52" s="1">
        <f t="shared" si="0"/>
        <v>31923</v>
      </c>
    </row>
    <row r="53" spans="1:45" x14ac:dyDescent="0.3">
      <c r="A53" s="6" t="str">
        <f t="shared" si="1"/>
        <v>000109</v>
      </c>
      <c r="B53" s="35" t="s">
        <v>883</v>
      </c>
      <c r="C53" s="35" t="s">
        <v>884</v>
      </c>
      <c r="D53" s="35" t="s">
        <v>883</v>
      </c>
      <c r="E53" s="35" t="s">
        <v>884</v>
      </c>
      <c r="F53" s="35" t="s">
        <v>41</v>
      </c>
      <c r="G53" s="35" t="s">
        <v>42</v>
      </c>
      <c r="H53" s="35" t="s">
        <v>43</v>
      </c>
      <c r="I53" s="35" t="s">
        <v>44</v>
      </c>
      <c r="J53" s="35" t="s">
        <v>1268</v>
      </c>
      <c r="K53" s="35" t="s">
        <v>1269</v>
      </c>
      <c r="L53" s="35" t="s">
        <v>47</v>
      </c>
      <c r="M53" s="35" t="s">
        <v>48</v>
      </c>
      <c r="N53" s="35" t="s">
        <v>43</v>
      </c>
      <c r="O53" s="35" t="s">
        <v>594</v>
      </c>
      <c r="P53" s="35" t="s">
        <v>51</v>
      </c>
      <c r="Q53" s="35"/>
      <c r="R53" s="35"/>
      <c r="S53" s="38">
        <v>108000</v>
      </c>
      <c r="T53" s="38">
        <v>33750</v>
      </c>
      <c r="U53" s="38">
        <v>7290.35</v>
      </c>
      <c r="V53" s="38">
        <v>23329.15</v>
      </c>
      <c r="W53" s="38">
        <v>33749.79</v>
      </c>
      <c r="X53" s="38">
        <v>7290.35</v>
      </c>
      <c r="Y53" s="38">
        <v>74250.210000000006</v>
      </c>
      <c r="Z53" s="38">
        <v>0</v>
      </c>
      <c r="AA53" s="38">
        <v>0</v>
      </c>
      <c r="AB53" s="38">
        <v>74250.210000000006</v>
      </c>
      <c r="AC53" s="38">
        <v>100</v>
      </c>
      <c r="AD53" s="38">
        <v>16038.77</v>
      </c>
      <c r="AE53" s="38">
        <v>6750</v>
      </c>
      <c r="AF53" s="38">
        <v>0</v>
      </c>
      <c r="AG53" s="123">
        <v>45924</v>
      </c>
      <c r="AH53" s="123">
        <v>46036</v>
      </c>
      <c r="AI53" s="120">
        <v>0</v>
      </c>
      <c r="AJ53" s="120">
        <v>0</v>
      </c>
      <c r="AK53" s="120">
        <v>0</v>
      </c>
      <c r="AL53" s="120">
        <v>0</v>
      </c>
      <c r="AM53" s="35"/>
      <c r="AN53" s="35"/>
      <c r="AO53" s="35"/>
      <c r="AP53" s="35" t="s">
        <v>52</v>
      </c>
      <c r="AQ53" s="35">
        <v>5</v>
      </c>
      <c r="AR53" s="35">
        <v>0</v>
      </c>
      <c r="AS53" s="1">
        <f t="shared" si="0"/>
        <v>41040.14</v>
      </c>
    </row>
    <row r="54" spans="1:45" x14ac:dyDescent="0.3">
      <c r="A54" s="6" t="str">
        <f t="shared" si="1"/>
        <v>000113</v>
      </c>
      <c r="B54" s="35" t="s">
        <v>883</v>
      </c>
      <c r="C54" s="35" t="s">
        <v>884</v>
      </c>
      <c r="D54" s="35" t="s">
        <v>883</v>
      </c>
      <c r="E54" s="35" t="s">
        <v>884</v>
      </c>
      <c r="F54" s="35" t="s">
        <v>41</v>
      </c>
      <c r="G54" s="35" t="s">
        <v>42</v>
      </c>
      <c r="H54" s="35" t="s">
        <v>43</v>
      </c>
      <c r="I54" s="35" t="s">
        <v>44</v>
      </c>
      <c r="J54" s="35" t="s">
        <v>1411</v>
      </c>
      <c r="K54" s="35" t="s">
        <v>1353</v>
      </c>
      <c r="L54" s="35" t="s">
        <v>47</v>
      </c>
      <c r="M54" s="35" t="s">
        <v>48</v>
      </c>
      <c r="N54" s="35" t="s">
        <v>43</v>
      </c>
      <c r="O54" s="35" t="s">
        <v>594</v>
      </c>
      <c r="P54" s="35" t="s">
        <v>51</v>
      </c>
      <c r="Q54" s="35"/>
      <c r="R54" s="35"/>
      <c r="S54" s="38">
        <v>55000</v>
      </c>
      <c r="T54" s="38">
        <v>13750</v>
      </c>
      <c r="U54" s="38">
        <v>2970.16</v>
      </c>
      <c r="V54" s="38">
        <v>11880.59</v>
      </c>
      <c r="W54" s="38">
        <v>13750</v>
      </c>
      <c r="X54" s="38">
        <v>2972</v>
      </c>
      <c r="Y54" s="38">
        <v>41250</v>
      </c>
      <c r="Z54" s="38">
        <v>0</v>
      </c>
      <c r="AA54" s="38">
        <v>0</v>
      </c>
      <c r="AB54" s="38">
        <v>41250</v>
      </c>
      <c r="AC54" s="38">
        <v>100</v>
      </c>
      <c r="AD54" s="38">
        <v>8910.48</v>
      </c>
      <c r="AE54" s="38">
        <v>3437.5</v>
      </c>
      <c r="AF54" s="38">
        <v>0</v>
      </c>
      <c r="AG54" s="123">
        <v>45930</v>
      </c>
      <c r="AH54" s="123">
        <v>46042</v>
      </c>
      <c r="AI54" s="120">
        <v>0</v>
      </c>
      <c r="AJ54" s="120">
        <v>0</v>
      </c>
      <c r="AK54" s="120">
        <v>0</v>
      </c>
      <c r="AL54" s="120">
        <v>0</v>
      </c>
      <c r="AM54" s="35"/>
      <c r="AN54" s="35"/>
      <c r="AO54" s="35"/>
      <c r="AP54" s="35" t="s">
        <v>52</v>
      </c>
      <c r="AQ54" s="35">
        <v>5</v>
      </c>
      <c r="AR54" s="35">
        <v>0</v>
      </c>
      <c r="AS54" s="1">
        <f t="shared" si="0"/>
        <v>16722</v>
      </c>
    </row>
    <row r="55" spans="1:45" x14ac:dyDescent="0.3">
      <c r="A55" s="6" t="str">
        <f t="shared" si="1"/>
        <v>000125</v>
      </c>
      <c r="B55" s="35" t="s">
        <v>883</v>
      </c>
      <c r="C55" s="35" t="s">
        <v>884</v>
      </c>
      <c r="D55" s="35" t="s">
        <v>883</v>
      </c>
      <c r="E55" s="35" t="s">
        <v>884</v>
      </c>
      <c r="F55" s="35" t="s">
        <v>41</v>
      </c>
      <c r="G55" s="35" t="s">
        <v>42</v>
      </c>
      <c r="H55" s="35" t="s">
        <v>43</v>
      </c>
      <c r="I55" s="35" t="s">
        <v>44</v>
      </c>
      <c r="J55" s="35" t="s">
        <v>1429</v>
      </c>
      <c r="K55" s="35" t="s">
        <v>1377</v>
      </c>
      <c r="L55" s="35" t="s">
        <v>47</v>
      </c>
      <c r="M55" s="35" t="s">
        <v>48</v>
      </c>
      <c r="N55" s="35" t="s">
        <v>43</v>
      </c>
      <c r="O55" s="35" t="s">
        <v>594</v>
      </c>
      <c r="P55" s="35" t="s">
        <v>51</v>
      </c>
      <c r="Q55" s="35"/>
      <c r="R55" s="35"/>
      <c r="S55" s="38">
        <v>215000</v>
      </c>
      <c r="T55" s="38">
        <v>53750</v>
      </c>
      <c r="U55" s="38">
        <v>11610.56</v>
      </c>
      <c r="V55" s="38">
        <v>46442.29</v>
      </c>
      <c r="W55" s="38">
        <v>53750</v>
      </c>
      <c r="X55" s="38">
        <v>11611</v>
      </c>
      <c r="Y55" s="38">
        <v>161250</v>
      </c>
      <c r="Z55" s="38">
        <v>0</v>
      </c>
      <c r="AA55" s="38">
        <v>0</v>
      </c>
      <c r="AB55" s="38">
        <v>161250</v>
      </c>
      <c r="AC55" s="38">
        <v>100</v>
      </c>
      <c r="AD55" s="38">
        <v>34831.68</v>
      </c>
      <c r="AE55" s="38">
        <v>13437.5</v>
      </c>
      <c r="AF55" s="38">
        <v>0</v>
      </c>
      <c r="AG55" s="123">
        <v>45930</v>
      </c>
      <c r="AH55" s="123">
        <v>46042</v>
      </c>
      <c r="AI55" s="120">
        <v>0</v>
      </c>
      <c r="AJ55" s="120">
        <v>0</v>
      </c>
      <c r="AK55" s="120">
        <v>0</v>
      </c>
      <c r="AL55" s="120">
        <v>0</v>
      </c>
      <c r="AM55" s="35"/>
      <c r="AN55" s="35"/>
      <c r="AO55" s="35"/>
      <c r="AP55" s="35" t="s">
        <v>52</v>
      </c>
      <c r="AQ55" s="35">
        <v>5</v>
      </c>
      <c r="AR55" s="35">
        <v>0</v>
      </c>
      <c r="AS55" s="1">
        <f t="shared" si="0"/>
        <v>65361</v>
      </c>
    </row>
    <row r="56" spans="1:45" x14ac:dyDescent="0.3">
      <c r="A56" s="6" t="str">
        <f t="shared" si="1"/>
        <v>000132</v>
      </c>
      <c r="B56" s="35" t="s">
        <v>883</v>
      </c>
      <c r="C56" s="35" t="s">
        <v>884</v>
      </c>
      <c r="D56" s="35" t="s">
        <v>883</v>
      </c>
      <c r="E56" s="35" t="s">
        <v>884</v>
      </c>
      <c r="F56" s="35" t="s">
        <v>41</v>
      </c>
      <c r="G56" s="35" t="s">
        <v>42</v>
      </c>
      <c r="H56" s="35" t="s">
        <v>43</v>
      </c>
      <c r="I56" s="35" t="s">
        <v>44</v>
      </c>
      <c r="J56" s="35" t="s">
        <v>1518</v>
      </c>
      <c r="K56" s="35" t="s">
        <v>1519</v>
      </c>
      <c r="L56" s="35" t="s">
        <v>47</v>
      </c>
      <c r="M56" s="35" t="s">
        <v>48</v>
      </c>
      <c r="N56" s="35" t="s">
        <v>43</v>
      </c>
      <c r="O56" s="35" t="s">
        <v>594</v>
      </c>
      <c r="P56" s="35" t="s">
        <v>51</v>
      </c>
      <c r="Q56" s="35"/>
      <c r="R56" s="35"/>
      <c r="S56" s="38">
        <v>134000</v>
      </c>
      <c r="T56" s="38">
        <v>33500</v>
      </c>
      <c r="U56" s="38">
        <v>7236.3600000000006</v>
      </c>
      <c r="V56" s="38">
        <v>28945.43</v>
      </c>
      <c r="W56" s="38">
        <v>33500</v>
      </c>
      <c r="X56" s="38">
        <v>7237</v>
      </c>
      <c r="Y56" s="38">
        <v>100500</v>
      </c>
      <c r="Z56" s="38">
        <v>0</v>
      </c>
      <c r="AA56" s="38">
        <v>0</v>
      </c>
      <c r="AB56" s="38">
        <v>100500</v>
      </c>
      <c r="AC56" s="38">
        <v>100</v>
      </c>
      <c r="AD56" s="38">
        <v>21709.08</v>
      </c>
      <c r="AE56" s="38">
        <v>8375</v>
      </c>
      <c r="AF56" s="38">
        <v>0</v>
      </c>
      <c r="AG56" s="123">
        <v>45933</v>
      </c>
      <c r="AH56" s="123">
        <v>46045</v>
      </c>
      <c r="AI56" s="120">
        <v>0</v>
      </c>
      <c r="AJ56" s="120">
        <v>0</v>
      </c>
      <c r="AK56" s="120">
        <v>0</v>
      </c>
      <c r="AL56" s="120">
        <v>0</v>
      </c>
      <c r="AM56" s="35"/>
      <c r="AN56" s="35"/>
      <c r="AO56" s="35"/>
      <c r="AP56" s="35" t="s">
        <v>52</v>
      </c>
      <c r="AQ56" s="35">
        <v>5</v>
      </c>
      <c r="AR56" s="35">
        <v>0</v>
      </c>
      <c r="AS56" s="1">
        <f t="shared" si="0"/>
        <v>40737</v>
      </c>
    </row>
    <row r="57" spans="1:45" x14ac:dyDescent="0.3">
      <c r="A57" s="6" t="str">
        <f t="shared" si="1"/>
        <v>000147</v>
      </c>
      <c r="B57" s="35" t="s">
        <v>883</v>
      </c>
      <c r="C57" s="35" t="s">
        <v>884</v>
      </c>
      <c r="D57" s="35" t="s">
        <v>883</v>
      </c>
      <c r="E57" s="35" t="s">
        <v>884</v>
      </c>
      <c r="F57" s="35" t="s">
        <v>41</v>
      </c>
      <c r="G57" s="35" t="s">
        <v>42</v>
      </c>
      <c r="H57" s="35" t="s">
        <v>43</v>
      </c>
      <c r="I57" s="35" t="s">
        <v>44</v>
      </c>
      <c r="J57" s="35" t="s">
        <v>1635</v>
      </c>
      <c r="K57" s="35" t="s">
        <v>1599</v>
      </c>
      <c r="L57" s="35" t="s">
        <v>47</v>
      </c>
      <c r="M57" s="35" t="s">
        <v>48</v>
      </c>
      <c r="N57" s="35" t="s">
        <v>43</v>
      </c>
      <c r="O57" s="35" t="s">
        <v>594</v>
      </c>
      <c r="P57" s="35" t="s">
        <v>51</v>
      </c>
      <c r="Q57" s="35"/>
      <c r="R57" s="35"/>
      <c r="S57" s="38">
        <v>52000</v>
      </c>
      <c r="T57" s="38">
        <v>6500</v>
      </c>
      <c r="U57" s="38">
        <v>1404.06</v>
      </c>
      <c r="V57" s="38">
        <v>11232.550000000001</v>
      </c>
      <c r="W57" s="38">
        <v>6499.95</v>
      </c>
      <c r="X57" s="38">
        <v>1404.05</v>
      </c>
      <c r="Y57" s="38">
        <v>45500.05</v>
      </c>
      <c r="Z57" s="38">
        <v>0</v>
      </c>
      <c r="AA57" s="38">
        <v>0</v>
      </c>
      <c r="AB57" s="38">
        <v>45500.05</v>
      </c>
      <c r="AC57" s="38">
        <v>100</v>
      </c>
      <c r="AD57" s="38">
        <v>9828.42</v>
      </c>
      <c r="AE57" s="38">
        <v>3250</v>
      </c>
      <c r="AF57" s="38">
        <v>0</v>
      </c>
      <c r="AG57" s="123">
        <v>45943</v>
      </c>
      <c r="AH57" s="123">
        <v>46055</v>
      </c>
      <c r="AI57" s="120">
        <v>0</v>
      </c>
      <c r="AJ57" s="120">
        <v>0</v>
      </c>
      <c r="AK57" s="120">
        <v>0</v>
      </c>
      <c r="AL57" s="120">
        <v>0</v>
      </c>
      <c r="AM57" s="35"/>
      <c r="AN57" s="35"/>
      <c r="AO57" s="35"/>
      <c r="AP57" s="35" t="s">
        <v>52</v>
      </c>
      <c r="AQ57" s="35">
        <v>5</v>
      </c>
      <c r="AR57" s="35">
        <v>0</v>
      </c>
      <c r="AS57" s="1">
        <f t="shared" si="0"/>
        <v>7904</v>
      </c>
    </row>
    <row r="58" spans="1:45" x14ac:dyDescent="0.3">
      <c r="A58" s="6" t="str">
        <f t="shared" si="1"/>
        <v>000171</v>
      </c>
      <c r="B58" s="35" t="s">
        <v>883</v>
      </c>
      <c r="C58" s="35" t="s">
        <v>884</v>
      </c>
      <c r="D58" s="35" t="s">
        <v>883</v>
      </c>
      <c r="E58" s="35" t="s">
        <v>884</v>
      </c>
      <c r="F58" s="35" t="s">
        <v>41</v>
      </c>
      <c r="G58" s="35" t="s">
        <v>42</v>
      </c>
      <c r="H58" s="35" t="s">
        <v>43</v>
      </c>
      <c r="I58" s="35" t="s">
        <v>44</v>
      </c>
      <c r="J58" s="35" t="s">
        <v>1835</v>
      </c>
      <c r="K58" s="35" t="s">
        <v>1836</v>
      </c>
      <c r="L58" s="35" t="s">
        <v>47</v>
      </c>
      <c r="M58" s="35" t="s">
        <v>48</v>
      </c>
      <c r="N58" s="35" t="s">
        <v>43</v>
      </c>
      <c r="O58" s="35" t="s">
        <v>594</v>
      </c>
      <c r="P58" s="35" t="s">
        <v>51</v>
      </c>
      <c r="Q58" s="35"/>
      <c r="R58" s="35"/>
      <c r="S58" s="38">
        <v>134000</v>
      </c>
      <c r="T58" s="38">
        <v>8375</v>
      </c>
      <c r="U58" s="38">
        <v>1809.0900000000001</v>
      </c>
      <c r="V58" s="38">
        <v>28945.43</v>
      </c>
      <c r="W58" s="38">
        <v>8374.9</v>
      </c>
      <c r="X58" s="38">
        <v>1809.1000000000001</v>
      </c>
      <c r="Y58" s="38">
        <v>125625.1</v>
      </c>
      <c r="Z58" s="38">
        <v>0</v>
      </c>
      <c r="AA58" s="38">
        <v>0</v>
      </c>
      <c r="AB58" s="38">
        <v>125625.1</v>
      </c>
      <c r="AC58" s="38">
        <v>100</v>
      </c>
      <c r="AD58" s="38">
        <v>27136.350000000002</v>
      </c>
      <c r="AE58" s="38">
        <v>8375</v>
      </c>
      <c r="AF58" s="38">
        <v>0</v>
      </c>
      <c r="AG58" s="123">
        <v>45951</v>
      </c>
      <c r="AH58" s="123">
        <v>46063</v>
      </c>
      <c r="AI58" s="120">
        <v>0</v>
      </c>
      <c r="AJ58" s="120">
        <v>0</v>
      </c>
      <c r="AK58" s="120">
        <v>0</v>
      </c>
      <c r="AL58" s="120">
        <v>0</v>
      </c>
      <c r="AM58" s="35"/>
      <c r="AN58" s="35"/>
      <c r="AO58" s="35"/>
      <c r="AP58" s="35" t="s">
        <v>52</v>
      </c>
      <c r="AQ58" s="35">
        <v>5</v>
      </c>
      <c r="AR58" s="35">
        <v>0</v>
      </c>
      <c r="AS58" s="1">
        <f t="shared" si="0"/>
        <v>10184</v>
      </c>
    </row>
    <row r="59" spans="1:45" x14ac:dyDescent="0.3">
      <c r="A59" s="6" t="str">
        <f t="shared" si="1"/>
        <v>000176</v>
      </c>
      <c r="B59" s="35" t="s">
        <v>883</v>
      </c>
      <c r="C59" s="35" t="s">
        <v>884</v>
      </c>
      <c r="D59" s="35" t="s">
        <v>883</v>
      </c>
      <c r="E59" s="35" t="s">
        <v>884</v>
      </c>
      <c r="F59" s="35" t="s">
        <v>41</v>
      </c>
      <c r="G59" s="35" t="s">
        <v>42</v>
      </c>
      <c r="H59" s="35" t="s">
        <v>43</v>
      </c>
      <c r="I59" s="35" t="s">
        <v>44</v>
      </c>
      <c r="J59" s="35" t="s">
        <v>1997</v>
      </c>
      <c r="K59" s="35" t="s">
        <v>1998</v>
      </c>
      <c r="L59" s="35" t="s">
        <v>47</v>
      </c>
      <c r="M59" s="35" t="s">
        <v>48</v>
      </c>
      <c r="N59" s="35" t="s">
        <v>43</v>
      </c>
      <c r="O59" s="35" t="s">
        <v>594</v>
      </c>
      <c r="P59" s="35" t="s">
        <v>51</v>
      </c>
      <c r="Q59" s="35"/>
      <c r="R59" s="35"/>
      <c r="S59" s="38">
        <v>86000</v>
      </c>
      <c r="T59" s="38">
        <v>0</v>
      </c>
      <c r="U59" s="38">
        <v>0</v>
      </c>
      <c r="V59" s="38">
        <v>18576.920000000002</v>
      </c>
      <c r="W59" s="38">
        <v>0</v>
      </c>
      <c r="X59" s="38">
        <v>0</v>
      </c>
      <c r="Y59" s="38">
        <v>86000</v>
      </c>
      <c r="Z59" s="38">
        <v>0</v>
      </c>
      <c r="AA59" s="38">
        <v>0</v>
      </c>
      <c r="AB59" s="38">
        <v>86000</v>
      </c>
      <c r="AC59" s="38">
        <v>100</v>
      </c>
      <c r="AD59" s="38">
        <v>0</v>
      </c>
      <c r="AE59" s="38">
        <v>5375</v>
      </c>
      <c r="AF59" s="38">
        <v>0</v>
      </c>
      <c r="AG59" s="123">
        <v>45958</v>
      </c>
      <c r="AH59" s="123">
        <v>46072</v>
      </c>
      <c r="AI59" s="120">
        <v>0</v>
      </c>
      <c r="AJ59" s="120">
        <v>0</v>
      </c>
      <c r="AK59" s="120">
        <v>0</v>
      </c>
      <c r="AL59" s="120">
        <v>0</v>
      </c>
      <c r="AM59" s="35"/>
      <c r="AN59" s="35"/>
      <c r="AO59" s="35"/>
      <c r="AP59" s="35" t="s">
        <v>52</v>
      </c>
      <c r="AQ59" s="35">
        <v>5</v>
      </c>
      <c r="AR59" s="35">
        <v>0</v>
      </c>
      <c r="AS59" s="1">
        <f t="shared" si="0"/>
        <v>0</v>
      </c>
    </row>
    <row r="60" spans="1:45" x14ac:dyDescent="0.3">
      <c r="A60" s="6" t="str">
        <f t="shared" si="1"/>
        <v>000213</v>
      </c>
      <c r="B60" s="35" t="s">
        <v>883</v>
      </c>
      <c r="C60" s="35" t="s">
        <v>884</v>
      </c>
      <c r="D60" s="35" t="s">
        <v>883</v>
      </c>
      <c r="E60" s="35" t="s">
        <v>884</v>
      </c>
      <c r="F60" s="35" t="s">
        <v>41</v>
      </c>
      <c r="G60" s="35" t="s">
        <v>42</v>
      </c>
      <c r="H60" s="35" t="s">
        <v>43</v>
      </c>
      <c r="I60" s="35" t="s">
        <v>44</v>
      </c>
      <c r="J60" s="35" t="s">
        <v>2135</v>
      </c>
      <c r="K60" s="35" t="s">
        <v>2136</v>
      </c>
      <c r="L60" s="35" t="s">
        <v>47</v>
      </c>
      <c r="M60" s="35" t="s">
        <v>48</v>
      </c>
      <c r="N60" s="35" t="s">
        <v>43</v>
      </c>
      <c r="O60" s="35" t="s">
        <v>594</v>
      </c>
      <c r="P60" s="35" t="s">
        <v>51</v>
      </c>
      <c r="Q60" s="35"/>
      <c r="R60" s="35"/>
      <c r="S60" s="38">
        <v>64000</v>
      </c>
      <c r="T60" s="38">
        <v>0</v>
      </c>
      <c r="U60" s="38">
        <v>0</v>
      </c>
      <c r="V60" s="38">
        <v>13824.68</v>
      </c>
      <c r="W60" s="38">
        <v>0</v>
      </c>
      <c r="X60" s="38">
        <v>0</v>
      </c>
      <c r="Y60" s="38">
        <v>64000</v>
      </c>
      <c r="Z60" s="38">
        <v>0</v>
      </c>
      <c r="AA60" s="38">
        <v>0</v>
      </c>
      <c r="AB60" s="38">
        <v>64000</v>
      </c>
      <c r="AC60" s="38">
        <v>100</v>
      </c>
      <c r="AD60" s="38">
        <v>0</v>
      </c>
      <c r="AE60" s="38">
        <v>4000</v>
      </c>
      <c r="AF60" s="38">
        <v>0</v>
      </c>
      <c r="AG60" s="123">
        <v>45961</v>
      </c>
      <c r="AH60" s="123">
        <v>46073</v>
      </c>
      <c r="AI60" s="120">
        <v>0</v>
      </c>
      <c r="AJ60" s="120">
        <v>0</v>
      </c>
      <c r="AK60" s="120">
        <v>0</v>
      </c>
      <c r="AL60" s="120">
        <v>0</v>
      </c>
      <c r="AM60" s="35"/>
      <c r="AN60" s="35"/>
      <c r="AO60" s="35"/>
      <c r="AP60" s="35" t="s">
        <v>52</v>
      </c>
      <c r="AQ60" s="35">
        <v>6</v>
      </c>
      <c r="AR60" s="35">
        <v>0</v>
      </c>
      <c r="AS60" s="1">
        <f t="shared" si="0"/>
        <v>0</v>
      </c>
    </row>
    <row r="61" spans="1:45" x14ac:dyDescent="0.3">
      <c r="A61" s="6" t="str">
        <f t="shared" si="1"/>
        <v>000146</v>
      </c>
      <c r="B61" s="35" t="s">
        <v>1163</v>
      </c>
      <c r="C61" s="35" t="s">
        <v>1685</v>
      </c>
      <c r="D61" s="35" t="s">
        <v>1163</v>
      </c>
      <c r="E61" s="35" t="s">
        <v>1685</v>
      </c>
      <c r="F61" s="35" t="s">
        <v>41</v>
      </c>
      <c r="G61" s="35" t="s">
        <v>42</v>
      </c>
      <c r="H61" s="35" t="s">
        <v>43</v>
      </c>
      <c r="I61" s="35" t="s">
        <v>44</v>
      </c>
      <c r="J61" s="35" t="s">
        <v>1686</v>
      </c>
      <c r="K61" s="35" t="s">
        <v>1600</v>
      </c>
      <c r="L61" s="35" t="s">
        <v>47</v>
      </c>
      <c r="M61" s="35" t="s">
        <v>48</v>
      </c>
      <c r="N61" s="35" t="s">
        <v>43</v>
      </c>
      <c r="O61" s="35" t="s">
        <v>594</v>
      </c>
      <c r="P61" s="35" t="s">
        <v>51</v>
      </c>
      <c r="Q61" s="35"/>
      <c r="R61" s="35"/>
      <c r="S61" s="38">
        <v>62000</v>
      </c>
      <c r="T61" s="38">
        <v>7750</v>
      </c>
      <c r="U61" s="38">
        <v>1674.08</v>
      </c>
      <c r="V61" s="38">
        <v>13392.66</v>
      </c>
      <c r="W61" s="38">
        <v>7750</v>
      </c>
      <c r="X61" s="38">
        <v>1679</v>
      </c>
      <c r="Y61" s="38">
        <v>54250</v>
      </c>
      <c r="Z61" s="38">
        <v>0</v>
      </c>
      <c r="AA61" s="38">
        <v>0</v>
      </c>
      <c r="AB61" s="38">
        <v>54250</v>
      </c>
      <c r="AC61" s="38">
        <v>100</v>
      </c>
      <c r="AD61" s="38">
        <v>11718.56</v>
      </c>
      <c r="AE61" s="38">
        <v>3875</v>
      </c>
      <c r="AF61" s="38">
        <v>0</v>
      </c>
      <c r="AG61" s="123">
        <v>45945</v>
      </c>
      <c r="AH61" s="123">
        <v>46057</v>
      </c>
      <c r="AI61" s="120">
        <v>0</v>
      </c>
      <c r="AJ61" s="120">
        <v>0</v>
      </c>
      <c r="AK61" s="120">
        <v>0</v>
      </c>
      <c r="AL61" s="120">
        <v>0</v>
      </c>
      <c r="AM61" s="35"/>
      <c r="AN61" s="35"/>
      <c r="AO61" s="35"/>
      <c r="AP61" s="35" t="s">
        <v>52</v>
      </c>
      <c r="AQ61" s="35">
        <v>5</v>
      </c>
      <c r="AR61" s="35">
        <v>0</v>
      </c>
      <c r="AS61" s="1">
        <f t="shared" si="0"/>
        <v>9429</v>
      </c>
    </row>
    <row r="62" spans="1:45" x14ac:dyDescent="0.3">
      <c r="A62" s="6" t="str">
        <f t="shared" si="1"/>
        <v>000157</v>
      </c>
      <c r="B62" s="35" t="s">
        <v>1163</v>
      </c>
      <c r="C62" s="35" t="s">
        <v>1685</v>
      </c>
      <c r="D62" s="35" t="s">
        <v>1163</v>
      </c>
      <c r="E62" s="35" t="s">
        <v>1685</v>
      </c>
      <c r="F62" s="35" t="s">
        <v>41</v>
      </c>
      <c r="G62" s="35" t="s">
        <v>42</v>
      </c>
      <c r="H62" s="35" t="s">
        <v>43</v>
      </c>
      <c r="I62" s="35" t="s">
        <v>44</v>
      </c>
      <c r="J62" s="35" t="s">
        <v>1822</v>
      </c>
      <c r="K62" s="35" t="s">
        <v>1663</v>
      </c>
      <c r="L62" s="35" t="s">
        <v>47</v>
      </c>
      <c r="M62" s="35" t="s">
        <v>48</v>
      </c>
      <c r="N62" s="35" t="s">
        <v>43</v>
      </c>
      <c r="O62" s="35" t="s">
        <v>594</v>
      </c>
      <c r="P62" s="35" t="s">
        <v>51</v>
      </c>
      <c r="Q62" s="35"/>
      <c r="R62" s="35"/>
      <c r="S62" s="38">
        <v>56000</v>
      </c>
      <c r="T62" s="38">
        <v>3500</v>
      </c>
      <c r="U62" s="38">
        <v>756.04</v>
      </c>
      <c r="V62" s="38">
        <v>12096.6</v>
      </c>
      <c r="W62" s="38">
        <v>3500</v>
      </c>
      <c r="X62" s="38">
        <v>760</v>
      </c>
      <c r="Y62" s="38">
        <v>52500</v>
      </c>
      <c r="Z62" s="38">
        <v>0</v>
      </c>
      <c r="AA62" s="38">
        <v>0</v>
      </c>
      <c r="AB62" s="38">
        <v>52500</v>
      </c>
      <c r="AC62" s="38">
        <v>100</v>
      </c>
      <c r="AD62" s="38">
        <v>11340.6</v>
      </c>
      <c r="AE62" s="38">
        <v>3500</v>
      </c>
      <c r="AF62" s="38">
        <v>0</v>
      </c>
      <c r="AG62" s="123">
        <v>45950</v>
      </c>
      <c r="AH62" s="123">
        <v>46062</v>
      </c>
      <c r="AI62" s="120">
        <v>0</v>
      </c>
      <c r="AJ62" s="120">
        <v>0</v>
      </c>
      <c r="AK62" s="120">
        <v>0</v>
      </c>
      <c r="AL62" s="120">
        <v>0</v>
      </c>
      <c r="AM62" s="35"/>
      <c r="AN62" s="35"/>
      <c r="AO62" s="35"/>
      <c r="AP62" s="35" t="s">
        <v>52</v>
      </c>
      <c r="AQ62" s="35">
        <v>5</v>
      </c>
      <c r="AR62" s="35">
        <v>0</v>
      </c>
      <c r="AS62" s="1">
        <f t="shared" si="0"/>
        <v>4260</v>
      </c>
    </row>
    <row r="63" spans="1:45" x14ac:dyDescent="0.3">
      <c r="A63" s="6" t="str">
        <f t="shared" si="1"/>
        <v>000178</v>
      </c>
      <c r="B63" s="35" t="s">
        <v>1163</v>
      </c>
      <c r="C63" s="35" t="s">
        <v>1685</v>
      </c>
      <c r="D63" s="35" t="s">
        <v>1163</v>
      </c>
      <c r="E63" s="35" t="s">
        <v>1685</v>
      </c>
      <c r="F63" s="35" t="s">
        <v>41</v>
      </c>
      <c r="G63" s="35" t="s">
        <v>42</v>
      </c>
      <c r="H63" s="35" t="s">
        <v>43</v>
      </c>
      <c r="I63" s="35" t="s">
        <v>44</v>
      </c>
      <c r="J63" s="35" t="s">
        <v>1962</v>
      </c>
      <c r="K63" s="35" t="s">
        <v>1963</v>
      </c>
      <c r="L63" s="35" t="s">
        <v>47</v>
      </c>
      <c r="M63" s="35" t="s">
        <v>48</v>
      </c>
      <c r="N63" s="35" t="s">
        <v>43</v>
      </c>
      <c r="O63" s="35" t="s">
        <v>594</v>
      </c>
      <c r="P63" s="35" t="s">
        <v>51</v>
      </c>
      <c r="Q63" s="35"/>
      <c r="R63" s="35"/>
      <c r="S63" s="38">
        <v>142000</v>
      </c>
      <c r="T63" s="38">
        <v>0</v>
      </c>
      <c r="U63" s="38">
        <v>0</v>
      </c>
      <c r="V63" s="38">
        <v>30673.510000000002</v>
      </c>
      <c r="W63" s="38">
        <v>0</v>
      </c>
      <c r="X63" s="38">
        <v>0</v>
      </c>
      <c r="Y63" s="38">
        <v>142000</v>
      </c>
      <c r="Z63" s="38">
        <v>0</v>
      </c>
      <c r="AA63" s="38">
        <v>0</v>
      </c>
      <c r="AB63" s="38">
        <v>142000</v>
      </c>
      <c r="AC63" s="38">
        <v>100</v>
      </c>
      <c r="AD63" s="38">
        <v>0</v>
      </c>
      <c r="AE63" s="38">
        <v>8875</v>
      </c>
      <c r="AF63" s="38">
        <v>0</v>
      </c>
      <c r="AG63" s="123">
        <v>45957</v>
      </c>
      <c r="AH63" s="123">
        <v>46069</v>
      </c>
      <c r="AI63" s="120">
        <v>0</v>
      </c>
      <c r="AJ63" s="120">
        <v>0</v>
      </c>
      <c r="AK63" s="120">
        <v>0</v>
      </c>
      <c r="AL63" s="120">
        <v>0</v>
      </c>
      <c r="AM63" s="35"/>
      <c r="AN63" s="35"/>
      <c r="AO63" s="35"/>
      <c r="AP63" s="35" t="s">
        <v>52</v>
      </c>
      <c r="AQ63" s="35">
        <v>6</v>
      </c>
      <c r="AR63" s="35">
        <v>0</v>
      </c>
      <c r="AS63" s="1">
        <f t="shared" si="0"/>
        <v>0</v>
      </c>
    </row>
    <row r="64" spans="1:45" x14ac:dyDescent="0.3">
      <c r="A64" s="6" t="str">
        <f t="shared" si="1"/>
        <v>000189</v>
      </c>
      <c r="B64" s="35" t="s">
        <v>1274</v>
      </c>
      <c r="C64" s="35" t="s">
        <v>1999</v>
      </c>
      <c r="D64" s="35" t="s">
        <v>1274</v>
      </c>
      <c r="E64" s="35" t="s">
        <v>1999</v>
      </c>
      <c r="F64" s="35" t="s">
        <v>41</v>
      </c>
      <c r="G64" s="35" t="s">
        <v>42</v>
      </c>
      <c r="H64" s="35" t="s">
        <v>43</v>
      </c>
      <c r="I64" s="35" t="s">
        <v>44</v>
      </c>
      <c r="J64" s="35" t="s">
        <v>2000</v>
      </c>
      <c r="K64" s="35" t="s">
        <v>2001</v>
      </c>
      <c r="L64" s="35" t="s">
        <v>47</v>
      </c>
      <c r="M64" s="35" t="s">
        <v>48</v>
      </c>
      <c r="N64" s="35" t="s">
        <v>43</v>
      </c>
      <c r="O64" s="35" t="s">
        <v>594</v>
      </c>
      <c r="P64" s="35" t="s">
        <v>51</v>
      </c>
      <c r="Q64" s="35"/>
      <c r="R64" s="35"/>
      <c r="S64" s="38">
        <v>510000</v>
      </c>
      <c r="T64" s="38">
        <v>0</v>
      </c>
      <c r="U64" s="38">
        <v>0</v>
      </c>
      <c r="V64" s="38">
        <v>110165.44</v>
      </c>
      <c r="W64" s="38">
        <v>0</v>
      </c>
      <c r="X64" s="38">
        <v>0</v>
      </c>
      <c r="Y64" s="38">
        <v>510000</v>
      </c>
      <c r="Z64" s="38">
        <v>0</v>
      </c>
      <c r="AA64" s="38">
        <v>0</v>
      </c>
      <c r="AB64" s="38">
        <v>510000</v>
      </c>
      <c r="AC64" s="38">
        <v>100</v>
      </c>
      <c r="AD64" s="38">
        <v>0</v>
      </c>
      <c r="AE64" s="38">
        <v>31875</v>
      </c>
      <c r="AF64" s="38">
        <v>0</v>
      </c>
      <c r="AG64" s="123">
        <v>45958</v>
      </c>
      <c r="AH64" s="123">
        <v>46070</v>
      </c>
      <c r="AI64" s="120">
        <v>0</v>
      </c>
      <c r="AJ64" s="120">
        <v>0</v>
      </c>
      <c r="AK64" s="120">
        <v>0</v>
      </c>
      <c r="AL64" s="120">
        <v>0</v>
      </c>
      <c r="AM64" s="35"/>
      <c r="AN64" s="35"/>
      <c r="AO64" s="35"/>
      <c r="AP64" s="35" t="s">
        <v>52</v>
      </c>
      <c r="AQ64" s="35">
        <v>6</v>
      </c>
      <c r="AR64" s="35">
        <v>0</v>
      </c>
      <c r="AS64" s="1">
        <f t="shared" si="0"/>
        <v>0</v>
      </c>
    </row>
    <row r="65" spans="1:45" x14ac:dyDescent="0.3">
      <c r="A65" s="6" t="str">
        <f t="shared" si="1"/>
        <v>000015</v>
      </c>
      <c r="B65" s="35" t="s">
        <v>143</v>
      </c>
      <c r="C65" s="35" t="s">
        <v>163</v>
      </c>
      <c r="D65" s="35" t="s">
        <v>143</v>
      </c>
      <c r="E65" s="35" t="s">
        <v>163</v>
      </c>
      <c r="F65" s="35" t="s">
        <v>460</v>
      </c>
      <c r="G65" s="35" t="s">
        <v>396</v>
      </c>
      <c r="H65" s="35" t="s">
        <v>43</v>
      </c>
      <c r="I65" s="35" t="s">
        <v>44</v>
      </c>
      <c r="J65" s="35" t="s">
        <v>194</v>
      </c>
      <c r="K65" s="35" t="s">
        <v>104</v>
      </c>
      <c r="L65" s="35" t="s">
        <v>47</v>
      </c>
      <c r="M65" s="35" t="s">
        <v>48</v>
      </c>
      <c r="N65" s="35" t="s">
        <v>49</v>
      </c>
      <c r="O65" s="35" t="s">
        <v>208</v>
      </c>
      <c r="P65" s="35" t="s">
        <v>209</v>
      </c>
      <c r="Q65" s="35"/>
      <c r="R65" s="35"/>
      <c r="S65" s="38">
        <v>60000</v>
      </c>
      <c r="T65" s="38">
        <v>41250</v>
      </c>
      <c r="U65" s="38">
        <v>8910.44</v>
      </c>
      <c r="V65" s="38">
        <v>12960.64</v>
      </c>
      <c r="W65" s="38">
        <v>41250</v>
      </c>
      <c r="X65" s="38">
        <v>8913.0400000000009</v>
      </c>
      <c r="Y65" s="38">
        <v>18750</v>
      </c>
      <c r="Z65" s="38">
        <v>0</v>
      </c>
      <c r="AA65" s="38">
        <v>0</v>
      </c>
      <c r="AB65" s="38">
        <v>18750</v>
      </c>
      <c r="AC65" s="38">
        <v>100</v>
      </c>
      <c r="AD65" s="38">
        <v>4050.2000000000003</v>
      </c>
      <c r="AE65" s="38">
        <v>3750</v>
      </c>
      <c r="AF65" s="38">
        <v>0</v>
      </c>
      <c r="AG65" s="123">
        <v>45883</v>
      </c>
      <c r="AH65" s="123">
        <v>45995</v>
      </c>
      <c r="AI65" s="120">
        <v>0</v>
      </c>
      <c r="AJ65" s="120">
        <v>0</v>
      </c>
      <c r="AK65" s="120">
        <v>0</v>
      </c>
      <c r="AL65" s="120">
        <v>0</v>
      </c>
      <c r="AM65" s="35"/>
      <c r="AN65" s="35"/>
      <c r="AO65" s="35"/>
      <c r="AP65" s="35" t="s">
        <v>52</v>
      </c>
      <c r="AQ65" s="35">
        <v>6</v>
      </c>
      <c r="AR65" s="35">
        <v>0</v>
      </c>
      <c r="AS65" s="1">
        <f t="shared" si="0"/>
        <v>50163.040000000001</v>
      </c>
    </row>
    <row r="66" spans="1:45" x14ac:dyDescent="0.3">
      <c r="A66" s="6" t="str">
        <f t="shared" si="1"/>
        <v>000016</v>
      </c>
      <c r="B66" s="35" t="s">
        <v>143</v>
      </c>
      <c r="C66" s="35" t="s">
        <v>163</v>
      </c>
      <c r="D66" s="35" t="s">
        <v>143</v>
      </c>
      <c r="E66" s="35" t="s">
        <v>163</v>
      </c>
      <c r="F66" s="35" t="s">
        <v>460</v>
      </c>
      <c r="G66" s="35" t="s">
        <v>396</v>
      </c>
      <c r="H66" s="35" t="s">
        <v>43</v>
      </c>
      <c r="I66" s="35" t="s">
        <v>44</v>
      </c>
      <c r="J66" s="35" t="s">
        <v>195</v>
      </c>
      <c r="K66" s="35" t="s">
        <v>181</v>
      </c>
      <c r="L66" s="35" t="s">
        <v>47</v>
      </c>
      <c r="M66" s="35" t="s">
        <v>48</v>
      </c>
      <c r="N66" s="35" t="s">
        <v>49</v>
      </c>
      <c r="O66" s="35" t="s">
        <v>208</v>
      </c>
      <c r="P66" s="35" t="s">
        <v>209</v>
      </c>
      <c r="Q66" s="35"/>
      <c r="R66" s="35"/>
      <c r="S66" s="38">
        <v>103000</v>
      </c>
      <c r="T66" s="38">
        <v>64375</v>
      </c>
      <c r="U66" s="38">
        <v>13905.7</v>
      </c>
      <c r="V66" s="38">
        <v>22249.100000000002</v>
      </c>
      <c r="W66" s="38">
        <v>64375</v>
      </c>
      <c r="X66" s="38">
        <v>13992.14</v>
      </c>
      <c r="Y66" s="38">
        <v>38625</v>
      </c>
      <c r="Z66" s="38">
        <v>0</v>
      </c>
      <c r="AA66" s="38">
        <v>0</v>
      </c>
      <c r="AB66" s="38">
        <v>38625</v>
      </c>
      <c r="AC66" s="38">
        <v>100</v>
      </c>
      <c r="AD66" s="38">
        <v>8343.42</v>
      </c>
      <c r="AE66" s="38">
        <v>6437.5</v>
      </c>
      <c r="AF66" s="38">
        <v>0</v>
      </c>
      <c r="AG66" s="123">
        <v>45883</v>
      </c>
      <c r="AH66" s="123">
        <v>46001</v>
      </c>
      <c r="AI66" s="120">
        <v>0</v>
      </c>
      <c r="AJ66" s="120">
        <v>0</v>
      </c>
      <c r="AK66" s="120">
        <v>0</v>
      </c>
      <c r="AL66" s="120">
        <v>0</v>
      </c>
      <c r="AM66" s="35"/>
      <c r="AN66" s="35"/>
      <c r="AO66" s="35"/>
      <c r="AP66" s="35" t="s">
        <v>52</v>
      </c>
      <c r="AQ66" s="35">
        <v>5</v>
      </c>
      <c r="AR66" s="35">
        <v>0</v>
      </c>
      <c r="AS66" s="1">
        <f t="shared" si="0"/>
        <v>78367.14</v>
      </c>
    </row>
    <row r="67" spans="1:45" x14ac:dyDescent="0.3">
      <c r="A67" s="6" t="str">
        <f t="shared" si="1"/>
        <v>000036</v>
      </c>
      <c r="B67" s="35" t="s">
        <v>143</v>
      </c>
      <c r="C67" s="35" t="s">
        <v>163</v>
      </c>
      <c r="D67" s="35" t="s">
        <v>143</v>
      </c>
      <c r="E67" s="35" t="s">
        <v>163</v>
      </c>
      <c r="F67" s="35" t="s">
        <v>460</v>
      </c>
      <c r="G67" s="35" t="s">
        <v>396</v>
      </c>
      <c r="H67" s="35" t="s">
        <v>43</v>
      </c>
      <c r="I67" s="35" t="s">
        <v>44</v>
      </c>
      <c r="J67" s="35" t="s">
        <v>495</v>
      </c>
      <c r="K67" s="35" t="s">
        <v>496</v>
      </c>
      <c r="L67" s="35" t="s">
        <v>47</v>
      </c>
      <c r="M67" s="35" t="s">
        <v>48</v>
      </c>
      <c r="N67" s="35" t="s">
        <v>43</v>
      </c>
      <c r="O67" s="35" t="s">
        <v>559</v>
      </c>
      <c r="P67" s="35" t="s">
        <v>560</v>
      </c>
      <c r="Q67" s="35"/>
      <c r="R67" s="35"/>
      <c r="S67" s="38">
        <v>146000</v>
      </c>
      <c r="T67" s="38">
        <v>82125</v>
      </c>
      <c r="U67" s="38">
        <v>17739.900000000001</v>
      </c>
      <c r="V67" s="38">
        <v>31537.56</v>
      </c>
      <c r="W67" s="38">
        <v>82125</v>
      </c>
      <c r="X67" s="38">
        <v>17740.88</v>
      </c>
      <c r="Y67" s="38">
        <v>63875</v>
      </c>
      <c r="Z67" s="38">
        <v>0</v>
      </c>
      <c r="AA67" s="38">
        <v>0</v>
      </c>
      <c r="AB67" s="38">
        <v>63875</v>
      </c>
      <c r="AC67" s="38">
        <v>100</v>
      </c>
      <c r="AD67" s="38">
        <v>13797.7</v>
      </c>
      <c r="AE67" s="38">
        <v>9125</v>
      </c>
      <c r="AF67" s="38">
        <v>0</v>
      </c>
      <c r="AG67" s="123">
        <v>45894</v>
      </c>
      <c r="AH67" s="123">
        <v>46006</v>
      </c>
      <c r="AI67" s="120">
        <v>0</v>
      </c>
      <c r="AJ67" s="120">
        <v>0</v>
      </c>
      <c r="AK67" s="120">
        <v>0</v>
      </c>
      <c r="AL67" s="120">
        <v>0</v>
      </c>
      <c r="AM67" s="35"/>
      <c r="AN67" s="35"/>
      <c r="AO67" s="35"/>
      <c r="AP67" s="35" t="s">
        <v>52</v>
      </c>
      <c r="AQ67" s="35">
        <v>6</v>
      </c>
      <c r="AR67" s="35">
        <v>0</v>
      </c>
      <c r="AS67" s="1">
        <f t="shared" si="0"/>
        <v>99865.88</v>
      </c>
    </row>
    <row r="68" spans="1:45" x14ac:dyDescent="0.3">
      <c r="A68" s="6" t="str">
        <f t="shared" si="1"/>
        <v>000064</v>
      </c>
      <c r="B68" s="35" t="s">
        <v>143</v>
      </c>
      <c r="C68" s="35" t="s">
        <v>163</v>
      </c>
      <c r="D68" s="35" t="s">
        <v>143</v>
      </c>
      <c r="E68" s="35" t="s">
        <v>163</v>
      </c>
      <c r="F68" s="35" t="s">
        <v>460</v>
      </c>
      <c r="G68" s="35" t="s">
        <v>396</v>
      </c>
      <c r="H68" s="35" t="s">
        <v>43</v>
      </c>
      <c r="I68" s="35" t="s">
        <v>44</v>
      </c>
      <c r="J68" s="35" t="s">
        <v>143</v>
      </c>
      <c r="K68" s="35" t="s">
        <v>877</v>
      </c>
      <c r="L68" s="35" t="s">
        <v>47</v>
      </c>
      <c r="M68" s="35" t="s">
        <v>48</v>
      </c>
      <c r="N68" s="35" t="s">
        <v>43</v>
      </c>
      <c r="O68" s="35" t="s">
        <v>594</v>
      </c>
      <c r="P68" s="35" t="s">
        <v>51</v>
      </c>
      <c r="Q68" s="35"/>
      <c r="R68" s="35"/>
      <c r="S68" s="38">
        <v>111000</v>
      </c>
      <c r="T68" s="38">
        <v>48562.5</v>
      </c>
      <c r="U68" s="38">
        <v>10489.99</v>
      </c>
      <c r="V68" s="38">
        <v>23977.18</v>
      </c>
      <c r="W68" s="38">
        <v>48562.5</v>
      </c>
      <c r="X68" s="38">
        <v>10510.57</v>
      </c>
      <c r="Y68" s="38">
        <v>62437.5</v>
      </c>
      <c r="Z68" s="38">
        <v>0</v>
      </c>
      <c r="AA68" s="38">
        <v>0</v>
      </c>
      <c r="AB68" s="38">
        <v>62437.5</v>
      </c>
      <c r="AC68" s="38">
        <v>100</v>
      </c>
      <c r="AD68" s="38">
        <v>13487.130000000001</v>
      </c>
      <c r="AE68" s="38">
        <v>6937.5</v>
      </c>
      <c r="AF68" s="38">
        <v>0</v>
      </c>
      <c r="AG68" s="123">
        <v>45909</v>
      </c>
      <c r="AH68" s="123">
        <v>46021</v>
      </c>
      <c r="AI68" s="120">
        <v>0</v>
      </c>
      <c r="AJ68" s="120">
        <v>0</v>
      </c>
      <c r="AK68" s="120">
        <v>0</v>
      </c>
      <c r="AL68" s="120">
        <v>0</v>
      </c>
      <c r="AM68" s="35"/>
      <c r="AN68" s="35"/>
      <c r="AO68" s="35"/>
      <c r="AP68" s="35" t="s">
        <v>52</v>
      </c>
      <c r="AQ68" s="35">
        <v>6</v>
      </c>
      <c r="AR68" s="35">
        <v>0</v>
      </c>
      <c r="AS68" s="1">
        <f t="shared" si="0"/>
        <v>59073.07</v>
      </c>
    </row>
    <row r="69" spans="1:45" x14ac:dyDescent="0.3">
      <c r="A69" s="6" t="str">
        <f t="shared" si="1"/>
        <v>000065</v>
      </c>
      <c r="B69" s="35" t="s">
        <v>143</v>
      </c>
      <c r="C69" s="35" t="s">
        <v>163</v>
      </c>
      <c r="D69" s="35" t="s">
        <v>143</v>
      </c>
      <c r="E69" s="35" t="s">
        <v>163</v>
      </c>
      <c r="F69" s="35" t="s">
        <v>460</v>
      </c>
      <c r="G69" s="35" t="s">
        <v>396</v>
      </c>
      <c r="H69" s="35" t="s">
        <v>43</v>
      </c>
      <c r="I69" s="35" t="s">
        <v>44</v>
      </c>
      <c r="J69" s="35" t="s">
        <v>154</v>
      </c>
      <c r="K69" s="35" t="s">
        <v>827</v>
      </c>
      <c r="L69" s="35" t="s">
        <v>47</v>
      </c>
      <c r="M69" s="35" t="s">
        <v>48</v>
      </c>
      <c r="N69" s="35" t="s">
        <v>43</v>
      </c>
      <c r="O69" s="35" t="s">
        <v>594</v>
      </c>
      <c r="P69" s="35" t="s">
        <v>51</v>
      </c>
      <c r="Q69" s="35"/>
      <c r="R69" s="35"/>
      <c r="S69" s="38">
        <v>97000</v>
      </c>
      <c r="T69" s="38">
        <v>42437.5</v>
      </c>
      <c r="U69" s="38">
        <v>9166.92</v>
      </c>
      <c r="V69" s="38">
        <v>20953.03</v>
      </c>
      <c r="W69" s="38">
        <v>42437.5</v>
      </c>
      <c r="X69" s="38">
        <v>9191.5</v>
      </c>
      <c r="Y69" s="38">
        <v>54562.5</v>
      </c>
      <c r="Z69" s="38">
        <v>0</v>
      </c>
      <c r="AA69" s="38">
        <v>0</v>
      </c>
      <c r="AB69" s="38">
        <v>54562.5</v>
      </c>
      <c r="AC69" s="38">
        <v>100</v>
      </c>
      <c r="AD69" s="38">
        <v>11786.04</v>
      </c>
      <c r="AE69" s="38">
        <v>6062.5</v>
      </c>
      <c r="AF69" s="38">
        <v>0</v>
      </c>
      <c r="AG69" s="123">
        <v>45909</v>
      </c>
      <c r="AH69" s="123">
        <v>46021</v>
      </c>
      <c r="AI69" s="120">
        <v>0</v>
      </c>
      <c r="AJ69" s="120">
        <v>0</v>
      </c>
      <c r="AK69" s="120">
        <v>0</v>
      </c>
      <c r="AL69" s="120">
        <v>0</v>
      </c>
      <c r="AM69" s="35"/>
      <c r="AN69" s="35"/>
      <c r="AO69" s="35"/>
      <c r="AP69" s="35" t="s">
        <v>52</v>
      </c>
      <c r="AQ69" s="35">
        <v>6</v>
      </c>
      <c r="AR69" s="35">
        <v>0</v>
      </c>
      <c r="AS69" s="1">
        <f t="shared" si="0"/>
        <v>51629</v>
      </c>
    </row>
    <row r="70" spans="1:45" x14ac:dyDescent="0.3">
      <c r="A70" s="6" t="str">
        <f t="shared" si="1"/>
        <v>000066</v>
      </c>
      <c r="B70" s="35" t="s">
        <v>143</v>
      </c>
      <c r="C70" s="35" t="s">
        <v>163</v>
      </c>
      <c r="D70" s="35" t="s">
        <v>143</v>
      </c>
      <c r="E70" s="35" t="s">
        <v>163</v>
      </c>
      <c r="F70" s="35" t="s">
        <v>460</v>
      </c>
      <c r="G70" s="35" t="s">
        <v>396</v>
      </c>
      <c r="H70" s="35" t="s">
        <v>43</v>
      </c>
      <c r="I70" s="35" t="s">
        <v>44</v>
      </c>
      <c r="J70" s="35" t="s">
        <v>164</v>
      </c>
      <c r="K70" s="35" t="s">
        <v>828</v>
      </c>
      <c r="L70" s="35" t="s">
        <v>47</v>
      </c>
      <c r="M70" s="35" t="s">
        <v>48</v>
      </c>
      <c r="N70" s="35" t="s">
        <v>43</v>
      </c>
      <c r="O70" s="35" t="s">
        <v>594</v>
      </c>
      <c r="P70" s="35" t="s">
        <v>51</v>
      </c>
      <c r="Q70" s="35"/>
      <c r="R70" s="35"/>
      <c r="S70" s="38">
        <v>147000</v>
      </c>
      <c r="T70" s="38">
        <v>64312.5</v>
      </c>
      <c r="U70" s="38">
        <v>13892.2</v>
      </c>
      <c r="V70" s="38">
        <v>31753.57</v>
      </c>
      <c r="W70" s="38">
        <v>64312.5</v>
      </c>
      <c r="X70" s="38">
        <v>13923.5</v>
      </c>
      <c r="Y70" s="38">
        <v>82687.5</v>
      </c>
      <c r="Z70" s="38">
        <v>0</v>
      </c>
      <c r="AA70" s="38">
        <v>0</v>
      </c>
      <c r="AB70" s="38">
        <v>82687.5</v>
      </c>
      <c r="AC70" s="38">
        <v>100</v>
      </c>
      <c r="AD70" s="38">
        <v>17861.400000000001</v>
      </c>
      <c r="AE70" s="38">
        <v>9187.5</v>
      </c>
      <c r="AF70" s="38">
        <v>0</v>
      </c>
      <c r="AG70" s="123">
        <v>45909</v>
      </c>
      <c r="AH70" s="123">
        <v>46021</v>
      </c>
      <c r="AI70" s="120">
        <v>0</v>
      </c>
      <c r="AJ70" s="120">
        <v>0</v>
      </c>
      <c r="AK70" s="120">
        <v>0</v>
      </c>
      <c r="AL70" s="120">
        <v>0</v>
      </c>
      <c r="AM70" s="35"/>
      <c r="AN70" s="35"/>
      <c r="AO70" s="35"/>
      <c r="AP70" s="35" t="s">
        <v>52</v>
      </c>
      <c r="AQ70" s="35">
        <v>6</v>
      </c>
      <c r="AR70" s="35">
        <v>0</v>
      </c>
      <c r="AS70" s="1">
        <f t="shared" si="0"/>
        <v>78236</v>
      </c>
    </row>
    <row r="71" spans="1:45" x14ac:dyDescent="0.3">
      <c r="A71" s="6" t="str">
        <f t="shared" si="1"/>
        <v>000076</v>
      </c>
      <c r="B71" s="35" t="s">
        <v>143</v>
      </c>
      <c r="C71" s="35" t="s">
        <v>163</v>
      </c>
      <c r="D71" s="35" t="s">
        <v>143</v>
      </c>
      <c r="E71" s="35" t="s">
        <v>163</v>
      </c>
      <c r="F71" s="35" t="s">
        <v>460</v>
      </c>
      <c r="G71" s="35" t="s">
        <v>396</v>
      </c>
      <c r="H71" s="35" t="s">
        <v>43</v>
      </c>
      <c r="I71" s="35" t="s">
        <v>44</v>
      </c>
      <c r="J71" s="35" t="s">
        <v>973</v>
      </c>
      <c r="K71" s="35" t="s">
        <v>881</v>
      </c>
      <c r="L71" s="35" t="s">
        <v>47</v>
      </c>
      <c r="M71" s="35" t="s">
        <v>48</v>
      </c>
      <c r="N71" s="35" t="s">
        <v>43</v>
      </c>
      <c r="O71" s="35" t="s">
        <v>594</v>
      </c>
      <c r="P71" s="35" t="s">
        <v>51</v>
      </c>
      <c r="Q71" s="35"/>
      <c r="R71" s="35"/>
      <c r="S71" s="38">
        <v>61000</v>
      </c>
      <c r="T71" s="38">
        <v>26687.5</v>
      </c>
      <c r="U71" s="38">
        <v>5764.78</v>
      </c>
      <c r="V71" s="38">
        <v>13176.65</v>
      </c>
      <c r="W71" s="38">
        <v>26687.5</v>
      </c>
      <c r="X71" s="38">
        <v>5769.5</v>
      </c>
      <c r="Y71" s="38">
        <v>34312.5</v>
      </c>
      <c r="Z71" s="38">
        <v>0</v>
      </c>
      <c r="AA71" s="38">
        <v>0</v>
      </c>
      <c r="AB71" s="38">
        <v>34312.5</v>
      </c>
      <c r="AC71" s="38">
        <v>100</v>
      </c>
      <c r="AD71" s="38">
        <v>7411.8600000000006</v>
      </c>
      <c r="AE71" s="38">
        <v>3812.5</v>
      </c>
      <c r="AF71" s="38">
        <v>0</v>
      </c>
      <c r="AG71" s="123">
        <v>45911</v>
      </c>
      <c r="AH71" s="123">
        <v>46023</v>
      </c>
      <c r="AI71" s="120">
        <v>0</v>
      </c>
      <c r="AJ71" s="120">
        <v>0</v>
      </c>
      <c r="AK71" s="120">
        <v>0</v>
      </c>
      <c r="AL71" s="120">
        <v>0</v>
      </c>
      <c r="AM71" s="35"/>
      <c r="AN71" s="35"/>
      <c r="AO71" s="35"/>
      <c r="AP71" s="35" t="s">
        <v>52</v>
      </c>
      <c r="AQ71" s="35">
        <v>5</v>
      </c>
      <c r="AR71" s="35">
        <v>0</v>
      </c>
      <c r="AS71" s="1">
        <f t="shared" si="0"/>
        <v>32457</v>
      </c>
    </row>
    <row r="72" spans="1:45" x14ac:dyDescent="0.3">
      <c r="A72" s="6" t="str">
        <f t="shared" si="1"/>
        <v>000102</v>
      </c>
      <c r="B72" s="35" t="s">
        <v>143</v>
      </c>
      <c r="C72" s="35" t="s">
        <v>163</v>
      </c>
      <c r="D72" s="35" t="s">
        <v>143</v>
      </c>
      <c r="E72" s="35" t="s">
        <v>163</v>
      </c>
      <c r="F72" s="35" t="s">
        <v>460</v>
      </c>
      <c r="G72" s="35" t="s">
        <v>396</v>
      </c>
      <c r="H72" s="35" t="s">
        <v>43</v>
      </c>
      <c r="I72" s="35" t="s">
        <v>44</v>
      </c>
      <c r="J72" s="35" t="s">
        <v>1176</v>
      </c>
      <c r="K72" s="35" t="s">
        <v>1129</v>
      </c>
      <c r="L72" s="35" t="s">
        <v>47</v>
      </c>
      <c r="M72" s="35" t="s">
        <v>48</v>
      </c>
      <c r="N72" s="35" t="s">
        <v>43</v>
      </c>
      <c r="O72" s="35" t="s">
        <v>594</v>
      </c>
      <c r="P72" s="35" t="s">
        <v>51</v>
      </c>
      <c r="Q72" s="35"/>
      <c r="R72" s="35"/>
      <c r="S72" s="38">
        <v>114000</v>
      </c>
      <c r="T72" s="38">
        <v>35625</v>
      </c>
      <c r="U72" s="38">
        <v>7695.4000000000005</v>
      </c>
      <c r="V72" s="38">
        <v>24625.22</v>
      </c>
      <c r="W72" s="38">
        <v>35625</v>
      </c>
      <c r="X72" s="38">
        <v>7927.4800000000005</v>
      </c>
      <c r="Y72" s="38">
        <v>78375</v>
      </c>
      <c r="Z72" s="38">
        <v>0</v>
      </c>
      <c r="AA72" s="38">
        <v>0</v>
      </c>
      <c r="AB72" s="38">
        <v>78375</v>
      </c>
      <c r="AC72" s="38">
        <v>100</v>
      </c>
      <c r="AD72" s="38">
        <v>16929.88</v>
      </c>
      <c r="AE72" s="38">
        <v>7125</v>
      </c>
      <c r="AF72" s="38">
        <v>0</v>
      </c>
      <c r="AG72" s="123">
        <v>45923</v>
      </c>
      <c r="AH72" s="123">
        <v>46035</v>
      </c>
      <c r="AI72" s="120">
        <v>0</v>
      </c>
      <c r="AJ72" s="120">
        <v>0</v>
      </c>
      <c r="AK72" s="120">
        <v>0</v>
      </c>
      <c r="AL72" s="120">
        <v>0</v>
      </c>
      <c r="AM72" s="35"/>
      <c r="AN72" s="35"/>
      <c r="AO72" s="35"/>
      <c r="AP72" s="35" t="s">
        <v>52</v>
      </c>
      <c r="AQ72" s="35">
        <v>9</v>
      </c>
      <c r="AR72" s="35">
        <v>0</v>
      </c>
      <c r="AS72" s="1">
        <f t="shared" si="0"/>
        <v>43552.480000000003</v>
      </c>
    </row>
    <row r="73" spans="1:45" x14ac:dyDescent="0.3">
      <c r="A73" s="6" t="str">
        <f t="shared" si="1"/>
        <v>000127</v>
      </c>
      <c r="B73" s="35" t="s">
        <v>143</v>
      </c>
      <c r="C73" s="35" t="s">
        <v>163</v>
      </c>
      <c r="D73" s="35" t="s">
        <v>143</v>
      </c>
      <c r="E73" s="35" t="s">
        <v>163</v>
      </c>
      <c r="F73" s="35" t="s">
        <v>460</v>
      </c>
      <c r="G73" s="35" t="s">
        <v>396</v>
      </c>
      <c r="H73" s="35" t="s">
        <v>43</v>
      </c>
      <c r="I73" s="35" t="s">
        <v>44</v>
      </c>
      <c r="J73" s="35" t="s">
        <v>1476</v>
      </c>
      <c r="K73" s="35" t="s">
        <v>1103</v>
      </c>
      <c r="L73" s="35" t="s">
        <v>47</v>
      </c>
      <c r="M73" s="35" t="s">
        <v>48</v>
      </c>
      <c r="N73" s="35" t="s">
        <v>43</v>
      </c>
      <c r="O73" s="35" t="s">
        <v>594</v>
      </c>
      <c r="P73" s="35" t="s">
        <v>51</v>
      </c>
      <c r="Q73" s="35"/>
      <c r="R73" s="35"/>
      <c r="S73" s="38">
        <v>70000</v>
      </c>
      <c r="T73" s="38">
        <v>17500</v>
      </c>
      <c r="U73" s="38">
        <v>3780.2000000000003</v>
      </c>
      <c r="V73" s="38">
        <v>15120.75</v>
      </c>
      <c r="W73" s="38">
        <v>17500</v>
      </c>
      <c r="X73" s="38">
        <v>3801</v>
      </c>
      <c r="Y73" s="38">
        <v>52500</v>
      </c>
      <c r="Z73" s="38">
        <v>0</v>
      </c>
      <c r="AA73" s="38">
        <v>0</v>
      </c>
      <c r="AB73" s="38">
        <v>52500</v>
      </c>
      <c r="AC73" s="38">
        <v>100</v>
      </c>
      <c r="AD73" s="38">
        <v>11340.6</v>
      </c>
      <c r="AE73" s="38">
        <v>4375</v>
      </c>
      <c r="AF73" s="38">
        <v>0</v>
      </c>
      <c r="AG73" s="123">
        <v>45932</v>
      </c>
      <c r="AH73" s="123">
        <v>46044</v>
      </c>
      <c r="AI73" s="120">
        <v>0</v>
      </c>
      <c r="AJ73" s="120">
        <v>0</v>
      </c>
      <c r="AK73" s="120">
        <v>0</v>
      </c>
      <c r="AL73" s="120">
        <v>0</v>
      </c>
      <c r="AM73" s="35"/>
      <c r="AN73" s="35"/>
      <c r="AO73" s="35"/>
      <c r="AP73" s="35" t="s">
        <v>52</v>
      </c>
      <c r="AQ73" s="35">
        <v>6</v>
      </c>
      <c r="AR73" s="35">
        <v>0</v>
      </c>
      <c r="AS73" s="1">
        <f t="shared" si="0"/>
        <v>21301</v>
      </c>
    </row>
    <row r="74" spans="1:45" x14ac:dyDescent="0.3">
      <c r="A74" s="6" t="str">
        <f t="shared" si="1"/>
        <v>000142</v>
      </c>
      <c r="B74" s="35" t="s">
        <v>143</v>
      </c>
      <c r="C74" s="35" t="s">
        <v>163</v>
      </c>
      <c r="D74" s="35" t="s">
        <v>143</v>
      </c>
      <c r="E74" s="35" t="s">
        <v>163</v>
      </c>
      <c r="F74" s="35" t="s">
        <v>460</v>
      </c>
      <c r="G74" s="35" t="s">
        <v>396</v>
      </c>
      <c r="H74" s="35" t="s">
        <v>43</v>
      </c>
      <c r="I74" s="35" t="s">
        <v>44</v>
      </c>
      <c r="J74" s="35" t="s">
        <v>1593</v>
      </c>
      <c r="K74" s="35" t="s">
        <v>1594</v>
      </c>
      <c r="L74" s="35" t="s">
        <v>47</v>
      </c>
      <c r="M74" s="35" t="s">
        <v>48</v>
      </c>
      <c r="N74" s="35" t="s">
        <v>43</v>
      </c>
      <c r="O74" s="35" t="s">
        <v>594</v>
      </c>
      <c r="P74" s="35" t="s">
        <v>51</v>
      </c>
      <c r="Q74" s="35"/>
      <c r="R74" s="35"/>
      <c r="S74" s="38">
        <v>50000</v>
      </c>
      <c r="T74" s="38">
        <v>9375</v>
      </c>
      <c r="U74" s="38">
        <v>2025.0900000000001</v>
      </c>
      <c r="V74" s="38">
        <v>10800.53</v>
      </c>
      <c r="W74" s="38">
        <v>9375</v>
      </c>
      <c r="X74" s="38">
        <v>2028</v>
      </c>
      <c r="Y74" s="38">
        <v>40625</v>
      </c>
      <c r="Z74" s="38">
        <v>0</v>
      </c>
      <c r="AA74" s="38">
        <v>0</v>
      </c>
      <c r="AB74" s="38">
        <v>40625</v>
      </c>
      <c r="AC74" s="38">
        <v>100</v>
      </c>
      <c r="AD74" s="38">
        <v>8775.39</v>
      </c>
      <c r="AE74" s="38">
        <v>3125</v>
      </c>
      <c r="AF74" s="38">
        <v>0</v>
      </c>
      <c r="AG74" s="123">
        <v>45939</v>
      </c>
      <c r="AH74" s="123">
        <v>46051</v>
      </c>
      <c r="AI74" s="120">
        <v>0</v>
      </c>
      <c r="AJ74" s="120">
        <v>0</v>
      </c>
      <c r="AK74" s="120">
        <v>0</v>
      </c>
      <c r="AL74" s="120">
        <v>0</v>
      </c>
      <c r="AM74" s="35"/>
      <c r="AN74" s="35"/>
      <c r="AO74" s="35"/>
      <c r="AP74" s="35" t="s">
        <v>52</v>
      </c>
      <c r="AQ74" s="35">
        <v>6</v>
      </c>
      <c r="AR74" s="35">
        <v>0</v>
      </c>
      <c r="AS74" s="1">
        <f t="shared" ref="AS74" si="2">W74+X74</f>
        <v>11403</v>
      </c>
    </row>
    <row r="75" spans="1:45" x14ac:dyDescent="0.3">
      <c r="A75" s="6" t="str">
        <f t="shared" ref="A75:A138" si="3">J75</f>
        <v>000163</v>
      </c>
      <c r="B75" s="35" t="s">
        <v>143</v>
      </c>
      <c r="C75" s="35" t="s">
        <v>163</v>
      </c>
      <c r="D75" s="35" t="s">
        <v>143</v>
      </c>
      <c r="E75" s="35" t="s">
        <v>163</v>
      </c>
      <c r="F75" s="35" t="s">
        <v>460</v>
      </c>
      <c r="G75" s="35" t="s">
        <v>396</v>
      </c>
      <c r="H75" s="35" t="s">
        <v>43</v>
      </c>
      <c r="I75" s="35" t="s">
        <v>44</v>
      </c>
      <c r="J75" s="35" t="s">
        <v>1802</v>
      </c>
      <c r="K75" s="35" t="s">
        <v>1574</v>
      </c>
      <c r="L75" s="35" t="s">
        <v>47</v>
      </c>
      <c r="M75" s="35" t="s">
        <v>48</v>
      </c>
      <c r="N75" s="35" t="s">
        <v>43</v>
      </c>
      <c r="O75" s="35" t="s">
        <v>594</v>
      </c>
      <c r="P75" s="35" t="s">
        <v>51</v>
      </c>
      <c r="Q75" s="35"/>
      <c r="R75" s="35"/>
      <c r="S75" s="38">
        <v>109000</v>
      </c>
      <c r="T75" s="38">
        <v>13625</v>
      </c>
      <c r="U75" s="38">
        <v>2943.14</v>
      </c>
      <c r="V75" s="38">
        <v>23545.16</v>
      </c>
      <c r="W75" s="38">
        <v>13625</v>
      </c>
      <c r="X75" s="38">
        <v>2945</v>
      </c>
      <c r="Y75" s="38">
        <v>95375</v>
      </c>
      <c r="Z75" s="38">
        <v>0</v>
      </c>
      <c r="AA75" s="38">
        <v>0</v>
      </c>
      <c r="AB75" s="38">
        <v>95375</v>
      </c>
      <c r="AC75" s="38">
        <v>100</v>
      </c>
      <c r="AD75" s="38">
        <v>20601.98</v>
      </c>
      <c r="AE75" s="38">
        <v>6812.5</v>
      </c>
      <c r="AF75" s="38">
        <v>0</v>
      </c>
      <c r="AG75" s="123">
        <v>45947</v>
      </c>
      <c r="AH75" s="123">
        <v>46059</v>
      </c>
      <c r="AI75" s="120">
        <v>0</v>
      </c>
      <c r="AJ75" s="120">
        <v>0</v>
      </c>
      <c r="AK75" s="120">
        <v>0</v>
      </c>
      <c r="AL75" s="120">
        <v>0</v>
      </c>
      <c r="AM75" s="35"/>
      <c r="AN75" s="35"/>
      <c r="AO75" s="35"/>
      <c r="AP75" s="35" t="s">
        <v>52</v>
      </c>
      <c r="AQ75" s="35">
        <v>5</v>
      </c>
      <c r="AR75" s="35">
        <v>0</v>
      </c>
      <c r="AS75" s="1">
        <f>W75+X75</f>
        <v>16570</v>
      </c>
    </row>
    <row r="76" spans="1:45" x14ac:dyDescent="0.3">
      <c r="A76" s="6" t="str">
        <f t="shared" si="3"/>
        <v>000192</v>
      </c>
      <c r="B76" s="35" t="s">
        <v>143</v>
      </c>
      <c r="C76" s="35" t="s">
        <v>163</v>
      </c>
      <c r="D76" s="35" t="s">
        <v>143</v>
      </c>
      <c r="E76" s="35" t="s">
        <v>163</v>
      </c>
      <c r="F76" s="35" t="s">
        <v>460</v>
      </c>
      <c r="G76" s="35" t="s">
        <v>396</v>
      </c>
      <c r="H76" s="35" t="s">
        <v>43</v>
      </c>
      <c r="I76" s="35" t="s">
        <v>44</v>
      </c>
      <c r="J76" s="35" t="s">
        <v>2077</v>
      </c>
      <c r="K76" s="35" t="s">
        <v>2078</v>
      </c>
      <c r="L76" s="35" t="s">
        <v>47</v>
      </c>
      <c r="M76" s="35" t="s">
        <v>48</v>
      </c>
      <c r="N76" s="35" t="s">
        <v>43</v>
      </c>
      <c r="O76" s="35" t="s">
        <v>594</v>
      </c>
      <c r="P76" s="35" t="s">
        <v>51</v>
      </c>
      <c r="Q76" s="35"/>
      <c r="R76" s="35"/>
      <c r="S76" s="38">
        <v>41000</v>
      </c>
      <c r="T76" s="38">
        <v>0</v>
      </c>
      <c r="U76" s="38">
        <v>0</v>
      </c>
      <c r="V76" s="38">
        <v>8856.44</v>
      </c>
      <c r="W76" s="38">
        <v>0</v>
      </c>
      <c r="X76" s="38">
        <v>0</v>
      </c>
      <c r="Y76" s="38">
        <v>41000</v>
      </c>
      <c r="Z76" s="38">
        <v>0</v>
      </c>
      <c r="AA76" s="38">
        <v>0</v>
      </c>
      <c r="AB76" s="38">
        <v>41000</v>
      </c>
      <c r="AC76" s="38">
        <v>100</v>
      </c>
      <c r="AD76" s="38">
        <v>0</v>
      </c>
      <c r="AE76" s="38">
        <v>2562.5</v>
      </c>
      <c r="AF76" s="38">
        <v>0</v>
      </c>
      <c r="AG76" s="123">
        <v>45959</v>
      </c>
      <c r="AH76" s="123">
        <v>46071</v>
      </c>
      <c r="AI76" s="120">
        <v>0</v>
      </c>
      <c r="AJ76" s="120">
        <v>0</v>
      </c>
      <c r="AK76" s="120">
        <v>0</v>
      </c>
      <c r="AL76" s="120">
        <v>0</v>
      </c>
      <c r="AM76" s="35"/>
      <c r="AN76" s="35"/>
      <c r="AO76" s="35"/>
      <c r="AP76" s="35" t="s">
        <v>52</v>
      </c>
      <c r="AQ76" s="35">
        <v>5</v>
      </c>
      <c r="AR76" s="35">
        <v>0</v>
      </c>
      <c r="AS76" s="1">
        <f t="shared" ref="AS76:AS139" si="4">W76+X76</f>
        <v>0</v>
      </c>
    </row>
    <row r="77" spans="1:45" x14ac:dyDescent="0.3">
      <c r="A77" s="6" t="str">
        <f t="shared" si="3"/>
        <v>000201</v>
      </c>
      <c r="B77" s="35" t="s">
        <v>143</v>
      </c>
      <c r="C77" s="35" t="s">
        <v>163</v>
      </c>
      <c r="D77" s="35" t="s">
        <v>143</v>
      </c>
      <c r="E77" s="35" t="s">
        <v>163</v>
      </c>
      <c r="F77" s="35" t="s">
        <v>460</v>
      </c>
      <c r="G77" s="35" t="s">
        <v>396</v>
      </c>
      <c r="H77" s="35" t="s">
        <v>43</v>
      </c>
      <c r="I77" s="35" t="s">
        <v>44</v>
      </c>
      <c r="J77" s="35" t="s">
        <v>2079</v>
      </c>
      <c r="K77" s="35" t="s">
        <v>2080</v>
      </c>
      <c r="L77" s="35" t="s">
        <v>47</v>
      </c>
      <c r="M77" s="35" t="s">
        <v>48</v>
      </c>
      <c r="N77" s="35" t="s">
        <v>43</v>
      </c>
      <c r="O77" s="35" t="s">
        <v>594</v>
      </c>
      <c r="P77" s="35" t="s">
        <v>51</v>
      </c>
      <c r="Q77" s="35"/>
      <c r="R77" s="35"/>
      <c r="S77" s="38">
        <v>94000</v>
      </c>
      <c r="T77" s="38">
        <v>0</v>
      </c>
      <c r="U77" s="38">
        <v>0</v>
      </c>
      <c r="V77" s="38">
        <v>20305</v>
      </c>
      <c r="W77" s="38">
        <v>0</v>
      </c>
      <c r="X77" s="38">
        <v>0</v>
      </c>
      <c r="Y77" s="38">
        <v>94000</v>
      </c>
      <c r="Z77" s="38">
        <v>0</v>
      </c>
      <c r="AA77" s="38">
        <v>0</v>
      </c>
      <c r="AB77" s="38">
        <v>94000</v>
      </c>
      <c r="AC77" s="38">
        <v>100</v>
      </c>
      <c r="AD77" s="38">
        <v>0</v>
      </c>
      <c r="AE77" s="38">
        <v>5875</v>
      </c>
      <c r="AF77" s="38">
        <v>0</v>
      </c>
      <c r="AG77" s="123">
        <v>45960</v>
      </c>
      <c r="AH77" s="123">
        <v>46072</v>
      </c>
      <c r="AI77" s="120">
        <v>0</v>
      </c>
      <c r="AJ77" s="120">
        <v>0</v>
      </c>
      <c r="AK77" s="120">
        <v>0</v>
      </c>
      <c r="AL77" s="120">
        <v>0</v>
      </c>
      <c r="AM77" s="35"/>
      <c r="AN77" s="35"/>
      <c r="AO77" s="35"/>
      <c r="AP77" s="35" t="s">
        <v>52</v>
      </c>
      <c r="AQ77" s="35">
        <v>6</v>
      </c>
      <c r="AR77" s="35">
        <v>0</v>
      </c>
      <c r="AS77" s="1">
        <f t="shared" si="4"/>
        <v>0</v>
      </c>
    </row>
    <row r="78" spans="1:45" x14ac:dyDescent="0.3">
      <c r="A78" s="6" t="str">
        <f t="shared" si="3"/>
        <v>000204</v>
      </c>
      <c r="B78" s="35" t="s">
        <v>143</v>
      </c>
      <c r="C78" s="35" t="s">
        <v>163</v>
      </c>
      <c r="D78" s="35" t="s">
        <v>143</v>
      </c>
      <c r="E78" s="35" t="s">
        <v>163</v>
      </c>
      <c r="F78" s="35" t="s">
        <v>460</v>
      </c>
      <c r="G78" s="35" t="s">
        <v>396</v>
      </c>
      <c r="H78" s="35" t="s">
        <v>43</v>
      </c>
      <c r="I78" s="35" t="s">
        <v>44</v>
      </c>
      <c r="J78" s="35" t="s">
        <v>2137</v>
      </c>
      <c r="K78" s="35" t="s">
        <v>2138</v>
      </c>
      <c r="L78" s="35" t="s">
        <v>47</v>
      </c>
      <c r="M78" s="35" t="s">
        <v>48</v>
      </c>
      <c r="N78" s="35" t="s">
        <v>43</v>
      </c>
      <c r="O78" s="35" t="s">
        <v>594</v>
      </c>
      <c r="P78" s="35" t="s">
        <v>51</v>
      </c>
      <c r="Q78" s="35"/>
      <c r="R78" s="35"/>
      <c r="S78" s="38">
        <v>200000</v>
      </c>
      <c r="T78" s="38">
        <v>0</v>
      </c>
      <c r="U78" s="38">
        <v>0</v>
      </c>
      <c r="V78" s="38">
        <v>43202.13</v>
      </c>
      <c r="W78" s="38">
        <v>0</v>
      </c>
      <c r="X78" s="38">
        <v>0</v>
      </c>
      <c r="Y78" s="38">
        <v>200000</v>
      </c>
      <c r="Z78" s="38">
        <v>0</v>
      </c>
      <c r="AA78" s="38">
        <v>0</v>
      </c>
      <c r="AB78" s="38">
        <v>200000</v>
      </c>
      <c r="AC78" s="38">
        <v>100</v>
      </c>
      <c r="AD78" s="38">
        <v>0</v>
      </c>
      <c r="AE78" s="38">
        <v>12500</v>
      </c>
      <c r="AF78" s="38">
        <v>0</v>
      </c>
      <c r="AG78" s="123">
        <v>45961</v>
      </c>
      <c r="AH78" s="123">
        <v>46073</v>
      </c>
      <c r="AI78" s="120">
        <v>0</v>
      </c>
      <c r="AJ78" s="120">
        <v>0</v>
      </c>
      <c r="AK78" s="120">
        <v>0</v>
      </c>
      <c r="AL78" s="120">
        <v>0</v>
      </c>
      <c r="AM78" s="35"/>
      <c r="AN78" s="35"/>
      <c r="AO78" s="35"/>
      <c r="AP78" s="35" t="s">
        <v>52</v>
      </c>
      <c r="AQ78" s="35">
        <v>8</v>
      </c>
      <c r="AR78" s="35">
        <v>0</v>
      </c>
      <c r="AS78" s="1">
        <f t="shared" si="4"/>
        <v>0</v>
      </c>
    </row>
    <row r="79" spans="1:45" x14ac:dyDescent="0.3">
      <c r="A79" s="6" t="str">
        <f t="shared" si="3"/>
        <v>000003</v>
      </c>
      <c r="B79" s="35" t="s">
        <v>154</v>
      </c>
      <c r="C79" s="35" t="s">
        <v>155</v>
      </c>
      <c r="D79" s="35" t="s">
        <v>154</v>
      </c>
      <c r="E79" s="35" t="s">
        <v>155</v>
      </c>
      <c r="F79" s="35" t="s">
        <v>460</v>
      </c>
      <c r="G79" s="35" t="s">
        <v>396</v>
      </c>
      <c r="H79" s="35" t="s">
        <v>43</v>
      </c>
      <c r="I79" s="35" t="s">
        <v>44</v>
      </c>
      <c r="J79" s="35" t="s">
        <v>156</v>
      </c>
      <c r="K79" s="35" t="s">
        <v>102</v>
      </c>
      <c r="L79" s="35" t="s">
        <v>47</v>
      </c>
      <c r="M79" s="35" t="s">
        <v>48</v>
      </c>
      <c r="N79" s="35" t="s">
        <v>49</v>
      </c>
      <c r="O79" s="35" t="s">
        <v>50</v>
      </c>
      <c r="P79" s="35" t="s">
        <v>51</v>
      </c>
      <c r="Q79" s="35"/>
      <c r="R79" s="35"/>
      <c r="S79" s="38">
        <v>150000</v>
      </c>
      <c r="T79" s="38">
        <v>103125</v>
      </c>
      <c r="U79" s="38">
        <v>22276.100000000002</v>
      </c>
      <c r="V79" s="38">
        <v>32401.600000000002</v>
      </c>
      <c r="W79" s="38">
        <v>103125</v>
      </c>
      <c r="X79" s="38">
        <v>22276.2</v>
      </c>
      <c r="Y79" s="38">
        <v>46875</v>
      </c>
      <c r="Z79" s="38">
        <v>0</v>
      </c>
      <c r="AA79" s="38">
        <v>0</v>
      </c>
      <c r="AB79" s="38">
        <v>46875</v>
      </c>
      <c r="AC79" s="38">
        <v>100</v>
      </c>
      <c r="AD79" s="38">
        <v>10125.5</v>
      </c>
      <c r="AE79" s="38">
        <v>9375</v>
      </c>
      <c r="AF79" s="38">
        <v>0</v>
      </c>
      <c r="AG79" s="123">
        <v>45877</v>
      </c>
      <c r="AH79" s="123">
        <v>45992</v>
      </c>
      <c r="AI79" s="120">
        <v>0</v>
      </c>
      <c r="AJ79" s="120">
        <v>0</v>
      </c>
      <c r="AK79" s="120">
        <v>0</v>
      </c>
      <c r="AL79" s="120">
        <v>0</v>
      </c>
      <c r="AM79" s="35"/>
      <c r="AN79" s="35"/>
      <c r="AO79" s="35"/>
      <c r="AP79" s="35" t="s">
        <v>52</v>
      </c>
      <c r="AQ79" s="35">
        <v>6</v>
      </c>
      <c r="AR79" s="35">
        <v>0</v>
      </c>
      <c r="AS79" s="1">
        <f t="shared" si="4"/>
        <v>125401.2</v>
      </c>
    </row>
    <row r="80" spans="1:45" x14ac:dyDescent="0.3">
      <c r="A80" s="6" t="str">
        <f t="shared" si="3"/>
        <v>000018</v>
      </c>
      <c r="B80" s="35" t="s">
        <v>154</v>
      </c>
      <c r="C80" s="35" t="s">
        <v>155</v>
      </c>
      <c r="D80" s="35" t="s">
        <v>154</v>
      </c>
      <c r="E80" s="35" t="s">
        <v>155</v>
      </c>
      <c r="F80" s="35" t="s">
        <v>460</v>
      </c>
      <c r="G80" s="35" t="s">
        <v>396</v>
      </c>
      <c r="H80" s="35" t="s">
        <v>43</v>
      </c>
      <c r="I80" s="35" t="s">
        <v>44</v>
      </c>
      <c r="J80" s="35" t="s">
        <v>610</v>
      </c>
      <c r="K80" s="35" t="s">
        <v>391</v>
      </c>
      <c r="L80" s="35" t="s">
        <v>47</v>
      </c>
      <c r="M80" s="35" t="s">
        <v>48</v>
      </c>
      <c r="N80" s="35" t="s">
        <v>43</v>
      </c>
      <c r="O80" s="35" t="s">
        <v>594</v>
      </c>
      <c r="P80" s="35" t="s">
        <v>51</v>
      </c>
      <c r="Q80" s="35"/>
      <c r="R80" s="35"/>
      <c r="S80" s="38">
        <v>150000</v>
      </c>
      <c r="T80" s="38">
        <v>84375</v>
      </c>
      <c r="U80" s="38">
        <v>18225.900000000001</v>
      </c>
      <c r="V80" s="38">
        <v>32401.600000000002</v>
      </c>
      <c r="W80" s="38">
        <v>84375</v>
      </c>
      <c r="X80" s="38">
        <v>18234</v>
      </c>
      <c r="Y80" s="38">
        <v>65625</v>
      </c>
      <c r="Z80" s="38">
        <v>0</v>
      </c>
      <c r="AA80" s="38">
        <v>0</v>
      </c>
      <c r="AB80" s="38">
        <v>65625</v>
      </c>
      <c r="AC80" s="38">
        <v>100</v>
      </c>
      <c r="AD80" s="38">
        <v>14175.7</v>
      </c>
      <c r="AE80" s="38">
        <v>9375</v>
      </c>
      <c r="AF80" s="38">
        <v>0</v>
      </c>
      <c r="AG80" s="123">
        <v>45896</v>
      </c>
      <c r="AH80" s="123">
        <v>46008</v>
      </c>
      <c r="AI80" s="120">
        <v>0</v>
      </c>
      <c r="AJ80" s="120">
        <v>0</v>
      </c>
      <c r="AK80" s="120">
        <v>0</v>
      </c>
      <c r="AL80" s="120">
        <v>0</v>
      </c>
      <c r="AM80" s="35"/>
      <c r="AN80" s="35"/>
      <c r="AO80" s="35"/>
      <c r="AP80" s="35" t="s">
        <v>52</v>
      </c>
      <c r="AQ80" s="35">
        <v>7</v>
      </c>
      <c r="AR80" s="35">
        <v>0</v>
      </c>
      <c r="AS80" s="1">
        <f t="shared" si="4"/>
        <v>102609</v>
      </c>
    </row>
    <row r="81" spans="1:45" x14ac:dyDescent="0.3">
      <c r="A81" s="6" t="str">
        <f t="shared" si="3"/>
        <v>000029</v>
      </c>
      <c r="B81" s="35" t="s">
        <v>154</v>
      </c>
      <c r="C81" s="35" t="s">
        <v>155</v>
      </c>
      <c r="D81" s="35" t="s">
        <v>154</v>
      </c>
      <c r="E81" s="35" t="s">
        <v>155</v>
      </c>
      <c r="F81" s="35" t="s">
        <v>460</v>
      </c>
      <c r="G81" s="35" t="s">
        <v>396</v>
      </c>
      <c r="H81" s="35" t="s">
        <v>43</v>
      </c>
      <c r="I81" s="35" t="s">
        <v>44</v>
      </c>
      <c r="J81" s="35" t="s">
        <v>566</v>
      </c>
      <c r="K81" s="35" t="s">
        <v>428</v>
      </c>
      <c r="L81" s="35" t="s">
        <v>47</v>
      </c>
      <c r="M81" s="35" t="s">
        <v>48</v>
      </c>
      <c r="N81" s="35" t="s">
        <v>43</v>
      </c>
      <c r="O81" s="35" t="s">
        <v>594</v>
      </c>
      <c r="P81" s="35" t="s">
        <v>51</v>
      </c>
      <c r="Q81" s="35"/>
      <c r="R81" s="35"/>
      <c r="S81" s="38">
        <v>150000</v>
      </c>
      <c r="T81" s="38">
        <v>84375</v>
      </c>
      <c r="U81" s="38">
        <v>18225.900000000001</v>
      </c>
      <c r="V81" s="38">
        <v>32401.600000000002</v>
      </c>
      <c r="W81" s="38">
        <v>84375</v>
      </c>
      <c r="X81" s="38">
        <v>18297</v>
      </c>
      <c r="Y81" s="38">
        <v>65625</v>
      </c>
      <c r="Z81" s="38">
        <v>0</v>
      </c>
      <c r="AA81" s="38">
        <v>0</v>
      </c>
      <c r="AB81" s="38">
        <v>65625</v>
      </c>
      <c r="AC81" s="38">
        <v>100</v>
      </c>
      <c r="AD81" s="38">
        <v>14175.7</v>
      </c>
      <c r="AE81" s="38">
        <v>9375</v>
      </c>
      <c r="AF81" s="38">
        <v>0</v>
      </c>
      <c r="AG81" s="123">
        <v>45895</v>
      </c>
      <c r="AH81" s="123">
        <v>46007</v>
      </c>
      <c r="AI81" s="120">
        <v>0</v>
      </c>
      <c r="AJ81" s="120">
        <v>0</v>
      </c>
      <c r="AK81" s="120">
        <v>0</v>
      </c>
      <c r="AL81" s="120">
        <v>0</v>
      </c>
      <c r="AM81" s="35"/>
      <c r="AN81" s="35"/>
      <c r="AO81" s="35"/>
      <c r="AP81" s="35" t="s">
        <v>52</v>
      </c>
      <c r="AQ81" s="35">
        <v>8</v>
      </c>
      <c r="AR81" s="35">
        <v>0</v>
      </c>
      <c r="AS81" s="1">
        <f t="shared" si="4"/>
        <v>102672</v>
      </c>
    </row>
    <row r="82" spans="1:45" x14ac:dyDescent="0.3">
      <c r="A82" s="6" t="str">
        <f t="shared" si="3"/>
        <v>000042</v>
      </c>
      <c r="B82" s="35" t="s">
        <v>154</v>
      </c>
      <c r="C82" s="35" t="s">
        <v>155</v>
      </c>
      <c r="D82" s="35" t="s">
        <v>154</v>
      </c>
      <c r="E82" s="35" t="s">
        <v>155</v>
      </c>
      <c r="F82" s="35" t="s">
        <v>460</v>
      </c>
      <c r="G82" s="35" t="s">
        <v>396</v>
      </c>
      <c r="H82" s="35" t="s">
        <v>43</v>
      </c>
      <c r="I82" s="35" t="s">
        <v>44</v>
      </c>
      <c r="J82" s="35" t="s">
        <v>650</v>
      </c>
      <c r="K82" s="35" t="s">
        <v>575</v>
      </c>
      <c r="L82" s="35" t="s">
        <v>47</v>
      </c>
      <c r="M82" s="35" t="s">
        <v>48</v>
      </c>
      <c r="N82" s="35" t="s">
        <v>43</v>
      </c>
      <c r="O82" s="35" t="s">
        <v>594</v>
      </c>
      <c r="P82" s="35" t="s">
        <v>51</v>
      </c>
      <c r="Q82" s="35"/>
      <c r="R82" s="35"/>
      <c r="S82" s="38">
        <v>80000</v>
      </c>
      <c r="T82" s="38">
        <v>45000</v>
      </c>
      <c r="U82" s="38">
        <v>9720.4500000000007</v>
      </c>
      <c r="V82" s="38">
        <v>17280.849999999999</v>
      </c>
      <c r="W82" s="38">
        <v>45000</v>
      </c>
      <c r="X82" s="38">
        <v>9765</v>
      </c>
      <c r="Y82" s="38">
        <v>35000</v>
      </c>
      <c r="Z82" s="38">
        <v>0</v>
      </c>
      <c r="AA82" s="38">
        <v>0</v>
      </c>
      <c r="AB82" s="38">
        <v>35000</v>
      </c>
      <c r="AC82" s="38">
        <v>100</v>
      </c>
      <c r="AD82" s="38">
        <v>7560.35</v>
      </c>
      <c r="AE82" s="38">
        <v>5000</v>
      </c>
      <c r="AF82" s="38">
        <v>0</v>
      </c>
      <c r="AG82" s="123">
        <v>45897</v>
      </c>
      <c r="AH82" s="123">
        <v>46009</v>
      </c>
      <c r="AI82" s="120">
        <v>0</v>
      </c>
      <c r="AJ82" s="120">
        <v>0</v>
      </c>
      <c r="AK82" s="120">
        <v>0</v>
      </c>
      <c r="AL82" s="120">
        <v>0</v>
      </c>
      <c r="AM82" s="35"/>
      <c r="AN82" s="35"/>
      <c r="AO82" s="35"/>
      <c r="AP82" s="35" t="s">
        <v>52</v>
      </c>
      <c r="AQ82" s="35">
        <v>5</v>
      </c>
      <c r="AR82" s="35">
        <v>0</v>
      </c>
      <c r="AS82" s="1">
        <f t="shared" si="4"/>
        <v>54765</v>
      </c>
    </row>
    <row r="83" spans="1:45" x14ac:dyDescent="0.3">
      <c r="A83" s="6" t="str">
        <f t="shared" si="3"/>
        <v>000043</v>
      </c>
      <c r="B83" s="35" t="s">
        <v>154</v>
      </c>
      <c r="C83" s="35" t="s">
        <v>155</v>
      </c>
      <c r="D83" s="35" t="s">
        <v>154</v>
      </c>
      <c r="E83" s="35" t="s">
        <v>155</v>
      </c>
      <c r="F83" s="35" t="s">
        <v>460</v>
      </c>
      <c r="G83" s="35" t="s">
        <v>396</v>
      </c>
      <c r="H83" s="35" t="s">
        <v>43</v>
      </c>
      <c r="I83" s="35" t="s">
        <v>44</v>
      </c>
      <c r="J83" s="35" t="s">
        <v>660</v>
      </c>
      <c r="K83" s="35" t="s">
        <v>661</v>
      </c>
      <c r="L83" s="35" t="s">
        <v>47</v>
      </c>
      <c r="M83" s="35" t="s">
        <v>48</v>
      </c>
      <c r="N83" s="35" t="s">
        <v>43</v>
      </c>
      <c r="O83" s="35" t="s">
        <v>594</v>
      </c>
      <c r="P83" s="35" t="s">
        <v>51</v>
      </c>
      <c r="Q83" s="35"/>
      <c r="R83" s="35"/>
      <c r="S83" s="38">
        <v>85000</v>
      </c>
      <c r="T83" s="38">
        <v>47812.5</v>
      </c>
      <c r="U83" s="38">
        <v>10328.040000000001</v>
      </c>
      <c r="V83" s="38">
        <v>18360.91</v>
      </c>
      <c r="W83" s="38">
        <v>47812.5</v>
      </c>
      <c r="X83" s="38">
        <v>10390.5</v>
      </c>
      <c r="Y83" s="38">
        <v>37187.5</v>
      </c>
      <c r="Z83" s="38">
        <v>0</v>
      </c>
      <c r="AA83" s="38">
        <v>0</v>
      </c>
      <c r="AB83" s="38">
        <v>37187.5</v>
      </c>
      <c r="AC83" s="38">
        <v>100</v>
      </c>
      <c r="AD83" s="38">
        <v>8032.92</v>
      </c>
      <c r="AE83" s="38">
        <v>5312.5</v>
      </c>
      <c r="AF83" s="38">
        <v>0</v>
      </c>
      <c r="AG83" s="123">
        <v>45897</v>
      </c>
      <c r="AH83" s="123">
        <v>46009</v>
      </c>
      <c r="AI83" s="120">
        <v>0</v>
      </c>
      <c r="AJ83" s="120">
        <v>0</v>
      </c>
      <c r="AK83" s="120">
        <v>0</v>
      </c>
      <c r="AL83" s="120">
        <v>0</v>
      </c>
      <c r="AM83" s="35"/>
      <c r="AN83" s="35"/>
      <c r="AO83" s="35"/>
      <c r="AP83" s="35" t="s">
        <v>52</v>
      </c>
      <c r="AQ83" s="35">
        <v>7</v>
      </c>
      <c r="AR83" s="35">
        <v>0</v>
      </c>
      <c r="AS83" s="1">
        <f t="shared" si="4"/>
        <v>58203</v>
      </c>
    </row>
    <row r="84" spans="1:45" x14ac:dyDescent="0.3">
      <c r="A84" s="6" t="str">
        <f t="shared" si="3"/>
        <v>000063</v>
      </c>
      <c r="B84" s="35" t="s">
        <v>154</v>
      </c>
      <c r="C84" s="35" t="s">
        <v>155</v>
      </c>
      <c r="D84" s="35" t="s">
        <v>154</v>
      </c>
      <c r="E84" s="35" t="s">
        <v>155</v>
      </c>
      <c r="F84" s="35" t="s">
        <v>460</v>
      </c>
      <c r="G84" s="35" t="s">
        <v>396</v>
      </c>
      <c r="H84" s="35" t="s">
        <v>43</v>
      </c>
      <c r="I84" s="35" t="s">
        <v>44</v>
      </c>
      <c r="J84" s="35" t="s">
        <v>148</v>
      </c>
      <c r="K84" s="35" t="s">
        <v>831</v>
      </c>
      <c r="L84" s="35" t="s">
        <v>47</v>
      </c>
      <c r="M84" s="35" t="s">
        <v>48</v>
      </c>
      <c r="N84" s="35" t="s">
        <v>43</v>
      </c>
      <c r="O84" s="35" t="s">
        <v>594</v>
      </c>
      <c r="P84" s="35" t="s">
        <v>51</v>
      </c>
      <c r="Q84" s="35"/>
      <c r="R84" s="35"/>
      <c r="S84" s="38">
        <v>85000</v>
      </c>
      <c r="T84" s="38">
        <v>42500</v>
      </c>
      <c r="U84" s="38">
        <v>9180.48</v>
      </c>
      <c r="V84" s="38">
        <v>18360.91</v>
      </c>
      <c r="W84" s="38">
        <v>42500</v>
      </c>
      <c r="X84" s="38">
        <v>9220</v>
      </c>
      <c r="Y84" s="38">
        <v>42500</v>
      </c>
      <c r="Z84" s="38">
        <v>0</v>
      </c>
      <c r="AA84" s="38">
        <v>0</v>
      </c>
      <c r="AB84" s="38">
        <v>42500</v>
      </c>
      <c r="AC84" s="38">
        <v>100</v>
      </c>
      <c r="AD84" s="38">
        <v>9180.48</v>
      </c>
      <c r="AE84" s="38">
        <v>5312.5</v>
      </c>
      <c r="AF84" s="38">
        <v>0</v>
      </c>
      <c r="AG84" s="123">
        <v>45905</v>
      </c>
      <c r="AH84" s="123">
        <v>46017</v>
      </c>
      <c r="AI84" s="120">
        <v>0</v>
      </c>
      <c r="AJ84" s="120">
        <v>0</v>
      </c>
      <c r="AK84" s="120">
        <v>0</v>
      </c>
      <c r="AL84" s="120">
        <v>0</v>
      </c>
      <c r="AM84" s="35"/>
      <c r="AN84" s="35"/>
      <c r="AO84" s="35"/>
      <c r="AP84" s="35" t="s">
        <v>52</v>
      </c>
      <c r="AQ84" s="35">
        <v>6</v>
      </c>
      <c r="AR84" s="35">
        <v>0</v>
      </c>
      <c r="AS84" s="1">
        <f t="shared" si="4"/>
        <v>51720</v>
      </c>
    </row>
    <row r="85" spans="1:45" x14ac:dyDescent="0.3">
      <c r="A85" s="6" t="str">
        <f t="shared" si="3"/>
        <v>000075</v>
      </c>
      <c r="B85" s="35" t="s">
        <v>154</v>
      </c>
      <c r="C85" s="35" t="s">
        <v>155</v>
      </c>
      <c r="D85" s="35" t="s">
        <v>154</v>
      </c>
      <c r="E85" s="35" t="s">
        <v>155</v>
      </c>
      <c r="F85" s="35" t="s">
        <v>460</v>
      </c>
      <c r="G85" s="35" t="s">
        <v>396</v>
      </c>
      <c r="H85" s="35" t="s">
        <v>43</v>
      </c>
      <c r="I85" s="35" t="s">
        <v>44</v>
      </c>
      <c r="J85" s="35" t="s">
        <v>934</v>
      </c>
      <c r="K85" s="35" t="s">
        <v>880</v>
      </c>
      <c r="L85" s="35" t="s">
        <v>47</v>
      </c>
      <c r="M85" s="35" t="s">
        <v>48</v>
      </c>
      <c r="N85" s="35" t="s">
        <v>43</v>
      </c>
      <c r="O85" s="35" t="s">
        <v>594</v>
      </c>
      <c r="P85" s="35" t="s">
        <v>51</v>
      </c>
      <c r="Q85" s="35"/>
      <c r="R85" s="35"/>
      <c r="S85" s="38">
        <v>150000</v>
      </c>
      <c r="T85" s="38">
        <v>56250</v>
      </c>
      <c r="U85" s="38">
        <v>12150.6</v>
      </c>
      <c r="V85" s="38">
        <v>32401.600000000002</v>
      </c>
      <c r="W85" s="38">
        <v>65625</v>
      </c>
      <c r="X85" s="38">
        <v>14224</v>
      </c>
      <c r="Y85" s="38">
        <v>84375</v>
      </c>
      <c r="Z85" s="38">
        <v>0</v>
      </c>
      <c r="AA85" s="38">
        <v>0</v>
      </c>
      <c r="AB85" s="38">
        <v>84375</v>
      </c>
      <c r="AC85" s="38">
        <v>100</v>
      </c>
      <c r="AD85" s="38">
        <v>20251</v>
      </c>
      <c r="AE85" s="38">
        <v>9375</v>
      </c>
      <c r="AF85" s="38">
        <v>0</v>
      </c>
      <c r="AG85" s="123">
        <v>45911</v>
      </c>
      <c r="AH85" s="123">
        <v>46027</v>
      </c>
      <c r="AI85" s="120">
        <v>0</v>
      </c>
      <c r="AJ85" s="120">
        <v>0</v>
      </c>
      <c r="AK85" s="120">
        <v>0</v>
      </c>
      <c r="AL85" s="120">
        <v>0</v>
      </c>
      <c r="AM85" s="35"/>
      <c r="AN85" s="35"/>
      <c r="AO85" s="35"/>
      <c r="AP85" s="35" t="s">
        <v>52</v>
      </c>
      <c r="AQ85" s="35">
        <v>7</v>
      </c>
      <c r="AR85" s="35">
        <v>0</v>
      </c>
      <c r="AS85" s="1">
        <f t="shared" si="4"/>
        <v>79849</v>
      </c>
    </row>
    <row r="86" spans="1:45" x14ac:dyDescent="0.3">
      <c r="A86" s="6" t="str">
        <f t="shared" si="3"/>
        <v>000088</v>
      </c>
      <c r="B86" s="35" t="s">
        <v>154</v>
      </c>
      <c r="C86" s="35" t="s">
        <v>155</v>
      </c>
      <c r="D86" s="35" t="s">
        <v>154</v>
      </c>
      <c r="E86" s="35" t="s">
        <v>155</v>
      </c>
      <c r="F86" s="35" t="s">
        <v>460</v>
      </c>
      <c r="G86" s="35" t="s">
        <v>396</v>
      </c>
      <c r="H86" s="35" t="s">
        <v>43</v>
      </c>
      <c r="I86" s="35" t="s">
        <v>44</v>
      </c>
      <c r="J86" s="35" t="s">
        <v>1102</v>
      </c>
      <c r="K86" s="35" t="s">
        <v>689</v>
      </c>
      <c r="L86" s="35" t="s">
        <v>47</v>
      </c>
      <c r="M86" s="35" t="s">
        <v>48</v>
      </c>
      <c r="N86" s="35" t="s">
        <v>43</v>
      </c>
      <c r="O86" s="35" t="s">
        <v>594</v>
      </c>
      <c r="P86" s="35" t="s">
        <v>51</v>
      </c>
      <c r="Q86" s="35"/>
      <c r="R86" s="35"/>
      <c r="S86" s="38">
        <v>69000</v>
      </c>
      <c r="T86" s="38">
        <v>25875</v>
      </c>
      <c r="U86" s="38">
        <v>5589.3</v>
      </c>
      <c r="V86" s="38">
        <v>14904.74</v>
      </c>
      <c r="W86" s="38">
        <v>25875</v>
      </c>
      <c r="X86" s="38">
        <v>5595</v>
      </c>
      <c r="Y86" s="38">
        <v>43125</v>
      </c>
      <c r="Z86" s="38">
        <v>0</v>
      </c>
      <c r="AA86" s="38">
        <v>0</v>
      </c>
      <c r="AB86" s="38">
        <v>43125</v>
      </c>
      <c r="AC86" s="38">
        <v>100</v>
      </c>
      <c r="AD86" s="38">
        <v>9315.5</v>
      </c>
      <c r="AE86" s="38">
        <v>4312.5</v>
      </c>
      <c r="AF86" s="38">
        <v>0</v>
      </c>
      <c r="AG86" s="123">
        <v>45917</v>
      </c>
      <c r="AH86" s="123">
        <v>46029</v>
      </c>
      <c r="AI86" s="120">
        <v>0</v>
      </c>
      <c r="AJ86" s="120">
        <v>0</v>
      </c>
      <c r="AK86" s="120">
        <v>0</v>
      </c>
      <c r="AL86" s="120">
        <v>0</v>
      </c>
      <c r="AM86" s="35"/>
      <c r="AN86" s="35"/>
      <c r="AO86" s="35"/>
      <c r="AP86" s="35" t="s">
        <v>52</v>
      </c>
      <c r="AQ86" s="35">
        <v>7</v>
      </c>
      <c r="AR86" s="35">
        <v>0</v>
      </c>
      <c r="AS86" s="1">
        <f t="shared" si="4"/>
        <v>31470</v>
      </c>
    </row>
    <row r="87" spans="1:45" x14ac:dyDescent="0.3">
      <c r="A87" s="6" t="str">
        <f t="shared" si="3"/>
        <v>000104</v>
      </c>
      <c r="B87" s="35" t="s">
        <v>154</v>
      </c>
      <c r="C87" s="35" t="s">
        <v>155</v>
      </c>
      <c r="D87" s="35" t="s">
        <v>154</v>
      </c>
      <c r="E87" s="35" t="s">
        <v>155</v>
      </c>
      <c r="F87" s="35" t="s">
        <v>460</v>
      </c>
      <c r="G87" s="35" t="s">
        <v>396</v>
      </c>
      <c r="H87" s="35" t="s">
        <v>43</v>
      </c>
      <c r="I87" s="35" t="s">
        <v>44</v>
      </c>
      <c r="J87" s="35" t="s">
        <v>1209</v>
      </c>
      <c r="K87" s="35" t="s">
        <v>1161</v>
      </c>
      <c r="L87" s="35" t="s">
        <v>47</v>
      </c>
      <c r="M87" s="35" t="s">
        <v>48</v>
      </c>
      <c r="N87" s="35" t="s">
        <v>43</v>
      </c>
      <c r="O87" s="35" t="s">
        <v>594</v>
      </c>
      <c r="P87" s="35" t="s">
        <v>51</v>
      </c>
      <c r="Q87" s="35"/>
      <c r="R87" s="35"/>
      <c r="S87" s="38">
        <v>62000</v>
      </c>
      <c r="T87" s="38">
        <v>19375</v>
      </c>
      <c r="U87" s="38">
        <v>4185.2</v>
      </c>
      <c r="V87" s="38">
        <v>13392.66</v>
      </c>
      <c r="W87" s="38">
        <v>19375</v>
      </c>
      <c r="X87" s="38">
        <v>4215</v>
      </c>
      <c r="Y87" s="38">
        <v>42625</v>
      </c>
      <c r="Z87" s="38">
        <v>0</v>
      </c>
      <c r="AA87" s="38">
        <v>0</v>
      </c>
      <c r="AB87" s="38">
        <v>42625</v>
      </c>
      <c r="AC87" s="38">
        <v>100</v>
      </c>
      <c r="AD87" s="38">
        <v>9207.44</v>
      </c>
      <c r="AE87" s="38">
        <v>3875</v>
      </c>
      <c r="AF87" s="38">
        <v>0</v>
      </c>
      <c r="AG87" s="123">
        <v>45924</v>
      </c>
      <c r="AH87" s="123">
        <v>46036</v>
      </c>
      <c r="AI87" s="120">
        <v>0</v>
      </c>
      <c r="AJ87" s="120">
        <v>0</v>
      </c>
      <c r="AK87" s="120">
        <v>0</v>
      </c>
      <c r="AL87" s="120">
        <v>0</v>
      </c>
      <c r="AM87" s="35"/>
      <c r="AN87" s="35"/>
      <c r="AO87" s="35"/>
      <c r="AP87" s="35" t="s">
        <v>52</v>
      </c>
      <c r="AQ87" s="35">
        <v>6</v>
      </c>
      <c r="AR87" s="35">
        <v>0</v>
      </c>
      <c r="AS87" s="1">
        <f t="shared" si="4"/>
        <v>23590</v>
      </c>
    </row>
    <row r="88" spans="1:45" x14ac:dyDescent="0.3">
      <c r="A88" s="6" t="str">
        <f t="shared" si="3"/>
        <v>000119</v>
      </c>
      <c r="B88" s="35" t="s">
        <v>154</v>
      </c>
      <c r="C88" s="35" t="s">
        <v>155</v>
      </c>
      <c r="D88" s="35" t="s">
        <v>154</v>
      </c>
      <c r="E88" s="35" t="s">
        <v>155</v>
      </c>
      <c r="F88" s="35" t="s">
        <v>460</v>
      </c>
      <c r="G88" s="35" t="s">
        <v>396</v>
      </c>
      <c r="H88" s="35" t="s">
        <v>43</v>
      </c>
      <c r="I88" s="35" t="s">
        <v>44</v>
      </c>
      <c r="J88" s="35" t="s">
        <v>1403</v>
      </c>
      <c r="K88" s="35" t="s">
        <v>1359</v>
      </c>
      <c r="L88" s="35" t="s">
        <v>47</v>
      </c>
      <c r="M88" s="35" t="s">
        <v>48</v>
      </c>
      <c r="N88" s="35" t="s">
        <v>43</v>
      </c>
      <c r="O88" s="35" t="s">
        <v>594</v>
      </c>
      <c r="P88" s="35" t="s">
        <v>51</v>
      </c>
      <c r="Q88" s="35"/>
      <c r="R88" s="35"/>
      <c r="S88" s="38">
        <v>76000</v>
      </c>
      <c r="T88" s="38">
        <v>19000</v>
      </c>
      <c r="U88" s="38">
        <v>4104.2</v>
      </c>
      <c r="V88" s="38">
        <v>16416.810000000001</v>
      </c>
      <c r="W88" s="38">
        <v>19000</v>
      </c>
      <c r="X88" s="38">
        <v>4128.05</v>
      </c>
      <c r="Y88" s="38">
        <v>57000</v>
      </c>
      <c r="Z88" s="38">
        <v>0</v>
      </c>
      <c r="AA88" s="38">
        <v>0</v>
      </c>
      <c r="AB88" s="38">
        <v>57000</v>
      </c>
      <c r="AC88" s="38">
        <v>100</v>
      </c>
      <c r="AD88" s="38">
        <v>12312.6</v>
      </c>
      <c r="AE88" s="38">
        <v>4750</v>
      </c>
      <c r="AF88" s="38">
        <v>0</v>
      </c>
      <c r="AG88" s="123">
        <v>45930</v>
      </c>
      <c r="AH88" s="123">
        <v>46042</v>
      </c>
      <c r="AI88" s="120">
        <v>0</v>
      </c>
      <c r="AJ88" s="120">
        <v>0</v>
      </c>
      <c r="AK88" s="120">
        <v>0</v>
      </c>
      <c r="AL88" s="120">
        <v>0</v>
      </c>
      <c r="AM88" s="35"/>
      <c r="AN88" s="35"/>
      <c r="AO88" s="35"/>
      <c r="AP88" s="35" t="s">
        <v>52</v>
      </c>
      <c r="AQ88" s="35">
        <v>6</v>
      </c>
      <c r="AR88" s="35">
        <v>0</v>
      </c>
      <c r="AS88" s="1">
        <f t="shared" si="4"/>
        <v>23128.05</v>
      </c>
    </row>
    <row r="89" spans="1:45" x14ac:dyDescent="0.3">
      <c r="A89" s="6" t="str">
        <f t="shared" si="3"/>
        <v>000123</v>
      </c>
      <c r="B89" s="35" t="s">
        <v>154</v>
      </c>
      <c r="C89" s="35" t="s">
        <v>155</v>
      </c>
      <c r="D89" s="35" t="s">
        <v>154</v>
      </c>
      <c r="E89" s="35" t="s">
        <v>155</v>
      </c>
      <c r="F89" s="35" t="s">
        <v>460</v>
      </c>
      <c r="G89" s="35" t="s">
        <v>396</v>
      </c>
      <c r="H89" s="35" t="s">
        <v>43</v>
      </c>
      <c r="I89" s="35" t="s">
        <v>44</v>
      </c>
      <c r="J89" s="35" t="s">
        <v>1435</v>
      </c>
      <c r="K89" s="35" t="s">
        <v>1357</v>
      </c>
      <c r="L89" s="35" t="s">
        <v>47</v>
      </c>
      <c r="M89" s="35" t="s">
        <v>48</v>
      </c>
      <c r="N89" s="35" t="s">
        <v>43</v>
      </c>
      <c r="O89" s="35" t="s">
        <v>594</v>
      </c>
      <c r="P89" s="35" t="s">
        <v>51</v>
      </c>
      <c r="Q89" s="35"/>
      <c r="R89" s="35"/>
      <c r="S89" s="38">
        <v>65000</v>
      </c>
      <c r="T89" s="38">
        <v>16250</v>
      </c>
      <c r="U89" s="38">
        <v>3510.16</v>
      </c>
      <c r="V89" s="38">
        <v>14040.69</v>
      </c>
      <c r="W89" s="38">
        <v>17236.29</v>
      </c>
      <c r="X89" s="38">
        <v>4387.71</v>
      </c>
      <c r="Y89" s="38">
        <v>47763.71</v>
      </c>
      <c r="Z89" s="38">
        <v>0</v>
      </c>
      <c r="AA89" s="38">
        <v>0</v>
      </c>
      <c r="AB89" s="38">
        <v>47763.71</v>
      </c>
      <c r="AC89" s="38">
        <v>100</v>
      </c>
      <c r="AD89" s="38">
        <v>10530.48</v>
      </c>
      <c r="AE89" s="38">
        <v>4062.5</v>
      </c>
      <c r="AF89" s="38">
        <v>0</v>
      </c>
      <c r="AG89" s="123">
        <v>45930</v>
      </c>
      <c r="AH89" s="123">
        <v>46042</v>
      </c>
      <c r="AI89" s="120">
        <v>0</v>
      </c>
      <c r="AJ89" s="120">
        <v>0</v>
      </c>
      <c r="AK89" s="120">
        <v>0</v>
      </c>
      <c r="AL89" s="120">
        <v>0</v>
      </c>
      <c r="AM89" s="35"/>
      <c r="AN89" s="35"/>
      <c r="AO89" s="35"/>
      <c r="AP89" s="35" t="s">
        <v>52</v>
      </c>
      <c r="AQ89" s="35">
        <v>6</v>
      </c>
      <c r="AR89" s="35">
        <v>0</v>
      </c>
      <c r="AS89" s="1">
        <f t="shared" si="4"/>
        <v>21624</v>
      </c>
    </row>
    <row r="90" spans="1:45" x14ac:dyDescent="0.3">
      <c r="A90" s="6" t="str">
        <f t="shared" si="3"/>
        <v>000131</v>
      </c>
      <c r="B90" s="35" t="s">
        <v>154</v>
      </c>
      <c r="C90" s="35" t="s">
        <v>155</v>
      </c>
      <c r="D90" s="35" t="s">
        <v>154</v>
      </c>
      <c r="E90" s="35" t="s">
        <v>155</v>
      </c>
      <c r="F90" s="35" t="s">
        <v>460</v>
      </c>
      <c r="G90" s="35" t="s">
        <v>396</v>
      </c>
      <c r="H90" s="35" t="s">
        <v>43</v>
      </c>
      <c r="I90" s="35" t="s">
        <v>44</v>
      </c>
      <c r="J90" s="35" t="s">
        <v>1477</v>
      </c>
      <c r="K90" s="35" t="s">
        <v>1382</v>
      </c>
      <c r="L90" s="35" t="s">
        <v>47</v>
      </c>
      <c r="M90" s="35" t="s">
        <v>48</v>
      </c>
      <c r="N90" s="35" t="s">
        <v>43</v>
      </c>
      <c r="O90" s="35" t="s">
        <v>594</v>
      </c>
      <c r="P90" s="35" t="s">
        <v>51</v>
      </c>
      <c r="Q90" s="35"/>
      <c r="R90" s="35"/>
      <c r="S90" s="38">
        <v>67000</v>
      </c>
      <c r="T90" s="38">
        <v>16750</v>
      </c>
      <c r="U90" s="38">
        <v>3618.16</v>
      </c>
      <c r="V90" s="38">
        <v>14472.710000000001</v>
      </c>
      <c r="W90" s="38">
        <v>16750</v>
      </c>
      <c r="X90" s="38">
        <v>3637</v>
      </c>
      <c r="Y90" s="38">
        <v>50250</v>
      </c>
      <c r="Z90" s="38">
        <v>0</v>
      </c>
      <c r="AA90" s="38">
        <v>0</v>
      </c>
      <c r="AB90" s="38">
        <v>50250</v>
      </c>
      <c r="AC90" s="38">
        <v>100</v>
      </c>
      <c r="AD90" s="38">
        <v>10854.48</v>
      </c>
      <c r="AE90" s="38">
        <v>4187.5</v>
      </c>
      <c r="AF90" s="38">
        <v>0</v>
      </c>
      <c r="AG90" s="123">
        <v>45932</v>
      </c>
      <c r="AH90" s="123">
        <v>46044</v>
      </c>
      <c r="AI90" s="120">
        <v>0</v>
      </c>
      <c r="AJ90" s="120">
        <v>0</v>
      </c>
      <c r="AK90" s="120">
        <v>0</v>
      </c>
      <c r="AL90" s="120">
        <v>0</v>
      </c>
      <c r="AM90" s="35"/>
      <c r="AN90" s="35"/>
      <c r="AO90" s="35"/>
      <c r="AP90" s="35" t="s">
        <v>52</v>
      </c>
      <c r="AQ90" s="35">
        <v>6</v>
      </c>
      <c r="AR90" s="35">
        <v>0</v>
      </c>
      <c r="AS90" s="1">
        <f t="shared" si="4"/>
        <v>20387</v>
      </c>
    </row>
    <row r="91" spans="1:45" x14ac:dyDescent="0.3">
      <c r="A91" s="6" t="str">
        <f t="shared" si="3"/>
        <v>000138</v>
      </c>
      <c r="B91" s="35" t="s">
        <v>154</v>
      </c>
      <c r="C91" s="35" t="s">
        <v>155</v>
      </c>
      <c r="D91" s="35" t="s">
        <v>154</v>
      </c>
      <c r="E91" s="35" t="s">
        <v>155</v>
      </c>
      <c r="F91" s="35" t="s">
        <v>460</v>
      </c>
      <c r="G91" s="35" t="s">
        <v>396</v>
      </c>
      <c r="H91" s="35" t="s">
        <v>43</v>
      </c>
      <c r="I91" s="35" t="s">
        <v>44</v>
      </c>
      <c r="J91" s="35" t="s">
        <v>1531</v>
      </c>
      <c r="K91" s="35" t="s">
        <v>1515</v>
      </c>
      <c r="L91" s="35" t="s">
        <v>47</v>
      </c>
      <c r="M91" s="35" t="s">
        <v>48</v>
      </c>
      <c r="N91" s="35" t="s">
        <v>43</v>
      </c>
      <c r="O91" s="35" t="s">
        <v>594</v>
      </c>
      <c r="P91" s="35" t="s">
        <v>51</v>
      </c>
      <c r="Q91" s="35"/>
      <c r="R91" s="35"/>
      <c r="S91" s="38">
        <v>107000</v>
      </c>
      <c r="T91" s="38">
        <v>20062.5</v>
      </c>
      <c r="U91" s="38">
        <v>4333.71</v>
      </c>
      <c r="V91" s="38">
        <v>23113.14</v>
      </c>
      <c r="W91" s="38">
        <v>20062.5</v>
      </c>
      <c r="X91" s="38">
        <v>4348.5</v>
      </c>
      <c r="Y91" s="38">
        <v>86937.5</v>
      </c>
      <c r="Z91" s="38">
        <v>0</v>
      </c>
      <c r="AA91" s="38">
        <v>0</v>
      </c>
      <c r="AB91" s="38">
        <v>86937.5</v>
      </c>
      <c r="AC91" s="38">
        <v>100</v>
      </c>
      <c r="AD91" s="38">
        <v>18779.41</v>
      </c>
      <c r="AE91" s="38">
        <v>6687.5</v>
      </c>
      <c r="AF91" s="38">
        <v>0</v>
      </c>
      <c r="AG91" s="123">
        <v>45937</v>
      </c>
      <c r="AH91" s="123">
        <v>46049</v>
      </c>
      <c r="AI91" s="120">
        <v>0</v>
      </c>
      <c r="AJ91" s="120">
        <v>0</v>
      </c>
      <c r="AK91" s="120">
        <v>0</v>
      </c>
      <c r="AL91" s="120">
        <v>0</v>
      </c>
      <c r="AM91" s="35"/>
      <c r="AN91" s="35"/>
      <c r="AO91" s="35"/>
      <c r="AP91" s="35" t="s">
        <v>52</v>
      </c>
      <c r="AQ91" s="35">
        <v>5</v>
      </c>
      <c r="AR91" s="35">
        <v>0</v>
      </c>
      <c r="AS91" s="1">
        <f t="shared" si="4"/>
        <v>24411</v>
      </c>
    </row>
    <row r="92" spans="1:45" x14ac:dyDescent="0.3">
      <c r="A92" s="6" t="str">
        <f t="shared" si="3"/>
        <v>000151</v>
      </c>
      <c r="B92" s="35" t="s">
        <v>154</v>
      </c>
      <c r="C92" s="35" t="s">
        <v>155</v>
      </c>
      <c r="D92" s="35" t="s">
        <v>154</v>
      </c>
      <c r="E92" s="35" t="s">
        <v>155</v>
      </c>
      <c r="F92" s="35" t="s">
        <v>460</v>
      </c>
      <c r="G92" s="35" t="s">
        <v>396</v>
      </c>
      <c r="H92" s="35" t="s">
        <v>43</v>
      </c>
      <c r="I92" s="35" t="s">
        <v>44</v>
      </c>
      <c r="J92" s="35" t="s">
        <v>1687</v>
      </c>
      <c r="K92" s="35" t="s">
        <v>1596</v>
      </c>
      <c r="L92" s="35" t="s">
        <v>47</v>
      </c>
      <c r="M92" s="35" t="s">
        <v>48</v>
      </c>
      <c r="N92" s="35" t="s">
        <v>43</v>
      </c>
      <c r="O92" s="35" t="s">
        <v>594</v>
      </c>
      <c r="P92" s="35" t="s">
        <v>51</v>
      </c>
      <c r="Q92" s="35"/>
      <c r="R92" s="35"/>
      <c r="S92" s="38">
        <v>68000</v>
      </c>
      <c r="T92" s="38">
        <v>8500</v>
      </c>
      <c r="U92" s="38">
        <v>1836.1000000000001</v>
      </c>
      <c r="V92" s="38">
        <v>14688.73</v>
      </c>
      <c r="W92" s="38">
        <v>8500</v>
      </c>
      <c r="X92" s="38">
        <v>1846</v>
      </c>
      <c r="Y92" s="38">
        <v>59500</v>
      </c>
      <c r="Z92" s="38">
        <v>0</v>
      </c>
      <c r="AA92" s="38">
        <v>0</v>
      </c>
      <c r="AB92" s="38">
        <v>59500</v>
      </c>
      <c r="AC92" s="38">
        <v>100</v>
      </c>
      <c r="AD92" s="38">
        <v>12852.7</v>
      </c>
      <c r="AE92" s="38">
        <v>4250</v>
      </c>
      <c r="AF92" s="38">
        <v>0</v>
      </c>
      <c r="AG92" s="123">
        <v>45945</v>
      </c>
      <c r="AH92" s="123">
        <v>46057</v>
      </c>
      <c r="AI92" s="120">
        <v>0</v>
      </c>
      <c r="AJ92" s="120">
        <v>0</v>
      </c>
      <c r="AK92" s="120">
        <v>0</v>
      </c>
      <c r="AL92" s="120">
        <v>0</v>
      </c>
      <c r="AM92" s="35"/>
      <c r="AN92" s="35"/>
      <c r="AO92" s="35"/>
      <c r="AP92" s="35" t="s">
        <v>52</v>
      </c>
      <c r="AQ92" s="35">
        <v>6</v>
      </c>
      <c r="AR92" s="35">
        <v>0</v>
      </c>
      <c r="AS92" s="1">
        <f t="shared" si="4"/>
        <v>10346</v>
      </c>
    </row>
    <row r="93" spans="1:45" x14ac:dyDescent="0.3">
      <c r="A93" s="6" t="str">
        <f t="shared" si="3"/>
        <v>000159</v>
      </c>
      <c r="B93" s="35" t="s">
        <v>154</v>
      </c>
      <c r="C93" s="35" t="s">
        <v>155</v>
      </c>
      <c r="D93" s="35" t="s">
        <v>154</v>
      </c>
      <c r="E93" s="35" t="s">
        <v>155</v>
      </c>
      <c r="F93" s="35" t="s">
        <v>460</v>
      </c>
      <c r="G93" s="35" t="s">
        <v>396</v>
      </c>
      <c r="H93" s="35" t="s">
        <v>43</v>
      </c>
      <c r="I93" s="35" t="s">
        <v>44</v>
      </c>
      <c r="J93" s="35" t="s">
        <v>1688</v>
      </c>
      <c r="K93" s="35" t="s">
        <v>1601</v>
      </c>
      <c r="L93" s="35" t="s">
        <v>47</v>
      </c>
      <c r="M93" s="35" t="s">
        <v>48</v>
      </c>
      <c r="N93" s="35" t="s">
        <v>43</v>
      </c>
      <c r="O93" s="35" t="s">
        <v>594</v>
      </c>
      <c r="P93" s="35" t="s">
        <v>51</v>
      </c>
      <c r="Q93" s="35"/>
      <c r="R93" s="35"/>
      <c r="S93" s="38">
        <v>54000</v>
      </c>
      <c r="T93" s="38">
        <v>6750</v>
      </c>
      <c r="U93" s="38">
        <v>1458.08</v>
      </c>
      <c r="V93" s="38">
        <v>11664.58</v>
      </c>
      <c r="W93" s="38">
        <v>6750</v>
      </c>
      <c r="X93" s="38">
        <v>1470</v>
      </c>
      <c r="Y93" s="38">
        <v>47250</v>
      </c>
      <c r="Z93" s="38">
        <v>0</v>
      </c>
      <c r="AA93" s="38">
        <v>0</v>
      </c>
      <c r="AB93" s="38">
        <v>47250</v>
      </c>
      <c r="AC93" s="38">
        <v>100</v>
      </c>
      <c r="AD93" s="38">
        <v>10206.56</v>
      </c>
      <c r="AE93" s="38">
        <v>3375</v>
      </c>
      <c r="AF93" s="38">
        <v>0</v>
      </c>
      <c r="AG93" s="123">
        <v>45945</v>
      </c>
      <c r="AH93" s="123">
        <v>46057</v>
      </c>
      <c r="AI93" s="120">
        <v>0</v>
      </c>
      <c r="AJ93" s="120">
        <v>0</v>
      </c>
      <c r="AK93" s="120">
        <v>0</v>
      </c>
      <c r="AL93" s="120">
        <v>0</v>
      </c>
      <c r="AM93" s="35"/>
      <c r="AN93" s="35"/>
      <c r="AO93" s="35"/>
      <c r="AP93" s="35" t="s">
        <v>52</v>
      </c>
      <c r="AQ93" s="35">
        <v>6</v>
      </c>
      <c r="AR93" s="35">
        <v>0</v>
      </c>
      <c r="AS93" s="1">
        <f t="shared" si="4"/>
        <v>8220</v>
      </c>
    </row>
    <row r="94" spans="1:45" x14ac:dyDescent="0.3">
      <c r="A94" s="6" t="str">
        <f t="shared" si="3"/>
        <v>000179</v>
      </c>
      <c r="B94" s="35" t="s">
        <v>154</v>
      </c>
      <c r="C94" s="35" t="s">
        <v>155</v>
      </c>
      <c r="D94" s="35" t="s">
        <v>154</v>
      </c>
      <c r="E94" s="35" t="s">
        <v>155</v>
      </c>
      <c r="F94" s="35" t="s">
        <v>460</v>
      </c>
      <c r="G94" s="35" t="s">
        <v>396</v>
      </c>
      <c r="H94" s="35" t="s">
        <v>43</v>
      </c>
      <c r="I94" s="35" t="s">
        <v>44</v>
      </c>
      <c r="J94" s="35" t="s">
        <v>1895</v>
      </c>
      <c r="K94" s="35" t="s">
        <v>1896</v>
      </c>
      <c r="L94" s="35" t="s">
        <v>47</v>
      </c>
      <c r="M94" s="35" t="s">
        <v>48</v>
      </c>
      <c r="N94" s="35" t="s">
        <v>43</v>
      </c>
      <c r="O94" s="35" t="s">
        <v>594</v>
      </c>
      <c r="P94" s="35" t="s">
        <v>51</v>
      </c>
      <c r="Q94" s="35"/>
      <c r="R94" s="35"/>
      <c r="S94" s="38">
        <v>50000</v>
      </c>
      <c r="T94" s="38">
        <v>3125</v>
      </c>
      <c r="U94" s="38">
        <v>675.03</v>
      </c>
      <c r="V94" s="38">
        <v>10800.53</v>
      </c>
      <c r="W94" s="38">
        <v>3125</v>
      </c>
      <c r="X94" s="38">
        <v>680</v>
      </c>
      <c r="Y94" s="38">
        <v>46875</v>
      </c>
      <c r="Z94" s="38">
        <v>0</v>
      </c>
      <c r="AA94" s="38">
        <v>0</v>
      </c>
      <c r="AB94" s="38">
        <v>46875</v>
      </c>
      <c r="AC94" s="38">
        <v>100</v>
      </c>
      <c r="AD94" s="38">
        <v>10125.450000000001</v>
      </c>
      <c r="AE94" s="38">
        <v>3125</v>
      </c>
      <c r="AF94" s="38">
        <v>0</v>
      </c>
      <c r="AG94" s="123">
        <v>45953</v>
      </c>
      <c r="AH94" s="123">
        <v>46065</v>
      </c>
      <c r="AI94" s="120">
        <v>0</v>
      </c>
      <c r="AJ94" s="120">
        <v>0</v>
      </c>
      <c r="AK94" s="120">
        <v>0</v>
      </c>
      <c r="AL94" s="120">
        <v>0</v>
      </c>
      <c r="AM94" s="35"/>
      <c r="AN94" s="35"/>
      <c r="AO94" s="35"/>
      <c r="AP94" s="35" t="s">
        <v>52</v>
      </c>
      <c r="AQ94" s="35">
        <v>5</v>
      </c>
      <c r="AR94" s="35">
        <v>0</v>
      </c>
      <c r="AS94" s="1">
        <f t="shared" si="4"/>
        <v>3805</v>
      </c>
    </row>
    <row r="95" spans="1:45" x14ac:dyDescent="0.3">
      <c r="A95" s="6" t="str">
        <f t="shared" si="3"/>
        <v>000184</v>
      </c>
      <c r="B95" s="35" t="s">
        <v>154</v>
      </c>
      <c r="C95" s="35" t="s">
        <v>155</v>
      </c>
      <c r="D95" s="35" t="s">
        <v>154</v>
      </c>
      <c r="E95" s="35" t="s">
        <v>155</v>
      </c>
      <c r="F95" s="35" t="s">
        <v>460</v>
      </c>
      <c r="G95" s="35" t="s">
        <v>396</v>
      </c>
      <c r="H95" s="35" t="s">
        <v>43</v>
      </c>
      <c r="I95" s="35" t="s">
        <v>44</v>
      </c>
      <c r="J95" s="35" t="s">
        <v>1922</v>
      </c>
      <c r="K95" s="35" t="s">
        <v>1923</v>
      </c>
      <c r="L95" s="35" t="s">
        <v>47</v>
      </c>
      <c r="M95" s="35" t="s">
        <v>48</v>
      </c>
      <c r="N95" s="35" t="s">
        <v>43</v>
      </c>
      <c r="O95" s="35" t="s">
        <v>594</v>
      </c>
      <c r="P95" s="35" t="s">
        <v>51</v>
      </c>
      <c r="Q95" s="35"/>
      <c r="R95" s="35"/>
      <c r="S95" s="38">
        <v>173000</v>
      </c>
      <c r="T95" s="38">
        <v>10812.5</v>
      </c>
      <c r="U95" s="38">
        <v>2335.62</v>
      </c>
      <c r="V95" s="38">
        <v>37369.85</v>
      </c>
      <c r="W95" s="38">
        <v>10812.5</v>
      </c>
      <c r="X95" s="38">
        <v>2337.5</v>
      </c>
      <c r="Y95" s="38">
        <v>162187.5</v>
      </c>
      <c r="Z95" s="38">
        <v>0</v>
      </c>
      <c r="AA95" s="38">
        <v>0</v>
      </c>
      <c r="AB95" s="38">
        <v>162187.5</v>
      </c>
      <c r="AC95" s="38">
        <v>100</v>
      </c>
      <c r="AD95" s="38">
        <v>0</v>
      </c>
      <c r="AE95" s="38">
        <v>10812.5</v>
      </c>
      <c r="AF95" s="38">
        <v>0</v>
      </c>
      <c r="AG95" s="123">
        <v>45954</v>
      </c>
      <c r="AH95" s="123">
        <v>46066</v>
      </c>
      <c r="AI95" s="120">
        <v>0</v>
      </c>
      <c r="AJ95" s="120">
        <v>0</v>
      </c>
      <c r="AK95" s="120">
        <v>0</v>
      </c>
      <c r="AL95" s="120">
        <v>0</v>
      </c>
      <c r="AM95" s="35"/>
      <c r="AN95" s="35"/>
      <c r="AO95" s="35"/>
      <c r="AP95" s="35" t="s">
        <v>52</v>
      </c>
      <c r="AQ95" s="35">
        <v>7</v>
      </c>
      <c r="AR95" s="35">
        <v>0</v>
      </c>
      <c r="AS95" s="1">
        <f t="shared" si="4"/>
        <v>13150</v>
      </c>
    </row>
    <row r="96" spans="1:45" x14ac:dyDescent="0.3">
      <c r="A96" s="6" t="str">
        <f t="shared" si="3"/>
        <v>000196</v>
      </c>
      <c r="B96" s="35" t="s">
        <v>154</v>
      </c>
      <c r="C96" s="35" t="s">
        <v>155</v>
      </c>
      <c r="D96" s="35" t="s">
        <v>154</v>
      </c>
      <c r="E96" s="35" t="s">
        <v>155</v>
      </c>
      <c r="F96" s="35" t="s">
        <v>460</v>
      </c>
      <c r="G96" s="35" t="s">
        <v>396</v>
      </c>
      <c r="H96" s="35" t="s">
        <v>43</v>
      </c>
      <c r="I96" s="35" t="s">
        <v>44</v>
      </c>
      <c r="J96" s="35" t="s">
        <v>2081</v>
      </c>
      <c r="K96" s="35" t="s">
        <v>2082</v>
      </c>
      <c r="L96" s="35" t="s">
        <v>47</v>
      </c>
      <c r="M96" s="35" t="s">
        <v>48</v>
      </c>
      <c r="N96" s="35" t="s">
        <v>43</v>
      </c>
      <c r="O96" s="35" t="s">
        <v>594</v>
      </c>
      <c r="P96" s="35" t="s">
        <v>51</v>
      </c>
      <c r="Q96" s="35"/>
      <c r="R96" s="35"/>
      <c r="S96" s="38">
        <v>101000</v>
      </c>
      <c r="T96" s="38">
        <v>0</v>
      </c>
      <c r="U96" s="38">
        <v>0</v>
      </c>
      <c r="V96" s="38">
        <v>21817.08</v>
      </c>
      <c r="W96" s="38">
        <v>0</v>
      </c>
      <c r="X96" s="38">
        <v>0</v>
      </c>
      <c r="Y96" s="38">
        <v>101000</v>
      </c>
      <c r="Z96" s="38">
        <v>0</v>
      </c>
      <c r="AA96" s="38">
        <v>0</v>
      </c>
      <c r="AB96" s="38">
        <v>101000</v>
      </c>
      <c r="AC96" s="38">
        <v>100</v>
      </c>
      <c r="AD96" s="38">
        <v>0</v>
      </c>
      <c r="AE96" s="38">
        <v>6312.5</v>
      </c>
      <c r="AF96" s="38">
        <v>0</v>
      </c>
      <c r="AG96" s="123">
        <v>45960</v>
      </c>
      <c r="AH96" s="123">
        <v>46072</v>
      </c>
      <c r="AI96" s="120">
        <v>0</v>
      </c>
      <c r="AJ96" s="120">
        <v>0</v>
      </c>
      <c r="AK96" s="120">
        <v>0</v>
      </c>
      <c r="AL96" s="120">
        <v>0</v>
      </c>
      <c r="AM96" s="35"/>
      <c r="AN96" s="35"/>
      <c r="AO96" s="35"/>
      <c r="AP96" s="35" t="s">
        <v>52</v>
      </c>
      <c r="AQ96" s="35">
        <v>8</v>
      </c>
      <c r="AR96" s="35">
        <v>0</v>
      </c>
      <c r="AS96" s="1">
        <f t="shared" si="4"/>
        <v>0</v>
      </c>
    </row>
    <row r="97" spans="1:45" x14ac:dyDescent="0.3">
      <c r="A97" s="6" t="str">
        <f t="shared" si="3"/>
        <v>000206</v>
      </c>
      <c r="B97" s="35" t="s">
        <v>154</v>
      </c>
      <c r="C97" s="35" t="s">
        <v>155</v>
      </c>
      <c r="D97" s="35" t="s">
        <v>154</v>
      </c>
      <c r="E97" s="35" t="s">
        <v>155</v>
      </c>
      <c r="F97" s="35" t="s">
        <v>460</v>
      </c>
      <c r="G97" s="35" t="s">
        <v>396</v>
      </c>
      <c r="H97" s="35" t="s">
        <v>43</v>
      </c>
      <c r="I97" s="35" t="s">
        <v>44</v>
      </c>
      <c r="J97" s="35" t="s">
        <v>2139</v>
      </c>
      <c r="K97" s="35" t="s">
        <v>2140</v>
      </c>
      <c r="L97" s="35" t="s">
        <v>47</v>
      </c>
      <c r="M97" s="35" t="s">
        <v>48</v>
      </c>
      <c r="N97" s="35" t="s">
        <v>43</v>
      </c>
      <c r="O97" s="35" t="s">
        <v>594</v>
      </c>
      <c r="P97" s="35" t="s">
        <v>51</v>
      </c>
      <c r="Q97" s="35"/>
      <c r="R97" s="35"/>
      <c r="S97" s="38">
        <v>51000</v>
      </c>
      <c r="T97" s="38">
        <v>0</v>
      </c>
      <c r="U97" s="38">
        <v>0</v>
      </c>
      <c r="V97" s="38">
        <v>11016.54</v>
      </c>
      <c r="W97" s="38">
        <v>0</v>
      </c>
      <c r="X97" s="38">
        <v>0</v>
      </c>
      <c r="Y97" s="38">
        <v>51000</v>
      </c>
      <c r="Z97" s="38">
        <v>0</v>
      </c>
      <c r="AA97" s="38">
        <v>0</v>
      </c>
      <c r="AB97" s="38">
        <v>51000</v>
      </c>
      <c r="AC97" s="38">
        <v>100</v>
      </c>
      <c r="AD97" s="38">
        <v>0</v>
      </c>
      <c r="AE97" s="38">
        <v>3187.5</v>
      </c>
      <c r="AF97" s="38">
        <v>0</v>
      </c>
      <c r="AG97" s="123">
        <v>45961</v>
      </c>
      <c r="AH97" s="123">
        <v>46073</v>
      </c>
      <c r="AI97" s="120">
        <v>0</v>
      </c>
      <c r="AJ97" s="120">
        <v>0</v>
      </c>
      <c r="AK97" s="120">
        <v>0</v>
      </c>
      <c r="AL97" s="120">
        <v>0</v>
      </c>
      <c r="AM97" s="35"/>
      <c r="AN97" s="35"/>
      <c r="AO97" s="35"/>
      <c r="AP97" s="35" t="s">
        <v>52</v>
      </c>
      <c r="AQ97" s="35">
        <v>6</v>
      </c>
      <c r="AR97" s="35">
        <v>0</v>
      </c>
      <c r="AS97" s="1">
        <f t="shared" si="4"/>
        <v>0</v>
      </c>
    </row>
    <row r="98" spans="1:45" x14ac:dyDescent="0.3">
      <c r="A98" s="6" t="str">
        <f t="shared" si="3"/>
        <v>000009</v>
      </c>
      <c r="B98" s="35" t="s">
        <v>164</v>
      </c>
      <c r="C98" s="35" t="s">
        <v>165</v>
      </c>
      <c r="D98" s="35" t="s">
        <v>164</v>
      </c>
      <c r="E98" s="35" t="s">
        <v>165</v>
      </c>
      <c r="F98" s="35" t="s">
        <v>460</v>
      </c>
      <c r="G98" s="35" t="s">
        <v>396</v>
      </c>
      <c r="H98" s="35" t="s">
        <v>43</v>
      </c>
      <c r="I98" s="35" t="s">
        <v>44</v>
      </c>
      <c r="J98" s="35" t="s">
        <v>166</v>
      </c>
      <c r="K98" s="35" t="s">
        <v>103</v>
      </c>
      <c r="L98" s="35" t="s">
        <v>47</v>
      </c>
      <c r="M98" s="35" t="s">
        <v>48</v>
      </c>
      <c r="N98" s="35" t="s">
        <v>49</v>
      </c>
      <c r="O98" s="35" t="s">
        <v>50</v>
      </c>
      <c r="P98" s="35" t="s">
        <v>51</v>
      </c>
      <c r="Q98" s="35"/>
      <c r="R98" s="35"/>
      <c r="S98" s="38">
        <v>78000</v>
      </c>
      <c r="T98" s="38">
        <v>53625</v>
      </c>
      <c r="U98" s="38">
        <v>11583.550000000001</v>
      </c>
      <c r="V98" s="38">
        <v>16848.830000000002</v>
      </c>
      <c r="W98" s="38">
        <v>48750</v>
      </c>
      <c r="X98" s="38">
        <v>10576.1</v>
      </c>
      <c r="Y98" s="38">
        <v>29250</v>
      </c>
      <c r="Z98" s="38">
        <v>4875</v>
      </c>
      <c r="AA98" s="38">
        <v>16.666666666666668</v>
      </c>
      <c r="AB98" s="38">
        <v>24375</v>
      </c>
      <c r="AC98" s="38">
        <v>83.333333333333329</v>
      </c>
      <c r="AD98" s="38">
        <v>5265.25</v>
      </c>
      <c r="AE98" s="38">
        <v>4875</v>
      </c>
      <c r="AF98" s="38">
        <v>1</v>
      </c>
      <c r="AG98" s="123">
        <v>45881</v>
      </c>
      <c r="AH98" s="123">
        <v>45996</v>
      </c>
      <c r="AI98" s="120">
        <v>0</v>
      </c>
      <c r="AJ98" s="120">
        <v>0</v>
      </c>
      <c r="AK98" s="120">
        <v>0</v>
      </c>
      <c r="AL98" s="120">
        <v>0</v>
      </c>
      <c r="AM98" s="35"/>
      <c r="AN98" s="35"/>
      <c r="AO98" s="35"/>
      <c r="AP98" s="35" t="s">
        <v>52</v>
      </c>
      <c r="AQ98" s="35">
        <v>7</v>
      </c>
      <c r="AR98" s="35">
        <v>0</v>
      </c>
      <c r="AS98" s="1">
        <f t="shared" si="4"/>
        <v>59326.1</v>
      </c>
    </row>
    <row r="99" spans="1:45" x14ac:dyDescent="0.3">
      <c r="A99" s="6" t="str">
        <f t="shared" si="3"/>
        <v>000022</v>
      </c>
      <c r="B99" s="35" t="s">
        <v>164</v>
      </c>
      <c r="C99" s="35" t="s">
        <v>165</v>
      </c>
      <c r="D99" s="35" t="s">
        <v>164</v>
      </c>
      <c r="E99" s="35" t="s">
        <v>165</v>
      </c>
      <c r="F99" s="35" t="s">
        <v>460</v>
      </c>
      <c r="G99" s="35" t="s">
        <v>396</v>
      </c>
      <c r="H99" s="35" t="s">
        <v>43</v>
      </c>
      <c r="I99" s="35" t="s">
        <v>44</v>
      </c>
      <c r="J99" s="35" t="s">
        <v>397</v>
      </c>
      <c r="K99" s="35" t="s">
        <v>187</v>
      </c>
      <c r="L99" s="35" t="s">
        <v>47</v>
      </c>
      <c r="M99" s="35" t="s">
        <v>48</v>
      </c>
      <c r="N99" s="35" t="s">
        <v>43</v>
      </c>
      <c r="O99" s="35" t="s">
        <v>486</v>
      </c>
      <c r="P99" s="35" t="s">
        <v>486</v>
      </c>
      <c r="Q99" s="35"/>
      <c r="R99" s="35"/>
      <c r="S99" s="38">
        <v>122000</v>
      </c>
      <c r="T99" s="38">
        <v>76250</v>
      </c>
      <c r="U99" s="38">
        <v>16470.8</v>
      </c>
      <c r="V99" s="38">
        <v>26353.3</v>
      </c>
      <c r="W99" s="38">
        <v>55538.46</v>
      </c>
      <c r="X99" s="38">
        <v>13176.62</v>
      </c>
      <c r="Y99" s="38">
        <v>66461.540000000008</v>
      </c>
      <c r="Z99" s="38">
        <v>20711.54</v>
      </c>
      <c r="AA99" s="38">
        <v>31.163196037888977</v>
      </c>
      <c r="AB99" s="38">
        <v>45750</v>
      </c>
      <c r="AC99" s="38">
        <v>68.836803962111006</v>
      </c>
      <c r="AD99" s="38">
        <v>9882.48</v>
      </c>
      <c r="AE99" s="38">
        <v>7625</v>
      </c>
      <c r="AF99" s="38">
        <v>2.7</v>
      </c>
      <c r="AG99" s="123">
        <v>45888</v>
      </c>
      <c r="AH99" s="123">
        <v>46000</v>
      </c>
      <c r="AI99" s="120">
        <v>0</v>
      </c>
      <c r="AJ99" s="120">
        <v>0</v>
      </c>
      <c r="AK99" s="120">
        <v>0</v>
      </c>
      <c r="AL99" s="120">
        <v>0</v>
      </c>
      <c r="AM99" s="35"/>
      <c r="AN99" s="35"/>
      <c r="AO99" s="35"/>
      <c r="AP99" s="35" t="s">
        <v>52</v>
      </c>
      <c r="AQ99" s="35">
        <v>10</v>
      </c>
      <c r="AR99" s="35">
        <v>17</v>
      </c>
      <c r="AS99" s="1">
        <f t="shared" si="4"/>
        <v>68715.08</v>
      </c>
    </row>
    <row r="100" spans="1:45" x14ac:dyDescent="0.3">
      <c r="A100" s="6" t="str">
        <f t="shared" si="3"/>
        <v>000048</v>
      </c>
      <c r="B100" s="35" t="s">
        <v>164</v>
      </c>
      <c r="C100" s="35" t="s">
        <v>165</v>
      </c>
      <c r="D100" s="35" t="s">
        <v>164</v>
      </c>
      <c r="E100" s="35" t="s">
        <v>165</v>
      </c>
      <c r="F100" s="35" t="s">
        <v>460</v>
      </c>
      <c r="G100" s="35" t="s">
        <v>396</v>
      </c>
      <c r="H100" s="35" t="s">
        <v>43</v>
      </c>
      <c r="I100" s="35" t="s">
        <v>44</v>
      </c>
      <c r="J100" s="35" t="s">
        <v>675</v>
      </c>
      <c r="K100" s="35" t="s">
        <v>676</v>
      </c>
      <c r="L100" s="35" t="s">
        <v>47</v>
      </c>
      <c r="M100" s="35" t="s">
        <v>48</v>
      </c>
      <c r="N100" s="35" t="s">
        <v>43</v>
      </c>
      <c r="O100" s="35" t="s">
        <v>594</v>
      </c>
      <c r="P100" s="35" t="s">
        <v>51</v>
      </c>
      <c r="Q100" s="35"/>
      <c r="R100" s="35"/>
      <c r="S100" s="38">
        <v>140000</v>
      </c>
      <c r="T100" s="38">
        <v>78750</v>
      </c>
      <c r="U100" s="38">
        <v>17010.810000000001</v>
      </c>
      <c r="V100" s="38">
        <v>30241.49</v>
      </c>
      <c r="W100" s="38">
        <v>55377.35</v>
      </c>
      <c r="X100" s="38">
        <v>13230.65</v>
      </c>
      <c r="Y100" s="38">
        <v>84622.650000000009</v>
      </c>
      <c r="Z100" s="38">
        <v>23372.65</v>
      </c>
      <c r="AA100" s="38">
        <v>27.619851186414039</v>
      </c>
      <c r="AB100" s="38">
        <v>61250</v>
      </c>
      <c r="AC100" s="38">
        <v>72.380148813585947</v>
      </c>
      <c r="AD100" s="38">
        <v>13230.630000000001</v>
      </c>
      <c r="AE100" s="38">
        <v>8750</v>
      </c>
      <c r="AF100" s="38">
        <v>2.7</v>
      </c>
      <c r="AG100" s="123">
        <v>45898</v>
      </c>
      <c r="AH100" s="123">
        <v>46010</v>
      </c>
      <c r="AI100" s="120">
        <v>0</v>
      </c>
      <c r="AJ100" s="120">
        <v>0</v>
      </c>
      <c r="AK100" s="120">
        <v>0</v>
      </c>
      <c r="AL100" s="120">
        <v>0</v>
      </c>
      <c r="AM100" s="35"/>
      <c r="AN100" s="35"/>
      <c r="AO100" s="35"/>
      <c r="AP100" s="35" t="s">
        <v>52</v>
      </c>
      <c r="AQ100" s="35">
        <v>7</v>
      </c>
      <c r="AR100" s="35">
        <v>14</v>
      </c>
      <c r="AS100" s="1">
        <f t="shared" si="4"/>
        <v>68608</v>
      </c>
    </row>
    <row r="101" spans="1:45" x14ac:dyDescent="0.3">
      <c r="A101" s="6" t="str">
        <f t="shared" si="3"/>
        <v>000067</v>
      </c>
      <c r="B101" s="35" t="s">
        <v>164</v>
      </c>
      <c r="C101" s="35" t="s">
        <v>165</v>
      </c>
      <c r="D101" s="35" t="s">
        <v>164</v>
      </c>
      <c r="E101" s="35" t="s">
        <v>165</v>
      </c>
      <c r="F101" s="35" t="s">
        <v>460</v>
      </c>
      <c r="G101" s="35" t="s">
        <v>396</v>
      </c>
      <c r="H101" s="35" t="s">
        <v>43</v>
      </c>
      <c r="I101" s="35" t="s">
        <v>44</v>
      </c>
      <c r="J101" s="35" t="s">
        <v>39</v>
      </c>
      <c r="K101" s="35" t="s">
        <v>812</v>
      </c>
      <c r="L101" s="35" t="s">
        <v>47</v>
      </c>
      <c r="M101" s="35" t="s">
        <v>48</v>
      </c>
      <c r="N101" s="35" t="s">
        <v>43</v>
      </c>
      <c r="O101" s="35" t="s">
        <v>594</v>
      </c>
      <c r="P101" s="35" t="s">
        <v>51</v>
      </c>
      <c r="Q101" s="35"/>
      <c r="R101" s="35"/>
      <c r="S101" s="38">
        <v>70000</v>
      </c>
      <c r="T101" s="38">
        <v>30625</v>
      </c>
      <c r="U101" s="38">
        <v>6615.35</v>
      </c>
      <c r="V101" s="38">
        <v>15120.75</v>
      </c>
      <c r="W101" s="38">
        <v>35000</v>
      </c>
      <c r="X101" s="38">
        <v>7603</v>
      </c>
      <c r="Y101" s="38">
        <v>35000</v>
      </c>
      <c r="Z101" s="38">
        <v>0</v>
      </c>
      <c r="AA101" s="38">
        <v>0</v>
      </c>
      <c r="AB101" s="38">
        <v>35000</v>
      </c>
      <c r="AC101" s="38">
        <v>100</v>
      </c>
      <c r="AD101" s="38">
        <v>8505.4500000000007</v>
      </c>
      <c r="AE101" s="38">
        <v>4375</v>
      </c>
      <c r="AF101" s="38">
        <v>0</v>
      </c>
      <c r="AG101" s="123">
        <v>45908</v>
      </c>
      <c r="AH101" s="123">
        <v>46020</v>
      </c>
      <c r="AI101" s="120">
        <v>0</v>
      </c>
      <c r="AJ101" s="120">
        <v>0</v>
      </c>
      <c r="AK101" s="120">
        <v>0</v>
      </c>
      <c r="AL101" s="120">
        <v>0</v>
      </c>
      <c r="AM101" s="35"/>
      <c r="AN101" s="35"/>
      <c r="AO101" s="35"/>
      <c r="AP101" s="35" t="s">
        <v>52</v>
      </c>
      <c r="AQ101" s="35">
        <v>6</v>
      </c>
      <c r="AR101" s="35">
        <v>0</v>
      </c>
      <c r="AS101" s="1">
        <f t="shared" si="4"/>
        <v>42603</v>
      </c>
    </row>
    <row r="102" spans="1:45" x14ac:dyDescent="0.3">
      <c r="A102" s="6" t="str">
        <f t="shared" si="3"/>
        <v>000073</v>
      </c>
      <c r="B102" s="35" t="s">
        <v>164</v>
      </c>
      <c r="C102" s="35" t="s">
        <v>165</v>
      </c>
      <c r="D102" s="35" t="s">
        <v>164</v>
      </c>
      <c r="E102" s="35" t="s">
        <v>165</v>
      </c>
      <c r="F102" s="35" t="s">
        <v>460</v>
      </c>
      <c r="G102" s="35" t="s">
        <v>396</v>
      </c>
      <c r="H102" s="35" t="s">
        <v>43</v>
      </c>
      <c r="I102" s="35" t="s">
        <v>44</v>
      </c>
      <c r="J102" s="35" t="s">
        <v>977</v>
      </c>
      <c r="K102" s="35" t="s">
        <v>940</v>
      </c>
      <c r="L102" s="35" t="s">
        <v>47</v>
      </c>
      <c r="M102" s="35" t="s">
        <v>48</v>
      </c>
      <c r="N102" s="35" t="s">
        <v>43</v>
      </c>
      <c r="O102" s="35" t="s">
        <v>594</v>
      </c>
      <c r="P102" s="35" t="s">
        <v>51</v>
      </c>
      <c r="Q102" s="35"/>
      <c r="R102" s="35"/>
      <c r="S102" s="38">
        <v>142000</v>
      </c>
      <c r="T102" s="38">
        <v>62125</v>
      </c>
      <c r="U102" s="38">
        <v>13419.630000000001</v>
      </c>
      <c r="V102" s="38">
        <v>30673.510000000002</v>
      </c>
      <c r="W102" s="38">
        <v>62125</v>
      </c>
      <c r="X102" s="38">
        <v>13489</v>
      </c>
      <c r="Y102" s="38">
        <v>79875</v>
      </c>
      <c r="Z102" s="38">
        <v>0</v>
      </c>
      <c r="AA102" s="38">
        <v>0</v>
      </c>
      <c r="AB102" s="38">
        <v>79875</v>
      </c>
      <c r="AC102" s="38">
        <v>100</v>
      </c>
      <c r="AD102" s="38">
        <v>17253.810000000001</v>
      </c>
      <c r="AE102" s="38">
        <v>8875</v>
      </c>
      <c r="AF102" s="38">
        <v>0</v>
      </c>
      <c r="AG102" s="123">
        <v>45912</v>
      </c>
      <c r="AH102" s="123">
        <v>46024</v>
      </c>
      <c r="AI102" s="120">
        <v>0</v>
      </c>
      <c r="AJ102" s="120">
        <v>0</v>
      </c>
      <c r="AK102" s="120">
        <v>0</v>
      </c>
      <c r="AL102" s="120">
        <v>0</v>
      </c>
      <c r="AM102" s="35"/>
      <c r="AN102" s="35"/>
      <c r="AO102" s="35"/>
      <c r="AP102" s="35" t="s">
        <v>52</v>
      </c>
      <c r="AQ102" s="35">
        <v>10</v>
      </c>
      <c r="AR102" s="35">
        <v>0</v>
      </c>
      <c r="AS102" s="1">
        <f t="shared" si="4"/>
        <v>75614</v>
      </c>
    </row>
    <row r="103" spans="1:45" x14ac:dyDescent="0.3">
      <c r="A103" s="6" t="str">
        <f t="shared" si="3"/>
        <v>000033</v>
      </c>
      <c r="B103" s="35" t="s">
        <v>501</v>
      </c>
      <c r="C103" s="35" t="s">
        <v>502</v>
      </c>
      <c r="D103" s="35" t="s">
        <v>501</v>
      </c>
      <c r="E103" s="35" t="s">
        <v>502</v>
      </c>
      <c r="F103" s="35" t="s">
        <v>460</v>
      </c>
      <c r="G103" s="35" t="s">
        <v>396</v>
      </c>
      <c r="H103" s="35" t="s">
        <v>43</v>
      </c>
      <c r="I103" s="35" t="s">
        <v>44</v>
      </c>
      <c r="J103" s="35" t="s">
        <v>503</v>
      </c>
      <c r="K103" s="35" t="s">
        <v>429</v>
      </c>
      <c r="L103" s="35" t="s">
        <v>47</v>
      </c>
      <c r="M103" s="35" t="s">
        <v>48</v>
      </c>
      <c r="N103" s="35" t="s">
        <v>43</v>
      </c>
      <c r="O103" s="35" t="s">
        <v>561</v>
      </c>
      <c r="P103" s="35" t="s">
        <v>561</v>
      </c>
      <c r="Q103" s="35"/>
      <c r="R103" s="35"/>
      <c r="S103" s="38">
        <v>70000</v>
      </c>
      <c r="T103" s="38">
        <v>39375</v>
      </c>
      <c r="U103" s="38">
        <v>8505.4500000000007</v>
      </c>
      <c r="V103" s="38">
        <v>15120.75</v>
      </c>
      <c r="W103" s="38">
        <v>45625</v>
      </c>
      <c r="X103" s="38">
        <v>10645.11</v>
      </c>
      <c r="Y103" s="38">
        <v>24375</v>
      </c>
      <c r="Z103" s="38">
        <v>0</v>
      </c>
      <c r="AA103" s="38">
        <v>0</v>
      </c>
      <c r="AB103" s="38">
        <v>24375</v>
      </c>
      <c r="AC103" s="38">
        <v>100</v>
      </c>
      <c r="AD103" s="38">
        <v>6615.35</v>
      </c>
      <c r="AE103" s="38">
        <v>4375</v>
      </c>
      <c r="AF103" s="38">
        <v>0</v>
      </c>
      <c r="AG103" s="123">
        <v>45894</v>
      </c>
      <c r="AH103" s="123">
        <v>46006</v>
      </c>
      <c r="AI103" s="120">
        <v>0</v>
      </c>
      <c r="AJ103" s="120">
        <v>0</v>
      </c>
      <c r="AK103" s="120">
        <v>0</v>
      </c>
      <c r="AL103" s="120">
        <v>0</v>
      </c>
      <c r="AM103" s="35"/>
      <c r="AN103" s="35"/>
      <c r="AO103" s="35"/>
      <c r="AP103" s="35" t="s">
        <v>52</v>
      </c>
      <c r="AQ103" s="35">
        <v>5</v>
      </c>
      <c r="AR103" s="35">
        <v>0</v>
      </c>
      <c r="AS103" s="1">
        <f t="shared" si="4"/>
        <v>56270.11</v>
      </c>
    </row>
    <row r="104" spans="1:45" x14ac:dyDescent="0.3">
      <c r="A104" s="6" t="str">
        <f t="shared" si="3"/>
        <v>000034</v>
      </c>
      <c r="B104" s="35" t="s">
        <v>501</v>
      </c>
      <c r="C104" s="35" t="s">
        <v>502</v>
      </c>
      <c r="D104" s="35" t="s">
        <v>501</v>
      </c>
      <c r="E104" s="35" t="s">
        <v>502</v>
      </c>
      <c r="F104" s="35" t="s">
        <v>460</v>
      </c>
      <c r="G104" s="35" t="s">
        <v>396</v>
      </c>
      <c r="H104" s="35" t="s">
        <v>43</v>
      </c>
      <c r="I104" s="35" t="s">
        <v>44</v>
      </c>
      <c r="J104" s="35" t="s">
        <v>652</v>
      </c>
      <c r="K104" s="35" t="s">
        <v>506</v>
      </c>
      <c r="L104" s="35" t="s">
        <v>47</v>
      </c>
      <c r="M104" s="35" t="s">
        <v>48</v>
      </c>
      <c r="N104" s="35" t="s">
        <v>43</v>
      </c>
      <c r="O104" s="35" t="s">
        <v>594</v>
      </c>
      <c r="P104" s="35" t="s">
        <v>51</v>
      </c>
      <c r="Q104" s="35"/>
      <c r="R104" s="35"/>
      <c r="S104" s="38">
        <v>93000</v>
      </c>
      <c r="T104" s="38">
        <v>52312.5</v>
      </c>
      <c r="U104" s="38">
        <v>11300.04</v>
      </c>
      <c r="V104" s="38">
        <v>20088.990000000002</v>
      </c>
      <c r="W104" s="38">
        <v>52312.5</v>
      </c>
      <c r="X104" s="38">
        <v>11350.5</v>
      </c>
      <c r="Y104" s="38">
        <v>40687.5</v>
      </c>
      <c r="Z104" s="38">
        <v>0</v>
      </c>
      <c r="AA104" s="38">
        <v>0</v>
      </c>
      <c r="AB104" s="38">
        <v>40687.5</v>
      </c>
      <c r="AC104" s="38">
        <v>100</v>
      </c>
      <c r="AD104" s="38">
        <v>8788.92</v>
      </c>
      <c r="AE104" s="38">
        <v>5812.5</v>
      </c>
      <c r="AF104" s="38">
        <v>0</v>
      </c>
      <c r="AG104" s="123">
        <v>45897</v>
      </c>
      <c r="AH104" s="123">
        <v>46009</v>
      </c>
      <c r="AI104" s="120">
        <v>0</v>
      </c>
      <c r="AJ104" s="120">
        <v>0</v>
      </c>
      <c r="AK104" s="120">
        <v>0</v>
      </c>
      <c r="AL104" s="120">
        <v>0</v>
      </c>
      <c r="AM104" s="35"/>
      <c r="AN104" s="35"/>
      <c r="AO104" s="35"/>
      <c r="AP104" s="35" t="s">
        <v>52</v>
      </c>
      <c r="AQ104" s="35">
        <v>9</v>
      </c>
      <c r="AR104" s="35">
        <v>0</v>
      </c>
      <c r="AS104" s="1">
        <f t="shared" si="4"/>
        <v>63663</v>
      </c>
    </row>
    <row r="105" spans="1:45" x14ac:dyDescent="0.3">
      <c r="A105" s="6" t="str">
        <f t="shared" si="3"/>
        <v>000045</v>
      </c>
      <c r="B105" s="35" t="s">
        <v>501</v>
      </c>
      <c r="C105" s="35" t="s">
        <v>502</v>
      </c>
      <c r="D105" s="35" t="s">
        <v>501</v>
      </c>
      <c r="E105" s="35" t="s">
        <v>502</v>
      </c>
      <c r="F105" s="35" t="s">
        <v>460</v>
      </c>
      <c r="G105" s="35" t="s">
        <v>396</v>
      </c>
      <c r="H105" s="35" t="s">
        <v>43</v>
      </c>
      <c r="I105" s="35" t="s">
        <v>44</v>
      </c>
      <c r="J105" s="35" t="s">
        <v>601</v>
      </c>
      <c r="K105" s="35" t="s">
        <v>602</v>
      </c>
      <c r="L105" s="35" t="s">
        <v>47</v>
      </c>
      <c r="M105" s="35" t="s">
        <v>48</v>
      </c>
      <c r="N105" s="35" t="s">
        <v>43</v>
      </c>
      <c r="O105" s="35" t="s">
        <v>594</v>
      </c>
      <c r="P105" s="35" t="s">
        <v>51</v>
      </c>
      <c r="Q105" s="35"/>
      <c r="R105" s="35"/>
      <c r="S105" s="38">
        <v>115000</v>
      </c>
      <c r="T105" s="38">
        <v>64687.5</v>
      </c>
      <c r="U105" s="38">
        <v>13973.220000000001</v>
      </c>
      <c r="V105" s="38">
        <v>24841.23</v>
      </c>
      <c r="W105" s="38">
        <v>64687.5</v>
      </c>
      <c r="X105" s="38">
        <v>14154.5</v>
      </c>
      <c r="Y105" s="38">
        <v>50312.5</v>
      </c>
      <c r="Z105" s="38">
        <v>0</v>
      </c>
      <c r="AA105" s="38">
        <v>0</v>
      </c>
      <c r="AB105" s="38">
        <v>50312.5</v>
      </c>
      <c r="AC105" s="38">
        <v>100</v>
      </c>
      <c r="AD105" s="38">
        <v>10868.06</v>
      </c>
      <c r="AE105" s="38">
        <v>7187.5</v>
      </c>
      <c r="AF105" s="38">
        <v>0</v>
      </c>
      <c r="AG105" s="123">
        <v>45896</v>
      </c>
      <c r="AH105" s="123">
        <v>46008</v>
      </c>
      <c r="AI105" s="120">
        <v>0</v>
      </c>
      <c r="AJ105" s="120">
        <v>0</v>
      </c>
      <c r="AK105" s="120">
        <v>0</v>
      </c>
      <c r="AL105" s="120">
        <v>0</v>
      </c>
      <c r="AM105" s="35"/>
      <c r="AN105" s="35"/>
      <c r="AO105" s="35"/>
      <c r="AP105" s="35" t="s">
        <v>52</v>
      </c>
      <c r="AQ105" s="35">
        <v>9</v>
      </c>
      <c r="AR105" s="35">
        <v>0</v>
      </c>
      <c r="AS105" s="1">
        <f t="shared" si="4"/>
        <v>78842</v>
      </c>
    </row>
    <row r="106" spans="1:45" x14ac:dyDescent="0.3">
      <c r="A106" s="6" t="str">
        <f t="shared" si="3"/>
        <v>000078</v>
      </c>
      <c r="B106" s="35" t="s">
        <v>501</v>
      </c>
      <c r="C106" s="35" t="s">
        <v>502</v>
      </c>
      <c r="D106" s="35" t="s">
        <v>501</v>
      </c>
      <c r="E106" s="35" t="s">
        <v>502</v>
      </c>
      <c r="F106" s="35" t="s">
        <v>460</v>
      </c>
      <c r="G106" s="35" t="s">
        <v>396</v>
      </c>
      <c r="H106" s="35" t="s">
        <v>43</v>
      </c>
      <c r="I106" s="35" t="s">
        <v>44</v>
      </c>
      <c r="J106" s="35" t="s">
        <v>975</v>
      </c>
      <c r="K106" s="35" t="s">
        <v>878</v>
      </c>
      <c r="L106" s="35" t="s">
        <v>47</v>
      </c>
      <c r="M106" s="35" t="s">
        <v>48</v>
      </c>
      <c r="N106" s="35" t="s">
        <v>43</v>
      </c>
      <c r="O106" s="35" t="s">
        <v>594</v>
      </c>
      <c r="P106" s="35" t="s">
        <v>51</v>
      </c>
      <c r="Q106" s="35"/>
      <c r="R106" s="35"/>
      <c r="S106" s="38">
        <v>76000</v>
      </c>
      <c r="T106" s="38">
        <v>33250</v>
      </c>
      <c r="U106" s="38">
        <v>7182.35</v>
      </c>
      <c r="V106" s="38">
        <v>16416.810000000001</v>
      </c>
      <c r="W106" s="38">
        <v>33250</v>
      </c>
      <c r="X106" s="38">
        <v>7223</v>
      </c>
      <c r="Y106" s="38">
        <v>42750</v>
      </c>
      <c r="Z106" s="38">
        <v>0</v>
      </c>
      <c r="AA106" s="38">
        <v>0</v>
      </c>
      <c r="AB106" s="38">
        <v>42750</v>
      </c>
      <c r="AC106" s="38">
        <v>100</v>
      </c>
      <c r="AD106" s="38">
        <v>9234.4500000000007</v>
      </c>
      <c r="AE106" s="38">
        <v>4750</v>
      </c>
      <c r="AF106" s="38">
        <v>0</v>
      </c>
      <c r="AG106" s="123">
        <v>45911</v>
      </c>
      <c r="AH106" s="123">
        <v>46023</v>
      </c>
      <c r="AI106" s="120">
        <v>0</v>
      </c>
      <c r="AJ106" s="120">
        <v>0</v>
      </c>
      <c r="AK106" s="120">
        <v>0</v>
      </c>
      <c r="AL106" s="120">
        <v>0</v>
      </c>
      <c r="AM106" s="35"/>
      <c r="AN106" s="35"/>
      <c r="AO106" s="35"/>
      <c r="AP106" s="35" t="s">
        <v>52</v>
      </c>
      <c r="AQ106" s="35">
        <v>6</v>
      </c>
      <c r="AR106" s="35">
        <v>0</v>
      </c>
      <c r="AS106" s="1">
        <f t="shared" si="4"/>
        <v>40473</v>
      </c>
    </row>
    <row r="107" spans="1:45" x14ac:dyDescent="0.3">
      <c r="A107" s="6" t="str">
        <f t="shared" si="3"/>
        <v>000080</v>
      </c>
      <c r="B107" s="35" t="s">
        <v>501</v>
      </c>
      <c r="C107" s="35" t="s">
        <v>502</v>
      </c>
      <c r="D107" s="35" t="s">
        <v>501</v>
      </c>
      <c r="E107" s="35" t="s">
        <v>502</v>
      </c>
      <c r="F107" s="35" t="s">
        <v>460</v>
      </c>
      <c r="G107" s="35" t="s">
        <v>396</v>
      </c>
      <c r="H107" s="35" t="s">
        <v>43</v>
      </c>
      <c r="I107" s="35" t="s">
        <v>44</v>
      </c>
      <c r="J107" s="35" t="s">
        <v>969</v>
      </c>
      <c r="K107" s="35" t="s">
        <v>941</v>
      </c>
      <c r="L107" s="35" t="s">
        <v>47</v>
      </c>
      <c r="M107" s="35" t="s">
        <v>48</v>
      </c>
      <c r="N107" s="35" t="s">
        <v>43</v>
      </c>
      <c r="O107" s="35" t="s">
        <v>594</v>
      </c>
      <c r="P107" s="35" t="s">
        <v>51</v>
      </c>
      <c r="Q107" s="35"/>
      <c r="R107" s="35"/>
      <c r="S107" s="38">
        <v>100000</v>
      </c>
      <c r="T107" s="38">
        <v>43750</v>
      </c>
      <c r="U107" s="38">
        <v>9450.49</v>
      </c>
      <c r="V107" s="38">
        <v>21601.07</v>
      </c>
      <c r="W107" s="38">
        <v>37500</v>
      </c>
      <c r="X107" s="38">
        <v>8121</v>
      </c>
      <c r="Y107" s="38">
        <v>62500</v>
      </c>
      <c r="Z107" s="38">
        <v>6250</v>
      </c>
      <c r="AA107" s="38">
        <v>10</v>
      </c>
      <c r="AB107" s="38">
        <v>56250</v>
      </c>
      <c r="AC107" s="38">
        <v>90</v>
      </c>
      <c r="AD107" s="38">
        <v>12150.630000000001</v>
      </c>
      <c r="AE107" s="38">
        <v>6250</v>
      </c>
      <c r="AF107" s="38">
        <v>1</v>
      </c>
      <c r="AG107" s="123">
        <v>45912</v>
      </c>
      <c r="AH107" s="123">
        <v>46024</v>
      </c>
      <c r="AI107" s="120">
        <v>0</v>
      </c>
      <c r="AJ107" s="120">
        <v>0</v>
      </c>
      <c r="AK107" s="120">
        <v>0</v>
      </c>
      <c r="AL107" s="120">
        <v>0</v>
      </c>
      <c r="AM107" s="35"/>
      <c r="AN107" s="35"/>
      <c r="AO107" s="35"/>
      <c r="AP107" s="35" t="s">
        <v>52</v>
      </c>
      <c r="AQ107" s="35">
        <v>6</v>
      </c>
      <c r="AR107" s="35">
        <v>0</v>
      </c>
      <c r="AS107" s="1">
        <f t="shared" si="4"/>
        <v>45621</v>
      </c>
    </row>
    <row r="108" spans="1:45" x14ac:dyDescent="0.3">
      <c r="A108" s="6" t="str">
        <f t="shared" si="3"/>
        <v>000081</v>
      </c>
      <c r="B108" s="35" t="s">
        <v>501</v>
      </c>
      <c r="C108" s="35" t="s">
        <v>502</v>
      </c>
      <c r="D108" s="35" t="s">
        <v>501</v>
      </c>
      <c r="E108" s="35" t="s">
        <v>502</v>
      </c>
      <c r="F108" s="35" t="s">
        <v>460</v>
      </c>
      <c r="G108" s="35" t="s">
        <v>396</v>
      </c>
      <c r="H108" s="35" t="s">
        <v>43</v>
      </c>
      <c r="I108" s="35" t="s">
        <v>44</v>
      </c>
      <c r="J108" s="35" t="s">
        <v>663</v>
      </c>
      <c r="K108" s="35" t="s">
        <v>942</v>
      </c>
      <c r="L108" s="35" t="s">
        <v>47</v>
      </c>
      <c r="M108" s="35" t="s">
        <v>48</v>
      </c>
      <c r="N108" s="35" t="s">
        <v>43</v>
      </c>
      <c r="O108" s="35" t="s">
        <v>594</v>
      </c>
      <c r="P108" s="35" t="s">
        <v>51</v>
      </c>
      <c r="Q108" s="35"/>
      <c r="R108" s="35"/>
      <c r="S108" s="38">
        <v>152000</v>
      </c>
      <c r="T108" s="38">
        <v>66500</v>
      </c>
      <c r="U108" s="38">
        <v>14364.7</v>
      </c>
      <c r="V108" s="38">
        <v>32833.620000000003</v>
      </c>
      <c r="W108" s="38">
        <v>66500</v>
      </c>
      <c r="X108" s="38">
        <v>14372</v>
      </c>
      <c r="Y108" s="38">
        <v>85500</v>
      </c>
      <c r="Z108" s="38">
        <v>0</v>
      </c>
      <c r="AA108" s="38">
        <v>0</v>
      </c>
      <c r="AB108" s="38">
        <v>85500</v>
      </c>
      <c r="AC108" s="38">
        <v>100</v>
      </c>
      <c r="AD108" s="38">
        <v>18468.900000000001</v>
      </c>
      <c r="AE108" s="38">
        <v>9500</v>
      </c>
      <c r="AF108" s="38">
        <v>0</v>
      </c>
      <c r="AG108" s="123">
        <v>45912</v>
      </c>
      <c r="AH108" s="123">
        <v>46024</v>
      </c>
      <c r="AI108" s="120">
        <v>0</v>
      </c>
      <c r="AJ108" s="120">
        <v>0</v>
      </c>
      <c r="AK108" s="120">
        <v>0</v>
      </c>
      <c r="AL108" s="120">
        <v>0</v>
      </c>
      <c r="AM108" s="35"/>
      <c r="AN108" s="35"/>
      <c r="AO108" s="35"/>
      <c r="AP108" s="35" t="s">
        <v>52</v>
      </c>
      <c r="AQ108" s="35">
        <v>7</v>
      </c>
      <c r="AR108" s="35">
        <v>0</v>
      </c>
      <c r="AS108" s="1">
        <f t="shared" si="4"/>
        <v>80872</v>
      </c>
    </row>
    <row r="109" spans="1:45" x14ac:dyDescent="0.3">
      <c r="A109" s="6" t="str">
        <f t="shared" si="3"/>
        <v>000110</v>
      </c>
      <c r="B109" s="35" t="s">
        <v>501</v>
      </c>
      <c r="C109" s="35" t="s">
        <v>502</v>
      </c>
      <c r="D109" s="35" t="s">
        <v>501</v>
      </c>
      <c r="E109" s="35" t="s">
        <v>502</v>
      </c>
      <c r="F109" s="35" t="s">
        <v>460</v>
      </c>
      <c r="G109" s="35" t="s">
        <v>396</v>
      </c>
      <c r="H109" s="35" t="s">
        <v>43</v>
      </c>
      <c r="I109" s="35" t="s">
        <v>44</v>
      </c>
      <c r="J109" s="35" t="s">
        <v>1210</v>
      </c>
      <c r="K109" s="35" t="s">
        <v>1160</v>
      </c>
      <c r="L109" s="35" t="s">
        <v>47</v>
      </c>
      <c r="M109" s="35" t="s">
        <v>48</v>
      </c>
      <c r="N109" s="35" t="s">
        <v>43</v>
      </c>
      <c r="O109" s="35" t="s">
        <v>594</v>
      </c>
      <c r="P109" s="35" t="s">
        <v>51</v>
      </c>
      <c r="Q109" s="35"/>
      <c r="R109" s="35"/>
      <c r="S109" s="38">
        <v>125000</v>
      </c>
      <c r="T109" s="38">
        <v>39062.5</v>
      </c>
      <c r="U109" s="38">
        <v>8437.9</v>
      </c>
      <c r="V109" s="38">
        <v>27001.33</v>
      </c>
      <c r="W109" s="38">
        <v>39062.5</v>
      </c>
      <c r="X109" s="38">
        <v>8463.5</v>
      </c>
      <c r="Y109" s="38">
        <v>85937.5</v>
      </c>
      <c r="Z109" s="38">
        <v>0</v>
      </c>
      <c r="AA109" s="38">
        <v>0</v>
      </c>
      <c r="AB109" s="38">
        <v>85937.5</v>
      </c>
      <c r="AC109" s="38">
        <v>100</v>
      </c>
      <c r="AD109" s="38">
        <v>18563.38</v>
      </c>
      <c r="AE109" s="38">
        <v>7812.5</v>
      </c>
      <c r="AF109" s="38">
        <v>0</v>
      </c>
      <c r="AG109" s="123">
        <v>45924</v>
      </c>
      <c r="AH109" s="123">
        <v>46036</v>
      </c>
      <c r="AI109" s="120">
        <v>0</v>
      </c>
      <c r="AJ109" s="120">
        <v>0</v>
      </c>
      <c r="AK109" s="120">
        <v>0</v>
      </c>
      <c r="AL109" s="120">
        <v>0</v>
      </c>
      <c r="AM109" s="35"/>
      <c r="AN109" s="35"/>
      <c r="AO109" s="35"/>
      <c r="AP109" s="35" t="s">
        <v>52</v>
      </c>
      <c r="AQ109" s="35">
        <v>8</v>
      </c>
      <c r="AR109" s="35">
        <v>0</v>
      </c>
      <c r="AS109" s="1">
        <f t="shared" si="4"/>
        <v>47526</v>
      </c>
    </row>
    <row r="110" spans="1:45" x14ac:dyDescent="0.3">
      <c r="A110" s="6" t="str">
        <f t="shared" si="3"/>
        <v>000128</v>
      </c>
      <c r="B110" s="35" t="s">
        <v>501</v>
      </c>
      <c r="C110" s="35" t="s">
        <v>502</v>
      </c>
      <c r="D110" s="35" t="s">
        <v>501</v>
      </c>
      <c r="E110" s="35" t="s">
        <v>502</v>
      </c>
      <c r="F110" s="35" t="s">
        <v>460</v>
      </c>
      <c r="G110" s="35" t="s">
        <v>396</v>
      </c>
      <c r="H110" s="35" t="s">
        <v>43</v>
      </c>
      <c r="I110" s="35" t="s">
        <v>44</v>
      </c>
      <c r="J110" s="35" t="s">
        <v>1459</v>
      </c>
      <c r="K110" s="35" t="s">
        <v>686</v>
      </c>
      <c r="L110" s="35" t="s">
        <v>47</v>
      </c>
      <c r="M110" s="35" t="s">
        <v>48</v>
      </c>
      <c r="N110" s="35" t="s">
        <v>43</v>
      </c>
      <c r="O110" s="35" t="s">
        <v>594</v>
      </c>
      <c r="P110" s="35" t="s">
        <v>51</v>
      </c>
      <c r="Q110" s="35"/>
      <c r="R110" s="35"/>
      <c r="S110" s="38">
        <v>92000</v>
      </c>
      <c r="T110" s="38">
        <v>23000</v>
      </c>
      <c r="U110" s="38">
        <v>4968.24</v>
      </c>
      <c r="V110" s="38">
        <v>19872.98</v>
      </c>
      <c r="W110" s="38">
        <v>23000</v>
      </c>
      <c r="X110" s="38">
        <v>4987</v>
      </c>
      <c r="Y110" s="38">
        <v>69000</v>
      </c>
      <c r="Z110" s="38">
        <v>0</v>
      </c>
      <c r="AA110" s="38">
        <v>0</v>
      </c>
      <c r="AB110" s="38">
        <v>69000</v>
      </c>
      <c r="AC110" s="38">
        <v>100</v>
      </c>
      <c r="AD110" s="38">
        <v>14904.720000000001</v>
      </c>
      <c r="AE110" s="38">
        <v>5750</v>
      </c>
      <c r="AF110" s="38">
        <v>0</v>
      </c>
      <c r="AG110" s="123">
        <v>45931</v>
      </c>
      <c r="AH110" s="123">
        <v>46043</v>
      </c>
      <c r="AI110" s="120">
        <v>0</v>
      </c>
      <c r="AJ110" s="120">
        <v>0</v>
      </c>
      <c r="AK110" s="120">
        <v>0</v>
      </c>
      <c r="AL110" s="120">
        <v>0</v>
      </c>
      <c r="AM110" s="35"/>
      <c r="AN110" s="35"/>
      <c r="AO110" s="35"/>
      <c r="AP110" s="35" t="s">
        <v>52</v>
      </c>
      <c r="AQ110" s="35">
        <v>6</v>
      </c>
      <c r="AR110" s="35">
        <v>0</v>
      </c>
      <c r="AS110" s="1">
        <f t="shared" si="4"/>
        <v>27987</v>
      </c>
    </row>
    <row r="111" spans="1:45" x14ac:dyDescent="0.3">
      <c r="A111" s="6" t="str">
        <f t="shared" si="3"/>
        <v>000135</v>
      </c>
      <c r="B111" s="35" t="s">
        <v>501</v>
      </c>
      <c r="C111" s="35" t="s">
        <v>502</v>
      </c>
      <c r="D111" s="35" t="s">
        <v>501</v>
      </c>
      <c r="E111" s="35" t="s">
        <v>502</v>
      </c>
      <c r="F111" s="35" t="s">
        <v>460</v>
      </c>
      <c r="G111" s="35" t="s">
        <v>396</v>
      </c>
      <c r="H111" s="35" t="s">
        <v>43</v>
      </c>
      <c r="I111" s="35" t="s">
        <v>44</v>
      </c>
      <c r="J111" s="35" t="s">
        <v>1532</v>
      </c>
      <c r="K111" s="35" t="s">
        <v>1376</v>
      </c>
      <c r="L111" s="35" t="s">
        <v>47</v>
      </c>
      <c r="M111" s="35" t="s">
        <v>48</v>
      </c>
      <c r="N111" s="35" t="s">
        <v>43</v>
      </c>
      <c r="O111" s="35" t="s">
        <v>594</v>
      </c>
      <c r="P111" s="35" t="s">
        <v>51</v>
      </c>
      <c r="Q111" s="35"/>
      <c r="R111" s="35"/>
      <c r="S111" s="38">
        <v>109000</v>
      </c>
      <c r="T111" s="38">
        <v>20437.5</v>
      </c>
      <c r="U111" s="38">
        <v>4414.71</v>
      </c>
      <c r="V111" s="38">
        <v>23545.16</v>
      </c>
      <c r="W111" s="38">
        <v>20437.5</v>
      </c>
      <c r="X111" s="38">
        <v>4442.5</v>
      </c>
      <c r="Y111" s="38">
        <v>88562.5</v>
      </c>
      <c r="Z111" s="38">
        <v>0</v>
      </c>
      <c r="AA111" s="38">
        <v>0</v>
      </c>
      <c r="AB111" s="38">
        <v>88562.5</v>
      </c>
      <c r="AC111" s="38">
        <v>100</v>
      </c>
      <c r="AD111" s="38">
        <v>19130.41</v>
      </c>
      <c r="AE111" s="38">
        <v>6812.5</v>
      </c>
      <c r="AF111" s="38">
        <v>0</v>
      </c>
      <c r="AG111" s="123">
        <v>45937</v>
      </c>
      <c r="AH111" s="123">
        <v>46049</v>
      </c>
      <c r="AI111" s="120">
        <v>0</v>
      </c>
      <c r="AJ111" s="120">
        <v>0</v>
      </c>
      <c r="AK111" s="120">
        <v>0</v>
      </c>
      <c r="AL111" s="120">
        <v>0</v>
      </c>
      <c r="AM111" s="35"/>
      <c r="AN111" s="35"/>
      <c r="AO111" s="35"/>
      <c r="AP111" s="35" t="s">
        <v>52</v>
      </c>
      <c r="AQ111" s="35">
        <v>9</v>
      </c>
      <c r="AR111" s="35">
        <v>0</v>
      </c>
      <c r="AS111" s="1">
        <f t="shared" si="4"/>
        <v>24880</v>
      </c>
    </row>
    <row r="112" spans="1:45" x14ac:dyDescent="0.3">
      <c r="A112" s="6" t="str">
        <f t="shared" si="3"/>
        <v>000140</v>
      </c>
      <c r="B112" s="35" t="s">
        <v>501</v>
      </c>
      <c r="C112" s="35" t="s">
        <v>502</v>
      </c>
      <c r="D112" s="35" t="s">
        <v>501</v>
      </c>
      <c r="E112" s="35" t="s">
        <v>502</v>
      </c>
      <c r="F112" s="35" t="s">
        <v>460</v>
      </c>
      <c r="G112" s="35" t="s">
        <v>396</v>
      </c>
      <c r="H112" s="35" t="s">
        <v>43</v>
      </c>
      <c r="I112" s="35" t="s">
        <v>44</v>
      </c>
      <c r="J112" s="35" t="s">
        <v>1571</v>
      </c>
      <c r="K112" s="35" t="s">
        <v>1517</v>
      </c>
      <c r="L112" s="35" t="s">
        <v>47</v>
      </c>
      <c r="M112" s="35" t="s">
        <v>48</v>
      </c>
      <c r="N112" s="35" t="s">
        <v>43</v>
      </c>
      <c r="O112" s="35" t="s">
        <v>594</v>
      </c>
      <c r="P112" s="35" t="s">
        <v>51</v>
      </c>
      <c r="Q112" s="35"/>
      <c r="R112" s="35"/>
      <c r="S112" s="38">
        <v>150000</v>
      </c>
      <c r="T112" s="38">
        <v>28125</v>
      </c>
      <c r="U112" s="38">
        <v>6075.3</v>
      </c>
      <c r="V112" s="38">
        <v>32401.600000000002</v>
      </c>
      <c r="W112" s="38">
        <v>28125</v>
      </c>
      <c r="X112" s="38">
        <v>6105</v>
      </c>
      <c r="Y112" s="38">
        <v>121875</v>
      </c>
      <c r="Z112" s="38">
        <v>0</v>
      </c>
      <c r="AA112" s="38">
        <v>0</v>
      </c>
      <c r="AB112" s="38">
        <v>121875</v>
      </c>
      <c r="AC112" s="38">
        <v>100</v>
      </c>
      <c r="AD112" s="38">
        <v>26326.3</v>
      </c>
      <c r="AE112" s="38">
        <v>9375</v>
      </c>
      <c r="AF112" s="38">
        <v>0</v>
      </c>
      <c r="AG112" s="123">
        <v>45938</v>
      </c>
      <c r="AH112" s="123">
        <v>46050</v>
      </c>
      <c r="AI112" s="120">
        <v>0</v>
      </c>
      <c r="AJ112" s="120">
        <v>0</v>
      </c>
      <c r="AK112" s="120">
        <v>0</v>
      </c>
      <c r="AL112" s="120">
        <v>0</v>
      </c>
      <c r="AM112" s="35"/>
      <c r="AN112" s="35"/>
      <c r="AO112" s="35"/>
      <c r="AP112" s="35" t="s">
        <v>52</v>
      </c>
      <c r="AQ112" s="35">
        <v>10</v>
      </c>
      <c r="AR112" s="35">
        <v>0</v>
      </c>
      <c r="AS112" s="1">
        <f t="shared" si="4"/>
        <v>34230</v>
      </c>
    </row>
    <row r="113" spans="1:45" x14ac:dyDescent="0.3">
      <c r="A113" s="6" t="str">
        <f t="shared" si="3"/>
        <v>000161</v>
      </c>
      <c r="B113" s="35" t="s">
        <v>501</v>
      </c>
      <c r="C113" s="35" t="s">
        <v>502</v>
      </c>
      <c r="D113" s="35" t="s">
        <v>501</v>
      </c>
      <c r="E113" s="35" t="s">
        <v>502</v>
      </c>
      <c r="F113" s="35" t="s">
        <v>460</v>
      </c>
      <c r="G113" s="35" t="s">
        <v>396</v>
      </c>
      <c r="H113" s="35" t="s">
        <v>43</v>
      </c>
      <c r="I113" s="35" t="s">
        <v>44</v>
      </c>
      <c r="J113" s="35" t="s">
        <v>1736</v>
      </c>
      <c r="K113" s="35" t="s">
        <v>1573</v>
      </c>
      <c r="L113" s="35" t="s">
        <v>47</v>
      </c>
      <c r="M113" s="35" t="s">
        <v>48</v>
      </c>
      <c r="N113" s="35" t="s">
        <v>43</v>
      </c>
      <c r="O113" s="35" t="s">
        <v>594</v>
      </c>
      <c r="P113" s="35" t="s">
        <v>51</v>
      </c>
      <c r="Q113" s="35"/>
      <c r="R113" s="35"/>
      <c r="S113" s="38">
        <v>126000</v>
      </c>
      <c r="T113" s="38">
        <v>15750</v>
      </c>
      <c r="U113" s="38">
        <v>3402.16</v>
      </c>
      <c r="V113" s="38">
        <v>27217.34</v>
      </c>
      <c r="W113" s="38">
        <v>15750</v>
      </c>
      <c r="X113" s="38">
        <v>3411</v>
      </c>
      <c r="Y113" s="38">
        <v>110250</v>
      </c>
      <c r="Z113" s="38">
        <v>0</v>
      </c>
      <c r="AA113" s="38">
        <v>0</v>
      </c>
      <c r="AB113" s="38">
        <v>110250</v>
      </c>
      <c r="AC113" s="38">
        <v>100</v>
      </c>
      <c r="AD113" s="38">
        <v>23815.119999999999</v>
      </c>
      <c r="AE113" s="38">
        <v>7875</v>
      </c>
      <c r="AF113" s="38">
        <v>0</v>
      </c>
      <c r="AG113" s="123">
        <v>45946</v>
      </c>
      <c r="AH113" s="123">
        <v>46058</v>
      </c>
      <c r="AI113" s="120">
        <v>0</v>
      </c>
      <c r="AJ113" s="120">
        <v>0</v>
      </c>
      <c r="AK113" s="120">
        <v>0</v>
      </c>
      <c r="AL113" s="120">
        <v>0</v>
      </c>
      <c r="AM113" s="35"/>
      <c r="AN113" s="35"/>
      <c r="AO113" s="35"/>
      <c r="AP113" s="35" t="s">
        <v>52</v>
      </c>
      <c r="AQ113" s="35">
        <v>8</v>
      </c>
      <c r="AR113" s="35">
        <v>0</v>
      </c>
      <c r="AS113" s="1">
        <f t="shared" si="4"/>
        <v>19161</v>
      </c>
    </row>
    <row r="114" spans="1:45" x14ac:dyDescent="0.3">
      <c r="A114" s="6" t="str">
        <f t="shared" si="3"/>
        <v>000174</v>
      </c>
      <c r="B114" s="35" t="s">
        <v>501</v>
      </c>
      <c r="C114" s="35" t="s">
        <v>502</v>
      </c>
      <c r="D114" s="35" t="s">
        <v>501</v>
      </c>
      <c r="E114" s="35" t="s">
        <v>502</v>
      </c>
      <c r="F114" s="35" t="s">
        <v>460</v>
      </c>
      <c r="G114" s="35" t="s">
        <v>396</v>
      </c>
      <c r="H114" s="35" t="s">
        <v>43</v>
      </c>
      <c r="I114" s="35" t="s">
        <v>44</v>
      </c>
      <c r="J114" s="35" t="s">
        <v>1882</v>
      </c>
      <c r="K114" s="35" t="s">
        <v>1883</v>
      </c>
      <c r="L114" s="35" t="s">
        <v>47</v>
      </c>
      <c r="M114" s="35" t="s">
        <v>48</v>
      </c>
      <c r="N114" s="35" t="s">
        <v>43</v>
      </c>
      <c r="O114" s="35" t="s">
        <v>594</v>
      </c>
      <c r="P114" s="35" t="s">
        <v>51</v>
      </c>
      <c r="Q114" s="35"/>
      <c r="R114" s="35"/>
      <c r="S114" s="38">
        <v>52000</v>
      </c>
      <c r="T114" s="38">
        <v>3250</v>
      </c>
      <c r="U114" s="38">
        <v>702.03</v>
      </c>
      <c r="V114" s="38">
        <v>11232.550000000001</v>
      </c>
      <c r="W114" s="38">
        <v>3250</v>
      </c>
      <c r="X114" s="38">
        <v>705</v>
      </c>
      <c r="Y114" s="38">
        <v>48750</v>
      </c>
      <c r="Z114" s="38">
        <v>0</v>
      </c>
      <c r="AA114" s="38">
        <v>0</v>
      </c>
      <c r="AB114" s="38">
        <v>48750</v>
      </c>
      <c r="AC114" s="38">
        <v>100</v>
      </c>
      <c r="AD114" s="38">
        <v>10530.45</v>
      </c>
      <c r="AE114" s="38">
        <v>3250</v>
      </c>
      <c r="AF114" s="38">
        <v>0</v>
      </c>
      <c r="AG114" s="123">
        <v>45952</v>
      </c>
      <c r="AH114" s="123">
        <v>46064</v>
      </c>
      <c r="AI114" s="120">
        <v>0</v>
      </c>
      <c r="AJ114" s="120">
        <v>0</v>
      </c>
      <c r="AK114" s="120">
        <v>0</v>
      </c>
      <c r="AL114" s="120">
        <v>0</v>
      </c>
      <c r="AM114" s="35"/>
      <c r="AN114" s="35"/>
      <c r="AO114" s="35"/>
      <c r="AP114" s="35" t="s">
        <v>52</v>
      </c>
      <c r="AQ114" s="35">
        <v>5</v>
      </c>
      <c r="AR114" s="35">
        <v>0</v>
      </c>
      <c r="AS114" s="1">
        <f t="shared" si="4"/>
        <v>3955</v>
      </c>
    </row>
    <row r="115" spans="1:45" x14ac:dyDescent="0.3">
      <c r="A115" s="6" t="str">
        <f t="shared" si="3"/>
        <v>000181</v>
      </c>
      <c r="B115" s="35" t="s">
        <v>501</v>
      </c>
      <c r="C115" s="35" t="s">
        <v>502</v>
      </c>
      <c r="D115" s="35" t="s">
        <v>501</v>
      </c>
      <c r="E115" s="35" t="s">
        <v>502</v>
      </c>
      <c r="F115" s="35" t="s">
        <v>460</v>
      </c>
      <c r="G115" s="35" t="s">
        <v>396</v>
      </c>
      <c r="H115" s="35" t="s">
        <v>43</v>
      </c>
      <c r="I115" s="35" t="s">
        <v>44</v>
      </c>
      <c r="J115" s="35" t="s">
        <v>1956</v>
      </c>
      <c r="K115" s="35" t="s">
        <v>1957</v>
      </c>
      <c r="L115" s="35" t="s">
        <v>47</v>
      </c>
      <c r="M115" s="35" t="s">
        <v>48</v>
      </c>
      <c r="N115" s="35" t="s">
        <v>43</v>
      </c>
      <c r="O115" s="35" t="s">
        <v>594</v>
      </c>
      <c r="P115" s="35" t="s">
        <v>51</v>
      </c>
      <c r="Q115" s="35"/>
      <c r="R115" s="35"/>
      <c r="S115" s="38">
        <v>70000</v>
      </c>
      <c r="T115" s="38">
        <v>4375</v>
      </c>
      <c r="U115" s="38">
        <v>945.05000000000007</v>
      </c>
      <c r="V115" s="38">
        <v>15120.75</v>
      </c>
      <c r="W115" s="38">
        <v>4375</v>
      </c>
      <c r="X115" s="38">
        <v>951</v>
      </c>
      <c r="Y115" s="38">
        <v>65625</v>
      </c>
      <c r="Z115" s="38">
        <v>0</v>
      </c>
      <c r="AA115" s="38">
        <v>0</v>
      </c>
      <c r="AB115" s="38">
        <v>65625</v>
      </c>
      <c r="AC115" s="38">
        <v>100</v>
      </c>
      <c r="AD115" s="38">
        <v>14175.75</v>
      </c>
      <c r="AE115" s="38">
        <v>4375</v>
      </c>
      <c r="AF115" s="38">
        <v>0</v>
      </c>
      <c r="AG115" s="123">
        <v>45953</v>
      </c>
      <c r="AH115" s="123">
        <v>46065</v>
      </c>
      <c r="AI115" s="120">
        <v>0</v>
      </c>
      <c r="AJ115" s="120">
        <v>0</v>
      </c>
      <c r="AK115" s="120">
        <v>0</v>
      </c>
      <c r="AL115" s="120">
        <v>0</v>
      </c>
      <c r="AM115" s="35"/>
      <c r="AN115" s="35"/>
      <c r="AO115" s="35"/>
      <c r="AP115" s="35" t="s">
        <v>52</v>
      </c>
      <c r="AQ115" s="35">
        <v>6</v>
      </c>
      <c r="AR115" s="35">
        <v>0</v>
      </c>
      <c r="AS115" s="1">
        <f t="shared" si="4"/>
        <v>5326</v>
      </c>
    </row>
    <row r="116" spans="1:45" x14ac:dyDescent="0.3">
      <c r="A116" s="6" t="str">
        <f t="shared" si="3"/>
        <v>000199</v>
      </c>
      <c r="B116" s="35" t="s">
        <v>501</v>
      </c>
      <c r="C116" s="35" t="s">
        <v>502</v>
      </c>
      <c r="D116" s="35" t="s">
        <v>501</v>
      </c>
      <c r="E116" s="35" t="s">
        <v>502</v>
      </c>
      <c r="F116" s="35" t="s">
        <v>460</v>
      </c>
      <c r="G116" s="35" t="s">
        <v>396</v>
      </c>
      <c r="H116" s="35" t="s">
        <v>43</v>
      </c>
      <c r="I116" s="35" t="s">
        <v>44</v>
      </c>
      <c r="J116" s="35" t="s">
        <v>2083</v>
      </c>
      <c r="K116" s="35" t="s">
        <v>2084</v>
      </c>
      <c r="L116" s="35" t="s">
        <v>47</v>
      </c>
      <c r="M116" s="35" t="s">
        <v>48</v>
      </c>
      <c r="N116" s="35" t="s">
        <v>43</v>
      </c>
      <c r="O116" s="35" t="s">
        <v>594</v>
      </c>
      <c r="P116" s="35" t="s">
        <v>51</v>
      </c>
      <c r="Q116" s="35"/>
      <c r="R116" s="35"/>
      <c r="S116" s="38">
        <v>64000</v>
      </c>
      <c r="T116" s="38">
        <v>0</v>
      </c>
      <c r="U116" s="38">
        <v>0</v>
      </c>
      <c r="V116" s="38">
        <v>13824.68</v>
      </c>
      <c r="W116" s="38">
        <v>0</v>
      </c>
      <c r="X116" s="38">
        <v>0</v>
      </c>
      <c r="Y116" s="38">
        <v>64000</v>
      </c>
      <c r="Z116" s="38">
        <v>0</v>
      </c>
      <c r="AA116" s="38">
        <v>0</v>
      </c>
      <c r="AB116" s="38">
        <v>64000</v>
      </c>
      <c r="AC116" s="38">
        <v>100</v>
      </c>
      <c r="AD116" s="38">
        <v>0</v>
      </c>
      <c r="AE116" s="38">
        <v>4000</v>
      </c>
      <c r="AF116" s="38">
        <v>0</v>
      </c>
      <c r="AG116" s="123">
        <v>45960</v>
      </c>
      <c r="AH116" s="123">
        <v>46072</v>
      </c>
      <c r="AI116" s="120">
        <v>0</v>
      </c>
      <c r="AJ116" s="120">
        <v>0</v>
      </c>
      <c r="AK116" s="120">
        <v>0</v>
      </c>
      <c r="AL116" s="120">
        <v>0</v>
      </c>
      <c r="AM116" s="35"/>
      <c r="AN116" s="35"/>
      <c r="AO116" s="35"/>
      <c r="AP116" s="35" t="s">
        <v>52</v>
      </c>
      <c r="AQ116" s="35">
        <v>6</v>
      </c>
      <c r="AR116" s="35">
        <v>0</v>
      </c>
      <c r="AS116" s="1">
        <f t="shared" si="4"/>
        <v>0</v>
      </c>
    </row>
    <row r="117" spans="1:45" x14ac:dyDescent="0.3">
      <c r="A117" s="6" t="str">
        <f t="shared" si="3"/>
        <v>000209</v>
      </c>
      <c r="B117" s="35" t="s">
        <v>1210</v>
      </c>
      <c r="C117" s="35" t="s">
        <v>2141</v>
      </c>
      <c r="D117" s="35" t="s">
        <v>1210</v>
      </c>
      <c r="E117" s="35" t="s">
        <v>2141</v>
      </c>
      <c r="F117" s="35" t="s">
        <v>460</v>
      </c>
      <c r="G117" s="35" t="s">
        <v>396</v>
      </c>
      <c r="H117" s="35" t="s">
        <v>43</v>
      </c>
      <c r="I117" s="35" t="s">
        <v>44</v>
      </c>
      <c r="J117" s="35" t="s">
        <v>2142</v>
      </c>
      <c r="K117" s="35" t="s">
        <v>2143</v>
      </c>
      <c r="L117" s="35" t="s">
        <v>47</v>
      </c>
      <c r="M117" s="35" t="s">
        <v>48</v>
      </c>
      <c r="N117" s="35" t="s">
        <v>43</v>
      </c>
      <c r="O117" s="35" t="s">
        <v>594</v>
      </c>
      <c r="P117" s="35" t="s">
        <v>51</v>
      </c>
      <c r="Q117" s="35"/>
      <c r="R117" s="35"/>
      <c r="S117" s="38">
        <v>110000</v>
      </c>
      <c r="T117" s="38">
        <v>0</v>
      </c>
      <c r="U117" s="38">
        <v>0</v>
      </c>
      <c r="V117" s="38">
        <v>23761.170000000002</v>
      </c>
      <c r="W117" s="38">
        <v>0</v>
      </c>
      <c r="X117" s="38">
        <v>0</v>
      </c>
      <c r="Y117" s="38">
        <v>110000</v>
      </c>
      <c r="Z117" s="38">
        <v>0</v>
      </c>
      <c r="AA117" s="38">
        <v>0</v>
      </c>
      <c r="AB117" s="38">
        <v>110000</v>
      </c>
      <c r="AC117" s="38">
        <v>100</v>
      </c>
      <c r="AD117" s="38">
        <v>0</v>
      </c>
      <c r="AE117" s="38">
        <v>6875</v>
      </c>
      <c r="AF117" s="38">
        <v>0</v>
      </c>
      <c r="AG117" s="123">
        <v>45961</v>
      </c>
      <c r="AH117" s="123">
        <v>46073</v>
      </c>
      <c r="AI117" s="120">
        <v>0</v>
      </c>
      <c r="AJ117" s="120">
        <v>0</v>
      </c>
      <c r="AK117" s="120">
        <v>0</v>
      </c>
      <c r="AL117" s="120">
        <v>0</v>
      </c>
      <c r="AM117" s="35"/>
      <c r="AN117" s="35"/>
      <c r="AO117" s="35"/>
      <c r="AP117" s="35" t="s">
        <v>52</v>
      </c>
      <c r="AQ117" s="35">
        <v>5</v>
      </c>
      <c r="AR117" s="35">
        <v>0</v>
      </c>
      <c r="AS117" s="1">
        <f t="shared" si="4"/>
        <v>0</v>
      </c>
    </row>
    <row r="118" spans="1:45" x14ac:dyDescent="0.3">
      <c r="A118" s="6" t="str">
        <f t="shared" si="3"/>
        <v>000001</v>
      </c>
      <c r="B118" s="35" t="s">
        <v>39</v>
      </c>
      <c r="C118" s="35" t="s">
        <v>40</v>
      </c>
      <c r="D118" s="35" t="s">
        <v>39</v>
      </c>
      <c r="E118" s="35" t="s">
        <v>40</v>
      </c>
      <c r="F118" s="35" t="s">
        <v>467</v>
      </c>
      <c r="G118" s="35" t="s">
        <v>424</v>
      </c>
      <c r="H118" s="35" t="s">
        <v>43</v>
      </c>
      <c r="I118" s="35" t="s">
        <v>44</v>
      </c>
      <c r="J118" s="35" t="s">
        <v>45</v>
      </c>
      <c r="K118" s="35" t="s">
        <v>46</v>
      </c>
      <c r="L118" s="35" t="s">
        <v>47</v>
      </c>
      <c r="M118" s="35" t="s">
        <v>48</v>
      </c>
      <c r="N118" s="35" t="s">
        <v>49</v>
      </c>
      <c r="O118" s="35" t="s">
        <v>50</v>
      </c>
      <c r="P118" s="35" t="s">
        <v>51</v>
      </c>
      <c r="Q118" s="35"/>
      <c r="R118" s="35"/>
      <c r="S118" s="38">
        <v>136000</v>
      </c>
      <c r="T118" s="38">
        <v>102000</v>
      </c>
      <c r="U118" s="38">
        <v>22033.08</v>
      </c>
      <c r="V118" s="38">
        <v>29377.45</v>
      </c>
      <c r="W118" s="38">
        <v>101999.99</v>
      </c>
      <c r="X118" s="38">
        <v>22033.09</v>
      </c>
      <c r="Y118" s="38">
        <v>34000.01</v>
      </c>
      <c r="Z118" s="38">
        <v>0</v>
      </c>
      <c r="AA118" s="38">
        <v>0</v>
      </c>
      <c r="AB118" s="38">
        <v>34000.01</v>
      </c>
      <c r="AC118" s="38">
        <v>100</v>
      </c>
      <c r="AD118" s="38">
        <v>7344.3600000000006</v>
      </c>
      <c r="AE118" s="38">
        <v>8500</v>
      </c>
      <c r="AF118" s="38">
        <v>0</v>
      </c>
      <c r="AG118" s="123">
        <v>45875</v>
      </c>
      <c r="AH118" s="123">
        <v>45987</v>
      </c>
      <c r="AI118" s="120">
        <v>0</v>
      </c>
      <c r="AJ118" s="120">
        <v>0</v>
      </c>
      <c r="AK118" s="120">
        <v>0</v>
      </c>
      <c r="AL118" s="120">
        <v>0</v>
      </c>
      <c r="AM118" s="35"/>
      <c r="AN118" s="35"/>
      <c r="AO118" s="35"/>
      <c r="AP118" s="35" t="s">
        <v>52</v>
      </c>
      <c r="AQ118" s="35">
        <v>6</v>
      </c>
      <c r="AR118" s="35">
        <v>0</v>
      </c>
      <c r="AS118" s="1">
        <f t="shared" si="4"/>
        <v>124033.08</v>
      </c>
    </row>
    <row r="119" spans="1:45" x14ac:dyDescent="0.3">
      <c r="A119" s="6" t="str">
        <f t="shared" si="3"/>
        <v>000002</v>
      </c>
      <c r="B119" s="35" t="s">
        <v>39</v>
      </c>
      <c r="C119" s="35" t="s">
        <v>40</v>
      </c>
      <c r="D119" s="35" t="s">
        <v>39</v>
      </c>
      <c r="E119" s="35" t="s">
        <v>40</v>
      </c>
      <c r="F119" s="35" t="s">
        <v>467</v>
      </c>
      <c r="G119" s="35" t="s">
        <v>424</v>
      </c>
      <c r="H119" s="35" t="s">
        <v>43</v>
      </c>
      <c r="I119" s="35" t="s">
        <v>44</v>
      </c>
      <c r="J119" s="35" t="s">
        <v>53</v>
      </c>
      <c r="K119" s="35" t="s">
        <v>54</v>
      </c>
      <c r="L119" s="35" t="s">
        <v>47</v>
      </c>
      <c r="M119" s="35" t="s">
        <v>48</v>
      </c>
      <c r="N119" s="35" t="s">
        <v>49</v>
      </c>
      <c r="O119" s="35" t="s">
        <v>50</v>
      </c>
      <c r="P119" s="35" t="s">
        <v>51</v>
      </c>
      <c r="Q119" s="35"/>
      <c r="R119" s="35"/>
      <c r="S119" s="38">
        <v>188000</v>
      </c>
      <c r="T119" s="38">
        <v>141000</v>
      </c>
      <c r="U119" s="38">
        <v>30457.56</v>
      </c>
      <c r="V119" s="38">
        <v>40610.01</v>
      </c>
      <c r="W119" s="38">
        <v>141000</v>
      </c>
      <c r="X119" s="38">
        <v>30457.56</v>
      </c>
      <c r="Y119" s="38">
        <v>47000</v>
      </c>
      <c r="Z119" s="38">
        <v>0</v>
      </c>
      <c r="AA119" s="38">
        <v>0</v>
      </c>
      <c r="AB119" s="38">
        <v>47000</v>
      </c>
      <c r="AC119" s="38">
        <v>100</v>
      </c>
      <c r="AD119" s="38">
        <v>10152.52</v>
      </c>
      <c r="AE119" s="38">
        <v>11750</v>
      </c>
      <c r="AF119" s="38">
        <v>0</v>
      </c>
      <c r="AG119" s="123">
        <v>45875</v>
      </c>
      <c r="AH119" s="123">
        <v>45987</v>
      </c>
      <c r="AI119" s="120">
        <v>0</v>
      </c>
      <c r="AJ119" s="120">
        <v>0</v>
      </c>
      <c r="AK119" s="120">
        <v>0</v>
      </c>
      <c r="AL119" s="120">
        <v>0</v>
      </c>
      <c r="AM119" s="35"/>
      <c r="AN119" s="35"/>
      <c r="AO119" s="35"/>
      <c r="AP119" s="35" t="s">
        <v>52</v>
      </c>
      <c r="AQ119" s="35">
        <v>7</v>
      </c>
      <c r="AR119" s="35">
        <v>0</v>
      </c>
      <c r="AS119" s="1">
        <f t="shared" si="4"/>
        <v>171457.56</v>
      </c>
    </row>
    <row r="120" spans="1:45" x14ac:dyDescent="0.3">
      <c r="A120" s="6" t="str">
        <f t="shared" si="3"/>
        <v>000010</v>
      </c>
      <c r="B120" s="35" t="s">
        <v>39</v>
      </c>
      <c r="C120" s="35" t="s">
        <v>40</v>
      </c>
      <c r="D120" s="35" t="s">
        <v>39</v>
      </c>
      <c r="E120" s="35" t="s">
        <v>40</v>
      </c>
      <c r="F120" s="35" t="s">
        <v>467</v>
      </c>
      <c r="G120" s="35" t="s">
        <v>424</v>
      </c>
      <c r="H120" s="35" t="s">
        <v>43</v>
      </c>
      <c r="I120" s="35" t="s">
        <v>44</v>
      </c>
      <c r="J120" s="35" t="s">
        <v>183</v>
      </c>
      <c r="K120" s="35" t="s">
        <v>162</v>
      </c>
      <c r="L120" s="35" t="s">
        <v>47</v>
      </c>
      <c r="M120" s="35" t="s">
        <v>48</v>
      </c>
      <c r="N120" s="35" t="s">
        <v>49</v>
      </c>
      <c r="O120" s="35" t="s">
        <v>208</v>
      </c>
      <c r="P120" s="35" t="s">
        <v>209</v>
      </c>
      <c r="Q120" s="35"/>
      <c r="R120" s="35"/>
      <c r="S120" s="38">
        <v>98000</v>
      </c>
      <c r="T120" s="38">
        <v>67375</v>
      </c>
      <c r="U120" s="38">
        <v>14553.77</v>
      </c>
      <c r="V120" s="38">
        <v>21169.05</v>
      </c>
      <c r="W120" s="38">
        <v>67374.509999999995</v>
      </c>
      <c r="X120" s="38">
        <v>14553.720000000001</v>
      </c>
      <c r="Y120" s="38">
        <v>30625.49</v>
      </c>
      <c r="Z120" s="38">
        <v>0</v>
      </c>
      <c r="AA120" s="38">
        <v>0</v>
      </c>
      <c r="AB120" s="38">
        <v>30625.49</v>
      </c>
      <c r="AC120" s="38">
        <v>100</v>
      </c>
      <c r="AD120" s="38">
        <v>6615.35</v>
      </c>
      <c r="AE120" s="38">
        <v>6125</v>
      </c>
      <c r="AF120" s="38">
        <v>0</v>
      </c>
      <c r="AG120" s="123">
        <v>45882</v>
      </c>
      <c r="AH120" s="123">
        <v>45994</v>
      </c>
      <c r="AI120" s="120">
        <v>0</v>
      </c>
      <c r="AJ120" s="120">
        <v>0</v>
      </c>
      <c r="AK120" s="120">
        <v>0</v>
      </c>
      <c r="AL120" s="120">
        <v>0</v>
      </c>
      <c r="AM120" s="35"/>
      <c r="AN120" s="35"/>
      <c r="AO120" s="35"/>
      <c r="AP120" s="35" t="s">
        <v>52</v>
      </c>
      <c r="AQ120" s="35">
        <v>7</v>
      </c>
      <c r="AR120" s="35">
        <v>0</v>
      </c>
      <c r="AS120" s="1">
        <f t="shared" si="4"/>
        <v>81928.23</v>
      </c>
    </row>
    <row r="121" spans="1:45" x14ac:dyDescent="0.3">
      <c r="A121" s="6" t="str">
        <f t="shared" si="3"/>
        <v>000020</v>
      </c>
      <c r="B121" s="35" t="s">
        <v>39</v>
      </c>
      <c r="C121" s="35" t="s">
        <v>40</v>
      </c>
      <c r="D121" s="35" t="s">
        <v>39</v>
      </c>
      <c r="E121" s="35" t="s">
        <v>40</v>
      </c>
      <c r="F121" s="35" t="s">
        <v>467</v>
      </c>
      <c r="G121" s="35" t="s">
        <v>424</v>
      </c>
      <c r="H121" s="35" t="s">
        <v>43</v>
      </c>
      <c r="I121" s="35" t="s">
        <v>44</v>
      </c>
      <c r="J121" s="35" t="s">
        <v>425</v>
      </c>
      <c r="K121" s="35" t="s">
        <v>394</v>
      </c>
      <c r="L121" s="35" t="s">
        <v>47</v>
      </c>
      <c r="M121" s="35" t="s">
        <v>48</v>
      </c>
      <c r="N121" s="35" t="s">
        <v>43</v>
      </c>
      <c r="O121" s="35" t="s">
        <v>486</v>
      </c>
      <c r="P121" s="35" t="s">
        <v>486</v>
      </c>
      <c r="Q121" s="35"/>
      <c r="R121" s="35"/>
      <c r="S121" s="38">
        <v>180000</v>
      </c>
      <c r="T121" s="38">
        <v>112500</v>
      </c>
      <c r="U121" s="38">
        <v>24301.200000000001</v>
      </c>
      <c r="V121" s="38">
        <v>38881.919999999998</v>
      </c>
      <c r="W121" s="38">
        <v>112499.99</v>
      </c>
      <c r="X121" s="38">
        <v>24301.21</v>
      </c>
      <c r="Y121" s="38">
        <v>67500.009999999995</v>
      </c>
      <c r="Z121" s="38">
        <v>0</v>
      </c>
      <c r="AA121" s="38">
        <v>0</v>
      </c>
      <c r="AB121" s="38">
        <v>67500.009999999995</v>
      </c>
      <c r="AC121" s="38">
        <v>100</v>
      </c>
      <c r="AD121" s="38">
        <v>14580.720000000001</v>
      </c>
      <c r="AE121" s="38">
        <v>11250</v>
      </c>
      <c r="AF121" s="38">
        <v>0</v>
      </c>
      <c r="AG121" s="123">
        <v>45889</v>
      </c>
      <c r="AH121" s="123">
        <v>46001</v>
      </c>
      <c r="AI121" s="120">
        <v>0</v>
      </c>
      <c r="AJ121" s="120">
        <v>0</v>
      </c>
      <c r="AK121" s="120">
        <v>0</v>
      </c>
      <c r="AL121" s="120">
        <v>0</v>
      </c>
      <c r="AM121" s="35"/>
      <c r="AN121" s="35"/>
      <c r="AO121" s="35"/>
      <c r="AP121" s="35" t="s">
        <v>52</v>
      </c>
      <c r="AQ121" s="35">
        <v>6</v>
      </c>
      <c r="AR121" s="35">
        <v>0</v>
      </c>
      <c r="AS121" s="1">
        <f t="shared" si="4"/>
        <v>136801.20000000001</v>
      </c>
    </row>
    <row r="122" spans="1:45" x14ac:dyDescent="0.3">
      <c r="A122" s="6" t="str">
        <f t="shared" si="3"/>
        <v>000030</v>
      </c>
      <c r="B122" s="35" t="s">
        <v>39</v>
      </c>
      <c r="C122" s="35" t="s">
        <v>40</v>
      </c>
      <c r="D122" s="35" t="s">
        <v>39</v>
      </c>
      <c r="E122" s="35" t="s">
        <v>40</v>
      </c>
      <c r="F122" s="35" t="s">
        <v>467</v>
      </c>
      <c r="G122" s="35" t="s">
        <v>424</v>
      </c>
      <c r="H122" s="35" t="s">
        <v>43</v>
      </c>
      <c r="I122" s="35" t="s">
        <v>44</v>
      </c>
      <c r="J122" s="35" t="s">
        <v>498</v>
      </c>
      <c r="K122" s="35" t="s">
        <v>440</v>
      </c>
      <c r="L122" s="35" t="s">
        <v>47</v>
      </c>
      <c r="M122" s="35" t="s">
        <v>48</v>
      </c>
      <c r="N122" s="35" t="s">
        <v>43</v>
      </c>
      <c r="O122" s="35" t="s">
        <v>562</v>
      </c>
      <c r="P122" s="35" t="s">
        <v>563</v>
      </c>
      <c r="Q122" s="35"/>
      <c r="R122" s="35"/>
      <c r="S122" s="38">
        <v>134000</v>
      </c>
      <c r="T122" s="38">
        <v>75375</v>
      </c>
      <c r="U122" s="38">
        <v>16281.81</v>
      </c>
      <c r="V122" s="38">
        <v>28945.43</v>
      </c>
      <c r="W122" s="38">
        <v>75374.97</v>
      </c>
      <c r="X122" s="38">
        <v>16281.800000000001</v>
      </c>
      <c r="Y122" s="38">
        <v>58625.03</v>
      </c>
      <c r="Z122" s="38">
        <v>0</v>
      </c>
      <c r="AA122" s="38">
        <v>0</v>
      </c>
      <c r="AB122" s="38">
        <v>58625.03</v>
      </c>
      <c r="AC122" s="38">
        <v>100</v>
      </c>
      <c r="AD122" s="38">
        <v>12663.630000000001</v>
      </c>
      <c r="AE122" s="38">
        <v>8375</v>
      </c>
      <c r="AF122" s="38">
        <v>0</v>
      </c>
      <c r="AG122" s="123">
        <v>45894</v>
      </c>
      <c r="AH122" s="123">
        <v>46006</v>
      </c>
      <c r="AI122" s="120">
        <v>0</v>
      </c>
      <c r="AJ122" s="120">
        <v>0</v>
      </c>
      <c r="AK122" s="120">
        <v>0</v>
      </c>
      <c r="AL122" s="120">
        <v>0</v>
      </c>
      <c r="AM122" s="35"/>
      <c r="AN122" s="35"/>
      <c r="AO122" s="35"/>
      <c r="AP122" s="35" t="s">
        <v>52</v>
      </c>
      <c r="AQ122" s="35">
        <v>7</v>
      </c>
      <c r="AR122" s="35">
        <v>0</v>
      </c>
      <c r="AS122" s="1">
        <f t="shared" si="4"/>
        <v>91656.77</v>
      </c>
    </row>
    <row r="123" spans="1:45" x14ac:dyDescent="0.3">
      <c r="A123" s="6" t="str">
        <f t="shared" si="3"/>
        <v>000052</v>
      </c>
      <c r="B123" s="35" t="s">
        <v>39</v>
      </c>
      <c r="C123" s="35" t="s">
        <v>40</v>
      </c>
      <c r="D123" s="35" t="s">
        <v>39</v>
      </c>
      <c r="E123" s="35" t="s">
        <v>40</v>
      </c>
      <c r="F123" s="35" t="s">
        <v>467</v>
      </c>
      <c r="G123" s="35" t="s">
        <v>424</v>
      </c>
      <c r="H123" s="35" t="s">
        <v>43</v>
      </c>
      <c r="I123" s="35" t="s">
        <v>44</v>
      </c>
      <c r="J123" s="35" t="s">
        <v>670</v>
      </c>
      <c r="K123" s="35" t="s">
        <v>671</v>
      </c>
      <c r="L123" s="35" t="s">
        <v>47</v>
      </c>
      <c r="M123" s="35" t="s">
        <v>48</v>
      </c>
      <c r="N123" s="35" t="s">
        <v>43</v>
      </c>
      <c r="O123" s="35" t="s">
        <v>594</v>
      </c>
      <c r="P123" s="35" t="s">
        <v>51</v>
      </c>
      <c r="Q123" s="35"/>
      <c r="R123" s="35"/>
      <c r="S123" s="38">
        <v>79000</v>
      </c>
      <c r="T123" s="38">
        <v>44437.5</v>
      </c>
      <c r="U123" s="38">
        <v>9598.9500000000007</v>
      </c>
      <c r="V123" s="38">
        <v>17064.84</v>
      </c>
      <c r="W123" s="38">
        <v>44437.48</v>
      </c>
      <c r="X123" s="38">
        <v>9598.9699999999993</v>
      </c>
      <c r="Y123" s="38">
        <v>34562.520000000004</v>
      </c>
      <c r="Z123" s="38">
        <v>0</v>
      </c>
      <c r="AA123" s="38">
        <v>0</v>
      </c>
      <c r="AB123" s="38">
        <v>34562.520000000004</v>
      </c>
      <c r="AC123" s="38">
        <v>100</v>
      </c>
      <c r="AD123" s="38">
        <v>7465.85</v>
      </c>
      <c r="AE123" s="38">
        <v>4937.5</v>
      </c>
      <c r="AF123" s="38">
        <v>0</v>
      </c>
      <c r="AG123" s="123">
        <v>45898</v>
      </c>
      <c r="AH123" s="123">
        <v>46010</v>
      </c>
      <c r="AI123" s="120">
        <v>0</v>
      </c>
      <c r="AJ123" s="120">
        <v>0</v>
      </c>
      <c r="AK123" s="120">
        <v>0</v>
      </c>
      <c r="AL123" s="120">
        <v>0</v>
      </c>
      <c r="AM123" s="35"/>
      <c r="AN123" s="35"/>
      <c r="AO123" s="35"/>
      <c r="AP123" s="35" t="s">
        <v>52</v>
      </c>
      <c r="AQ123" s="35">
        <v>6</v>
      </c>
      <c r="AR123" s="35">
        <v>0</v>
      </c>
      <c r="AS123" s="1">
        <f t="shared" si="4"/>
        <v>54036.450000000004</v>
      </c>
    </row>
    <row r="124" spans="1:45" x14ac:dyDescent="0.3">
      <c r="A124" s="6" t="str">
        <f t="shared" si="3"/>
        <v>000056</v>
      </c>
      <c r="B124" s="35" t="s">
        <v>39</v>
      </c>
      <c r="C124" s="35" t="s">
        <v>40</v>
      </c>
      <c r="D124" s="35" t="s">
        <v>39</v>
      </c>
      <c r="E124" s="35" t="s">
        <v>40</v>
      </c>
      <c r="F124" s="35" t="s">
        <v>467</v>
      </c>
      <c r="G124" s="35" t="s">
        <v>424</v>
      </c>
      <c r="H124" s="35" t="s">
        <v>43</v>
      </c>
      <c r="I124" s="35" t="s">
        <v>44</v>
      </c>
      <c r="J124" s="35" t="s">
        <v>806</v>
      </c>
      <c r="K124" s="35" t="s">
        <v>807</v>
      </c>
      <c r="L124" s="35" t="s">
        <v>47</v>
      </c>
      <c r="M124" s="35" t="s">
        <v>48</v>
      </c>
      <c r="N124" s="35" t="s">
        <v>43</v>
      </c>
      <c r="O124" s="35" t="s">
        <v>594</v>
      </c>
      <c r="P124" s="35" t="s">
        <v>51</v>
      </c>
      <c r="Q124" s="35"/>
      <c r="R124" s="35"/>
      <c r="S124" s="38">
        <v>68000</v>
      </c>
      <c r="T124" s="38">
        <v>34000</v>
      </c>
      <c r="U124" s="38">
        <v>7344.4000000000005</v>
      </c>
      <c r="V124" s="38">
        <v>14688.73</v>
      </c>
      <c r="W124" s="38">
        <v>34000</v>
      </c>
      <c r="X124" s="38">
        <v>7344.4000000000005</v>
      </c>
      <c r="Y124" s="38">
        <v>34000</v>
      </c>
      <c r="Z124" s="38">
        <v>0</v>
      </c>
      <c r="AA124" s="38">
        <v>0</v>
      </c>
      <c r="AB124" s="38">
        <v>34000</v>
      </c>
      <c r="AC124" s="38">
        <v>100</v>
      </c>
      <c r="AD124" s="38">
        <v>7344.4000000000005</v>
      </c>
      <c r="AE124" s="38">
        <v>4250</v>
      </c>
      <c r="AF124" s="38">
        <v>0</v>
      </c>
      <c r="AG124" s="123">
        <v>45902</v>
      </c>
      <c r="AH124" s="123">
        <v>46014</v>
      </c>
      <c r="AI124" s="120">
        <v>0</v>
      </c>
      <c r="AJ124" s="120">
        <v>0</v>
      </c>
      <c r="AK124" s="120">
        <v>0</v>
      </c>
      <c r="AL124" s="120">
        <v>0</v>
      </c>
      <c r="AM124" s="35"/>
      <c r="AN124" s="35"/>
      <c r="AO124" s="35"/>
      <c r="AP124" s="35" t="s">
        <v>52</v>
      </c>
      <c r="AQ124" s="35">
        <v>6</v>
      </c>
      <c r="AR124" s="35">
        <v>0</v>
      </c>
      <c r="AS124" s="1">
        <f t="shared" si="4"/>
        <v>41344.400000000001</v>
      </c>
    </row>
    <row r="125" spans="1:45" x14ac:dyDescent="0.3">
      <c r="A125" s="6" t="str">
        <f t="shared" si="3"/>
        <v>000058</v>
      </c>
      <c r="B125" s="35" t="s">
        <v>39</v>
      </c>
      <c r="C125" s="35" t="s">
        <v>40</v>
      </c>
      <c r="D125" s="35" t="s">
        <v>39</v>
      </c>
      <c r="E125" s="35" t="s">
        <v>40</v>
      </c>
      <c r="F125" s="35" t="s">
        <v>467</v>
      </c>
      <c r="G125" s="35" t="s">
        <v>424</v>
      </c>
      <c r="H125" s="35" t="s">
        <v>43</v>
      </c>
      <c r="I125" s="35" t="s">
        <v>44</v>
      </c>
      <c r="J125" s="35" t="s">
        <v>817</v>
      </c>
      <c r="K125" s="35" t="s">
        <v>803</v>
      </c>
      <c r="L125" s="35" t="s">
        <v>47</v>
      </c>
      <c r="M125" s="35" t="s">
        <v>48</v>
      </c>
      <c r="N125" s="35" t="s">
        <v>43</v>
      </c>
      <c r="O125" s="35" t="s">
        <v>594</v>
      </c>
      <c r="P125" s="35" t="s">
        <v>51</v>
      </c>
      <c r="Q125" s="35"/>
      <c r="R125" s="35"/>
      <c r="S125" s="38">
        <v>110000</v>
      </c>
      <c r="T125" s="38">
        <v>55000</v>
      </c>
      <c r="U125" s="38">
        <v>11880.56</v>
      </c>
      <c r="V125" s="38">
        <v>23761.170000000002</v>
      </c>
      <c r="W125" s="38">
        <v>54999.98</v>
      </c>
      <c r="X125" s="38">
        <v>11880.58</v>
      </c>
      <c r="Y125" s="38">
        <v>55000.020000000004</v>
      </c>
      <c r="Z125" s="38">
        <v>0</v>
      </c>
      <c r="AA125" s="38">
        <v>0</v>
      </c>
      <c r="AB125" s="38">
        <v>55000.020000000004</v>
      </c>
      <c r="AC125" s="38">
        <v>100</v>
      </c>
      <c r="AD125" s="38">
        <v>11880.56</v>
      </c>
      <c r="AE125" s="38">
        <v>6875</v>
      </c>
      <c r="AF125" s="38">
        <v>0</v>
      </c>
      <c r="AG125" s="123">
        <v>45904</v>
      </c>
      <c r="AH125" s="123">
        <v>46016</v>
      </c>
      <c r="AI125" s="120">
        <v>0</v>
      </c>
      <c r="AJ125" s="120">
        <v>0</v>
      </c>
      <c r="AK125" s="120">
        <v>0</v>
      </c>
      <c r="AL125" s="120">
        <v>0</v>
      </c>
      <c r="AM125" s="35"/>
      <c r="AN125" s="35"/>
      <c r="AO125" s="35"/>
      <c r="AP125" s="35" t="s">
        <v>52</v>
      </c>
      <c r="AQ125" s="35">
        <v>7</v>
      </c>
      <c r="AR125" s="35">
        <v>0</v>
      </c>
      <c r="AS125" s="1">
        <f t="shared" si="4"/>
        <v>66880.56</v>
      </c>
    </row>
    <row r="126" spans="1:45" x14ac:dyDescent="0.3">
      <c r="A126" s="6" t="str">
        <f t="shared" si="3"/>
        <v>000069</v>
      </c>
      <c r="B126" s="35" t="s">
        <v>39</v>
      </c>
      <c r="C126" s="35" t="s">
        <v>40</v>
      </c>
      <c r="D126" s="35" t="s">
        <v>39</v>
      </c>
      <c r="E126" s="35" t="s">
        <v>40</v>
      </c>
      <c r="F126" s="35" t="s">
        <v>467</v>
      </c>
      <c r="G126" s="35" t="s">
        <v>424</v>
      </c>
      <c r="H126" s="35" t="s">
        <v>43</v>
      </c>
      <c r="I126" s="35" t="s">
        <v>44</v>
      </c>
      <c r="J126" s="35" t="s">
        <v>188</v>
      </c>
      <c r="K126" s="35" t="s">
        <v>937</v>
      </c>
      <c r="L126" s="35" t="s">
        <v>47</v>
      </c>
      <c r="M126" s="35" t="s">
        <v>48</v>
      </c>
      <c r="N126" s="35" t="s">
        <v>43</v>
      </c>
      <c r="O126" s="35" t="s">
        <v>594</v>
      </c>
      <c r="P126" s="35" t="s">
        <v>51</v>
      </c>
      <c r="Q126" s="35"/>
      <c r="R126" s="35"/>
      <c r="S126" s="38">
        <v>108000</v>
      </c>
      <c r="T126" s="38">
        <v>47250</v>
      </c>
      <c r="U126" s="38">
        <v>10206.49</v>
      </c>
      <c r="V126" s="38">
        <v>23329.15</v>
      </c>
      <c r="W126" s="38">
        <v>47249.99</v>
      </c>
      <c r="X126" s="38">
        <v>10206.5</v>
      </c>
      <c r="Y126" s="38">
        <v>60750.01</v>
      </c>
      <c r="Z126" s="38">
        <v>0</v>
      </c>
      <c r="AA126" s="38">
        <v>0</v>
      </c>
      <c r="AB126" s="38">
        <v>60750.01</v>
      </c>
      <c r="AC126" s="38">
        <v>100</v>
      </c>
      <c r="AD126" s="38">
        <v>13122.630000000001</v>
      </c>
      <c r="AE126" s="38">
        <v>6750</v>
      </c>
      <c r="AF126" s="38">
        <v>0</v>
      </c>
      <c r="AG126" s="123">
        <v>45912</v>
      </c>
      <c r="AH126" s="123">
        <v>46024</v>
      </c>
      <c r="AI126" s="120">
        <v>0</v>
      </c>
      <c r="AJ126" s="120">
        <v>0</v>
      </c>
      <c r="AK126" s="120">
        <v>0</v>
      </c>
      <c r="AL126" s="120">
        <v>0</v>
      </c>
      <c r="AM126" s="35"/>
      <c r="AN126" s="35"/>
      <c r="AO126" s="35"/>
      <c r="AP126" s="35" t="s">
        <v>52</v>
      </c>
      <c r="AQ126" s="35">
        <v>8</v>
      </c>
      <c r="AR126" s="35">
        <v>0</v>
      </c>
      <c r="AS126" s="1">
        <f t="shared" si="4"/>
        <v>57456.49</v>
      </c>
    </row>
    <row r="127" spans="1:45" x14ac:dyDescent="0.3">
      <c r="A127" s="6" t="str">
        <f t="shared" si="3"/>
        <v>000079</v>
      </c>
      <c r="B127" s="35" t="s">
        <v>39</v>
      </c>
      <c r="C127" s="35" t="s">
        <v>40</v>
      </c>
      <c r="D127" s="35" t="s">
        <v>39</v>
      </c>
      <c r="E127" s="35" t="s">
        <v>40</v>
      </c>
      <c r="F127" s="35" t="s">
        <v>467</v>
      </c>
      <c r="G127" s="35" t="s">
        <v>424</v>
      </c>
      <c r="H127" s="35" t="s">
        <v>43</v>
      </c>
      <c r="I127" s="35" t="s">
        <v>44</v>
      </c>
      <c r="J127" s="35" t="s">
        <v>1048</v>
      </c>
      <c r="K127" s="35" t="s">
        <v>943</v>
      </c>
      <c r="L127" s="35" t="s">
        <v>47</v>
      </c>
      <c r="M127" s="35" t="s">
        <v>48</v>
      </c>
      <c r="N127" s="35" t="s">
        <v>43</v>
      </c>
      <c r="O127" s="35" t="s">
        <v>594</v>
      </c>
      <c r="P127" s="35" t="s">
        <v>51</v>
      </c>
      <c r="Q127" s="35"/>
      <c r="R127" s="35"/>
      <c r="S127" s="38">
        <v>91000</v>
      </c>
      <c r="T127" s="38">
        <v>39812.5</v>
      </c>
      <c r="U127" s="38">
        <v>8599.92</v>
      </c>
      <c r="V127" s="38">
        <v>19656.97</v>
      </c>
      <c r="W127" s="38">
        <v>39812.5</v>
      </c>
      <c r="X127" s="38">
        <v>8599.92</v>
      </c>
      <c r="Y127" s="38">
        <v>51187.5</v>
      </c>
      <c r="Z127" s="38">
        <v>0</v>
      </c>
      <c r="AA127" s="38">
        <v>0</v>
      </c>
      <c r="AB127" s="38">
        <v>51187.5</v>
      </c>
      <c r="AC127" s="38">
        <v>100</v>
      </c>
      <c r="AD127" s="38">
        <v>11057.04</v>
      </c>
      <c r="AE127" s="38">
        <v>5687.5</v>
      </c>
      <c r="AF127" s="38">
        <v>0</v>
      </c>
      <c r="AG127" s="123">
        <v>45912</v>
      </c>
      <c r="AH127" s="123">
        <v>46024</v>
      </c>
      <c r="AI127" s="120">
        <v>0</v>
      </c>
      <c r="AJ127" s="120">
        <v>0</v>
      </c>
      <c r="AK127" s="120">
        <v>0</v>
      </c>
      <c r="AL127" s="120">
        <v>0</v>
      </c>
      <c r="AM127" s="35"/>
      <c r="AN127" s="35"/>
      <c r="AO127" s="35"/>
      <c r="AP127" s="35" t="s">
        <v>52</v>
      </c>
      <c r="AQ127" s="35">
        <v>5</v>
      </c>
      <c r="AR127" s="35">
        <v>0</v>
      </c>
      <c r="AS127" s="1">
        <f t="shared" si="4"/>
        <v>48412.42</v>
      </c>
    </row>
    <row r="128" spans="1:45" x14ac:dyDescent="0.3">
      <c r="A128" s="6" t="str">
        <f t="shared" si="3"/>
        <v>000087</v>
      </c>
      <c r="B128" s="35" t="s">
        <v>39</v>
      </c>
      <c r="C128" s="35" t="s">
        <v>40</v>
      </c>
      <c r="D128" s="35" t="s">
        <v>39</v>
      </c>
      <c r="E128" s="35" t="s">
        <v>40</v>
      </c>
      <c r="F128" s="35" t="s">
        <v>467</v>
      </c>
      <c r="G128" s="35" t="s">
        <v>424</v>
      </c>
      <c r="H128" s="35" t="s">
        <v>43</v>
      </c>
      <c r="I128" s="35" t="s">
        <v>44</v>
      </c>
      <c r="J128" s="35" t="s">
        <v>1083</v>
      </c>
      <c r="K128" s="35" t="s">
        <v>984</v>
      </c>
      <c r="L128" s="35" t="s">
        <v>47</v>
      </c>
      <c r="M128" s="35" t="s">
        <v>48</v>
      </c>
      <c r="N128" s="35" t="s">
        <v>43</v>
      </c>
      <c r="O128" s="35" t="s">
        <v>594</v>
      </c>
      <c r="P128" s="35" t="s">
        <v>51</v>
      </c>
      <c r="Q128" s="35"/>
      <c r="R128" s="35"/>
      <c r="S128" s="38">
        <v>155000</v>
      </c>
      <c r="T128" s="38">
        <v>58125</v>
      </c>
      <c r="U128" s="38">
        <v>12555.6</v>
      </c>
      <c r="V128" s="38">
        <v>33481.65</v>
      </c>
      <c r="W128" s="38">
        <v>58124.98</v>
      </c>
      <c r="X128" s="38">
        <v>12555.62</v>
      </c>
      <c r="Y128" s="38">
        <v>96875.02</v>
      </c>
      <c r="Z128" s="38">
        <v>0</v>
      </c>
      <c r="AA128" s="38">
        <v>0</v>
      </c>
      <c r="AB128" s="38">
        <v>96875.02</v>
      </c>
      <c r="AC128" s="38">
        <v>100</v>
      </c>
      <c r="AD128" s="38">
        <v>20926</v>
      </c>
      <c r="AE128" s="38">
        <v>9687.5</v>
      </c>
      <c r="AF128" s="38">
        <v>0</v>
      </c>
      <c r="AG128" s="123">
        <v>45915</v>
      </c>
      <c r="AH128" s="123">
        <v>46027</v>
      </c>
      <c r="AI128" s="120">
        <v>0</v>
      </c>
      <c r="AJ128" s="120">
        <v>0</v>
      </c>
      <c r="AK128" s="120">
        <v>0</v>
      </c>
      <c r="AL128" s="120">
        <v>0</v>
      </c>
      <c r="AM128" s="35"/>
      <c r="AN128" s="35"/>
      <c r="AO128" s="35"/>
      <c r="AP128" s="35" t="s">
        <v>52</v>
      </c>
      <c r="AQ128" s="35">
        <v>6</v>
      </c>
      <c r="AR128" s="35">
        <v>0</v>
      </c>
      <c r="AS128" s="1">
        <f t="shared" si="4"/>
        <v>70680.600000000006</v>
      </c>
    </row>
    <row r="129" spans="1:45" x14ac:dyDescent="0.3">
      <c r="A129" s="6" t="str">
        <f t="shared" si="3"/>
        <v>000106</v>
      </c>
      <c r="B129" s="35" t="s">
        <v>39</v>
      </c>
      <c r="C129" s="35" t="s">
        <v>40</v>
      </c>
      <c r="D129" s="35" t="s">
        <v>39</v>
      </c>
      <c r="E129" s="35" t="s">
        <v>40</v>
      </c>
      <c r="F129" s="35" t="s">
        <v>467</v>
      </c>
      <c r="G129" s="35" t="s">
        <v>424</v>
      </c>
      <c r="H129" s="35" t="s">
        <v>43</v>
      </c>
      <c r="I129" s="35" t="s">
        <v>44</v>
      </c>
      <c r="J129" s="35" t="s">
        <v>1272</v>
      </c>
      <c r="K129" s="35" t="s">
        <v>1198</v>
      </c>
      <c r="L129" s="35" t="s">
        <v>47</v>
      </c>
      <c r="M129" s="35" t="s">
        <v>48</v>
      </c>
      <c r="N129" s="35" t="s">
        <v>43</v>
      </c>
      <c r="O129" s="35" t="s">
        <v>594</v>
      </c>
      <c r="P129" s="35" t="s">
        <v>51</v>
      </c>
      <c r="Q129" s="35"/>
      <c r="R129" s="35"/>
      <c r="S129" s="38">
        <v>80000</v>
      </c>
      <c r="T129" s="38">
        <v>25000</v>
      </c>
      <c r="U129" s="38">
        <v>5400.25</v>
      </c>
      <c r="V129" s="38">
        <v>17280.849999999999</v>
      </c>
      <c r="W129" s="38">
        <v>25000</v>
      </c>
      <c r="X129" s="38">
        <v>5400.25</v>
      </c>
      <c r="Y129" s="38">
        <v>55000</v>
      </c>
      <c r="Z129" s="38">
        <v>0</v>
      </c>
      <c r="AA129" s="38">
        <v>0</v>
      </c>
      <c r="AB129" s="38">
        <v>55000</v>
      </c>
      <c r="AC129" s="38">
        <v>100</v>
      </c>
      <c r="AD129" s="38">
        <v>11880.550000000001</v>
      </c>
      <c r="AE129" s="38">
        <v>5000</v>
      </c>
      <c r="AF129" s="38">
        <v>0</v>
      </c>
      <c r="AG129" s="123">
        <v>45925</v>
      </c>
      <c r="AH129" s="123">
        <v>46037</v>
      </c>
      <c r="AI129" s="120">
        <v>0</v>
      </c>
      <c r="AJ129" s="120">
        <v>0</v>
      </c>
      <c r="AK129" s="120">
        <v>0</v>
      </c>
      <c r="AL129" s="120">
        <v>0</v>
      </c>
      <c r="AM129" s="35"/>
      <c r="AN129" s="35"/>
      <c r="AO129" s="35"/>
      <c r="AP129" s="35" t="s">
        <v>52</v>
      </c>
      <c r="AQ129" s="35">
        <v>7</v>
      </c>
      <c r="AR129" s="35">
        <v>0</v>
      </c>
      <c r="AS129" s="1">
        <f t="shared" si="4"/>
        <v>30400.25</v>
      </c>
    </row>
    <row r="130" spans="1:45" x14ac:dyDescent="0.3">
      <c r="A130" s="6" t="str">
        <f t="shared" si="3"/>
        <v>000133</v>
      </c>
      <c r="B130" s="35" t="s">
        <v>39</v>
      </c>
      <c r="C130" s="35" t="s">
        <v>40</v>
      </c>
      <c r="D130" s="35" t="s">
        <v>39</v>
      </c>
      <c r="E130" s="35" t="s">
        <v>40</v>
      </c>
      <c r="F130" s="35" t="s">
        <v>467</v>
      </c>
      <c r="G130" s="35" t="s">
        <v>424</v>
      </c>
      <c r="H130" s="35" t="s">
        <v>43</v>
      </c>
      <c r="I130" s="35" t="s">
        <v>44</v>
      </c>
      <c r="J130" s="35" t="s">
        <v>1478</v>
      </c>
      <c r="K130" s="35" t="s">
        <v>1445</v>
      </c>
      <c r="L130" s="35" t="s">
        <v>47</v>
      </c>
      <c r="M130" s="35" t="s">
        <v>48</v>
      </c>
      <c r="N130" s="35" t="s">
        <v>43</v>
      </c>
      <c r="O130" s="35" t="s">
        <v>594</v>
      </c>
      <c r="P130" s="35" t="s">
        <v>51</v>
      </c>
      <c r="Q130" s="35"/>
      <c r="R130" s="35"/>
      <c r="S130" s="38">
        <v>83000</v>
      </c>
      <c r="T130" s="38">
        <v>20750</v>
      </c>
      <c r="U130" s="38">
        <v>4482.24</v>
      </c>
      <c r="V130" s="38">
        <v>17928.89</v>
      </c>
      <c r="W130" s="38">
        <v>20750</v>
      </c>
      <c r="X130" s="38">
        <v>4482.24</v>
      </c>
      <c r="Y130" s="38">
        <v>62250</v>
      </c>
      <c r="Z130" s="38">
        <v>0</v>
      </c>
      <c r="AA130" s="38">
        <v>0</v>
      </c>
      <c r="AB130" s="38">
        <v>62250</v>
      </c>
      <c r="AC130" s="38">
        <v>100</v>
      </c>
      <c r="AD130" s="38">
        <v>13446.720000000001</v>
      </c>
      <c r="AE130" s="38">
        <v>5187.5</v>
      </c>
      <c r="AF130" s="38">
        <v>0</v>
      </c>
      <c r="AG130" s="123">
        <v>45932</v>
      </c>
      <c r="AH130" s="123">
        <v>46044</v>
      </c>
      <c r="AI130" s="120">
        <v>0</v>
      </c>
      <c r="AJ130" s="120">
        <v>0</v>
      </c>
      <c r="AK130" s="120">
        <v>0</v>
      </c>
      <c r="AL130" s="120">
        <v>0</v>
      </c>
      <c r="AM130" s="35"/>
      <c r="AN130" s="35"/>
      <c r="AO130" s="35"/>
      <c r="AP130" s="35" t="s">
        <v>52</v>
      </c>
      <c r="AQ130" s="35">
        <v>6</v>
      </c>
      <c r="AR130" s="35">
        <v>0</v>
      </c>
      <c r="AS130" s="1">
        <f t="shared" si="4"/>
        <v>25232.239999999998</v>
      </c>
    </row>
    <row r="131" spans="1:45" x14ac:dyDescent="0.3">
      <c r="A131" s="6" t="str">
        <f t="shared" si="3"/>
        <v>000150</v>
      </c>
      <c r="B131" s="35" t="s">
        <v>39</v>
      </c>
      <c r="C131" s="35" t="s">
        <v>40</v>
      </c>
      <c r="D131" s="35" t="s">
        <v>39</v>
      </c>
      <c r="E131" s="35" t="s">
        <v>40</v>
      </c>
      <c r="F131" s="35" t="s">
        <v>467</v>
      </c>
      <c r="G131" s="35" t="s">
        <v>424</v>
      </c>
      <c r="H131" s="35" t="s">
        <v>43</v>
      </c>
      <c r="I131" s="35" t="s">
        <v>44</v>
      </c>
      <c r="J131" s="35" t="s">
        <v>1666</v>
      </c>
      <c r="K131" s="35" t="s">
        <v>1597</v>
      </c>
      <c r="L131" s="35" t="s">
        <v>47</v>
      </c>
      <c r="M131" s="35" t="s">
        <v>48</v>
      </c>
      <c r="N131" s="35" t="s">
        <v>43</v>
      </c>
      <c r="O131" s="35" t="s">
        <v>594</v>
      </c>
      <c r="P131" s="35" t="s">
        <v>51</v>
      </c>
      <c r="Q131" s="35"/>
      <c r="R131" s="35"/>
      <c r="S131" s="38">
        <v>150000</v>
      </c>
      <c r="T131" s="38">
        <v>18750</v>
      </c>
      <c r="U131" s="38">
        <v>4050.2000000000003</v>
      </c>
      <c r="V131" s="38">
        <v>32401.600000000002</v>
      </c>
      <c r="W131" s="38">
        <v>18750</v>
      </c>
      <c r="X131" s="38">
        <v>4050.2000000000003</v>
      </c>
      <c r="Y131" s="38">
        <v>131250</v>
      </c>
      <c r="Z131" s="38">
        <v>0</v>
      </c>
      <c r="AA131" s="38">
        <v>0</v>
      </c>
      <c r="AB131" s="38">
        <v>131250</v>
      </c>
      <c r="AC131" s="38">
        <v>100</v>
      </c>
      <c r="AD131" s="38">
        <v>28351.4</v>
      </c>
      <c r="AE131" s="38">
        <v>9375</v>
      </c>
      <c r="AF131" s="38">
        <v>0</v>
      </c>
      <c r="AG131" s="123">
        <v>45944</v>
      </c>
      <c r="AH131" s="123">
        <v>46056</v>
      </c>
      <c r="AI131" s="120">
        <v>0</v>
      </c>
      <c r="AJ131" s="120">
        <v>0</v>
      </c>
      <c r="AK131" s="120">
        <v>0</v>
      </c>
      <c r="AL131" s="120">
        <v>0</v>
      </c>
      <c r="AM131" s="35"/>
      <c r="AN131" s="35"/>
      <c r="AO131" s="35"/>
      <c r="AP131" s="35" t="s">
        <v>52</v>
      </c>
      <c r="AQ131" s="35">
        <v>6</v>
      </c>
      <c r="AR131" s="35">
        <v>0</v>
      </c>
      <c r="AS131" s="1">
        <f t="shared" si="4"/>
        <v>22800.2</v>
      </c>
    </row>
    <row r="132" spans="1:45" x14ac:dyDescent="0.3">
      <c r="A132" s="6" t="str">
        <f t="shared" si="3"/>
        <v>000158</v>
      </c>
      <c r="B132" s="35" t="s">
        <v>39</v>
      </c>
      <c r="C132" s="35" t="s">
        <v>40</v>
      </c>
      <c r="D132" s="35" t="s">
        <v>39</v>
      </c>
      <c r="E132" s="35" t="s">
        <v>40</v>
      </c>
      <c r="F132" s="35" t="s">
        <v>467</v>
      </c>
      <c r="G132" s="35" t="s">
        <v>424</v>
      </c>
      <c r="H132" s="35" t="s">
        <v>43</v>
      </c>
      <c r="I132" s="35" t="s">
        <v>44</v>
      </c>
      <c r="J132" s="35" t="s">
        <v>1689</v>
      </c>
      <c r="K132" s="35" t="s">
        <v>572</v>
      </c>
      <c r="L132" s="35" t="s">
        <v>47</v>
      </c>
      <c r="M132" s="35" t="s">
        <v>48</v>
      </c>
      <c r="N132" s="35" t="s">
        <v>43</v>
      </c>
      <c r="O132" s="35" t="s">
        <v>594</v>
      </c>
      <c r="P132" s="35" t="s">
        <v>51</v>
      </c>
      <c r="Q132" s="35"/>
      <c r="R132" s="35"/>
      <c r="S132" s="38">
        <v>65000</v>
      </c>
      <c r="T132" s="38">
        <v>8125</v>
      </c>
      <c r="U132" s="38">
        <v>1755.08</v>
      </c>
      <c r="V132" s="38">
        <v>14040.69</v>
      </c>
      <c r="W132" s="38">
        <v>8125</v>
      </c>
      <c r="X132" s="38">
        <v>1755.08</v>
      </c>
      <c r="Y132" s="38">
        <v>56875</v>
      </c>
      <c r="Z132" s="38">
        <v>0</v>
      </c>
      <c r="AA132" s="38">
        <v>0</v>
      </c>
      <c r="AB132" s="38">
        <v>56875</v>
      </c>
      <c r="AC132" s="38">
        <v>100</v>
      </c>
      <c r="AD132" s="38">
        <v>12285.56</v>
      </c>
      <c r="AE132" s="38">
        <v>4062.5</v>
      </c>
      <c r="AF132" s="38">
        <v>0</v>
      </c>
      <c r="AG132" s="123">
        <v>45945</v>
      </c>
      <c r="AH132" s="123">
        <v>46057</v>
      </c>
      <c r="AI132" s="120">
        <v>0</v>
      </c>
      <c r="AJ132" s="120">
        <v>0</v>
      </c>
      <c r="AK132" s="120">
        <v>0</v>
      </c>
      <c r="AL132" s="120">
        <v>0</v>
      </c>
      <c r="AM132" s="35"/>
      <c r="AN132" s="35"/>
      <c r="AO132" s="35"/>
      <c r="AP132" s="35" t="s">
        <v>52</v>
      </c>
      <c r="AQ132" s="35">
        <v>6</v>
      </c>
      <c r="AR132" s="35">
        <v>0</v>
      </c>
      <c r="AS132" s="1">
        <f t="shared" si="4"/>
        <v>9880.08</v>
      </c>
    </row>
    <row r="133" spans="1:45" x14ac:dyDescent="0.3">
      <c r="A133" s="6" t="str">
        <f t="shared" si="3"/>
        <v>000160</v>
      </c>
      <c r="B133" s="35" t="s">
        <v>39</v>
      </c>
      <c r="C133" s="35" t="s">
        <v>40</v>
      </c>
      <c r="D133" s="35" t="s">
        <v>39</v>
      </c>
      <c r="E133" s="35" t="s">
        <v>40</v>
      </c>
      <c r="F133" s="35" t="s">
        <v>467</v>
      </c>
      <c r="G133" s="35" t="s">
        <v>424</v>
      </c>
      <c r="H133" s="35" t="s">
        <v>43</v>
      </c>
      <c r="I133" s="35" t="s">
        <v>44</v>
      </c>
      <c r="J133" s="35" t="s">
        <v>1695</v>
      </c>
      <c r="K133" s="35" t="s">
        <v>1696</v>
      </c>
      <c r="L133" s="35" t="s">
        <v>47</v>
      </c>
      <c r="M133" s="35" t="s">
        <v>48</v>
      </c>
      <c r="N133" s="35" t="s">
        <v>43</v>
      </c>
      <c r="O133" s="35" t="s">
        <v>594</v>
      </c>
      <c r="P133" s="35" t="s">
        <v>51</v>
      </c>
      <c r="Q133" s="35"/>
      <c r="R133" s="35"/>
      <c r="S133" s="38">
        <v>150000</v>
      </c>
      <c r="T133" s="38">
        <v>18750</v>
      </c>
      <c r="U133" s="38">
        <v>4050.2000000000003</v>
      </c>
      <c r="V133" s="38">
        <v>32401.600000000002</v>
      </c>
      <c r="W133" s="38">
        <v>18750</v>
      </c>
      <c r="X133" s="38">
        <v>4050.2000000000003</v>
      </c>
      <c r="Y133" s="38">
        <v>131250</v>
      </c>
      <c r="Z133" s="38">
        <v>0</v>
      </c>
      <c r="AA133" s="38">
        <v>0</v>
      </c>
      <c r="AB133" s="38">
        <v>131250</v>
      </c>
      <c r="AC133" s="38">
        <v>100</v>
      </c>
      <c r="AD133" s="38">
        <v>28351.4</v>
      </c>
      <c r="AE133" s="38">
        <v>9375</v>
      </c>
      <c r="AF133" s="38">
        <v>0</v>
      </c>
      <c r="AG133" s="123">
        <v>45945</v>
      </c>
      <c r="AH133" s="123">
        <v>46057</v>
      </c>
      <c r="AI133" s="120">
        <v>0</v>
      </c>
      <c r="AJ133" s="120">
        <v>0</v>
      </c>
      <c r="AK133" s="120">
        <v>0</v>
      </c>
      <c r="AL133" s="120">
        <v>0</v>
      </c>
      <c r="AM133" s="35"/>
      <c r="AN133" s="35"/>
      <c r="AO133" s="35"/>
      <c r="AP133" s="35" t="s">
        <v>52</v>
      </c>
      <c r="AQ133" s="35">
        <v>8</v>
      </c>
      <c r="AR133" s="35">
        <v>0</v>
      </c>
      <c r="AS133" s="1">
        <f t="shared" si="4"/>
        <v>22800.2</v>
      </c>
    </row>
    <row r="134" spans="1:45" x14ac:dyDescent="0.3">
      <c r="A134" s="6" t="str">
        <f t="shared" si="3"/>
        <v>000170</v>
      </c>
      <c r="B134" s="35" t="s">
        <v>39</v>
      </c>
      <c r="C134" s="35" t="s">
        <v>40</v>
      </c>
      <c r="D134" s="35" t="s">
        <v>39</v>
      </c>
      <c r="E134" s="35" t="s">
        <v>40</v>
      </c>
      <c r="F134" s="35" t="s">
        <v>467</v>
      </c>
      <c r="G134" s="35" t="s">
        <v>424</v>
      </c>
      <c r="H134" s="35" t="s">
        <v>43</v>
      </c>
      <c r="I134" s="35" t="s">
        <v>44</v>
      </c>
      <c r="J134" s="35" t="s">
        <v>1874</v>
      </c>
      <c r="K134" s="35" t="s">
        <v>1875</v>
      </c>
      <c r="L134" s="35" t="s">
        <v>47</v>
      </c>
      <c r="M134" s="35" t="s">
        <v>48</v>
      </c>
      <c r="N134" s="35" t="s">
        <v>43</v>
      </c>
      <c r="O134" s="35" t="s">
        <v>594</v>
      </c>
      <c r="P134" s="35" t="s">
        <v>51</v>
      </c>
      <c r="Q134" s="35"/>
      <c r="R134" s="35"/>
      <c r="S134" s="38">
        <v>155000</v>
      </c>
      <c r="T134" s="38">
        <v>9687.5</v>
      </c>
      <c r="U134" s="38">
        <v>2092.6</v>
      </c>
      <c r="V134" s="38">
        <v>33481.65</v>
      </c>
      <c r="W134" s="38">
        <v>9687.5</v>
      </c>
      <c r="X134" s="38">
        <v>2099.5</v>
      </c>
      <c r="Y134" s="38">
        <v>145312.5</v>
      </c>
      <c r="Z134" s="38">
        <v>0</v>
      </c>
      <c r="AA134" s="38">
        <v>0</v>
      </c>
      <c r="AB134" s="38">
        <v>145312.5</v>
      </c>
      <c r="AC134" s="38">
        <v>100</v>
      </c>
      <c r="AD134" s="38">
        <v>31389</v>
      </c>
      <c r="AE134" s="38">
        <v>9687.5</v>
      </c>
      <c r="AF134" s="38">
        <v>0</v>
      </c>
      <c r="AG134" s="123">
        <v>45951</v>
      </c>
      <c r="AH134" s="123">
        <v>46063</v>
      </c>
      <c r="AI134" s="120">
        <v>0</v>
      </c>
      <c r="AJ134" s="120">
        <v>0</v>
      </c>
      <c r="AK134" s="120">
        <v>0</v>
      </c>
      <c r="AL134" s="120">
        <v>0</v>
      </c>
      <c r="AM134" s="35"/>
      <c r="AN134" s="35"/>
      <c r="AO134" s="35"/>
      <c r="AP134" s="35" t="s">
        <v>52</v>
      </c>
      <c r="AQ134" s="35">
        <v>7</v>
      </c>
      <c r="AR134" s="35">
        <v>0</v>
      </c>
      <c r="AS134" s="1">
        <f t="shared" si="4"/>
        <v>11787</v>
      </c>
    </row>
    <row r="135" spans="1:45" x14ac:dyDescent="0.3">
      <c r="A135" s="6" t="str">
        <f t="shared" si="3"/>
        <v>000195</v>
      </c>
      <c r="B135" s="35" t="s">
        <v>39</v>
      </c>
      <c r="C135" s="35" t="s">
        <v>40</v>
      </c>
      <c r="D135" s="35" t="s">
        <v>39</v>
      </c>
      <c r="E135" s="35" t="s">
        <v>40</v>
      </c>
      <c r="F135" s="35" t="s">
        <v>467</v>
      </c>
      <c r="G135" s="35" t="s">
        <v>424</v>
      </c>
      <c r="H135" s="35" t="s">
        <v>43</v>
      </c>
      <c r="I135" s="35" t="s">
        <v>44</v>
      </c>
      <c r="J135" s="35" t="s">
        <v>2026</v>
      </c>
      <c r="K135" s="35" t="s">
        <v>186</v>
      </c>
      <c r="L135" s="35" t="s">
        <v>47</v>
      </c>
      <c r="M135" s="35" t="s">
        <v>48</v>
      </c>
      <c r="N135" s="35" t="s">
        <v>43</v>
      </c>
      <c r="O135" s="35" t="s">
        <v>594</v>
      </c>
      <c r="P135" s="35" t="s">
        <v>51</v>
      </c>
      <c r="Q135" s="35"/>
      <c r="R135" s="35"/>
      <c r="S135" s="38">
        <v>100000</v>
      </c>
      <c r="T135" s="38">
        <v>0</v>
      </c>
      <c r="U135" s="38">
        <v>0</v>
      </c>
      <c r="V135" s="38">
        <v>21601.07</v>
      </c>
      <c r="W135" s="38">
        <v>0</v>
      </c>
      <c r="X135" s="38">
        <v>0</v>
      </c>
      <c r="Y135" s="38">
        <v>100000</v>
      </c>
      <c r="Z135" s="38">
        <v>0</v>
      </c>
      <c r="AA135" s="38">
        <v>0</v>
      </c>
      <c r="AB135" s="38">
        <v>100000</v>
      </c>
      <c r="AC135" s="38">
        <v>100</v>
      </c>
      <c r="AD135" s="38">
        <v>0</v>
      </c>
      <c r="AE135" s="38">
        <v>6250</v>
      </c>
      <c r="AF135" s="38">
        <v>0</v>
      </c>
      <c r="AG135" s="123">
        <v>45959</v>
      </c>
      <c r="AH135" s="123">
        <v>46071</v>
      </c>
      <c r="AI135" s="120">
        <v>0</v>
      </c>
      <c r="AJ135" s="120">
        <v>0</v>
      </c>
      <c r="AK135" s="120">
        <v>0</v>
      </c>
      <c r="AL135" s="120">
        <v>0</v>
      </c>
      <c r="AM135" s="35"/>
      <c r="AN135" s="35"/>
      <c r="AO135" s="35"/>
      <c r="AP135" s="35" t="s">
        <v>52</v>
      </c>
      <c r="AQ135" s="35">
        <v>9</v>
      </c>
      <c r="AR135" s="35">
        <v>0</v>
      </c>
      <c r="AS135" s="1">
        <f t="shared" si="4"/>
        <v>0</v>
      </c>
    </row>
    <row r="136" spans="1:45" x14ac:dyDescent="0.3">
      <c r="A136" s="6" t="str">
        <f t="shared" si="3"/>
        <v>000214</v>
      </c>
      <c r="B136" s="35" t="s">
        <v>39</v>
      </c>
      <c r="C136" s="35" t="s">
        <v>40</v>
      </c>
      <c r="D136" s="35" t="s">
        <v>39</v>
      </c>
      <c r="E136" s="35" t="s">
        <v>40</v>
      </c>
      <c r="F136" s="35" t="s">
        <v>467</v>
      </c>
      <c r="G136" s="35" t="s">
        <v>424</v>
      </c>
      <c r="H136" s="35" t="s">
        <v>43</v>
      </c>
      <c r="I136" s="35" t="s">
        <v>44</v>
      </c>
      <c r="J136" s="35" t="s">
        <v>2144</v>
      </c>
      <c r="K136" s="35" t="s">
        <v>2145</v>
      </c>
      <c r="L136" s="35" t="s">
        <v>47</v>
      </c>
      <c r="M136" s="35" t="s">
        <v>48</v>
      </c>
      <c r="N136" s="35" t="s">
        <v>43</v>
      </c>
      <c r="O136" s="35" t="s">
        <v>594</v>
      </c>
      <c r="P136" s="35" t="s">
        <v>51</v>
      </c>
      <c r="Q136" s="35"/>
      <c r="R136" s="35"/>
      <c r="S136" s="38">
        <v>75000</v>
      </c>
      <c r="T136" s="38">
        <v>0</v>
      </c>
      <c r="U136" s="38">
        <v>0</v>
      </c>
      <c r="V136" s="38">
        <v>16200.800000000001</v>
      </c>
      <c r="W136" s="38">
        <v>0</v>
      </c>
      <c r="X136" s="38">
        <v>0</v>
      </c>
      <c r="Y136" s="38">
        <v>75000</v>
      </c>
      <c r="Z136" s="38">
        <v>0</v>
      </c>
      <c r="AA136" s="38">
        <v>0</v>
      </c>
      <c r="AB136" s="38">
        <v>75000</v>
      </c>
      <c r="AC136" s="38">
        <v>100</v>
      </c>
      <c r="AD136" s="38">
        <v>0</v>
      </c>
      <c r="AE136" s="38">
        <v>4687.5</v>
      </c>
      <c r="AF136" s="38">
        <v>0</v>
      </c>
      <c r="AG136" s="123">
        <v>45961</v>
      </c>
      <c r="AH136" s="123">
        <v>46073</v>
      </c>
      <c r="AI136" s="120">
        <v>0</v>
      </c>
      <c r="AJ136" s="120">
        <v>0</v>
      </c>
      <c r="AK136" s="120">
        <v>0</v>
      </c>
      <c r="AL136" s="120">
        <v>0</v>
      </c>
      <c r="AM136" s="35"/>
      <c r="AN136" s="35"/>
      <c r="AO136" s="35"/>
      <c r="AP136" s="35" t="s">
        <v>52</v>
      </c>
      <c r="AQ136" s="35">
        <v>6</v>
      </c>
      <c r="AR136" s="35">
        <v>0</v>
      </c>
      <c r="AS136" s="1">
        <f t="shared" si="4"/>
        <v>0</v>
      </c>
    </row>
    <row r="137" spans="1:45" x14ac:dyDescent="0.3">
      <c r="A137" s="6" t="str">
        <f t="shared" si="3"/>
        <v>000011</v>
      </c>
      <c r="B137" s="35" t="s">
        <v>189</v>
      </c>
      <c r="C137" s="35" t="s">
        <v>191</v>
      </c>
      <c r="D137" s="35" t="s">
        <v>189</v>
      </c>
      <c r="E137" s="35" t="s">
        <v>191</v>
      </c>
      <c r="F137" s="35" t="s">
        <v>467</v>
      </c>
      <c r="G137" s="35" t="s">
        <v>424</v>
      </c>
      <c r="H137" s="35" t="s">
        <v>43</v>
      </c>
      <c r="I137" s="35" t="s">
        <v>44</v>
      </c>
      <c r="J137" s="35" t="s">
        <v>193</v>
      </c>
      <c r="K137" s="35" t="s">
        <v>180</v>
      </c>
      <c r="L137" s="35" t="s">
        <v>47</v>
      </c>
      <c r="M137" s="35" t="s">
        <v>48</v>
      </c>
      <c r="N137" s="35" t="s">
        <v>49</v>
      </c>
      <c r="O137" s="35" t="s">
        <v>208</v>
      </c>
      <c r="P137" s="35" t="s">
        <v>209</v>
      </c>
      <c r="Q137" s="35"/>
      <c r="R137" s="35"/>
      <c r="S137" s="38">
        <v>62000</v>
      </c>
      <c r="T137" s="38">
        <v>42625</v>
      </c>
      <c r="U137" s="38">
        <v>9207.44</v>
      </c>
      <c r="V137" s="38">
        <v>13392.66</v>
      </c>
      <c r="W137" s="38">
        <v>42625</v>
      </c>
      <c r="X137" s="38">
        <v>9215.44</v>
      </c>
      <c r="Y137" s="38">
        <v>19375</v>
      </c>
      <c r="Z137" s="38">
        <v>0</v>
      </c>
      <c r="AA137" s="38">
        <v>0</v>
      </c>
      <c r="AB137" s="38">
        <v>19375</v>
      </c>
      <c r="AC137" s="38">
        <v>100</v>
      </c>
      <c r="AD137" s="38">
        <v>4185.2</v>
      </c>
      <c r="AE137" s="38">
        <v>3875</v>
      </c>
      <c r="AF137" s="38">
        <v>0</v>
      </c>
      <c r="AG137" s="123">
        <v>45883</v>
      </c>
      <c r="AH137" s="123">
        <v>45995</v>
      </c>
      <c r="AI137" s="120">
        <v>0</v>
      </c>
      <c r="AJ137" s="120">
        <v>0</v>
      </c>
      <c r="AK137" s="120">
        <v>0</v>
      </c>
      <c r="AL137" s="120">
        <v>0</v>
      </c>
      <c r="AM137" s="35"/>
      <c r="AN137" s="35"/>
      <c r="AO137" s="35"/>
      <c r="AP137" s="35" t="s">
        <v>52</v>
      </c>
      <c r="AQ137" s="35">
        <v>5</v>
      </c>
      <c r="AR137" s="35">
        <v>0</v>
      </c>
      <c r="AS137" s="1">
        <f t="shared" si="4"/>
        <v>51840.44</v>
      </c>
    </row>
    <row r="138" spans="1:45" x14ac:dyDescent="0.3">
      <c r="A138" s="6" t="str">
        <f t="shared" si="3"/>
        <v>000025</v>
      </c>
      <c r="B138" s="35" t="s">
        <v>189</v>
      </c>
      <c r="C138" s="35" t="s">
        <v>191</v>
      </c>
      <c r="D138" s="35" t="s">
        <v>189</v>
      </c>
      <c r="E138" s="35" t="s">
        <v>191</v>
      </c>
      <c r="F138" s="35" t="s">
        <v>467</v>
      </c>
      <c r="G138" s="35" t="s">
        <v>424</v>
      </c>
      <c r="H138" s="35" t="s">
        <v>43</v>
      </c>
      <c r="I138" s="35" t="s">
        <v>44</v>
      </c>
      <c r="J138" s="35" t="s">
        <v>492</v>
      </c>
      <c r="K138" s="35" t="s">
        <v>435</v>
      </c>
      <c r="L138" s="35" t="s">
        <v>47</v>
      </c>
      <c r="M138" s="35" t="s">
        <v>48</v>
      </c>
      <c r="N138" s="35" t="s">
        <v>49</v>
      </c>
      <c r="O138" s="35" t="s">
        <v>564</v>
      </c>
      <c r="P138" s="35" t="s">
        <v>565</v>
      </c>
      <c r="Q138" s="35"/>
      <c r="R138" s="35"/>
      <c r="S138" s="38">
        <v>51000</v>
      </c>
      <c r="T138" s="38">
        <v>31875</v>
      </c>
      <c r="U138" s="38">
        <v>6885.3</v>
      </c>
      <c r="V138" s="38">
        <v>11016.54</v>
      </c>
      <c r="W138" s="38">
        <v>31874.97</v>
      </c>
      <c r="X138" s="38">
        <v>6885.33</v>
      </c>
      <c r="Y138" s="38">
        <v>19125.03</v>
      </c>
      <c r="Z138" s="38">
        <v>0</v>
      </c>
      <c r="AA138" s="38">
        <v>0</v>
      </c>
      <c r="AB138" s="38">
        <v>19125.03</v>
      </c>
      <c r="AC138" s="38">
        <v>100</v>
      </c>
      <c r="AD138" s="38">
        <v>4131.18</v>
      </c>
      <c r="AE138" s="38">
        <v>3187.5</v>
      </c>
      <c r="AF138" s="38">
        <v>0</v>
      </c>
      <c r="AG138" s="123">
        <v>45891</v>
      </c>
      <c r="AH138" s="123">
        <v>46003</v>
      </c>
      <c r="AI138" s="120">
        <v>0</v>
      </c>
      <c r="AJ138" s="120">
        <v>0</v>
      </c>
      <c r="AK138" s="120">
        <v>0</v>
      </c>
      <c r="AL138" s="120">
        <v>0</v>
      </c>
      <c r="AM138" s="35"/>
      <c r="AN138" s="35"/>
      <c r="AO138" s="35"/>
      <c r="AP138" s="35" t="s">
        <v>52</v>
      </c>
      <c r="AQ138" s="35">
        <v>5</v>
      </c>
      <c r="AR138" s="35">
        <v>0</v>
      </c>
      <c r="AS138" s="1">
        <f t="shared" si="4"/>
        <v>38760.300000000003</v>
      </c>
    </row>
    <row r="139" spans="1:45" x14ac:dyDescent="0.3">
      <c r="A139" s="6" t="str">
        <f t="shared" ref="A139:A201" si="5">J139</f>
        <v>000037</v>
      </c>
      <c r="B139" s="35" t="s">
        <v>189</v>
      </c>
      <c r="C139" s="35" t="s">
        <v>191</v>
      </c>
      <c r="D139" s="35" t="s">
        <v>189</v>
      </c>
      <c r="E139" s="35" t="s">
        <v>191</v>
      </c>
      <c r="F139" s="35" t="s">
        <v>467</v>
      </c>
      <c r="G139" s="35" t="s">
        <v>424</v>
      </c>
      <c r="H139" s="35" t="s">
        <v>43</v>
      </c>
      <c r="I139" s="35" t="s">
        <v>44</v>
      </c>
      <c r="J139" s="35" t="s">
        <v>605</v>
      </c>
      <c r="K139" s="35" t="s">
        <v>606</v>
      </c>
      <c r="L139" s="35" t="s">
        <v>47</v>
      </c>
      <c r="M139" s="35" t="s">
        <v>48</v>
      </c>
      <c r="N139" s="35" t="s">
        <v>43</v>
      </c>
      <c r="O139" s="35" t="s">
        <v>594</v>
      </c>
      <c r="P139" s="35" t="s">
        <v>51</v>
      </c>
      <c r="Q139" s="35"/>
      <c r="R139" s="35"/>
      <c r="S139" s="38">
        <v>57000</v>
      </c>
      <c r="T139" s="38">
        <v>32062.5</v>
      </c>
      <c r="U139" s="38">
        <v>6925.8600000000006</v>
      </c>
      <c r="V139" s="38">
        <v>12312.61</v>
      </c>
      <c r="W139" s="38">
        <v>32062.5</v>
      </c>
      <c r="X139" s="38">
        <v>6925.8600000000006</v>
      </c>
      <c r="Y139" s="38">
        <v>24937.5</v>
      </c>
      <c r="Z139" s="38">
        <v>0</v>
      </c>
      <c r="AA139" s="38">
        <v>0</v>
      </c>
      <c r="AB139" s="38">
        <v>24937.5</v>
      </c>
      <c r="AC139" s="38">
        <v>100</v>
      </c>
      <c r="AD139" s="38">
        <v>5386.78</v>
      </c>
      <c r="AE139" s="38">
        <v>3562.5</v>
      </c>
      <c r="AF139" s="38">
        <v>0</v>
      </c>
      <c r="AG139" s="123">
        <v>45896</v>
      </c>
      <c r="AH139" s="123">
        <v>46008</v>
      </c>
      <c r="AI139" s="120">
        <v>0</v>
      </c>
      <c r="AJ139" s="120">
        <v>0</v>
      </c>
      <c r="AK139" s="120">
        <v>0</v>
      </c>
      <c r="AL139" s="120">
        <v>0</v>
      </c>
      <c r="AM139" s="35"/>
      <c r="AN139" s="35"/>
      <c r="AO139" s="35"/>
      <c r="AP139" s="35" t="s">
        <v>52</v>
      </c>
      <c r="AQ139" s="35">
        <v>6</v>
      </c>
      <c r="AR139" s="35">
        <v>0</v>
      </c>
      <c r="AS139" s="1">
        <f t="shared" si="4"/>
        <v>38988.36</v>
      </c>
    </row>
    <row r="140" spans="1:45" x14ac:dyDescent="0.3">
      <c r="A140" s="6" t="str">
        <f t="shared" si="5"/>
        <v>000041</v>
      </c>
      <c r="B140" s="35" t="s">
        <v>189</v>
      </c>
      <c r="C140" s="35" t="s">
        <v>191</v>
      </c>
      <c r="D140" s="35" t="s">
        <v>189</v>
      </c>
      <c r="E140" s="35" t="s">
        <v>191</v>
      </c>
      <c r="F140" s="35" t="s">
        <v>467</v>
      </c>
      <c r="G140" s="35" t="s">
        <v>424</v>
      </c>
      <c r="H140" s="35" t="s">
        <v>43</v>
      </c>
      <c r="I140" s="35" t="s">
        <v>44</v>
      </c>
      <c r="J140" s="35" t="s">
        <v>608</v>
      </c>
      <c r="K140" s="35" t="s">
        <v>573</v>
      </c>
      <c r="L140" s="35" t="s">
        <v>47</v>
      </c>
      <c r="M140" s="35" t="s">
        <v>48</v>
      </c>
      <c r="N140" s="35" t="s">
        <v>43</v>
      </c>
      <c r="O140" s="35" t="s">
        <v>594</v>
      </c>
      <c r="P140" s="35" t="s">
        <v>51</v>
      </c>
      <c r="Q140" s="35"/>
      <c r="R140" s="35"/>
      <c r="S140" s="38">
        <v>625000</v>
      </c>
      <c r="T140" s="38">
        <v>351562.5</v>
      </c>
      <c r="U140" s="38">
        <v>75941.279999999999</v>
      </c>
      <c r="V140" s="38">
        <v>135006.67000000001</v>
      </c>
      <c r="W140" s="38">
        <v>351562.5</v>
      </c>
      <c r="X140" s="38">
        <v>75941.279999999999</v>
      </c>
      <c r="Y140" s="38">
        <v>273437.5</v>
      </c>
      <c r="Z140" s="38">
        <v>0</v>
      </c>
      <c r="AA140" s="38">
        <v>0</v>
      </c>
      <c r="AB140" s="38">
        <v>273437.5</v>
      </c>
      <c r="AC140" s="38">
        <v>100</v>
      </c>
      <c r="AD140" s="38">
        <v>59065.440000000002</v>
      </c>
      <c r="AE140" s="38">
        <v>39062.5</v>
      </c>
      <c r="AF140" s="38">
        <v>0</v>
      </c>
      <c r="AG140" s="123">
        <v>45896</v>
      </c>
      <c r="AH140" s="123">
        <v>46008</v>
      </c>
      <c r="AI140" s="120">
        <v>0</v>
      </c>
      <c r="AJ140" s="120">
        <v>0</v>
      </c>
      <c r="AK140" s="120">
        <v>0</v>
      </c>
      <c r="AL140" s="120">
        <v>0</v>
      </c>
      <c r="AM140" s="35"/>
      <c r="AN140" s="35"/>
      <c r="AO140" s="35"/>
      <c r="AP140" s="35" t="s">
        <v>52</v>
      </c>
      <c r="AQ140" s="35">
        <v>11</v>
      </c>
      <c r="AR140" s="35">
        <v>0</v>
      </c>
      <c r="AS140" s="1">
        <f t="shared" ref="AS140:AS201" si="6">W140+X140</f>
        <v>427503.78</v>
      </c>
    </row>
    <row r="141" spans="1:45" x14ac:dyDescent="0.3">
      <c r="A141" s="6" t="str">
        <f t="shared" si="5"/>
        <v>000050</v>
      </c>
      <c r="B141" s="35" t="s">
        <v>189</v>
      </c>
      <c r="C141" s="35" t="s">
        <v>191</v>
      </c>
      <c r="D141" s="35" t="s">
        <v>189</v>
      </c>
      <c r="E141" s="35" t="s">
        <v>191</v>
      </c>
      <c r="F141" s="35" t="s">
        <v>467</v>
      </c>
      <c r="G141" s="35" t="s">
        <v>424</v>
      </c>
      <c r="H141" s="35" t="s">
        <v>43</v>
      </c>
      <c r="I141" s="35" t="s">
        <v>44</v>
      </c>
      <c r="J141" s="35" t="s">
        <v>680</v>
      </c>
      <c r="K141" s="35" t="s">
        <v>681</v>
      </c>
      <c r="L141" s="35" t="s">
        <v>47</v>
      </c>
      <c r="M141" s="35" t="s">
        <v>48</v>
      </c>
      <c r="N141" s="35" t="s">
        <v>43</v>
      </c>
      <c r="O141" s="35" t="s">
        <v>594</v>
      </c>
      <c r="P141" s="35" t="s">
        <v>51</v>
      </c>
      <c r="Q141" s="35"/>
      <c r="R141" s="35"/>
      <c r="S141" s="38">
        <v>79000</v>
      </c>
      <c r="T141" s="38">
        <v>44437.5</v>
      </c>
      <c r="U141" s="38">
        <v>9598.9500000000007</v>
      </c>
      <c r="V141" s="38">
        <v>17064.84</v>
      </c>
      <c r="W141" s="38">
        <v>44437.47</v>
      </c>
      <c r="X141" s="38">
        <v>9598.98</v>
      </c>
      <c r="Y141" s="38">
        <v>34562.53</v>
      </c>
      <c r="Z141" s="38">
        <v>0</v>
      </c>
      <c r="AA141" s="38">
        <v>0</v>
      </c>
      <c r="AB141" s="38">
        <v>34562.53</v>
      </c>
      <c r="AC141" s="38">
        <v>100</v>
      </c>
      <c r="AD141" s="38">
        <v>7465.85</v>
      </c>
      <c r="AE141" s="38">
        <v>4937.5</v>
      </c>
      <c r="AF141" s="38">
        <v>0</v>
      </c>
      <c r="AG141" s="123">
        <v>45898</v>
      </c>
      <c r="AH141" s="123">
        <v>46010</v>
      </c>
      <c r="AI141" s="120">
        <v>0</v>
      </c>
      <c r="AJ141" s="120">
        <v>0</v>
      </c>
      <c r="AK141" s="120">
        <v>0</v>
      </c>
      <c r="AL141" s="120">
        <v>0</v>
      </c>
      <c r="AM141" s="35"/>
      <c r="AN141" s="35"/>
      <c r="AO141" s="35"/>
      <c r="AP141" s="35" t="s">
        <v>52</v>
      </c>
      <c r="AQ141" s="35">
        <v>7</v>
      </c>
      <c r="AR141" s="35">
        <v>0</v>
      </c>
      <c r="AS141" s="1">
        <f t="shared" si="6"/>
        <v>54036.45</v>
      </c>
    </row>
    <row r="142" spans="1:45" x14ac:dyDescent="0.3">
      <c r="A142" s="6" t="str">
        <f t="shared" si="5"/>
        <v>000059</v>
      </c>
      <c r="B142" s="35" t="s">
        <v>189</v>
      </c>
      <c r="C142" s="35" t="s">
        <v>191</v>
      </c>
      <c r="D142" s="35" t="s">
        <v>189</v>
      </c>
      <c r="E142" s="35" t="s">
        <v>191</v>
      </c>
      <c r="F142" s="35" t="s">
        <v>467</v>
      </c>
      <c r="G142" s="35" t="s">
        <v>424</v>
      </c>
      <c r="H142" s="35" t="s">
        <v>43</v>
      </c>
      <c r="I142" s="35" t="s">
        <v>44</v>
      </c>
      <c r="J142" s="35" t="s">
        <v>850</v>
      </c>
      <c r="K142" s="35" t="s">
        <v>810</v>
      </c>
      <c r="L142" s="35" t="s">
        <v>47</v>
      </c>
      <c r="M142" s="35" t="s">
        <v>48</v>
      </c>
      <c r="N142" s="35" t="s">
        <v>43</v>
      </c>
      <c r="O142" s="35" t="s">
        <v>594</v>
      </c>
      <c r="P142" s="35" t="s">
        <v>51</v>
      </c>
      <c r="Q142" s="35"/>
      <c r="R142" s="35"/>
      <c r="S142" s="38">
        <v>114000</v>
      </c>
      <c r="T142" s="38">
        <v>57000</v>
      </c>
      <c r="U142" s="38">
        <v>12312.64</v>
      </c>
      <c r="V142" s="38">
        <v>24625.22</v>
      </c>
      <c r="W142" s="38">
        <v>49875</v>
      </c>
      <c r="X142" s="38">
        <v>10773.56</v>
      </c>
      <c r="Y142" s="38">
        <v>64125</v>
      </c>
      <c r="Z142" s="38">
        <v>7125</v>
      </c>
      <c r="AA142" s="38">
        <v>11.111111111111111</v>
      </c>
      <c r="AB142" s="38">
        <v>57000</v>
      </c>
      <c r="AC142" s="38">
        <v>88.888888888888886</v>
      </c>
      <c r="AD142" s="38">
        <v>12312.64</v>
      </c>
      <c r="AE142" s="38">
        <v>7125</v>
      </c>
      <c r="AF142" s="38">
        <v>1</v>
      </c>
      <c r="AG142" s="123">
        <v>45904</v>
      </c>
      <c r="AH142" s="123">
        <v>46016</v>
      </c>
      <c r="AI142" s="120">
        <v>0</v>
      </c>
      <c r="AJ142" s="120">
        <v>0</v>
      </c>
      <c r="AK142" s="120">
        <v>0</v>
      </c>
      <c r="AL142" s="120">
        <v>0</v>
      </c>
      <c r="AM142" s="35"/>
      <c r="AN142" s="35"/>
      <c r="AO142" s="35"/>
      <c r="AP142" s="35" t="s">
        <v>52</v>
      </c>
      <c r="AQ142" s="35">
        <v>7</v>
      </c>
      <c r="AR142" s="35">
        <v>1</v>
      </c>
      <c r="AS142" s="1">
        <f t="shared" si="6"/>
        <v>60648.56</v>
      </c>
    </row>
    <row r="143" spans="1:45" x14ac:dyDescent="0.3">
      <c r="A143" s="6" t="str">
        <f t="shared" si="5"/>
        <v>000083</v>
      </c>
      <c r="B143" s="35" t="s">
        <v>189</v>
      </c>
      <c r="C143" s="35" t="s">
        <v>191</v>
      </c>
      <c r="D143" s="35" t="s">
        <v>189</v>
      </c>
      <c r="E143" s="35" t="s">
        <v>191</v>
      </c>
      <c r="F143" s="35" t="s">
        <v>467</v>
      </c>
      <c r="G143" s="35" t="s">
        <v>424</v>
      </c>
      <c r="H143" s="35" t="s">
        <v>43</v>
      </c>
      <c r="I143" s="35" t="s">
        <v>44</v>
      </c>
      <c r="J143" s="35" t="s">
        <v>979</v>
      </c>
      <c r="K143" s="35" t="s">
        <v>980</v>
      </c>
      <c r="L143" s="35" t="s">
        <v>47</v>
      </c>
      <c r="M143" s="35" t="s">
        <v>48</v>
      </c>
      <c r="N143" s="35" t="s">
        <v>43</v>
      </c>
      <c r="O143" s="35" t="s">
        <v>594</v>
      </c>
      <c r="P143" s="35" t="s">
        <v>51</v>
      </c>
      <c r="Q143" s="35"/>
      <c r="R143" s="35"/>
      <c r="S143" s="38">
        <v>44000</v>
      </c>
      <c r="T143" s="38">
        <v>19250</v>
      </c>
      <c r="U143" s="38">
        <v>4158.21</v>
      </c>
      <c r="V143" s="38">
        <v>9504.4699999999993</v>
      </c>
      <c r="W143" s="38">
        <v>19249.990000000002</v>
      </c>
      <c r="X143" s="38">
        <v>4158.22</v>
      </c>
      <c r="Y143" s="38">
        <v>24750.010000000002</v>
      </c>
      <c r="Z143" s="38">
        <v>0</v>
      </c>
      <c r="AA143" s="38">
        <v>0</v>
      </c>
      <c r="AB143" s="38">
        <v>24750.010000000002</v>
      </c>
      <c r="AC143" s="38">
        <v>100</v>
      </c>
      <c r="AD143" s="38">
        <v>5346.27</v>
      </c>
      <c r="AE143" s="38">
        <v>2750</v>
      </c>
      <c r="AF143" s="38">
        <v>0</v>
      </c>
      <c r="AG143" s="123">
        <v>45912</v>
      </c>
      <c r="AH143" s="123">
        <v>46024</v>
      </c>
      <c r="AI143" s="120">
        <v>0</v>
      </c>
      <c r="AJ143" s="120">
        <v>0</v>
      </c>
      <c r="AK143" s="120">
        <v>0</v>
      </c>
      <c r="AL143" s="120">
        <v>0</v>
      </c>
      <c r="AM143" s="35"/>
      <c r="AN143" s="35"/>
      <c r="AO143" s="35"/>
      <c r="AP143" s="35" t="s">
        <v>52</v>
      </c>
      <c r="AQ143" s="35">
        <v>5</v>
      </c>
      <c r="AR143" s="35">
        <v>0</v>
      </c>
      <c r="AS143" s="1">
        <f t="shared" si="6"/>
        <v>23408.210000000003</v>
      </c>
    </row>
    <row r="144" spans="1:45" x14ac:dyDescent="0.3">
      <c r="A144" s="6" t="str">
        <f t="shared" si="5"/>
        <v>000093</v>
      </c>
      <c r="B144" s="35" t="s">
        <v>189</v>
      </c>
      <c r="C144" s="35" t="s">
        <v>191</v>
      </c>
      <c r="D144" s="35" t="s">
        <v>189</v>
      </c>
      <c r="E144" s="35" t="s">
        <v>191</v>
      </c>
      <c r="F144" s="35" t="s">
        <v>467</v>
      </c>
      <c r="G144" s="35" t="s">
        <v>424</v>
      </c>
      <c r="H144" s="35" t="s">
        <v>43</v>
      </c>
      <c r="I144" s="35" t="s">
        <v>44</v>
      </c>
      <c r="J144" s="35" t="s">
        <v>1142</v>
      </c>
      <c r="K144" s="35" t="s">
        <v>1106</v>
      </c>
      <c r="L144" s="35" t="s">
        <v>47</v>
      </c>
      <c r="M144" s="35" t="s">
        <v>48</v>
      </c>
      <c r="N144" s="35" t="s">
        <v>43</v>
      </c>
      <c r="O144" s="35" t="s">
        <v>594</v>
      </c>
      <c r="P144" s="35" t="s">
        <v>51</v>
      </c>
      <c r="Q144" s="35"/>
      <c r="R144" s="35"/>
      <c r="S144" s="38">
        <v>51000</v>
      </c>
      <c r="T144" s="38">
        <v>19125</v>
      </c>
      <c r="U144" s="38">
        <v>4131.18</v>
      </c>
      <c r="V144" s="38">
        <v>11016.54</v>
      </c>
      <c r="W144" s="38">
        <v>19124.98</v>
      </c>
      <c r="X144" s="38">
        <v>4131.2</v>
      </c>
      <c r="Y144" s="38">
        <v>31875.02</v>
      </c>
      <c r="Z144" s="38">
        <v>0</v>
      </c>
      <c r="AA144" s="38">
        <v>0</v>
      </c>
      <c r="AB144" s="38">
        <v>31875.02</v>
      </c>
      <c r="AC144" s="38">
        <v>100</v>
      </c>
      <c r="AD144" s="38">
        <v>6885.3</v>
      </c>
      <c r="AE144" s="38">
        <v>3187.5</v>
      </c>
      <c r="AF144" s="38">
        <v>0</v>
      </c>
      <c r="AG144" s="123">
        <v>45919</v>
      </c>
      <c r="AH144" s="123">
        <v>46031</v>
      </c>
      <c r="AI144" s="120">
        <v>0</v>
      </c>
      <c r="AJ144" s="120">
        <v>0</v>
      </c>
      <c r="AK144" s="120">
        <v>0</v>
      </c>
      <c r="AL144" s="120">
        <v>0</v>
      </c>
      <c r="AM144" s="35"/>
      <c r="AN144" s="35"/>
      <c r="AO144" s="35"/>
      <c r="AP144" s="35" t="s">
        <v>52</v>
      </c>
      <c r="AQ144" s="35">
        <v>5</v>
      </c>
      <c r="AR144" s="35">
        <v>0</v>
      </c>
      <c r="AS144" s="1">
        <f t="shared" si="6"/>
        <v>23256.18</v>
      </c>
    </row>
    <row r="145" spans="1:45" x14ac:dyDescent="0.3">
      <c r="A145" s="6" t="str">
        <f t="shared" si="5"/>
        <v>000095</v>
      </c>
      <c r="B145" s="35" t="s">
        <v>189</v>
      </c>
      <c r="C145" s="35" t="s">
        <v>191</v>
      </c>
      <c r="D145" s="35" t="s">
        <v>189</v>
      </c>
      <c r="E145" s="35" t="s">
        <v>191</v>
      </c>
      <c r="F145" s="35" t="s">
        <v>467</v>
      </c>
      <c r="G145" s="35" t="s">
        <v>424</v>
      </c>
      <c r="H145" s="35" t="s">
        <v>43</v>
      </c>
      <c r="I145" s="35" t="s">
        <v>44</v>
      </c>
      <c r="J145" s="35" t="s">
        <v>1140</v>
      </c>
      <c r="K145" s="35" t="s">
        <v>1130</v>
      </c>
      <c r="L145" s="35" t="s">
        <v>47</v>
      </c>
      <c r="M145" s="35" t="s">
        <v>48</v>
      </c>
      <c r="N145" s="35" t="s">
        <v>43</v>
      </c>
      <c r="O145" s="35" t="s">
        <v>594</v>
      </c>
      <c r="P145" s="35" t="s">
        <v>51</v>
      </c>
      <c r="Q145" s="35"/>
      <c r="R145" s="35"/>
      <c r="S145" s="38">
        <v>55000</v>
      </c>
      <c r="T145" s="38">
        <v>20625</v>
      </c>
      <c r="U145" s="38">
        <v>4455.24</v>
      </c>
      <c r="V145" s="38">
        <v>11880.59</v>
      </c>
      <c r="W145" s="38">
        <v>20624.990000000002</v>
      </c>
      <c r="X145" s="38">
        <v>4455.25</v>
      </c>
      <c r="Y145" s="38">
        <v>34375.01</v>
      </c>
      <c r="Z145" s="38">
        <v>0</v>
      </c>
      <c r="AA145" s="38">
        <v>0</v>
      </c>
      <c r="AB145" s="38">
        <v>34375.01</v>
      </c>
      <c r="AC145" s="38">
        <v>100</v>
      </c>
      <c r="AD145" s="38">
        <v>7425.4000000000005</v>
      </c>
      <c r="AE145" s="38">
        <v>3437.5</v>
      </c>
      <c r="AF145" s="38">
        <v>0</v>
      </c>
      <c r="AG145" s="123">
        <v>45919</v>
      </c>
      <c r="AH145" s="123">
        <v>46031</v>
      </c>
      <c r="AI145" s="120">
        <v>0</v>
      </c>
      <c r="AJ145" s="120">
        <v>0</v>
      </c>
      <c r="AK145" s="120">
        <v>0</v>
      </c>
      <c r="AL145" s="120">
        <v>0</v>
      </c>
      <c r="AM145" s="35"/>
      <c r="AN145" s="35"/>
      <c r="AO145" s="35"/>
      <c r="AP145" s="35" t="s">
        <v>52</v>
      </c>
      <c r="AQ145" s="35">
        <v>5</v>
      </c>
      <c r="AR145" s="35">
        <v>0</v>
      </c>
      <c r="AS145" s="1">
        <f t="shared" si="6"/>
        <v>25080.240000000002</v>
      </c>
    </row>
    <row r="146" spans="1:45" x14ac:dyDescent="0.3">
      <c r="A146" s="6" t="str">
        <f t="shared" si="5"/>
        <v>000107</v>
      </c>
      <c r="B146" s="35" t="s">
        <v>189</v>
      </c>
      <c r="C146" s="35" t="s">
        <v>191</v>
      </c>
      <c r="D146" s="35" t="s">
        <v>189</v>
      </c>
      <c r="E146" s="35" t="s">
        <v>191</v>
      </c>
      <c r="F146" s="35" t="s">
        <v>467</v>
      </c>
      <c r="G146" s="35" t="s">
        <v>424</v>
      </c>
      <c r="H146" s="35" t="s">
        <v>43</v>
      </c>
      <c r="I146" s="35" t="s">
        <v>44</v>
      </c>
      <c r="J146" s="35" t="s">
        <v>1273</v>
      </c>
      <c r="K146" s="35" t="s">
        <v>1206</v>
      </c>
      <c r="L146" s="35" t="s">
        <v>47</v>
      </c>
      <c r="M146" s="35" t="s">
        <v>48</v>
      </c>
      <c r="N146" s="35" t="s">
        <v>43</v>
      </c>
      <c r="O146" s="35" t="s">
        <v>594</v>
      </c>
      <c r="P146" s="35" t="s">
        <v>51</v>
      </c>
      <c r="Q146" s="35"/>
      <c r="R146" s="35"/>
      <c r="S146" s="38">
        <v>130000</v>
      </c>
      <c r="T146" s="38">
        <v>40625</v>
      </c>
      <c r="U146" s="38">
        <v>8775.4500000000007</v>
      </c>
      <c r="V146" s="38">
        <v>28081.39</v>
      </c>
      <c r="W146" s="38">
        <v>40625</v>
      </c>
      <c r="X146" s="38">
        <v>8775.4500000000007</v>
      </c>
      <c r="Y146" s="38">
        <v>89375</v>
      </c>
      <c r="Z146" s="38">
        <v>0</v>
      </c>
      <c r="AA146" s="38">
        <v>0</v>
      </c>
      <c r="AB146" s="38">
        <v>89375</v>
      </c>
      <c r="AC146" s="38">
        <v>100</v>
      </c>
      <c r="AD146" s="38">
        <v>19305.990000000002</v>
      </c>
      <c r="AE146" s="38">
        <v>8125</v>
      </c>
      <c r="AF146" s="38">
        <v>0</v>
      </c>
      <c r="AG146" s="123">
        <v>45925</v>
      </c>
      <c r="AH146" s="123">
        <v>46037</v>
      </c>
      <c r="AI146" s="120">
        <v>0</v>
      </c>
      <c r="AJ146" s="120">
        <v>0</v>
      </c>
      <c r="AK146" s="120">
        <v>0</v>
      </c>
      <c r="AL146" s="120">
        <v>0</v>
      </c>
      <c r="AM146" s="35"/>
      <c r="AN146" s="35"/>
      <c r="AO146" s="35"/>
      <c r="AP146" s="35" t="s">
        <v>52</v>
      </c>
      <c r="AQ146" s="35">
        <v>5</v>
      </c>
      <c r="AR146" s="35">
        <v>0</v>
      </c>
      <c r="AS146" s="1">
        <f t="shared" si="6"/>
        <v>49400.45</v>
      </c>
    </row>
    <row r="147" spans="1:45" x14ac:dyDescent="0.3">
      <c r="A147" s="6" t="str">
        <f t="shared" si="5"/>
        <v>000115</v>
      </c>
      <c r="B147" s="35" t="s">
        <v>189</v>
      </c>
      <c r="C147" s="35" t="s">
        <v>191</v>
      </c>
      <c r="D147" s="35" t="s">
        <v>189</v>
      </c>
      <c r="E147" s="35" t="s">
        <v>191</v>
      </c>
      <c r="F147" s="35" t="s">
        <v>467</v>
      </c>
      <c r="G147" s="35" t="s">
        <v>424</v>
      </c>
      <c r="H147" s="35" t="s">
        <v>43</v>
      </c>
      <c r="I147" s="35" t="s">
        <v>44</v>
      </c>
      <c r="J147" s="35" t="s">
        <v>1321</v>
      </c>
      <c r="K147" s="35" t="s">
        <v>439</v>
      </c>
      <c r="L147" s="35" t="s">
        <v>47</v>
      </c>
      <c r="M147" s="35" t="s">
        <v>48</v>
      </c>
      <c r="N147" s="35" t="s">
        <v>43</v>
      </c>
      <c r="O147" s="35" t="s">
        <v>594</v>
      </c>
      <c r="P147" s="35" t="s">
        <v>51</v>
      </c>
      <c r="Q147" s="35"/>
      <c r="R147" s="35"/>
      <c r="S147" s="38">
        <v>55000</v>
      </c>
      <c r="T147" s="38">
        <v>17187.5</v>
      </c>
      <c r="U147" s="38">
        <v>3712.7000000000003</v>
      </c>
      <c r="V147" s="38">
        <v>11880.59</v>
      </c>
      <c r="W147" s="38">
        <v>17187.5</v>
      </c>
      <c r="X147" s="38">
        <v>3712.7000000000003</v>
      </c>
      <c r="Y147" s="38">
        <v>37812.5</v>
      </c>
      <c r="Z147" s="38">
        <v>0</v>
      </c>
      <c r="AA147" s="38">
        <v>0</v>
      </c>
      <c r="AB147" s="38">
        <v>37812.5</v>
      </c>
      <c r="AC147" s="38">
        <v>100</v>
      </c>
      <c r="AD147" s="38">
        <v>8167.9400000000005</v>
      </c>
      <c r="AE147" s="38">
        <v>3437.5</v>
      </c>
      <c r="AF147" s="38">
        <v>0</v>
      </c>
      <c r="AG147" s="123">
        <v>45926</v>
      </c>
      <c r="AH147" s="123">
        <v>46038</v>
      </c>
      <c r="AI147" s="120">
        <v>0</v>
      </c>
      <c r="AJ147" s="120">
        <v>0</v>
      </c>
      <c r="AK147" s="120">
        <v>0</v>
      </c>
      <c r="AL147" s="120">
        <v>0</v>
      </c>
      <c r="AM147" s="35"/>
      <c r="AN147" s="35"/>
      <c r="AO147" s="35"/>
      <c r="AP147" s="35" t="s">
        <v>52</v>
      </c>
      <c r="AQ147" s="35">
        <v>5</v>
      </c>
      <c r="AR147" s="35">
        <v>0</v>
      </c>
      <c r="AS147" s="1">
        <f t="shared" si="6"/>
        <v>20900.2</v>
      </c>
    </row>
    <row r="148" spans="1:45" x14ac:dyDescent="0.3">
      <c r="A148" s="6" t="str">
        <f t="shared" si="5"/>
        <v>000122</v>
      </c>
      <c r="B148" s="35" t="s">
        <v>189</v>
      </c>
      <c r="C148" s="35" t="s">
        <v>191</v>
      </c>
      <c r="D148" s="35" t="s">
        <v>189</v>
      </c>
      <c r="E148" s="35" t="s">
        <v>191</v>
      </c>
      <c r="F148" s="35" t="s">
        <v>467</v>
      </c>
      <c r="G148" s="35" t="s">
        <v>424</v>
      </c>
      <c r="H148" s="35" t="s">
        <v>43</v>
      </c>
      <c r="I148" s="35" t="s">
        <v>44</v>
      </c>
      <c r="J148" s="35" t="s">
        <v>1417</v>
      </c>
      <c r="K148" s="35" t="s">
        <v>1375</v>
      </c>
      <c r="L148" s="35" t="s">
        <v>47</v>
      </c>
      <c r="M148" s="35" t="s">
        <v>48</v>
      </c>
      <c r="N148" s="35" t="s">
        <v>43</v>
      </c>
      <c r="O148" s="35" t="s">
        <v>594</v>
      </c>
      <c r="P148" s="35" t="s">
        <v>51</v>
      </c>
      <c r="Q148" s="35"/>
      <c r="R148" s="35"/>
      <c r="S148" s="38">
        <v>65000</v>
      </c>
      <c r="T148" s="38">
        <v>16250</v>
      </c>
      <c r="U148" s="38">
        <v>3510.16</v>
      </c>
      <c r="V148" s="38">
        <v>14040.69</v>
      </c>
      <c r="W148" s="38">
        <v>12669.87</v>
      </c>
      <c r="X148" s="38">
        <v>3510.17</v>
      </c>
      <c r="Y148" s="38">
        <v>52330.130000000005</v>
      </c>
      <c r="Z148" s="38">
        <v>3580.13</v>
      </c>
      <c r="AA148" s="38">
        <v>6.8414315041831539</v>
      </c>
      <c r="AB148" s="38">
        <v>48750</v>
      </c>
      <c r="AC148" s="38">
        <v>93.158568495816837</v>
      </c>
      <c r="AD148" s="38">
        <v>10530.48</v>
      </c>
      <c r="AE148" s="38">
        <v>4062.5</v>
      </c>
      <c r="AF148" s="38">
        <v>0.9</v>
      </c>
      <c r="AG148" s="123">
        <v>45930</v>
      </c>
      <c r="AH148" s="123">
        <v>46042</v>
      </c>
      <c r="AI148" s="120">
        <v>0</v>
      </c>
      <c r="AJ148" s="120">
        <v>0</v>
      </c>
      <c r="AK148" s="120">
        <v>0</v>
      </c>
      <c r="AL148" s="120">
        <v>0</v>
      </c>
      <c r="AM148" s="35"/>
      <c r="AN148" s="35"/>
      <c r="AO148" s="35"/>
      <c r="AP148" s="35" t="s">
        <v>52</v>
      </c>
      <c r="AQ148" s="35">
        <v>5</v>
      </c>
      <c r="AR148" s="35">
        <v>3</v>
      </c>
      <c r="AS148" s="1">
        <f t="shared" si="6"/>
        <v>16180.04</v>
      </c>
    </row>
    <row r="149" spans="1:45" x14ac:dyDescent="0.3">
      <c r="A149" s="6" t="str">
        <f t="shared" si="5"/>
        <v>000145</v>
      </c>
      <c r="B149" s="35" t="s">
        <v>189</v>
      </c>
      <c r="C149" s="35" t="s">
        <v>191</v>
      </c>
      <c r="D149" s="35" t="s">
        <v>189</v>
      </c>
      <c r="E149" s="35" t="s">
        <v>191</v>
      </c>
      <c r="F149" s="35" t="s">
        <v>467</v>
      </c>
      <c r="G149" s="35" t="s">
        <v>424</v>
      </c>
      <c r="H149" s="35" t="s">
        <v>43</v>
      </c>
      <c r="I149" s="35" t="s">
        <v>44</v>
      </c>
      <c r="J149" s="35" t="s">
        <v>1602</v>
      </c>
      <c r="K149" s="35" t="s">
        <v>295</v>
      </c>
      <c r="L149" s="35" t="s">
        <v>47</v>
      </c>
      <c r="M149" s="35" t="s">
        <v>48</v>
      </c>
      <c r="N149" s="35" t="s">
        <v>43</v>
      </c>
      <c r="O149" s="35" t="s">
        <v>594</v>
      </c>
      <c r="P149" s="35" t="s">
        <v>51</v>
      </c>
      <c r="Q149" s="35"/>
      <c r="R149" s="35"/>
      <c r="S149" s="38">
        <v>118000</v>
      </c>
      <c r="T149" s="38">
        <v>22125</v>
      </c>
      <c r="U149" s="38">
        <v>4779.24</v>
      </c>
      <c r="V149" s="38">
        <v>25489.260000000002</v>
      </c>
      <c r="W149" s="38">
        <v>22125</v>
      </c>
      <c r="X149" s="38">
        <v>4803</v>
      </c>
      <c r="Y149" s="38">
        <v>95875</v>
      </c>
      <c r="Z149" s="38">
        <v>0</v>
      </c>
      <c r="AA149" s="38">
        <v>0</v>
      </c>
      <c r="AB149" s="38">
        <v>95875</v>
      </c>
      <c r="AC149" s="38">
        <v>100</v>
      </c>
      <c r="AD149" s="38">
        <v>20710.04</v>
      </c>
      <c r="AE149" s="38">
        <v>7375</v>
      </c>
      <c r="AF149" s="38">
        <v>0</v>
      </c>
      <c r="AG149" s="123">
        <v>45940</v>
      </c>
      <c r="AH149" s="123">
        <v>46052</v>
      </c>
      <c r="AI149" s="120">
        <v>0</v>
      </c>
      <c r="AJ149" s="120">
        <v>0</v>
      </c>
      <c r="AK149" s="120">
        <v>0</v>
      </c>
      <c r="AL149" s="120">
        <v>0</v>
      </c>
      <c r="AM149" s="35"/>
      <c r="AN149" s="35"/>
      <c r="AO149" s="35"/>
      <c r="AP149" s="35" t="s">
        <v>52</v>
      </c>
      <c r="AQ149" s="35">
        <v>8</v>
      </c>
      <c r="AR149" s="35">
        <v>0</v>
      </c>
      <c r="AS149" s="1">
        <f t="shared" si="6"/>
        <v>26928</v>
      </c>
    </row>
    <row r="150" spans="1:45" x14ac:dyDescent="0.3">
      <c r="A150" s="6" t="str">
        <f t="shared" si="5"/>
        <v>000162</v>
      </c>
      <c r="B150" s="35" t="s">
        <v>189</v>
      </c>
      <c r="C150" s="35" t="s">
        <v>191</v>
      </c>
      <c r="D150" s="35" t="s">
        <v>189</v>
      </c>
      <c r="E150" s="35" t="s">
        <v>191</v>
      </c>
      <c r="F150" s="35" t="s">
        <v>467</v>
      </c>
      <c r="G150" s="35" t="s">
        <v>424</v>
      </c>
      <c r="H150" s="35" t="s">
        <v>43</v>
      </c>
      <c r="I150" s="35" t="s">
        <v>44</v>
      </c>
      <c r="J150" s="35" t="s">
        <v>1773</v>
      </c>
      <c r="K150" s="35" t="s">
        <v>1774</v>
      </c>
      <c r="L150" s="35" t="s">
        <v>47</v>
      </c>
      <c r="M150" s="35" t="s">
        <v>48</v>
      </c>
      <c r="N150" s="35" t="s">
        <v>43</v>
      </c>
      <c r="O150" s="35" t="s">
        <v>594</v>
      </c>
      <c r="P150" s="35" t="s">
        <v>51</v>
      </c>
      <c r="Q150" s="35"/>
      <c r="R150" s="35"/>
      <c r="S150" s="38">
        <v>107000</v>
      </c>
      <c r="T150" s="38">
        <v>13375</v>
      </c>
      <c r="U150" s="38">
        <v>2889.14</v>
      </c>
      <c r="V150" s="38">
        <v>23113.14</v>
      </c>
      <c r="W150" s="38">
        <v>13375</v>
      </c>
      <c r="X150" s="38">
        <v>2897</v>
      </c>
      <c r="Y150" s="38">
        <v>93625</v>
      </c>
      <c r="Z150" s="38">
        <v>0</v>
      </c>
      <c r="AA150" s="38">
        <v>0</v>
      </c>
      <c r="AB150" s="38">
        <v>93625</v>
      </c>
      <c r="AC150" s="38">
        <v>100</v>
      </c>
      <c r="AD150" s="38">
        <v>20223.98</v>
      </c>
      <c r="AE150" s="38">
        <v>6687.5</v>
      </c>
      <c r="AF150" s="38">
        <v>0</v>
      </c>
      <c r="AG150" s="123">
        <v>45947</v>
      </c>
      <c r="AH150" s="123">
        <v>46059</v>
      </c>
      <c r="AI150" s="120">
        <v>0</v>
      </c>
      <c r="AJ150" s="120">
        <v>0</v>
      </c>
      <c r="AK150" s="120">
        <v>0</v>
      </c>
      <c r="AL150" s="120">
        <v>0</v>
      </c>
      <c r="AM150" s="35"/>
      <c r="AN150" s="35"/>
      <c r="AO150" s="35"/>
      <c r="AP150" s="35" t="s">
        <v>52</v>
      </c>
      <c r="AQ150" s="35">
        <v>6</v>
      </c>
      <c r="AR150" s="35">
        <v>0</v>
      </c>
      <c r="AS150" s="1">
        <f t="shared" si="6"/>
        <v>16272</v>
      </c>
    </row>
    <row r="151" spans="1:45" x14ac:dyDescent="0.3">
      <c r="A151" s="6" t="str">
        <f t="shared" si="5"/>
        <v>000167</v>
      </c>
      <c r="B151" s="35" t="s">
        <v>189</v>
      </c>
      <c r="C151" s="35" t="s">
        <v>191</v>
      </c>
      <c r="D151" s="35" t="s">
        <v>189</v>
      </c>
      <c r="E151" s="35" t="s">
        <v>191</v>
      </c>
      <c r="F151" s="35" t="s">
        <v>467</v>
      </c>
      <c r="G151" s="35" t="s">
        <v>424</v>
      </c>
      <c r="H151" s="35" t="s">
        <v>43</v>
      </c>
      <c r="I151" s="35" t="s">
        <v>44</v>
      </c>
      <c r="J151" s="35" t="s">
        <v>1817</v>
      </c>
      <c r="K151" s="35" t="s">
        <v>1818</v>
      </c>
      <c r="L151" s="35" t="s">
        <v>47</v>
      </c>
      <c r="M151" s="35" t="s">
        <v>48</v>
      </c>
      <c r="N151" s="35" t="s">
        <v>43</v>
      </c>
      <c r="O151" s="35" t="s">
        <v>594</v>
      </c>
      <c r="P151" s="35" t="s">
        <v>51</v>
      </c>
      <c r="Q151" s="35"/>
      <c r="R151" s="35"/>
      <c r="S151" s="38">
        <v>85000</v>
      </c>
      <c r="T151" s="38">
        <v>5312.5</v>
      </c>
      <c r="U151" s="38">
        <v>1147.56</v>
      </c>
      <c r="V151" s="38">
        <v>18360.91</v>
      </c>
      <c r="W151" s="38">
        <v>5312.5</v>
      </c>
      <c r="X151" s="38">
        <v>1152.5</v>
      </c>
      <c r="Y151" s="38">
        <v>79687.5</v>
      </c>
      <c r="Z151" s="38">
        <v>0</v>
      </c>
      <c r="AA151" s="38">
        <v>0</v>
      </c>
      <c r="AB151" s="38">
        <v>79687.5</v>
      </c>
      <c r="AC151" s="38">
        <v>100</v>
      </c>
      <c r="AD151" s="38">
        <v>17213.400000000001</v>
      </c>
      <c r="AE151" s="38">
        <v>5312.5</v>
      </c>
      <c r="AF151" s="38">
        <v>0</v>
      </c>
      <c r="AG151" s="123">
        <v>45950</v>
      </c>
      <c r="AH151" s="123">
        <v>46062</v>
      </c>
      <c r="AI151" s="120">
        <v>0</v>
      </c>
      <c r="AJ151" s="120">
        <v>0</v>
      </c>
      <c r="AK151" s="120">
        <v>0</v>
      </c>
      <c r="AL151" s="120">
        <v>0</v>
      </c>
      <c r="AM151" s="35"/>
      <c r="AN151" s="35"/>
      <c r="AO151" s="35"/>
      <c r="AP151" s="35" t="s">
        <v>52</v>
      </c>
      <c r="AQ151" s="35">
        <v>6</v>
      </c>
      <c r="AR151" s="35">
        <v>0</v>
      </c>
      <c r="AS151" s="1">
        <f t="shared" si="6"/>
        <v>6465</v>
      </c>
    </row>
    <row r="152" spans="1:45" x14ac:dyDescent="0.3">
      <c r="A152" s="6" t="str">
        <f t="shared" si="5"/>
        <v>000180</v>
      </c>
      <c r="B152" s="35" t="s">
        <v>189</v>
      </c>
      <c r="C152" s="35" t="s">
        <v>191</v>
      </c>
      <c r="D152" s="35" t="s">
        <v>189</v>
      </c>
      <c r="E152" s="35" t="s">
        <v>191</v>
      </c>
      <c r="F152" s="35" t="s">
        <v>467</v>
      </c>
      <c r="G152" s="35" t="s">
        <v>424</v>
      </c>
      <c r="H152" s="35" t="s">
        <v>43</v>
      </c>
      <c r="I152" s="35" t="s">
        <v>44</v>
      </c>
      <c r="J152" s="35" t="s">
        <v>1911</v>
      </c>
      <c r="K152" s="35" t="s">
        <v>1912</v>
      </c>
      <c r="L152" s="35" t="s">
        <v>47</v>
      </c>
      <c r="M152" s="35" t="s">
        <v>48</v>
      </c>
      <c r="N152" s="35" t="s">
        <v>43</v>
      </c>
      <c r="O152" s="35" t="s">
        <v>594</v>
      </c>
      <c r="P152" s="35" t="s">
        <v>51</v>
      </c>
      <c r="Q152" s="35"/>
      <c r="R152" s="35"/>
      <c r="S152" s="38">
        <v>32000</v>
      </c>
      <c r="T152" s="38">
        <v>2000</v>
      </c>
      <c r="U152" s="38">
        <v>432.02</v>
      </c>
      <c r="V152" s="38">
        <v>6912.34</v>
      </c>
      <c r="W152" s="38">
        <v>2000</v>
      </c>
      <c r="X152" s="38">
        <v>432.02</v>
      </c>
      <c r="Y152" s="38">
        <v>30000</v>
      </c>
      <c r="Z152" s="38">
        <v>0</v>
      </c>
      <c r="AA152" s="38">
        <v>0</v>
      </c>
      <c r="AB152" s="38">
        <v>30000</v>
      </c>
      <c r="AC152" s="38">
        <v>100</v>
      </c>
      <c r="AD152" s="38">
        <v>0</v>
      </c>
      <c r="AE152" s="38">
        <v>2000</v>
      </c>
      <c r="AF152" s="38">
        <v>0</v>
      </c>
      <c r="AG152" s="123">
        <v>45954</v>
      </c>
      <c r="AH152" s="123">
        <v>46066</v>
      </c>
      <c r="AI152" s="120">
        <v>0</v>
      </c>
      <c r="AJ152" s="120">
        <v>0</v>
      </c>
      <c r="AK152" s="120">
        <v>0</v>
      </c>
      <c r="AL152" s="120">
        <v>0</v>
      </c>
      <c r="AM152" s="35"/>
      <c r="AN152" s="35"/>
      <c r="AO152" s="35"/>
      <c r="AP152" s="35" t="s">
        <v>52</v>
      </c>
      <c r="AQ152" s="35">
        <v>5</v>
      </c>
      <c r="AR152" s="35">
        <v>0</v>
      </c>
      <c r="AS152" s="1">
        <f t="shared" si="6"/>
        <v>2432.02</v>
      </c>
    </row>
    <row r="153" spans="1:45" x14ac:dyDescent="0.3">
      <c r="A153" s="6" t="str">
        <f t="shared" si="5"/>
        <v>000183</v>
      </c>
      <c r="B153" s="35" t="s">
        <v>189</v>
      </c>
      <c r="C153" s="35" t="s">
        <v>191</v>
      </c>
      <c r="D153" s="35" t="s">
        <v>189</v>
      </c>
      <c r="E153" s="35" t="s">
        <v>191</v>
      </c>
      <c r="F153" s="35" t="s">
        <v>467</v>
      </c>
      <c r="G153" s="35" t="s">
        <v>424</v>
      </c>
      <c r="H153" s="35" t="s">
        <v>43</v>
      </c>
      <c r="I153" s="35" t="s">
        <v>44</v>
      </c>
      <c r="J153" s="35" t="s">
        <v>1913</v>
      </c>
      <c r="K153" s="35" t="s">
        <v>1914</v>
      </c>
      <c r="L153" s="35" t="s">
        <v>47</v>
      </c>
      <c r="M153" s="35" t="s">
        <v>48</v>
      </c>
      <c r="N153" s="35" t="s">
        <v>43</v>
      </c>
      <c r="O153" s="35" t="s">
        <v>594</v>
      </c>
      <c r="P153" s="35" t="s">
        <v>51</v>
      </c>
      <c r="Q153" s="35"/>
      <c r="R153" s="35"/>
      <c r="S153" s="38">
        <v>100000</v>
      </c>
      <c r="T153" s="38">
        <v>6250</v>
      </c>
      <c r="U153" s="38">
        <v>1350.07</v>
      </c>
      <c r="V153" s="38">
        <v>21601.07</v>
      </c>
      <c r="W153" s="38">
        <v>6250</v>
      </c>
      <c r="X153" s="38">
        <v>1350.07</v>
      </c>
      <c r="Y153" s="38">
        <v>93750</v>
      </c>
      <c r="Z153" s="38">
        <v>0</v>
      </c>
      <c r="AA153" s="38">
        <v>0</v>
      </c>
      <c r="AB153" s="38">
        <v>93750</v>
      </c>
      <c r="AC153" s="38">
        <v>100</v>
      </c>
      <c r="AD153" s="38">
        <v>0</v>
      </c>
      <c r="AE153" s="38">
        <v>6250</v>
      </c>
      <c r="AF153" s="38">
        <v>0</v>
      </c>
      <c r="AG153" s="123">
        <v>45954</v>
      </c>
      <c r="AH153" s="123">
        <v>46066</v>
      </c>
      <c r="AI153" s="120">
        <v>0</v>
      </c>
      <c r="AJ153" s="120">
        <v>0</v>
      </c>
      <c r="AK153" s="120">
        <v>0</v>
      </c>
      <c r="AL153" s="120">
        <v>0</v>
      </c>
      <c r="AM153" s="35"/>
      <c r="AN153" s="35"/>
      <c r="AO153" s="35"/>
      <c r="AP153" s="35" t="s">
        <v>52</v>
      </c>
      <c r="AQ153" s="35">
        <v>5</v>
      </c>
      <c r="AR153" s="35">
        <v>0</v>
      </c>
      <c r="AS153" s="1">
        <f t="shared" si="6"/>
        <v>7600.07</v>
      </c>
    </row>
    <row r="154" spans="1:45" x14ac:dyDescent="0.3">
      <c r="A154" s="6" t="str">
        <f t="shared" si="5"/>
        <v>000202</v>
      </c>
      <c r="B154" s="35" t="s">
        <v>189</v>
      </c>
      <c r="C154" s="35" t="s">
        <v>191</v>
      </c>
      <c r="D154" s="35" t="s">
        <v>189</v>
      </c>
      <c r="E154" s="35" t="s">
        <v>191</v>
      </c>
      <c r="F154" s="35" t="s">
        <v>467</v>
      </c>
      <c r="G154" s="35" t="s">
        <v>424</v>
      </c>
      <c r="H154" s="35" t="s">
        <v>43</v>
      </c>
      <c r="I154" s="35" t="s">
        <v>44</v>
      </c>
      <c r="J154" s="35" t="s">
        <v>2146</v>
      </c>
      <c r="K154" s="35" t="s">
        <v>1103</v>
      </c>
      <c r="L154" s="35" t="s">
        <v>47</v>
      </c>
      <c r="M154" s="35" t="s">
        <v>48</v>
      </c>
      <c r="N154" s="35" t="s">
        <v>43</v>
      </c>
      <c r="O154" s="35" t="s">
        <v>594</v>
      </c>
      <c r="P154" s="35" t="s">
        <v>51</v>
      </c>
      <c r="Q154" s="35"/>
      <c r="R154" s="35"/>
      <c r="S154" s="38">
        <v>71000</v>
      </c>
      <c r="T154" s="38">
        <v>0</v>
      </c>
      <c r="U154" s="38">
        <v>0</v>
      </c>
      <c r="V154" s="38">
        <v>15336.76</v>
      </c>
      <c r="W154" s="38">
        <v>0</v>
      </c>
      <c r="X154" s="38">
        <v>0</v>
      </c>
      <c r="Y154" s="38">
        <v>71000</v>
      </c>
      <c r="Z154" s="38">
        <v>0</v>
      </c>
      <c r="AA154" s="38">
        <v>0</v>
      </c>
      <c r="AB154" s="38">
        <v>71000</v>
      </c>
      <c r="AC154" s="38">
        <v>100</v>
      </c>
      <c r="AD154" s="38">
        <v>0</v>
      </c>
      <c r="AE154" s="38">
        <v>4437.5</v>
      </c>
      <c r="AF154" s="38">
        <v>0</v>
      </c>
      <c r="AG154" s="123">
        <v>45961</v>
      </c>
      <c r="AH154" s="123">
        <v>46073</v>
      </c>
      <c r="AI154" s="120">
        <v>0</v>
      </c>
      <c r="AJ154" s="120">
        <v>0</v>
      </c>
      <c r="AK154" s="120">
        <v>0</v>
      </c>
      <c r="AL154" s="120">
        <v>0</v>
      </c>
      <c r="AM154" s="35"/>
      <c r="AN154" s="35"/>
      <c r="AO154" s="35"/>
      <c r="AP154" s="35" t="s">
        <v>52</v>
      </c>
      <c r="AQ154" s="35">
        <v>6</v>
      </c>
      <c r="AR154" s="35">
        <v>0</v>
      </c>
      <c r="AS154" s="1">
        <f t="shared" si="6"/>
        <v>0</v>
      </c>
    </row>
    <row r="155" spans="1:45" x14ac:dyDescent="0.3">
      <c r="A155" s="6" t="str">
        <f t="shared" si="5"/>
        <v>000006</v>
      </c>
      <c r="B155" s="35" t="s">
        <v>170</v>
      </c>
      <c r="C155" s="35" t="s">
        <v>171</v>
      </c>
      <c r="D155" s="35" t="s">
        <v>170</v>
      </c>
      <c r="E155" s="35" t="s">
        <v>171</v>
      </c>
      <c r="F155" s="35" t="s">
        <v>451</v>
      </c>
      <c r="G155" s="35" t="s">
        <v>388</v>
      </c>
      <c r="H155" s="35" t="s">
        <v>49</v>
      </c>
      <c r="I155" s="35" t="s">
        <v>450</v>
      </c>
      <c r="J155" s="35" t="s">
        <v>172</v>
      </c>
      <c r="K155" s="35" t="s">
        <v>106</v>
      </c>
      <c r="L155" s="35" t="s">
        <v>47</v>
      </c>
      <c r="M155" s="35" t="s">
        <v>48</v>
      </c>
      <c r="N155" s="35" t="s">
        <v>49</v>
      </c>
      <c r="O155" s="35" t="s">
        <v>50</v>
      </c>
      <c r="P155" s="35" t="s">
        <v>51</v>
      </c>
      <c r="Q155" s="35"/>
      <c r="R155" s="35"/>
      <c r="S155" s="38">
        <v>184000</v>
      </c>
      <c r="T155" s="38">
        <v>126500</v>
      </c>
      <c r="U155" s="38">
        <v>27325.32</v>
      </c>
      <c r="V155" s="38">
        <v>39745.96</v>
      </c>
      <c r="W155" s="38">
        <v>126498.90000000001</v>
      </c>
      <c r="X155" s="38">
        <v>27325.34</v>
      </c>
      <c r="Y155" s="38">
        <v>57501.1</v>
      </c>
      <c r="Z155" s="38">
        <v>0</v>
      </c>
      <c r="AA155" s="38">
        <v>0</v>
      </c>
      <c r="AB155" s="38">
        <v>57501.1</v>
      </c>
      <c r="AC155" s="38">
        <v>100</v>
      </c>
      <c r="AD155" s="38">
        <v>12420.6</v>
      </c>
      <c r="AE155" s="38">
        <v>11500</v>
      </c>
      <c r="AF155" s="38">
        <v>0</v>
      </c>
      <c r="AG155" s="123">
        <v>45881</v>
      </c>
      <c r="AH155" s="123">
        <v>45993</v>
      </c>
      <c r="AI155" s="120">
        <v>0</v>
      </c>
      <c r="AJ155" s="120">
        <v>0</v>
      </c>
      <c r="AK155" s="120">
        <v>0</v>
      </c>
      <c r="AL155" s="120">
        <v>0</v>
      </c>
      <c r="AM155" s="35"/>
      <c r="AN155" s="35"/>
      <c r="AO155" s="35"/>
      <c r="AP155" s="35" t="s">
        <v>52</v>
      </c>
      <c r="AQ155" s="35">
        <v>6</v>
      </c>
      <c r="AR155" s="35">
        <v>0</v>
      </c>
      <c r="AS155" s="1">
        <f t="shared" si="6"/>
        <v>153824.24000000002</v>
      </c>
    </row>
    <row r="156" spans="1:45" x14ac:dyDescent="0.3">
      <c r="A156" s="6" t="str">
        <f t="shared" si="5"/>
        <v>000026</v>
      </c>
      <c r="B156" s="35" t="s">
        <v>170</v>
      </c>
      <c r="C156" s="35" t="s">
        <v>171</v>
      </c>
      <c r="D156" s="35" t="s">
        <v>170</v>
      </c>
      <c r="E156" s="35" t="s">
        <v>171</v>
      </c>
      <c r="F156" s="35" t="s">
        <v>451</v>
      </c>
      <c r="G156" s="35" t="s">
        <v>388</v>
      </c>
      <c r="H156" s="35" t="s">
        <v>49</v>
      </c>
      <c r="I156" s="35" t="s">
        <v>450</v>
      </c>
      <c r="J156" s="35" t="s">
        <v>432</v>
      </c>
      <c r="K156" s="35" t="s">
        <v>399</v>
      </c>
      <c r="L156" s="35" t="s">
        <v>47</v>
      </c>
      <c r="M156" s="35" t="s">
        <v>48</v>
      </c>
      <c r="N156" s="35" t="s">
        <v>43</v>
      </c>
      <c r="O156" s="35" t="s">
        <v>486</v>
      </c>
      <c r="P156" s="35" t="s">
        <v>486</v>
      </c>
      <c r="Q156" s="35"/>
      <c r="R156" s="35"/>
      <c r="S156" s="38">
        <v>77000</v>
      </c>
      <c r="T156" s="38">
        <v>48125</v>
      </c>
      <c r="U156" s="38">
        <v>10395.5</v>
      </c>
      <c r="V156" s="38">
        <v>16632.82</v>
      </c>
      <c r="W156" s="38">
        <v>48124.520000000004</v>
      </c>
      <c r="X156" s="38">
        <v>10395.530000000001</v>
      </c>
      <c r="Y156" s="38">
        <v>28875.48</v>
      </c>
      <c r="Z156" s="38">
        <v>0</v>
      </c>
      <c r="AA156" s="38">
        <v>0</v>
      </c>
      <c r="AB156" s="38">
        <v>28875.48</v>
      </c>
      <c r="AC156" s="38">
        <v>100</v>
      </c>
      <c r="AD156" s="38">
        <v>6237.3</v>
      </c>
      <c r="AE156" s="38">
        <v>4812.5</v>
      </c>
      <c r="AF156" s="38">
        <v>0</v>
      </c>
      <c r="AG156" s="123">
        <v>45890</v>
      </c>
      <c r="AH156" s="123">
        <v>46002</v>
      </c>
      <c r="AI156" s="120">
        <v>0</v>
      </c>
      <c r="AJ156" s="120">
        <v>0</v>
      </c>
      <c r="AK156" s="120">
        <v>0</v>
      </c>
      <c r="AL156" s="120">
        <v>0</v>
      </c>
      <c r="AM156" s="35"/>
      <c r="AN156" s="35"/>
      <c r="AO156" s="35"/>
      <c r="AP156" s="35" t="s">
        <v>52</v>
      </c>
      <c r="AQ156" s="35">
        <v>5</v>
      </c>
      <c r="AR156" s="35">
        <v>0</v>
      </c>
      <c r="AS156" s="1">
        <f t="shared" si="6"/>
        <v>58520.05</v>
      </c>
    </row>
    <row r="157" spans="1:45" x14ac:dyDescent="0.3">
      <c r="A157" s="6" t="str">
        <f t="shared" si="5"/>
        <v>000028</v>
      </c>
      <c r="B157" s="35" t="s">
        <v>170</v>
      </c>
      <c r="C157" s="35" t="s">
        <v>171</v>
      </c>
      <c r="D157" s="35" t="s">
        <v>170</v>
      </c>
      <c r="E157" s="35" t="s">
        <v>171</v>
      </c>
      <c r="F157" s="35" t="s">
        <v>451</v>
      </c>
      <c r="G157" s="35" t="s">
        <v>388</v>
      </c>
      <c r="H157" s="35" t="s">
        <v>49</v>
      </c>
      <c r="I157" s="35" t="s">
        <v>450</v>
      </c>
      <c r="J157" s="35" t="s">
        <v>678</v>
      </c>
      <c r="K157" s="35" t="s">
        <v>395</v>
      </c>
      <c r="L157" s="35" t="s">
        <v>47</v>
      </c>
      <c r="M157" s="35" t="s">
        <v>48</v>
      </c>
      <c r="N157" s="35" t="s">
        <v>43</v>
      </c>
      <c r="O157" s="35" t="s">
        <v>594</v>
      </c>
      <c r="P157" s="35" t="s">
        <v>51</v>
      </c>
      <c r="Q157" s="35"/>
      <c r="R157" s="35"/>
      <c r="S157" s="38">
        <v>76000</v>
      </c>
      <c r="T157" s="38">
        <v>42750</v>
      </c>
      <c r="U157" s="38">
        <v>9234.4500000000007</v>
      </c>
      <c r="V157" s="38">
        <v>16416.810000000001</v>
      </c>
      <c r="W157" s="38">
        <v>38000</v>
      </c>
      <c r="X157" s="38">
        <v>8264</v>
      </c>
      <c r="Y157" s="38">
        <v>38000</v>
      </c>
      <c r="Z157" s="38">
        <v>4750</v>
      </c>
      <c r="AA157" s="38">
        <v>12.5</v>
      </c>
      <c r="AB157" s="38">
        <v>33250</v>
      </c>
      <c r="AC157" s="38">
        <v>87.5</v>
      </c>
      <c r="AD157" s="38">
        <v>7182.35</v>
      </c>
      <c r="AE157" s="38">
        <v>4750</v>
      </c>
      <c r="AF157" s="38">
        <v>1</v>
      </c>
      <c r="AG157" s="123">
        <v>45898</v>
      </c>
      <c r="AH157" s="123">
        <v>46010</v>
      </c>
      <c r="AI157" s="120">
        <v>0</v>
      </c>
      <c r="AJ157" s="120">
        <v>0</v>
      </c>
      <c r="AK157" s="120">
        <v>0</v>
      </c>
      <c r="AL157" s="120">
        <v>0</v>
      </c>
      <c r="AM157" s="35"/>
      <c r="AN157" s="35"/>
      <c r="AO157" s="35"/>
      <c r="AP157" s="35" t="s">
        <v>52</v>
      </c>
      <c r="AQ157" s="35">
        <v>7</v>
      </c>
      <c r="AR157" s="35">
        <v>0</v>
      </c>
      <c r="AS157" s="1">
        <f t="shared" si="6"/>
        <v>46264</v>
      </c>
    </row>
    <row r="158" spans="1:45" x14ac:dyDescent="0.3">
      <c r="A158" s="6" t="str">
        <f t="shared" si="5"/>
        <v>000039</v>
      </c>
      <c r="B158" s="35" t="s">
        <v>170</v>
      </c>
      <c r="C158" s="35" t="s">
        <v>171</v>
      </c>
      <c r="D158" s="35" t="s">
        <v>170</v>
      </c>
      <c r="E158" s="35" t="s">
        <v>171</v>
      </c>
      <c r="F158" s="35" t="s">
        <v>451</v>
      </c>
      <c r="G158" s="35" t="s">
        <v>388</v>
      </c>
      <c r="H158" s="35" t="s">
        <v>49</v>
      </c>
      <c r="I158" s="35" t="s">
        <v>450</v>
      </c>
      <c r="J158" s="35" t="s">
        <v>595</v>
      </c>
      <c r="K158" s="35" t="s">
        <v>596</v>
      </c>
      <c r="L158" s="35" t="s">
        <v>47</v>
      </c>
      <c r="M158" s="35" t="s">
        <v>48</v>
      </c>
      <c r="N158" s="35" t="s">
        <v>43</v>
      </c>
      <c r="O158" s="35" t="s">
        <v>594</v>
      </c>
      <c r="P158" s="35" t="s">
        <v>51</v>
      </c>
      <c r="Q158" s="35"/>
      <c r="R158" s="35"/>
      <c r="S158" s="38">
        <v>120000</v>
      </c>
      <c r="T158" s="38">
        <v>67500</v>
      </c>
      <c r="U158" s="38">
        <v>14580.720000000001</v>
      </c>
      <c r="V158" s="38">
        <v>25921.279999999999</v>
      </c>
      <c r="W158" s="38">
        <v>67499.28</v>
      </c>
      <c r="X158" s="38">
        <v>14580.720000000001</v>
      </c>
      <c r="Y158" s="38">
        <v>52500.72</v>
      </c>
      <c r="Z158" s="38">
        <v>0</v>
      </c>
      <c r="AA158" s="38">
        <v>0</v>
      </c>
      <c r="AB158" s="38">
        <v>52500.72</v>
      </c>
      <c r="AC158" s="38">
        <v>100</v>
      </c>
      <c r="AD158" s="38">
        <v>11340.56</v>
      </c>
      <c r="AE158" s="38">
        <v>7500</v>
      </c>
      <c r="AF158" s="38">
        <v>0</v>
      </c>
      <c r="AG158" s="123">
        <v>45896</v>
      </c>
      <c r="AH158" s="123">
        <v>46008</v>
      </c>
      <c r="AI158" s="120">
        <v>0</v>
      </c>
      <c r="AJ158" s="120">
        <v>0</v>
      </c>
      <c r="AK158" s="120">
        <v>0</v>
      </c>
      <c r="AL158" s="120">
        <v>0</v>
      </c>
      <c r="AM158" s="35"/>
      <c r="AN158" s="35"/>
      <c r="AO158" s="35"/>
      <c r="AP158" s="35" t="s">
        <v>52</v>
      </c>
      <c r="AQ158" s="35">
        <v>8</v>
      </c>
      <c r="AR158" s="35">
        <v>0</v>
      </c>
      <c r="AS158" s="1">
        <f t="shared" si="6"/>
        <v>82080</v>
      </c>
    </row>
    <row r="159" spans="1:45" x14ac:dyDescent="0.3">
      <c r="A159" s="6" t="str">
        <f t="shared" si="5"/>
        <v>000060</v>
      </c>
      <c r="B159" s="35" t="s">
        <v>170</v>
      </c>
      <c r="C159" s="35" t="s">
        <v>171</v>
      </c>
      <c r="D159" s="35" t="s">
        <v>170</v>
      </c>
      <c r="E159" s="35" t="s">
        <v>171</v>
      </c>
      <c r="F159" s="35" t="s">
        <v>451</v>
      </c>
      <c r="G159" s="35" t="s">
        <v>388</v>
      </c>
      <c r="H159" s="35" t="s">
        <v>49</v>
      </c>
      <c r="I159" s="35" t="s">
        <v>450</v>
      </c>
      <c r="J159" s="35" t="s">
        <v>814</v>
      </c>
      <c r="K159" s="35" t="s">
        <v>815</v>
      </c>
      <c r="L159" s="35" t="s">
        <v>47</v>
      </c>
      <c r="M159" s="35" t="s">
        <v>48</v>
      </c>
      <c r="N159" s="35" t="s">
        <v>846</v>
      </c>
      <c r="O159" s="35" t="s">
        <v>847</v>
      </c>
      <c r="P159" s="35" t="s">
        <v>51</v>
      </c>
      <c r="Q159" s="35"/>
      <c r="R159" s="35"/>
      <c r="S159" s="38">
        <v>144000</v>
      </c>
      <c r="T159" s="38">
        <v>72000</v>
      </c>
      <c r="U159" s="38">
        <v>15552.800000000001</v>
      </c>
      <c r="V159" s="38">
        <v>31105.54</v>
      </c>
      <c r="W159" s="38">
        <v>72000</v>
      </c>
      <c r="X159" s="38">
        <v>15553</v>
      </c>
      <c r="Y159" s="38">
        <v>72000</v>
      </c>
      <c r="Z159" s="38">
        <v>0</v>
      </c>
      <c r="AA159" s="38">
        <v>0</v>
      </c>
      <c r="AB159" s="38">
        <v>72000</v>
      </c>
      <c r="AC159" s="38">
        <v>100</v>
      </c>
      <c r="AD159" s="38">
        <v>15552.800000000001</v>
      </c>
      <c r="AE159" s="38">
        <v>9000</v>
      </c>
      <c r="AF159" s="38">
        <v>0</v>
      </c>
      <c r="AG159" s="123">
        <v>45904</v>
      </c>
      <c r="AH159" s="123">
        <v>46016</v>
      </c>
      <c r="AI159" s="120">
        <v>0</v>
      </c>
      <c r="AJ159" s="120">
        <v>0</v>
      </c>
      <c r="AK159" s="120">
        <v>0</v>
      </c>
      <c r="AL159" s="120">
        <v>0</v>
      </c>
      <c r="AM159" s="35"/>
      <c r="AN159" s="35"/>
      <c r="AO159" s="35"/>
      <c r="AP159" s="35" t="s">
        <v>52</v>
      </c>
      <c r="AQ159" s="35">
        <v>6</v>
      </c>
      <c r="AR159" s="35">
        <v>0</v>
      </c>
      <c r="AS159" s="1">
        <f t="shared" si="6"/>
        <v>87553</v>
      </c>
    </row>
    <row r="160" spans="1:45" x14ac:dyDescent="0.3">
      <c r="A160" s="6" t="str">
        <f t="shared" si="5"/>
        <v>000070</v>
      </c>
      <c r="B160" s="35" t="s">
        <v>170</v>
      </c>
      <c r="C160" s="35" t="s">
        <v>171</v>
      </c>
      <c r="D160" s="35" t="s">
        <v>170</v>
      </c>
      <c r="E160" s="35" t="s">
        <v>171</v>
      </c>
      <c r="F160" s="35" t="s">
        <v>451</v>
      </c>
      <c r="G160" s="35" t="s">
        <v>388</v>
      </c>
      <c r="H160" s="35" t="s">
        <v>49</v>
      </c>
      <c r="I160" s="35" t="s">
        <v>450</v>
      </c>
      <c r="J160" s="35" t="s">
        <v>189</v>
      </c>
      <c r="K160" s="35" t="s">
        <v>932</v>
      </c>
      <c r="L160" s="35" t="s">
        <v>47</v>
      </c>
      <c r="M160" s="35" t="s">
        <v>48</v>
      </c>
      <c r="N160" s="35" t="s">
        <v>43</v>
      </c>
      <c r="O160" s="35" t="s">
        <v>594</v>
      </c>
      <c r="P160" s="35" t="s">
        <v>51</v>
      </c>
      <c r="Q160" s="35"/>
      <c r="R160" s="35"/>
      <c r="S160" s="38">
        <v>116000</v>
      </c>
      <c r="T160" s="38">
        <v>50750</v>
      </c>
      <c r="U160" s="38">
        <v>10962.56</v>
      </c>
      <c r="V160" s="38">
        <v>25057.24</v>
      </c>
      <c r="W160" s="38">
        <v>50750</v>
      </c>
      <c r="X160" s="38">
        <v>10968</v>
      </c>
      <c r="Y160" s="38">
        <v>65250</v>
      </c>
      <c r="Z160" s="38">
        <v>0</v>
      </c>
      <c r="AA160" s="38">
        <v>0</v>
      </c>
      <c r="AB160" s="38">
        <v>65250</v>
      </c>
      <c r="AC160" s="38">
        <v>100</v>
      </c>
      <c r="AD160" s="38">
        <v>14094.720000000001</v>
      </c>
      <c r="AE160" s="38">
        <v>7250</v>
      </c>
      <c r="AF160" s="38">
        <v>0</v>
      </c>
      <c r="AG160" s="123">
        <v>45911</v>
      </c>
      <c r="AH160" s="123">
        <v>46023</v>
      </c>
      <c r="AI160" s="120">
        <v>0</v>
      </c>
      <c r="AJ160" s="120">
        <v>0</v>
      </c>
      <c r="AK160" s="120">
        <v>0</v>
      </c>
      <c r="AL160" s="120">
        <v>0</v>
      </c>
      <c r="AM160" s="35"/>
      <c r="AN160" s="35"/>
      <c r="AO160" s="35"/>
      <c r="AP160" s="35" t="s">
        <v>52</v>
      </c>
      <c r="AQ160" s="35">
        <v>6</v>
      </c>
      <c r="AR160" s="35">
        <v>0</v>
      </c>
      <c r="AS160" s="1">
        <f t="shared" si="6"/>
        <v>61718</v>
      </c>
    </row>
    <row r="161" spans="1:45" x14ac:dyDescent="0.3">
      <c r="A161" s="6" t="str">
        <f t="shared" si="5"/>
        <v>000108</v>
      </c>
      <c r="B161" s="35" t="s">
        <v>170</v>
      </c>
      <c r="C161" s="35" t="s">
        <v>171</v>
      </c>
      <c r="D161" s="35" t="s">
        <v>170</v>
      </c>
      <c r="E161" s="35" t="s">
        <v>171</v>
      </c>
      <c r="F161" s="35" t="s">
        <v>451</v>
      </c>
      <c r="G161" s="35" t="s">
        <v>388</v>
      </c>
      <c r="H161" s="35" t="s">
        <v>49</v>
      </c>
      <c r="I161" s="35" t="s">
        <v>450</v>
      </c>
      <c r="J161" s="35" t="s">
        <v>1274</v>
      </c>
      <c r="K161" s="35" t="s">
        <v>1199</v>
      </c>
      <c r="L161" s="35" t="s">
        <v>47</v>
      </c>
      <c r="M161" s="35" t="s">
        <v>48</v>
      </c>
      <c r="N161" s="35" t="s">
        <v>43</v>
      </c>
      <c r="O161" s="35" t="s">
        <v>594</v>
      </c>
      <c r="P161" s="35" t="s">
        <v>51</v>
      </c>
      <c r="Q161" s="35"/>
      <c r="R161" s="35"/>
      <c r="S161" s="38">
        <v>140000</v>
      </c>
      <c r="T161" s="38">
        <v>43750</v>
      </c>
      <c r="U161" s="38">
        <v>9450.4500000000007</v>
      </c>
      <c r="V161" s="38">
        <v>30241.49</v>
      </c>
      <c r="W161" s="38">
        <v>43750</v>
      </c>
      <c r="X161" s="38">
        <v>9453</v>
      </c>
      <c r="Y161" s="38">
        <v>96250</v>
      </c>
      <c r="Z161" s="38">
        <v>0</v>
      </c>
      <c r="AA161" s="38">
        <v>0</v>
      </c>
      <c r="AB161" s="38">
        <v>96250</v>
      </c>
      <c r="AC161" s="38">
        <v>100</v>
      </c>
      <c r="AD161" s="38">
        <v>20790.990000000002</v>
      </c>
      <c r="AE161" s="38">
        <v>8750</v>
      </c>
      <c r="AF161" s="38">
        <v>0</v>
      </c>
      <c r="AG161" s="123">
        <v>45925</v>
      </c>
      <c r="AH161" s="123">
        <v>46037</v>
      </c>
      <c r="AI161" s="120">
        <v>0</v>
      </c>
      <c r="AJ161" s="120">
        <v>0</v>
      </c>
      <c r="AK161" s="120">
        <v>0</v>
      </c>
      <c r="AL161" s="120">
        <v>0</v>
      </c>
      <c r="AM161" s="35"/>
      <c r="AN161" s="35"/>
      <c r="AO161" s="35"/>
      <c r="AP161" s="35" t="s">
        <v>52</v>
      </c>
      <c r="AQ161" s="35">
        <v>5</v>
      </c>
      <c r="AR161" s="35">
        <v>0</v>
      </c>
      <c r="AS161" s="1">
        <f t="shared" si="6"/>
        <v>53203</v>
      </c>
    </row>
    <row r="162" spans="1:45" x14ac:dyDescent="0.3">
      <c r="A162" s="6" t="str">
        <f t="shared" si="5"/>
        <v>000120</v>
      </c>
      <c r="B162" s="35" t="s">
        <v>170</v>
      </c>
      <c r="C162" s="35" t="s">
        <v>171</v>
      </c>
      <c r="D162" s="35" t="s">
        <v>170</v>
      </c>
      <c r="E162" s="35" t="s">
        <v>171</v>
      </c>
      <c r="F162" s="35" t="s">
        <v>451</v>
      </c>
      <c r="G162" s="35" t="s">
        <v>388</v>
      </c>
      <c r="H162" s="35" t="s">
        <v>49</v>
      </c>
      <c r="I162" s="35" t="s">
        <v>450</v>
      </c>
      <c r="J162" s="35" t="s">
        <v>1361</v>
      </c>
      <c r="K162" s="35" t="s">
        <v>1356</v>
      </c>
      <c r="L162" s="35" t="s">
        <v>47</v>
      </c>
      <c r="M162" s="35" t="s">
        <v>48</v>
      </c>
      <c r="N162" s="35" t="s">
        <v>43</v>
      </c>
      <c r="O162" s="35" t="s">
        <v>594</v>
      </c>
      <c r="P162" s="35" t="s">
        <v>51</v>
      </c>
      <c r="Q162" s="35"/>
      <c r="R162" s="35"/>
      <c r="S162" s="38">
        <v>160000</v>
      </c>
      <c r="T162" s="38">
        <v>40000</v>
      </c>
      <c r="U162" s="38">
        <v>8640.44</v>
      </c>
      <c r="V162" s="38">
        <v>34561.71</v>
      </c>
      <c r="W162" s="38">
        <v>39999.56</v>
      </c>
      <c r="X162" s="38">
        <v>8640.44</v>
      </c>
      <c r="Y162" s="38">
        <v>120000.44</v>
      </c>
      <c r="Z162" s="38">
        <v>0</v>
      </c>
      <c r="AA162" s="38">
        <v>0</v>
      </c>
      <c r="AB162" s="38">
        <v>120000.44</v>
      </c>
      <c r="AC162" s="38">
        <v>100</v>
      </c>
      <c r="AD162" s="38">
        <v>25921.32</v>
      </c>
      <c r="AE162" s="38">
        <v>10000</v>
      </c>
      <c r="AF162" s="38">
        <v>0</v>
      </c>
      <c r="AG162" s="123">
        <v>45929</v>
      </c>
      <c r="AH162" s="123">
        <v>46041</v>
      </c>
      <c r="AI162" s="120">
        <v>0</v>
      </c>
      <c r="AJ162" s="120">
        <v>0</v>
      </c>
      <c r="AK162" s="120">
        <v>0</v>
      </c>
      <c r="AL162" s="120">
        <v>0</v>
      </c>
      <c r="AM162" s="35"/>
      <c r="AN162" s="35"/>
      <c r="AO162" s="35"/>
      <c r="AP162" s="35" t="s">
        <v>52</v>
      </c>
      <c r="AQ162" s="35">
        <v>5</v>
      </c>
      <c r="AR162" s="35">
        <v>0</v>
      </c>
      <c r="AS162" s="1">
        <f t="shared" si="6"/>
        <v>48640</v>
      </c>
    </row>
    <row r="163" spans="1:45" x14ac:dyDescent="0.3">
      <c r="A163" s="6" t="str">
        <f t="shared" si="5"/>
        <v>000126</v>
      </c>
      <c r="B163" s="35" t="s">
        <v>170</v>
      </c>
      <c r="C163" s="35" t="s">
        <v>171</v>
      </c>
      <c r="D163" s="35" t="s">
        <v>170</v>
      </c>
      <c r="E163" s="35" t="s">
        <v>171</v>
      </c>
      <c r="F163" s="35" t="s">
        <v>451</v>
      </c>
      <c r="G163" s="35" t="s">
        <v>388</v>
      </c>
      <c r="H163" s="35" t="s">
        <v>49</v>
      </c>
      <c r="I163" s="35" t="s">
        <v>450</v>
      </c>
      <c r="J163" s="35" t="s">
        <v>1449</v>
      </c>
      <c r="K163" s="35" t="s">
        <v>1383</v>
      </c>
      <c r="L163" s="35" t="s">
        <v>47</v>
      </c>
      <c r="M163" s="35" t="s">
        <v>48</v>
      </c>
      <c r="N163" s="35" t="s">
        <v>43</v>
      </c>
      <c r="O163" s="35" t="s">
        <v>594</v>
      </c>
      <c r="P163" s="35" t="s">
        <v>51</v>
      </c>
      <c r="Q163" s="35"/>
      <c r="R163" s="35"/>
      <c r="S163" s="38">
        <v>40000</v>
      </c>
      <c r="T163" s="38">
        <v>10000</v>
      </c>
      <c r="U163" s="38">
        <v>2160.12</v>
      </c>
      <c r="V163" s="38">
        <v>8640.43</v>
      </c>
      <c r="W163" s="38">
        <v>9999.9</v>
      </c>
      <c r="X163" s="38">
        <v>2160.1</v>
      </c>
      <c r="Y163" s="38">
        <v>30000.100000000002</v>
      </c>
      <c r="Z163" s="38">
        <v>0</v>
      </c>
      <c r="AA163" s="38">
        <v>0</v>
      </c>
      <c r="AB163" s="38">
        <v>30000.100000000002</v>
      </c>
      <c r="AC163" s="38">
        <v>100</v>
      </c>
      <c r="AD163" s="38">
        <v>6480.3600000000006</v>
      </c>
      <c r="AE163" s="38">
        <v>2500</v>
      </c>
      <c r="AF163" s="38">
        <v>0</v>
      </c>
      <c r="AG163" s="123">
        <v>45931</v>
      </c>
      <c r="AH163" s="123">
        <v>46043</v>
      </c>
      <c r="AI163" s="120">
        <v>0</v>
      </c>
      <c r="AJ163" s="120">
        <v>0</v>
      </c>
      <c r="AK163" s="120">
        <v>0</v>
      </c>
      <c r="AL163" s="120">
        <v>0</v>
      </c>
      <c r="AM163" s="35"/>
      <c r="AN163" s="35"/>
      <c r="AO163" s="35"/>
      <c r="AP163" s="35" t="s">
        <v>52</v>
      </c>
      <c r="AQ163" s="35">
        <v>5</v>
      </c>
      <c r="AR163" s="35">
        <v>0</v>
      </c>
      <c r="AS163" s="1">
        <f t="shared" si="6"/>
        <v>12160</v>
      </c>
    </row>
    <row r="164" spans="1:45" x14ac:dyDescent="0.3">
      <c r="A164" s="6" t="str">
        <f t="shared" si="5"/>
        <v>000130</v>
      </c>
      <c r="B164" s="35" t="s">
        <v>170</v>
      </c>
      <c r="C164" s="35" t="s">
        <v>171</v>
      </c>
      <c r="D164" s="35" t="s">
        <v>170</v>
      </c>
      <c r="E164" s="35" t="s">
        <v>171</v>
      </c>
      <c r="F164" s="35" t="s">
        <v>451</v>
      </c>
      <c r="G164" s="35" t="s">
        <v>388</v>
      </c>
      <c r="H164" s="35" t="s">
        <v>49</v>
      </c>
      <c r="I164" s="35" t="s">
        <v>450</v>
      </c>
      <c r="J164" s="35" t="s">
        <v>1468</v>
      </c>
      <c r="K164" s="35" t="s">
        <v>1384</v>
      </c>
      <c r="L164" s="35" t="s">
        <v>47</v>
      </c>
      <c r="M164" s="35" t="s">
        <v>48</v>
      </c>
      <c r="N164" s="35" t="s">
        <v>43</v>
      </c>
      <c r="O164" s="35" t="s">
        <v>594</v>
      </c>
      <c r="P164" s="35" t="s">
        <v>51</v>
      </c>
      <c r="Q164" s="35"/>
      <c r="R164" s="35"/>
      <c r="S164" s="38">
        <v>59000</v>
      </c>
      <c r="T164" s="38">
        <v>14750</v>
      </c>
      <c r="U164" s="38">
        <v>3186.16</v>
      </c>
      <c r="V164" s="38">
        <v>12744.630000000001</v>
      </c>
      <c r="W164" s="38">
        <v>14749.85</v>
      </c>
      <c r="X164" s="38">
        <v>3186.15</v>
      </c>
      <c r="Y164" s="38">
        <v>44250.15</v>
      </c>
      <c r="Z164" s="38">
        <v>0</v>
      </c>
      <c r="AA164" s="38">
        <v>0</v>
      </c>
      <c r="AB164" s="38">
        <v>44250.15</v>
      </c>
      <c r="AC164" s="38">
        <v>100</v>
      </c>
      <c r="AD164" s="38">
        <v>9558.48</v>
      </c>
      <c r="AE164" s="38">
        <v>3687.5</v>
      </c>
      <c r="AF164" s="38">
        <v>0</v>
      </c>
      <c r="AG164" s="123">
        <v>45931</v>
      </c>
      <c r="AH164" s="123">
        <v>46043</v>
      </c>
      <c r="AI164" s="120">
        <v>0</v>
      </c>
      <c r="AJ164" s="120">
        <v>0</v>
      </c>
      <c r="AK164" s="120">
        <v>0</v>
      </c>
      <c r="AL164" s="120">
        <v>0</v>
      </c>
      <c r="AM164" s="35"/>
      <c r="AN164" s="35"/>
      <c r="AO164" s="35"/>
      <c r="AP164" s="35" t="s">
        <v>52</v>
      </c>
      <c r="AQ164" s="35">
        <v>7</v>
      </c>
      <c r="AR164" s="35">
        <v>0</v>
      </c>
      <c r="AS164" s="1">
        <f t="shared" si="6"/>
        <v>17936</v>
      </c>
    </row>
    <row r="165" spans="1:45" x14ac:dyDescent="0.3">
      <c r="A165" s="6" t="str">
        <f t="shared" si="5"/>
        <v>000137</v>
      </c>
      <c r="B165" s="35" t="s">
        <v>170</v>
      </c>
      <c r="C165" s="35" t="s">
        <v>171</v>
      </c>
      <c r="D165" s="35" t="s">
        <v>170</v>
      </c>
      <c r="E165" s="35" t="s">
        <v>171</v>
      </c>
      <c r="F165" s="35" t="s">
        <v>451</v>
      </c>
      <c r="G165" s="35" t="s">
        <v>388</v>
      </c>
      <c r="H165" s="35" t="s">
        <v>49</v>
      </c>
      <c r="I165" s="35" t="s">
        <v>450</v>
      </c>
      <c r="J165" s="35" t="s">
        <v>1533</v>
      </c>
      <c r="K165" s="35" t="s">
        <v>1516</v>
      </c>
      <c r="L165" s="35" t="s">
        <v>47</v>
      </c>
      <c r="M165" s="35" t="s">
        <v>48</v>
      </c>
      <c r="N165" s="35" t="s">
        <v>43</v>
      </c>
      <c r="O165" s="35" t="s">
        <v>594</v>
      </c>
      <c r="P165" s="35" t="s">
        <v>51</v>
      </c>
      <c r="Q165" s="35"/>
      <c r="R165" s="35"/>
      <c r="S165" s="38">
        <v>113000</v>
      </c>
      <c r="T165" s="38">
        <v>21187.5</v>
      </c>
      <c r="U165" s="38">
        <v>4576.74</v>
      </c>
      <c r="V165" s="38">
        <v>24409.21</v>
      </c>
      <c r="W165" s="38">
        <v>21187.279999999999</v>
      </c>
      <c r="X165" s="38">
        <v>4576.72</v>
      </c>
      <c r="Y165" s="38">
        <v>91812.72</v>
      </c>
      <c r="Z165" s="38">
        <v>0</v>
      </c>
      <c r="AA165" s="38">
        <v>0</v>
      </c>
      <c r="AB165" s="38">
        <v>91812.72</v>
      </c>
      <c r="AC165" s="38">
        <v>100</v>
      </c>
      <c r="AD165" s="38">
        <v>19832.54</v>
      </c>
      <c r="AE165" s="38">
        <v>7062.5</v>
      </c>
      <c r="AF165" s="38">
        <v>0</v>
      </c>
      <c r="AG165" s="123">
        <v>45937</v>
      </c>
      <c r="AH165" s="123">
        <v>46049</v>
      </c>
      <c r="AI165" s="120">
        <v>0</v>
      </c>
      <c r="AJ165" s="120">
        <v>0</v>
      </c>
      <c r="AK165" s="120">
        <v>0</v>
      </c>
      <c r="AL165" s="120">
        <v>0</v>
      </c>
      <c r="AM165" s="35"/>
      <c r="AN165" s="35"/>
      <c r="AO165" s="35"/>
      <c r="AP165" s="35" t="s">
        <v>52</v>
      </c>
      <c r="AQ165" s="35">
        <v>8</v>
      </c>
      <c r="AR165" s="35">
        <v>0</v>
      </c>
      <c r="AS165" s="1">
        <f t="shared" si="6"/>
        <v>25764</v>
      </c>
    </row>
    <row r="166" spans="1:45" x14ac:dyDescent="0.3">
      <c r="A166" s="6" t="str">
        <f t="shared" si="5"/>
        <v>000143</v>
      </c>
      <c r="B166" s="35" t="s">
        <v>170</v>
      </c>
      <c r="C166" s="35" t="s">
        <v>171</v>
      </c>
      <c r="D166" s="35" t="s">
        <v>170</v>
      </c>
      <c r="E166" s="35" t="s">
        <v>171</v>
      </c>
      <c r="F166" s="35" t="s">
        <v>451</v>
      </c>
      <c r="G166" s="35" t="s">
        <v>388</v>
      </c>
      <c r="H166" s="35" t="s">
        <v>49</v>
      </c>
      <c r="I166" s="35" t="s">
        <v>450</v>
      </c>
      <c r="J166" s="35" t="s">
        <v>1575</v>
      </c>
      <c r="K166" s="35" t="s">
        <v>1564</v>
      </c>
      <c r="L166" s="35" t="s">
        <v>47</v>
      </c>
      <c r="M166" s="35" t="s">
        <v>48</v>
      </c>
      <c r="N166" s="35" t="s">
        <v>43</v>
      </c>
      <c r="O166" s="35" t="s">
        <v>594</v>
      </c>
      <c r="P166" s="35" t="s">
        <v>51</v>
      </c>
      <c r="Q166" s="35"/>
      <c r="R166" s="35"/>
      <c r="S166" s="38">
        <v>70000</v>
      </c>
      <c r="T166" s="38">
        <v>13125</v>
      </c>
      <c r="U166" s="38">
        <v>2835.15</v>
      </c>
      <c r="V166" s="38">
        <v>15120.75</v>
      </c>
      <c r="W166" s="38">
        <v>13125</v>
      </c>
      <c r="X166" s="38">
        <v>2836</v>
      </c>
      <c r="Y166" s="38">
        <v>56875</v>
      </c>
      <c r="Z166" s="38">
        <v>0</v>
      </c>
      <c r="AA166" s="38">
        <v>0</v>
      </c>
      <c r="AB166" s="38">
        <v>56875</v>
      </c>
      <c r="AC166" s="38">
        <v>100</v>
      </c>
      <c r="AD166" s="38">
        <v>12285.65</v>
      </c>
      <c r="AE166" s="38">
        <v>4375</v>
      </c>
      <c r="AF166" s="38">
        <v>0</v>
      </c>
      <c r="AG166" s="123">
        <v>45939</v>
      </c>
      <c r="AH166" s="123">
        <v>46051</v>
      </c>
      <c r="AI166" s="120">
        <v>0</v>
      </c>
      <c r="AJ166" s="120">
        <v>0</v>
      </c>
      <c r="AK166" s="120">
        <v>0</v>
      </c>
      <c r="AL166" s="120">
        <v>0</v>
      </c>
      <c r="AM166" s="35"/>
      <c r="AN166" s="35"/>
      <c r="AO166" s="35"/>
      <c r="AP166" s="35" t="s">
        <v>52</v>
      </c>
      <c r="AQ166" s="35">
        <v>5</v>
      </c>
      <c r="AR166" s="35">
        <v>0</v>
      </c>
      <c r="AS166" s="1">
        <f t="shared" si="6"/>
        <v>15961</v>
      </c>
    </row>
    <row r="167" spans="1:45" x14ac:dyDescent="0.3">
      <c r="A167" s="6" t="str">
        <f t="shared" si="5"/>
        <v>000168</v>
      </c>
      <c r="B167" s="35" t="s">
        <v>170</v>
      </c>
      <c r="C167" s="35" t="s">
        <v>171</v>
      </c>
      <c r="D167" s="35" t="s">
        <v>170</v>
      </c>
      <c r="E167" s="35" t="s">
        <v>171</v>
      </c>
      <c r="F167" s="35" t="s">
        <v>451</v>
      </c>
      <c r="G167" s="35" t="s">
        <v>388</v>
      </c>
      <c r="H167" s="35" t="s">
        <v>49</v>
      </c>
      <c r="I167" s="35" t="s">
        <v>450</v>
      </c>
      <c r="J167" s="35" t="s">
        <v>1837</v>
      </c>
      <c r="K167" s="35" t="s">
        <v>186</v>
      </c>
      <c r="L167" s="35" t="s">
        <v>47</v>
      </c>
      <c r="M167" s="35" t="s">
        <v>48</v>
      </c>
      <c r="N167" s="35" t="s">
        <v>43</v>
      </c>
      <c r="O167" s="35" t="s">
        <v>594</v>
      </c>
      <c r="P167" s="35" t="s">
        <v>51</v>
      </c>
      <c r="Q167" s="35"/>
      <c r="R167" s="35"/>
      <c r="S167" s="38">
        <v>70000</v>
      </c>
      <c r="T167" s="38">
        <v>4375</v>
      </c>
      <c r="U167" s="38">
        <v>945.05000000000007</v>
      </c>
      <c r="V167" s="38">
        <v>15120.75</v>
      </c>
      <c r="W167" s="38">
        <v>4374.95</v>
      </c>
      <c r="X167" s="38">
        <v>945.05000000000007</v>
      </c>
      <c r="Y167" s="38">
        <v>65625.05</v>
      </c>
      <c r="Z167" s="38">
        <v>0</v>
      </c>
      <c r="AA167" s="38">
        <v>0</v>
      </c>
      <c r="AB167" s="38">
        <v>65625.05</v>
      </c>
      <c r="AC167" s="38">
        <v>100</v>
      </c>
      <c r="AD167" s="38">
        <v>14175.75</v>
      </c>
      <c r="AE167" s="38">
        <v>4375</v>
      </c>
      <c r="AF167" s="38">
        <v>0</v>
      </c>
      <c r="AG167" s="123">
        <v>45950</v>
      </c>
      <c r="AH167" s="123">
        <v>46062</v>
      </c>
      <c r="AI167" s="120">
        <v>0</v>
      </c>
      <c r="AJ167" s="120">
        <v>0</v>
      </c>
      <c r="AK167" s="120">
        <v>0</v>
      </c>
      <c r="AL167" s="120">
        <v>0</v>
      </c>
      <c r="AM167" s="35"/>
      <c r="AN167" s="35"/>
      <c r="AO167" s="35"/>
      <c r="AP167" s="35" t="s">
        <v>52</v>
      </c>
      <c r="AQ167" s="35">
        <v>6</v>
      </c>
      <c r="AR167" s="35">
        <v>0</v>
      </c>
      <c r="AS167" s="1">
        <f t="shared" si="6"/>
        <v>5320</v>
      </c>
    </row>
    <row r="168" spans="1:45" x14ac:dyDescent="0.3">
      <c r="A168" s="6" t="str">
        <f t="shared" si="5"/>
        <v>000188</v>
      </c>
      <c r="B168" s="35" t="s">
        <v>170</v>
      </c>
      <c r="C168" s="35" t="s">
        <v>171</v>
      </c>
      <c r="D168" s="35" t="s">
        <v>170</v>
      </c>
      <c r="E168" s="35" t="s">
        <v>171</v>
      </c>
      <c r="F168" s="35" t="s">
        <v>451</v>
      </c>
      <c r="G168" s="35" t="s">
        <v>388</v>
      </c>
      <c r="H168" s="35" t="s">
        <v>49</v>
      </c>
      <c r="I168" s="35" t="s">
        <v>450</v>
      </c>
      <c r="J168" s="35" t="s">
        <v>1960</v>
      </c>
      <c r="K168" s="35" t="s">
        <v>1961</v>
      </c>
      <c r="L168" s="35" t="s">
        <v>47</v>
      </c>
      <c r="M168" s="35" t="s">
        <v>48</v>
      </c>
      <c r="N168" s="35" t="s">
        <v>43</v>
      </c>
      <c r="O168" s="35" t="s">
        <v>594</v>
      </c>
      <c r="P168" s="35" t="s">
        <v>51</v>
      </c>
      <c r="Q168" s="35"/>
      <c r="R168" s="35"/>
      <c r="S168" s="38">
        <v>68000</v>
      </c>
      <c r="T168" s="38">
        <v>0</v>
      </c>
      <c r="U168" s="38">
        <v>0</v>
      </c>
      <c r="V168" s="38">
        <v>14688.73</v>
      </c>
      <c r="W168" s="38">
        <v>0</v>
      </c>
      <c r="X168" s="38">
        <v>0</v>
      </c>
      <c r="Y168" s="38">
        <v>68000</v>
      </c>
      <c r="Z168" s="38">
        <v>0</v>
      </c>
      <c r="AA168" s="38">
        <v>0</v>
      </c>
      <c r="AB168" s="38">
        <v>68000</v>
      </c>
      <c r="AC168" s="38">
        <v>100</v>
      </c>
      <c r="AD168" s="38">
        <v>0</v>
      </c>
      <c r="AE168" s="38">
        <v>4250</v>
      </c>
      <c r="AF168" s="38">
        <v>0</v>
      </c>
      <c r="AG168" s="123">
        <v>45957</v>
      </c>
      <c r="AH168" s="123">
        <v>46069</v>
      </c>
      <c r="AI168" s="120">
        <v>0</v>
      </c>
      <c r="AJ168" s="120">
        <v>0</v>
      </c>
      <c r="AK168" s="120">
        <v>0</v>
      </c>
      <c r="AL168" s="120">
        <v>0</v>
      </c>
      <c r="AM168" s="35"/>
      <c r="AN168" s="35"/>
      <c r="AO168" s="35"/>
      <c r="AP168" s="35" t="s">
        <v>52</v>
      </c>
      <c r="AQ168" s="35">
        <v>5</v>
      </c>
      <c r="AR168" s="35">
        <v>0</v>
      </c>
      <c r="AS168" s="1">
        <f t="shared" si="6"/>
        <v>0</v>
      </c>
    </row>
    <row r="169" spans="1:45" x14ac:dyDescent="0.3">
      <c r="A169" s="6" t="str">
        <f t="shared" si="5"/>
        <v>000193</v>
      </c>
      <c r="B169" s="35" t="s">
        <v>170</v>
      </c>
      <c r="C169" s="35" t="s">
        <v>171</v>
      </c>
      <c r="D169" s="35" t="s">
        <v>170</v>
      </c>
      <c r="E169" s="35" t="s">
        <v>171</v>
      </c>
      <c r="F169" s="35" t="s">
        <v>451</v>
      </c>
      <c r="G169" s="35" t="s">
        <v>388</v>
      </c>
      <c r="H169" s="35" t="s">
        <v>49</v>
      </c>
      <c r="I169" s="35" t="s">
        <v>450</v>
      </c>
      <c r="J169" s="35" t="s">
        <v>2036</v>
      </c>
      <c r="K169" s="35" t="s">
        <v>2037</v>
      </c>
      <c r="L169" s="35" t="s">
        <v>47</v>
      </c>
      <c r="M169" s="35" t="s">
        <v>48</v>
      </c>
      <c r="N169" s="35" t="s">
        <v>43</v>
      </c>
      <c r="O169" s="35" t="s">
        <v>594</v>
      </c>
      <c r="P169" s="35" t="s">
        <v>51</v>
      </c>
      <c r="Q169" s="35"/>
      <c r="R169" s="35"/>
      <c r="S169" s="38">
        <v>138000</v>
      </c>
      <c r="T169" s="38">
        <v>0</v>
      </c>
      <c r="U169" s="38">
        <v>0</v>
      </c>
      <c r="V169" s="38">
        <v>29809.47</v>
      </c>
      <c r="W169" s="38">
        <v>0</v>
      </c>
      <c r="X169" s="38">
        <v>0</v>
      </c>
      <c r="Y169" s="38">
        <v>138000</v>
      </c>
      <c r="Z169" s="38">
        <v>0</v>
      </c>
      <c r="AA169" s="38">
        <v>0</v>
      </c>
      <c r="AB169" s="38">
        <v>138000</v>
      </c>
      <c r="AC169" s="38">
        <v>100</v>
      </c>
      <c r="AD169" s="38">
        <v>0</v>
      </c>
      <c r="AE169" s="38">
        <v>8625</v>
      </c>
      <c r="AF169" s="38">
        <v>0</v>
      </c>
      <c r="AG169" s="123">
        <v>45959</v>
      </c>
      <c r="AH169" s="123">
        <v>46071</v>
      </c>
      <c r="AI169" s="120">
        <v>0</v>
      </c>
      <c r="AJ169" s="120">
        <v>0</v>
      </c>
      <c r="AK169" s="120">
        <v>0</v>
      </c>
      <c r="AL169" s="120">
        <v>0</v>
      </c>
      <c r="AM169" s="35"/>
      <c r="AN169" s="35"/>
      <c r="AO169" s="35"/>
      <c r="AP169" s="35" t="s">
        <v>52</v>
      </c>
      <c r="AQ169" s="35">
        <v>8</v>
      </c>
      <c r="AR169" s="35">
        <v>0</v>
      </c>
      <c r="AS169" s="1">
        <f t="shared" si="6"/>
        <v>0</v>
      </c>
    </row>
    <row r="170" spans="1:45" x14ac:dyDescent="0.3">
      <c r="A170" s="6" t="str">
        <f t="shared" si="5"/>
        <v>000207</v>
      </c>
      <c r="B170" s="35" t="s">
        <v>170</v>
      </c>
      <c r="C170" s="35" t="s">
        <v>171</v>
      </c>
      <c r="D170" s="35" t="s">
        <v>170</v>
      </c>
      <c r="E170" s="35" t="s">
        <v>171</v>
      </c>
      <c r="F170" s="35" t="s">
        <v>451</v>
      </c>
      <c r="G170" s="35" t="s">
        <v>388</v>
      </c>
      <c r="H170" s="35" t="s">
        <v>49</v>
      </c>
      <c r="I170" s="35" t="s">
        <v>450</v>
      </c>
      <c r="J170" s="35" t="s">
        <v>2147</v>
      </c>
      <c r="K170" s="35" t="s">
        <v>1998</v>
      </c>
      <c r="L170" s="35" t="s">
        <v>47</v>
      </c>
      <c r="M170" s="35" t="s">
        <v>48</v>
      </c>
      <c r="N170" s="35" t="s">
        <v>43</v>
      </c>
      <c r="O170" s="35" t="s">
        <v>594</v>
      </c>
      <c r="P170" s="35" t="s">
        <v>51</v>
      </c>
      <c r="Q170" s="35"/>
      <c r="R170" s="35"/>
      <c r="S170" s="38">
        <v>80000</v>
      </c>
      <c r="T170" s="38">
        <v>0</v>
      </c>
      <c r="U170" s="38">
        <v>0</v>
      </c>
      <c r="V170" s="38">
        <v>22400</v>
      </c>
      <c r="W170" s="38">
        <v>0</v>
      </c>
      <c r="X170" s="38">
        <v>0</v>
      </c>
      <c r="Y170" s="38">
        <v>80000</v>
      </c>
      <c r="Z170" s="38">
        <v>0</v>
      </c>
      <c r="AA170" s="38">
        <v>0</v>
      </c>
      <c r="AB170" s="38">
        <v>80000</v>
      </c>
      <c r="AC170" s="38">
        <v>100</v>
      </c>
      <c r="AD170" s="38">
        <v>0</v>
      </c>
      <c r="AE170" s="38">
        <v>5000</v>
      </c>
      <c r="AF170" s="38">
        <v>0</v>
      </c>
      <c r="AG170" s="123">
        <v>45961</v>
      </c>
      <c r="AH170" s="123">
        <v>46073</v>
      </c>
      <c r="AI170" s="120">
        <v>0</v>
      </c>
      <c r="AJ170" s="120">
        <v>0</v>
      </c>
      <c r="AK170" s="120">
        <v>0</v>
      </c>
      <c r="AL170" s="120">
        <v>0</v>
      </c>
      <c r="AM170" s="35"/>
      <c r="AN170" s="35"/>
      <c r="AO170" s="35"/>
      <c r="AP170" s="35" t="s">
        <v>52</v>
      </c>
      <c r="AQ170" s="35">
        <v>8</v>
      </c>
      <c r="AR170" s="35">
        <v>0</v>
      </c>
      <c r="AS170" s="1">
        <f t="shared" si="6"/>
        <v>0</v>
      </c>
    </row>
    <row r="171" spans="1:45" x14ac:dyDescent="0.3">
      <c r="A171" s="6" t="str">
        <f t="shared" si="5"/>
        <v>000013</v>
      </c>
      <c r="B171" s="35" t="s">
        <v>188</v>
      </c>
      <c r="C171" s="35" t="s">
        <v>190</v>
      </c>
      <c r="D171" s="35" t="s">
        <v>188</v>
      </c>
      <c r="E171" s="35" t="s">
        <v>190</v>
      </c>
      <c r="F171" s="35" t="s">
        <v>451</v>
      </c>
      <c r="G171" s="35" t="s">
        <v>388</v>
      </c>
      <c r="H171" s="35" t="s">
        <v>49</v>
      </c>
      <c r="I171" s="35" t="s">
        <v>450</v>
      </c>
      <c r="J171" s="35" t="s">
        <v>192</v>
      </c>
      <c r="K171" s="35" t="s">
        <v>179</v>
      </c>
      <c r="L171" s="35" t="s">
        <v>47</v>
      </c>
      <c r="M171" s="35" t="s">
        <v>48</v>
      </c>
      <c r="N171" s="35" t="s">
        <v>43</v>
      </c>
      <c r="O171" s="35" t="s">
        <v>210</v>
      </c>
      <c r="P171" s="35" t="s">
        <v>211</v>
      </c>
      <c r="Q171" s="35"/>
      <c r="R171" s="35"/>
      <c r="S171" s="38">
        <v>170000</v>
      </c>
      <c r="T171" s="38">
        <v>116875</v>
      </c>
      <c r="U171" s="38">
        <v>25246.21</v>
      </c>
      <c r="V171" s="38">
        <v>36721.81</v>
      </c>
      <c r="W171" s="38">
        <v>116874.96</v>
      </c>
      <c r="X171" s="38">
        <v>25246.260000000002</v>
      </c>
      <c r="Y171" s="38">
        <v>53125.04</v>
      </c>
      <c r="Z171" s="38">
        <v>0</v>
      </c>
      <c r="AA171" s="38">
        <v>0</v>
      </c>
      <c r="AB171" s="38">
        <v>53125.04</v>
      </c>
      <c r="AC171" s="38">
        <v>100</v>
      </c>
      <c r="AD171" s="38">
        <v>11475.550000000001</v>
      </c>
      <c r="AE171" s="38">
        <v>10625</v>
      </c>
      <c r="AF171" s="38">
        <v>0</v>
      </c>
      <c r="AG171" s="123">
        <v>45883</v>
      </c>
      <c r="AH171" s="123">
        <v>45995</v>
      </c>
      <c r="AI171" s="120">
        <v>0</v>
      </c>
      <c r="AJ171" s="120">
        <v>0</v>
      </c>
      <c r="AK171" s="120">
        <v>0</v>
      </c>
      <c r="AL171" s="120">
        <v>0</v>
      </c>
      <c r="AM171" s="35"/>
      <c r="AN171" s="35"/>
      <c r="AO171" s="35"/>
      <c r="AP171" s="35" t="s">
        <v>52</v>
      </c>
      <c r="AQ171" s="35">
        <v>6</v>
      </c>
      <c r="AR171" s="35">
        <v>0</v>
      </c>
      <c r="AS171" s="1">
        <f t="shared" si="6"/>
        <v>142121.22</v>
      </c>
    </row>
    <row r="172" spans="1:45" x14ac:dyDescent="0.3">
      <c r="A172" s="6" t="str">
        <f t="shared" si="5"/>
        <v>000017</v>
      </c>
      <c r="B172" s="35" t="s">
        <v>188</v>
      </c>
      <c r="C172" s="35" t="s">
        <v>190</v>
      </c>
      <c r="D172" s="35" t="s">
        <v>188</v>
      </c>
      <c r="E172" s="35" t="s">
        <v>190</v>
      </c>
      <c r="F172" s="35" t="s">
        <v>451</v>
      </c>
      <c r="G172" s="35" t="s">
        <v>388</v>
      </c>
      <c r="H172" s="35" t="s">
        <v>49</v>
      </c>
      <c r="I172" s="35" t="s">
        <v>450</v>
      </c>
      <c r="J172" s="35" t="s">
        <v>389</v>
      </c>
      <c r="K172" s="35" t="s">
        <v>182</v>
      </c>
      <c r="L172" s="35" t="s">
        <v>47</v>
      </c>
      <c r="M172" s="35" t="s">
        <v>48</v>
      </c>
      <c r="N172" s="35" t="s">
        <v>43</v>
      </c>
      <c r="O172" s="35" t="s">
        <v>486</v>
      </c>
      <c r="P172" s="35" t="s">
        <v>486</v>
      </c>
      <c r="Q172" s="35"/>
      <c r="R172" s="35"/>
      <c r="S172" s="38">
        <v>71000</v>
      </c>
      <c r="T172" s="38">
        <v>44375</v>
      </c>
      <c r="U172" s="38">
        <v>9585.5</v>
      </c>
      <c r="V172" s="38">
        <v>15336.76</v>
      </c>
      <c r="W172" s="38">
        <v>44374.58</v>
      </c>
      <c r="X172" s="38">
        <v>9585.4699999999993</v>
      </c>
      <c r="Y172" s="38">
        <v>26625.420000000002</v>
      </c>
      <c r="Z172" s="38">
        <v>0</v>
      </c>
      <c r="AA172" s="38">
        <v>0</v>
      </c>
      <c r="AB172" s="38">
        <v>26625.420000000002</v>
      </c>
      <c r="AC172" s="38">
        <v>100</v>
      </c>
      <c r="AD172" s="38">
        <v>5751.3</v>
      </c>
      <c r="AE172" s="38">
        <v>4437.5</v>
      </c>
      <c r="AF172" s="38">
        <v>0</v>
      </c>
      <c r="AG172" s="123">
        <v>45887</v>
      </c>
      <c r="AH172" s="123">
        <v>45999</v>
      </c>
      <c r="AI172" s="120">
        <v>0</v>
      </c>
      <c r="AJ172" s="120">
        <v>0</v>
      </c>
      <c r="AK172" s="120">
        <v>0</v>
      </c>
      <c r="AL172" s="120">
        <v>0</v>
      </c>
      <c r="AM172" s="35"/>
      <c r="AN172" s="35"/>
      <c r="AO172" s="35"/>
      <c r="AP172" s="35" t="s">
        <v>52</v>
      </c>
      <c r="AQ172" s="35">
        <v>9</v>
      </c>
      <c r="AR172" s="35">
        <v>0</v>
      </c>
      <c r="AS172" s="1">
        <f t="shared" si="6"/>
        <v>53960.05</v>
      </c>
    </row>
    <row r="173" spans="1:45" x14ac:dyDescent="0.3">
      <c r="A173" s="6" t="str">
        <f t="shared" si="5"/>
        <v>000044</v>
      </c>
      <c r="B173" s="35" t="s">
        <v>188</v>
      </c>
      <c r="C173" s="35" t="s">
        <v>190</v>
      </c>
      <c r="D173" s="35" t="s">
        <v>188</v>
      </c>
      <c r="E173" s="35" t="s">
        <v>190</v>
      </c>
      <c r="F173" s="35" t="s">
        <v>451</v>
      </c>
      <c r="G173" s="35" t="s">
        <v>388</v>
      </c>
      <c r="H173" s="35" t="s">
        <v>49</v>
      </c>
      <c r="I173" s="35" t="s">
        <v>450</v>
      </c>
      <c r="J173" s="35" t="s">
        <v>653</v>
      </c>
      <c r="K173" s="35" t="s">
        <v>654</v>
      </c>
      <c r="L173" s="35" t="s">
        <v>47</v>
      </c>
      <c r="M173" s="35" t="s">
        <v>48</v>
      </c>
      <c r="N173" s="35" t="s">
        <v>43</v>
      </c>
      <c r="O173" s="35" t="s">
        <v>594</v>
      </c>
      <c r="P173" s="35" t="s">
        <v>51</v>
      </c>
      <c r="Q173" s="35"/>
      <c r="R173" s="35"/>
      <c r="S173" s="38">
        <v>100000</v>
      </c>
      <c r="T173" s="38">
        <v>56250</v>
      </c>
      <c r="U173" s="38">
        <v>12150.630000000001</v>
      </c>
      <c r="V173" s="38">
        <v>21601.07</v>
      </c>
      <c r="W173" s="38">
        <v>57550.340000000004</v>
      </c>
      <c r="X173" s="38">
        <v>13500.66</v>
      </c>
      <c r="Y173" s="38">
        <v>42449.66</v>
      </c>
      <c r="Z173" s="38">
        <v>0</v>
      </c>
      <c r="AA173" s="38">
        <v>0</v>
      </c>
      <c r="AB173" s="38">
        <v>42449.66</v>
      </c>
      <c r="AC173" s="38">
        <v>100</v>
      </c>
      <c r="AD173" s="38">
        <v>9450.49</v>
      </c>
      <c r="AE173" s="38">
        <v>6250</v>
      </c>
      <c r="AF173" s="38">
        <v>0</v>
      </c>
      <c r="AG173" s="123">
        <v>45897</v>
      </c>
      <c r="AH173" s="123">
        <v>46009</v>
      </c>
      <c r="AI173" s="120">
        <v>0</v>
      </c>
      <c r="AJ173" s="120">
        <v>0</v>
      </c>
      <c r="AK173" s="120">
        <v>0</v>
      </c>
      <c r="AL173" s="120">
        <v>0</v>
      </c>
      <c r="AM173" s="35"/>
      <c r="AN173" s="35"/>
      <c r="AO173" s="35"/>
      <c r="AP173" s="35" t="s">
        <v>52</v>
      </c>
      <c r="AQ173" s="35">
        <v>5</v>
      </c>
      <c r="AR173" s="35">
        <v>0</v>
      </c>
      <c r="AS173" s="1">
        <f t="shared" si="6"/>
        <v>71051</v>
      </c>
    </row>
    <row r="174" spans="1:45" x14ac:dyDescent="0.3">
      <c r="A174" s="6" t="str">
        <f t="shared" si="5"/>
        <v>000047</v>
      </c>
      <c r="B174" s="35" t="s">
        <v>188</v>
      </c>
      <c r="C174" s="35" t="s">
        <v>190</v>
      </c>
      <c r="D174" s="35" t="s">
        <v>188</v>
      </c>
      <c r="E174" s="35" t="s">
        <v>190</v>
      </c>
      <c r="F174" s="35" t="s">
        <v>451</v>
      </c>
      <c r="G174" s="35" t="s">
        <v>388</v>
      </c>
      <c r="H174" s="35" t="s">
        <v>49</v>
      </c>
      <c r="I174" s="35" t="s">
        <v>450</v>
      </c>
      <c r="J174" s="35" t="s">
        <v>657</v>
      </c>
      <c r="K174" s="35" t="s">
        <v>658</v>
      </c>
      <c r="L174" s="35" t="s">
        <v>47</v>
      </c>
      <c r="M174" s="35" t="s">
        <v>48</v>
      </c>
      <c r="N174" s="35" t="s">
        <v>43</v>
      </c>
      <c r="O174" s="35" t="s">
        <v>594</v>
      </c>
      <c r="P174" s="35" t="s">
        <v>51</v>
      </c>
      <c r="Q174" s="35"/>
      <c r="R174" s="35"/>
      <c r="S174" s="38">
        <v>85000</v>
      </c>
      <c r="T174" s="38">
        <v>47812.5</v>
      </c>
      <c r="U174" s="38">
        <v>10328.040000000001</v>
      </c>
      <c r="V174" s="38">
        <v>18360.91</v>
      </c>
      <c r="W174" s="38">
        <v>52187.020000000004</v>
      </c>
      <c r="X174" s="38">
        <v>11273.09</v>
      </c>
      <c r="Y174" s="38">
        <v>32812.980000000003</v>
      </c>
      <c r="Z174" s="38">
        <v>0</v>
      </c>
      <c r="AA174" s="38">
        <v>0</v>
      </c>
      <c r="AB174" s="38">
        <v>32812.980000000003</v>
      </c>
      <c r="AC174" s="38">
        <v>100</v>
      </c>
      <c r="AD174" s="38">
        <v>8032.92</v>
      </c>
      <c r="AE174" s="38">
        <v>5312.5</v>
      </c>
      <c r="AF174" s="38">
        <v>0</v>
      </c>
      <c r="AG174" s="123">
        <v>45897</v>
      </c>
      <c r="AH174" s="123">
        <v>46009</v>
      </c>
      <c r="AI174" s="120">
        <v>0</v>
      </c>
      <c r="AJ174" s="120">
        <v>0</v>
      </c>
      <c r="AK174" s="120">
        <v>0</v>
      </c>
      <c r="AL174" s="120">
        <v>0</v>
      </c>
      <c r="AM174" s="35"/>
      <c r="AN174" s="35"/>
      <c r="AO174" s="35"/>
      <c r="AP174" s="35" t="s">
        <v>52</v>
      </c>
      <c r="AQ174" s="35">
        <v>8</v>
      </c>
      <c r="AR174" s="35">
        <v>0</v>
      </c>
      <c r="AS174" s="1">
        <f t="shared" si="6"/>
        <v>63460.11</v>
      </c>
    </row>
    <row r="175" spans="1:45" x14ac:dyDescent="0.3">
      <c r="A175" s="6" t="str">
        <f t="shared" si="5"/>
        <v>000055</v>
      </c>
      <c r="B175" s="35" t="s">
        <v>188</v>
      </c>
      <c r="C175" s="35" t="s">
        <v>190</v>
      </c>
      <c r="D175" s="35" t="s">
        <v>188</v>
      </c>
      <c r="E175" s="35" t="s">
        <v>190</v>
      </c>
      <c r="F175" s="35" t="s">
        <v>451</v>
      </c>
      <c r="G175" s="35" t="s">
        <v>388</v>
      </c>
      <c r="H175" s="35" t="s">
        <v>49</v>
      </c>
      <c r="I175" s="35" t="s">
        <v>450</v>
      </c>
      <c r="J175" s="35" t="s">
        <v>685</v>
      </c>
      <c r="K175" s="35" t="s">
        <v>686</v>
      </c>
      <c r="L175" s="35" t="s">
        <v>47</v>
      </c>
      <c r="M175" s="35" t="s">
        <v>48</v>
      </c>
      <c r="N175" s="35" t="s">
        <v>43</v>
      </c>
      <c r="O175" s="35" t="s">
        <v>594</v>
      </c>
      <c r="P175" s="35" t="s">
        <v>51</v>
      </c>
      <c r="Q175" s="35"/>
      <c r="R175" s="35"/>
      <c r="S175" s="38">
        <v>119000</v>
      </c>
      <c r="T175" s="38">
        <v>66937.5</v>
      </c>
      <c r="U175" s="38">
        <v>14459.220000000001</v>
      </c>
      <c r="V175" s="38">
        <v>25705.27</v>
      </c>
      <c r="W175" s="38">
        <v>66937.5</v>
      </c>
      <c r="X175" s="38">
        <v>14467.5</v>
      </c>
      <c r="Y175" s="38">
        <v>52062.5</v>
      </c>
      <c r="Z175" s="38">
        <v>0</v>
      </c>
      <c r="AA175" s="38">
        <v>0</v>
      </c>
      <c r="AB175" s="38">
        <v>52062.5</v>
      </c>
      <c r="AC175" s="38">
        <v>100</v>
      </c>
      <c r="AD175" s="38">
        <v>11246.06</v>
      </c>
      <c r="AE175" s="38">
        <v>7437.5</v>
      </c>
      <c r="AF175" s="38">
        <v>0</v>
      </c>
      <c r="AG175" s="123">
        <v>45898</v>
      </c>
      <c r="AH175" s="123">
        <v>46010</v>
      </c>
      <c r="AI175" s="120">
        <v>0</v>
      </c>
      <c r="AJ175" s="120">
        <v>0</v>
      </c>
      <c r="AK175" s="120">
        <v>0</v>
      </c>
      <c r="AL175" s="120">
        <v>0</v>
      </c>
      <c r="AM175" s="35"/>
      <c r="AN175" s="35"/>
      <c r="AO175" s="35"/>
      <c r="AP175" s="35" t="s">
        <v>52</v>
      </c>
      <c r="AQ175" s="35">
        <v>6</v>
      </c>
      <c r="AR175" s="35">
        <v>0</v>
      </c>
      <c r="AS175" s="1">
        <f t="shared" si="6"/>
        <v>81405</v>
      </c>
    </row>
    <row r="176" spans="1:45" x14ac:dyDescent="0.3">
      <c r="A176" s="6" t="str">
        <f t="shared" si="5"/>
        <v>000062</v>
      </c>
      <c r="B176" s="35" t="s">
        <v>188</v>
      </c>
      <c r="C176" s="35" t="s">
        <v>190</v>
      </c>
      <c r="D176" s="35" t="s">
        <v>188</v>
      </c>
      <c r="E176" s="35" t="s">
        <v>190</v>
      </c>
      <c r="F176" s="35" t="s">
        <v>451</v>
      </c>
      <c r="G176" s="35" t="s">
        <v>388</v>
      </c>
      <c r="H176" s="35" t="s">
        <v>49</v>
      </c>
      <c r="I176" s="35" t="s">
        <v>450</v>
      </c>
      <c r="J176" s="35" t="s">
        <v>852</v>
      </c>
      <c r="K176" s="35" t="s">
        <v>830</v>
      </c>
      <c r="L176" s="35" t="s">
        <v>47</v>
      </c>
      <c r="M176" s="35" t="s">
        <v>48</v>
      </c>
      <c r="N176" s="35" t="s">
        <v>43</v>
      </c>
      <c r="O176" s="35" t="s">
        <v>594</v>
      </c>
      <c r="P176" s="35" t="s">
        <v>51</v>
      </c>
      <c r="Q176" s="35"/>
      <c r="R176" s="35"/>
      <c r="S176" s="38">
        <v>85000</v>
      </c>
      <c r="T176" s="38">
        <v>37187.5</v>
      </c>
      <c r="U176" s="38">
        <v>8032.92</v>
      </c>
      <c r="V176" s="38">
        <v>18360.91</v>
      </c>
      <c r="W176" s="38">
        <v>37187.090000000004</v>
      </c>
      <c r="X176" s="38">
        <v>8032.91</v>
      </c>
      <c r="Y176" s="38">
        <v>47812.91</v>
      </c>
      <c r="Z176" s="38">
        <v>0</v>
      </c>
      <c r="AA176" s="38">
        <v>0</v>
      </c>
      <c r="AB176" s="38">
        <v>47812.91</v>
      </c>
      <c r="AC176" s="38">
        <v>100</v>
      </c>
      <c r="AD176" s="38">
        <v>10328.040000000001</v>
      </c>
      <c r="AE176" s="38">
        <v>5312.5</v>
      </c>
      <c r="AF176" s="38">
        <v>0</v>
      </c>
      <c r="AG176" s="123">
        <v>45908</v>
      </c>
      <c r="AH176" s="123">
        <v>46020</v>
      </c>
      <c r="AI176" s="120">
        <v>0</v>
      </c>
      <c r="AJ176" s="120">
        <v>0</v>
      </c>
      <c r="AK176" s="120">
        <v>0</v>
      </c>
      <c r="AL176" s="120">
        <v>0</v>
      </c>
      <c r="AM176" s="35"/>
      <c r="AN176" s="35"/>
      <c r="AO176" s="35"/>
      <c r="AP176" s="35" t="s">
        <v>52</v>
      </c>
      <c r="AQ176" s="35">
        <v>6</v>
      </c>
      <c r="AR176" s="35">
        <v>0</v>
      </c>
      <c r="AS176" s="1">
        <f t="shared" si="6"/>
        <v>45220</v>
      </c>
    </row>
    <row r="177" spans="1:45" x14ac:dyDescent="0.3">
      <c r="A177" s="6" t="str">
        <f t="shared" si="5"/>
        <v>000071</v>
      </c>
      <c r="B177" s="35" t="s">
        <v>188</v>
      </c>
      <c r="C177" s="35" t="s">
        <v>190</v>
      </c>
      <c r="D177" s="35" t="s">
        <v>188</v>
      </c>
      <c r="E177" s="35" t="s">
        <v>190</v>
      </c>
      <c r="F177" s="35" t="s">
        <v>451</v>
      </c>
      <c r="G177" s="35" t="s">
        <v>388</v>
      </c>
      <c r="H177" s="35" t="s">
        <v>49</v>
      </c>
      <c r="I177" s="35" t="s">
        <v>450</v>
      </c>
      <c r="J177" s="35" t="s">
        <v>929</v>
      </c>
      <c r="K177" s="35" t="s">
        <v>930</v>
      </c>
      <c r="L177" s="35" t="s">
        <v>47</v>
      </c>
      <c r="M177" s="35" t="s">
        <v>48</v>
      </c>
      <c r="N177" s="35" t="s">
        <v>43</v>
      </c>
      <c r="O177" s="35" t="s">
        <v>594</v>
      </c>
      <c r="P177" s="35" t="s">
        <v>51</v>
      </c>
      <c r="Q177" s="35"/>
      <c r="R177" s="35"/>
      <c r="S177" s="38">
        <v>101000</v>
      </c>
      <c r="T177" s="38">
        <v>44187.5</v>
      </c>
      <c r="U177" s="38">
        <v>9544.99</v>
      </c>
      <c r="V177" s="38">
        <v>21817.08</v>
      </c>
      <c r="W177" s="38">
        <v>44187.5</v>
      </c>
      <c r="X177" s="38">
        <v>9635.5</v>
      </c>
      <c r="Y177" s="38">
        <v>56812.5</v>
      </c>
      <c r="Z177" s="38">
        <v>0</v>
      </c>
      <c r="AA177" s="38">
        <v>0</v>
      </c>
      <c r="AB177" s="38">
        <v>56812.5</v>
      </c>
      <c r="AC177" s="38">
        <v>100</v>
      </c>
      <c r="AD177" s="38">
        <v>12272.130000000001</v>
      </c>
      <c r="AE177" s="38">
        <v>6312.5</v>
      </c>
      <c r="AF177" s="38">
        <v>0</v>
      </c>
      <c r="AG177" s="123">
        <v>45911</v>
      </c>
      <c r="AH177" s="123">
        <v>46023</v>
      </c>
      <c r="AI177" s="120">
        <v>0</v>
      </c>
      <c r="AJ177" s="120">
        <v>0</v>
      </c>
      <c r="AK177" s="120">
        <v>0</v>
      </c>
      <c r="AL177" s="120">
        <v>0</v>
      </c>
      <c r="AM177" s="35"/>
      <c r="AN177" s="35"/>
      <c r="AO177" s="35"/>
      <c r="AP177" s="35" t="s">
        <v>52</v>
      </c>
      <c r="AQ177" s="35">
        <v>6</v>
      </c>
      <c r="AR177" s="35">
        <v>0</v>
      </c>
      <c r="AS177" s="1">
        <f t="shared" si="6"/>
        <v>53823</v>
      </c>
    </row>
    <row r="178" spans="1:45" x14ac:dyDescent="0.3">
      <c r="A178" s="6" t="str">
        <f t="shared" si="5"/>
        <v>000082</v>
      </c>
      <c r="B178" s="35" t="s">
        <v>188</v>
      </c>
      <c r="C178" s="35" t="s">
        <v>190</v>
      </c>
      <c r="D178" s="35" t="s">
        <v>188</v>
      </c>
      <c r="E178" s="35" t="s">
        <v>190</v>
      </c>
      <c r="F178" s="35" t="s">
        <v>451</v>
      </c>
      <c r="G178" s="35" t="s">
        <v>388</v>
      </c>
      <c r="H178" s="35" t="s">
        <v>49</v>
      </c>
      <c r="I178" s="35" t="s">
        <v>450</v>
      </c>
      <c r="J178" s="35" t="s">
        <v>971</v>
      </c>
      <c r="K178" s="35" t="s">
        <v>815</v>
      </c>
      <c r="L178" s="35" t="s">
        <v>47</v>
      </c>
      <c r="M178" s="35" t="s">
        <v>48</v>
      </c>
      <c r="N178" s="35" t="s">
        <v>43</v>
      </c>
      <c r="O178" s="35" t="s">
        <v>594</v>
      </c>
      <c r="P178" s="35" t="s">
        <v>51</v>
      </c>
      <c r="Q178" s="35"/>
      <c r="R178" s="35"/>
      <c r="S178" s="38">
        <v>185000</v>
      </c>
      <c r="T178" s="38">
        <v>80937.5</v>
      </c>
      <c r="U178" s="38">
        <v>17483.34</v>
      </c>
      <c r="V178" s="38">
        <v>39961.97</v>
      </c>
      <c r="W178" s="38">
        <v>80937.490000000005</v>
      </c>
      <c r="X178" s="38">
        <v>17483.510000000002</v>
      </c>
      <c r="Y178" s="38">
        <v>104062.51000000001</v>
      </c>
      <c r="Z178" s="38">
        <v>0</v>
      </c>
      <c r="AA178" s="38">
        <v>0</v>
      </c>
      <c r="AB178" s="38">
        <v>104062.51000000001</v>
      </c>
      <c r="AC178" s="38">
        <v>100</v>
      </c>
      <c r="AD178" s="38">
        <v>22478.58</v>
      </c>
      <c r="AE178" s="38">
        <v>11562.5</v>
      </c>
      <c r="AF178" s="38">
        <v>0</v>
      </c>
      <c r="AG178" s="123">
        <v>45912</v>
      </c>
      <c r="AH178" s="123">
        <v>46024</v>
      </c>
      <c r="AI178" s="120">
        <v>0</v>
      </c>
      <c r="AJ178" s="120">
        <v>0</v>
      </c>
      <c r="AK178" s="120">
        <v>0</v>
      </c>
      <c r="AL178" s="120">
        <v>0</v>
      </c>
      <c r="AM178" s="35"/>
      <c r="AN178" s="35"/>
      <c r="AO178" s="35"/>
      <c r="AP178" s="35" t="s">
        <v>52</v>
      </c>
      <c r="AQ178" s="35">
        <v>7</v>
      </c>
      <c r="AR178" s="35">
        <v>0</v>
      </c>
      <c r="AS178" s="1">
        <f t="shared" si="6"/>
        <v>98421</v>
      </c>
    </row>
    <row r="179" spans="1:45" x14ac:dyDescent="0.3">
      <c r="A179" s="6" t="str">
        <f t="shared" si="5"/>
        <v>000098</v>
      </c>
      <c r="B179" s="35" t="s">
        <v>188</v>
      </c>
      <c r="C179" s="35" t="s">
        <v>190</v>
      </c>
      <c r="D179" s="35" t="s">
        <v>188</v>
      </c>
      <c r="E179" s="35" t="s">
        <v>190</v>
      </c>
      <c r="F179" s="35" t="s">
        <v>451</v>
      </c>
      <c r="G179" s="35" t="s">
        <v>388</v>
      </c>
      <c r="H179" s="35" t="s">
        <v>49</v>
      </c>
      <c r="I179" s="35" t="s">
        <v>450</v>
      </c>
      <c r="J179" s="35" t="s">
        <v>1171</v>
      </c>
      <c r="K179" s="35" t="s">
        <v>1128</v>
      </c>
      <c r="L179" s="35" t="s">
        <v>47</v>
      </c>
      <c r="M179" s="35" t="s">
        <v>48</v>
      </c>
      <c r="N179" s="35" t="s">
        <v>43</v>
      </c>
      <c r="O179" s="35" t="s">
        <v>594</v>
      </c>
      <c r="P179" s="35" t="s">
        <v>51</v>
      </c>
      <c r="Q179" s="35"/>
      <c r="R179" s="35"/>
      <c r="S179" s="38">
        <v>63000</v>
      </c>
      <c r="T179" s="38">
        <v>19687.5</v>
      </c>
      <c r="U179" s="38">
        <v>4252.7</v>
      </c>
      <c r="V179" s="38">
        <v>13608.67</v>
      </c>
      <c r="W179" s="38">
        <v>19687.5</v>
      </c>
      <c r="X179" s="38">
        <v>4257.5</v>
      </c>
      <c r="Y179" s="38">
        <v>43312.5</v>
      </c>
      <c r="Z179" s="38">
        <v>0</v>
      </c>
      <c r="AA179" s="38">
        <v>0</v>
      </c>
      <c r="AB179" s="38">
        <v>43312.5</v>
      </c>
      <c r="AC179" s="38">
        <v>100</v>
      </c>
      <c r="AD179" s="38">
        <v>9355.94</v>
      </c>
      <c r="AE179" s="38">
        <v>3937.5</v>
      </c>
      <c r="AF179" s="38">
        <v>0</v>
      </c>
      <c r="AG179" s="123">
        <v>45923</v>
      </c>
      <c r="AH179" s="123">
        <v>46035</v>
      </c>
      <c r="AI179" s="120">
        <v>0</v>
      </c>
      <c r="AJ179" s="120">
        <v>0</v>
      </c>
      <c r="AK179" s="120">
        <v>0</v>
      </c>
      <c r="AL179" s="120">
        <v>0</v>
      </c>
      <c r="AM179" s="35"/>
      <c r="AN179" s="35"/>
      <c r="AO179" s="35"/>
      <c r="AP179" s="35" t="s">
        <v>52</v>
      </c>
      <c r="AQ179" s="35">
        <v>5</v>
      </c>
      <c r="AR179" s="35">
        <v>0</v>
      </c>
      <c r="AS179" s="1">
        <f t="shared" si="6"/>
        <v>23945</v>
      </c>
    </row>
    <row r="180" spans="1:45" x14ac:dyDescent="0.3">
      <c r="A180" s="6" t="str">
        <f t="shared" si="5"/>
        <v>000101</v>
      </c>
      <c r="B180" s="35" t="s">
        <v>188</v>
      </c>
      <c r="C180" s="35" t="s">
        <v>190</v>
      </c>
      <c r="D180" s="35" t="s">
        <v>188</v>
      </c>
      <c r="E180" s="35" t="s">
        <v>190</v>
      </c>
      <c r="F180" s="35" t="s">
        <v>451</v>
      </c>
      <c r="G180" s="35" t="s">
        <v>388</v>
      </c>
      <c r="H180" s="35" t="s">
        <v>49</v>
      </c>
      <c r="I180" s="35" t="s">
        <v>450</v>
      </c>
      <c r="J180" s="35" t="s">
        <v>1174</v>
      </c>
      <c r="K180" s="35" t="s">
        <v>1126</v>
      </c>
      <c r="L180" s="35" t="s">
        <v>47</v>
      </c>
      <c r="M180" s="35" t="s">
        <v>48</v>
      </c>
      <c r="N180" s="35" t="s">
        <v>43</v>
      </c>
      <c r="O180" s="35" t="s">
        <v>594</v>
      </c>
      <c r="P180" s="35" t="s">
        <v>51</v>
      </c>
      <c r="Q180" s="35"/>
      <c r="R180" s="35"/>
      <c r="S180" s="38">
        <v>90000</v>
      </c>
      <c r="T180" s="38">
        <v>28125</v>
      </c>
      <c r="U180" s="38">
        <v>6075.3</v>
      </c>
      <c r="V180" s="38">
        <v>19440.96</v>
      </c>
      <c r="W180" s="38">
        <v>28124.71</v>
      </c>
      <c r="X180" s="38">
        <v>6075.29</v>
      </c>
      <c r="Y180" s="38">
        <v>61875.29</v>
      </c>
      <c r="Z180" s="38">
        <v>0</v>
      </c>
      <c r="AA180" s="38">
        <v>0</v>
      </c>
      <c r="AB180" s="38">
        <v>61875.29</v>
      </c>
      <c r="AC180" s="38">
        <v>100</v>
      </c>
      <c r="AD180" s="38">
        <v>13365.66</v>
      </c>
      <c r="AE180" s="38">
        <v>5625</v>
      </c>
      <c r="AF180" s="38">
        <v>0</v>
      </c>
      <c r="AG180" s="123">
        <v>45923</v>
      </c>
      <c r="AH180" s="123">
        <v>46035</v>
      </c>
      <c r="AI180" s="120">
        <v>0</v>
      </c>
      <c r="AJ180" s="120">
        <v>0</v>
      </c>
      <c r="AK180" s="120">
        <v>0</v>
      </c>
      <c r="AL180" s="120">
        <v>0</v>
      </c>
      <c r="AM180" s="35"/>
      <c r="AN180" s="35"/>
      <c r="AO180" s="35"/>
      <c r="AP180" s="35" t="s">
        <v>52</v>
      </c>
      <c r="AQ180" s="35">
        <v>6</v>
      </c>
      <c r="AR180" s="35">
        <v>0</v>
      </c>
      <c r="AS180" s="1">
        <f t="shared" si="6"/>
        <v>34200</v>
      </c>
    </row>
    <row r="181" spans="1:45" x14ac:dyDescent="0.3">
      <c r="A181" s="6" t="str">
        <f t="shared" si="5"/>
        <v>000112</v>
      </c>
      <c r="B181" s="35" t="s">
        <v>188</v>
      </c>
      <c r="C181" s="35" t="s">
        <v>190</v>
      </c>
      <c r="D181" s="35" t="s">
        <v>188</v>
      </c>
      <c r="E181" s="35" t="s">
        <v>190</v>
      </c>
      <c r="F181" s="35" t="s">
        <v>451</v>
      </c>
      <c r="G181" s="35" t="s">
        <v>388</v>
      </c>
      <c r="H181" s="35" t="s">
        <v>49</v>
      </c>
      <c r="I181" s="35" t="s">
        <v>450</v>
      </c>
      <c r="J181" s="35" t="s">
        <v>1312</v>
      </c>
      <c r="K181" s="35" t="s">
        <v>1201</v>
      </c>
      <c r="L181" s="35" t="s">
        <v>47</v>
      </c>
      <c r="M181" s="35" t="s">
        <v>48</v>
      </c>
      <c r="N181" s="35" t="s">
        <v>43</v>
      </c>
      <c r="O181" s="35" t="s">
        <v>594</v>
      </c>
      <c r="P181" s="35" t="s">
        <v>51</v>
      </c>
      <c r="Q181" s="35"/>
      <c r="R181" s="35"/>
      <c r="S181" s="38">
        <v>43000</v>
      </c>
      <c r="T181" s="38">
        <v>13437.5</v>
      </c>
      <c r="U181" s="38">
        <v>2902.65</v>
      </c>
      <c r="V181" s="38">
        <v>9288.4600000000009</v>
      </c>
      <c r="W181" s="38">
        <v>13437.5</v>
      </c>
      <c r="X181" s="38">
        <v>2903.5</v>
      </c>
      <c r="Y181" s="38">
        <v>29562.5</v>
      </c>
      <c r="Z181" s="38">
        <v>0</v>
      </c>
      <c r="AA181" s="38">
        <v>0</v>
      </c>
      <c r="AB181" s="38">
        <v>29562.5</v>
      </c>
      <c r="AC181" s="38">
        <v>100</v>
      </c>
      <c r="AD181" s="38">
        <v>6385.83</v>
      </c>
      <c r="AE181" s="38">
        <v>2687.5</v>
      </c>
      <c r="AF181" s="38">
        <v>0</v>
      </c>
      <c r="AG181" s="123">
        <v>45925</v>
      </c>
      <c r="AH181" s="123">
        <v>46038</v>
      </c>
      <c r="AI181" s="120">
        <v>0</v>
      </c>
      <c r="AJ181" s="120">
        <v>0</v>
      </c>
      <c r="AK181" s="120">
        <v>0</v>
      </c>
      <c r="AL181" s="120">
        <v>0</v>
      </c>
      <c r="AM181" s="35"/>
      <c r="AN181" s="35"/>
      <c r="AO181" s="35"/>
      <c r="AP181" s="35" t="s">
        <v>52</v>
      </c>
      <c r="AQ181" s="35">
        <v>5</v>
      </c>
      <c r="AR181" s="35">
        <v>0</v>
      </c>
      <c r="AS181" s="1">
        <f t="shared" si="6"/>
        <v>16341</v>
      </c>
    </row>
    <row r="182" spans="1:45" x14ac:dyDescent="0.3">
      <c r="A182" s="6" t="str">
        <f t="shared" si="5"/>
        <v>000141</v>
      </c>
      <c r="B182" s="35" t="s">
        <v>188</v>
      </c>
      <c r="C182" s="35" t="s">
        <v>190</v>
      </c>
      <c r="D182" s="35" t="s">
        <v>188</v>
      </c>
      <c r="E182" s="35" t="s">
        <v>190</v>
      </c>
      <c r="F182" s="35" t="s">
        <v>451</v>
      </c>
      <c r="G182" s="35" t="s">
        <v>388</v>
      </c>
      <c r="H182" s="35" t="s">
        <v>49</v>
      </c>
      <c r="I182" s="35" t="s">
        <v>450</v>
      </c>
      <c r="J182" s="35" t="s">
        <v>1591</v>
      </c>
      <c r="K182" s="35" t="s">
        <v>1354</v>
      </c>
      <c r="L182" s="35" t="s">
        <v>47</v>
      </c>
      <c r="M182" s="35" t="s">
        <v>48</v>
      </c>
      <c r="N182" s="35" t="s">
        <v>43</v>
      </c>
      <c r="O182" s="35" t="s">
        <v>594</v>
      </c>
      <c r="P182" s="35" t="s">
        <v>51</v>
      </c>
      <c r="Q182" s="35"/>
      <c r="R182" s="35"/>
      <c r="S182" s="38">
        <v>60000</v>
      </c>
      <c r="T182" s="38">
        <v>11250</v>
      </c>
      <c r="U182" s="38">
        <v>2430.12</v>
      </c>
      <c r="V182" s="38">
        <v>12960.64</v>
      </c>
      <c r="W182" s="38">
        <v>11250</v>
      </c>
      <c r="X182" s="38">
        <v>2431</v>
      </c>
      <c r="Y182" s="38">
        <v>48750</v>
      </c>
      <c r="Z182" s="38">
        <v>0</v>
      </c>
      <c r="AA182" s="38">
        <v>0</v>
      </c>
      <c r="AB182" s="38">
        <v>48750</v>
      </c>
      <c r="AC182" s="38">
        <v>100</v>
      </c>
      <c r="AD182" s="38">
        <v>10530.52</v>
      </c>
      <c r="AE182" s="38">
        <v>3750</v>
      </c>
      <c r="AF182" s="38">
        <v>0</v>
      </c>
      <c r="AG182" s="123">
        <v>45939</v>
      </c>
      <c r="AH182" s="123">
        <v>46051</v>
      </c>
      <c r="AI182" s="120">
        <v>0</v>
      </c>
      <c r="AJ182" s="120">
        <v>0</v>
      </c>
      <c r="AK182" s="120">
        <v>0</v>
      </c>
      <c r="AL182" s="120">
        <v>0</v>
      </c>
      <c r="AM182" s="35"/>
      <c r="AN182" s="35"/>
      <c r="AO182" s="35"/>
      <c r="AP182" s="35" t="s">
        <v>52</v>
      </c>
      <c r="AQ182" s="35">
        <v>5</v>
      </c>
      <c r="AR182" s="35">
        <v>0</v>
      </c>
      <c r="AS182" s="1">
        <f t="shared" si="6"/>
        <v>13681</v>
      </c>
    </row>
    <row r="183" spans="1:45" x14ac:dyDescent="0.3">
      <c r="A183" s="6" t="str">
        <f t="shared" si="5"/>
        <v>000149</v>
      </c>
      <c r="B183" s="35" t="s">
        <v>188</v>
      </c>
      <c r="C183" s="35" t="s">
        <v>190</v>
      </c>
      <c r="D183" s="35" t="s">
        <v>188</v>
      </c>
      <c r="E183" s="35" t="s">
        <v>190</v>
      </c>
      <c r="F183" s="35" t="s">
        <v>451</v>
      </c>
      <c r="G183" s="35" t="s">
        <v>388</v>
      </c>
      <c r="H183" s="35" t="s">
        <v>49</v>
      </c>
      <c r="I183" s="35" t="s">
        <v>450</v>
      </c>
      <c r="J183" s="35" t="s">
        <v>1638</v>
      </c>
      <c r="K183" s="35" t="s">
        <v>1598</v>
      </c>
      <c r="L183" s="35" t="s">
        <v>47</v>
      </c>
      <c r="M183" s="35" t="s">
        <v>48</v>
      </c>
      <c r="N183" s="35" t="s">
        <v>43</v>
      </c>
      <c r="O183" s="35" t="s">
        <v>594</v>
      </c>
      <c r="P183" s="35" t="s">
        <v>51</v>
      </c>
      <c r="Q183" s="35"/>
      <c r="R183" s="35"/>
      <c r="S183" s="38">
        <v>158000</v>
      </c>
      <c r="T183" s="38">
        <v>19750</v>
      </c>
      <c r="U183" s="38">
        <v>4266.22</v>
      </c>
      <c r="V183" s="38">
        <v>34129.69</v>
      </c>
      <c r="W183" s="38">
        <v>19749.79</v>
      </c>
      <c r="X183" s="38">
        <v>4266.21</v>
      </c>
      <c r="Y183" s="38">
        <v>138250.21</v>
      </c>
      <c r="Z183" s="38">
        <v>0</v>
      </c>
      <c r="AA183" s="38">
        <v>0</v>
      </c>
      <c r="AB183" s="38">
        <v>138250.21</v>
      </c>
      <c r="AC183" s="38">
        <v>100</v>
      </c>
      <c r="AD183" s="38">
        <v>29863.54</v>
      </c>
      <c r="AE183" s="38">
        <v>9875</v>
      </c>
      <c r="AF183" s="38">
        <v>0</v>
      </c>
      <c r="AG183" s="123">
        <v>45943</v>
      </c>
      <c r="AH183" s="123">
        <v>46055</v>
      </c>
      <c r="AI183" s="120">
        <v>0</v>
      </c>
      <c r="AJ183" s="120">
        <v>0</v>
      </c>
      <c r="AK183" s="120">
        <v>0</v>
      </c>
      <c r="AL183" s="120">
        <v>0</v>
      </c>
      <c r="AM183" s="35"/>
      <c r="AN183" s="35"/>
      <c r="AO183" s="35"/>
      <c r="AP183" s="35" t="s">
        <v>52</v>
      </c>
      <c r="AQ183" s="35">
        <v>6</v>
      </c>
      <c r="AR183" s="35">
        <v>0</v>
      </c>
      <c r="AS183" s="1">
        <f t="shared" si="6"/>
        <v>24016</v>
      </c>
    </row>
    <row r="184" spans="1:45" x14ac:dyDescent="0.3">
      <c r="A184" s="6" t="str">
        <f t="shared" si="5"/>
        <v>000154</v>
      </c>
      <c r="B184" s="35" t="s">
        <v>188</v>
      </c>
      <c r="C184" s="35" t="s">
        <v>190</v>
      </c>
      <c r="D184" s="35" t="s">
        <v>188</v>
      </c>
      <c r="E184" s="35" t="s">
        <v>190</v>
      </c>
      <c r="F184" s="35" t="s">
        <v>451</v>
      </c>
      <c r="G184" s="35" t="s">
        <v>388</v>
      </c>
      <c r="H184" s="35" t="s">
        <v>49</v>
      </c>
      <c r="I184" s="35" t="s">
        <v>450</v>
      </c>
      <c r="J184" s="35" t="s">
        <v>1690</v>
      </c>
      <c r="K184" s="35" t="s">
        <v>1661</v>
      </c>
      <c r="L184" s="35" t="s">
        <v>47</v>
      </c>
      <c r="M184" s="35" t="s">
        <v>48</v>
      </c>
      <c r="N184" s="35" t="s">
        <v>43</v>
      </c>
      <c r="O184" s="35" t="s">
        <v>594</v>
      </c>
      <c r="P184" s="35" t="s">
        <v>51</v>
      </c>
      <c r="Q184" s="35"/>
      <c r="R184" s="35"/>
      <c r="S184" s="38">
        <v>125000</v>
      </c>
      <c r="T184" s="38">
        <v>15625</v>
      </c>
      <c r="U184" s="38">
        <v>3375.16</v>
      </c>
      <c r="V184" s="38">
        <v>27001.33</v>
      </c>
      <c r="W184" s="38">
        <v>15624.83</v>
      </c>
      <c r="X184" s="38">
        <v>3375.17</v>
      </c>
      <c r="Y184" s="38">
        <v>109375.17</v>
      </c>
      <c r="Z184" s="38">
        <v>0</v>
      </c>
      <c r="AA184" s="38">
        <v>0</v>
      </c>
      <c r="AB184" s="38">
        <v>109375.17</v>
      </c>
      <c r="AC184" s="38">
        <v>100</v>
      </c>
      <c r="AD184" s="38">
        <v>23626.12</v>
      </c>
      <c r="AE184" s="38">
        <v>7812.5</v>
      </c>
      <c r="AF184" s="38">
        <v>0</v>
      </c>
      <c r="AG184" s="123">
        <v>45945</v>
      </c>
      <c r="AH184" s="123">
        <v>46057</v>
      </c>
      <c r="AI184" s="120">
        <v>0</v>
      </c>
      <c r="AJ184" s="120">
        <v>0</v>
      </c>
      <c r="AK184" s="120">
        <v>0</v>
      </c>
      <c r="AL184" s="120">
        <v>0</v>
      </c>
      <c r="AM184" s="35"/>
      <c r="AN184" s="35"/>
      <c r="AO184" s="35"/>
      <c r="AP184" s="35" t="s">
        <v>52</v>
      </c>
      <c r="AQ184" s="35">
        <v>8</v>
      </c>
      <c r="AR184" s="35">
        <v>0</v>
      </c>
      <c r="AS184" s="1">
        <f t="shared" si="6"/>
        <v>19000</v>
      </c>
    </row>
    <row r="185" spans="1:45" x14ac:dyDescent="0.3">
      <c r="A185" s="6" t="str">
        <f t="shared" si="5"/>
        <v>000169</v>
      </c>
      <c r="B185" s="35" t="s">
        <v>188</v>
      </c>
      <c r="C185" s="35" t="s">
        <v>190</v>
      </c>
      <c r="D185" s="35" t="s">
        <v>188</v>
      </c>
      <c r="E185" s="35" t="s">
        <v>190</v>
      </c>
      <c r="F185" s="35" t="s">
        <v>451</v>
      </c>
      <c r="G185" s="35" t="s">
        <v>388</v>
      </c>
      <c r="H185" s="35" t="s">
        <v>49</v>
      </c>
      <c r="I185" s="35" t="s">
        <v>450</v>
      </c>
      <c r="J185" s="35" t="s">
        <v>1838</v>
      </c>
      <c r="K185" s="35" t="s">
        <v>1839</v>
      </c>
      <c r="L185" s="35" t="s">
        <v>47</v>
      </c>
      <c r="M185" s="35" t="s">
        <v>48</v>
      </c>
      <c r="N185" s="35" t="s">
        <v>43</v>
      </c>
      <c r="O185" s="35" t="s">
        <v>594</v>
      </c>
      <c r="P185" s="35" t="s">
        <v>51</v>
      </c>
      <c r="Q185" s="35"/>
      <c r="R185" s="35"/>
      <c r="S185" s="38">
        <v>123500</v>
      </c>
      <c r="T185" s="38">
        <v>7718.75</v>
      </c>
      <c r="U185" s="38">
        <v>1667.33</v>
      </c>
      <c r="V185" s="38">
        <v>26677.32</v>
      </c>
      <c r="W185" s="38">
        <v>7718.6500000000005</v>
      </c>
      <c r="X185" s="38">
        <v>1667.3500000000001</v>
      </c>
      <c r="Y185" s="38">
        <v>115781.35</v>
      </c>
      <c r="Z185" s="38">
        <v>0</v>
      </c>
      <c r="AA185" s="38">
        <v>0</v>
      </c>
      <c r="AB185" s="38">
        <v>115781.35</v>
      </c>
      <c r="AC185" s="38">
        <v>100</v>
      </c>
      <c r="AD185" s="38">
        <v>25009.95</v>
      </c>
      <c r="AE185" s="38">
        <v>7718.75</v>
      </c>
      <c r="AF185" s="38">
        <v>0</v>
      </c>
      <c r="AG185" s="123">
        <v>45951</v>
      </c>
      <c r="AH185" s="123">
        <v>46063</v>
      </c>
      <c r="AI185" s="120">
        <v>0</v>
      </c>
      <c r="AJ185" s="120">
        <v>0</v>
      </c>
      <c r="AK185" s="120">
        <v>0</v>
      </c>
      <c r="AL185" s="120">
        <v>0</v>
      </c>
      <c r="AM185" s="35"/>
      <c r="AN185" s="35"/>
      <c r="AO185" s="35"/>
      <c r="AP185" s="35" t="s">
        <v>52</v>
      </c>
      <c r="AQ185" s="35">
        <v>6</v>
      </c>
      <c r="AR185" s="35">
        <v>0</v>
      </c>
      <c r="AS185" s="1">
        <f t="shared" si="6"/>
        <v>9386</v>
      </c>
    </row>
    <row r="186" spans="1:45" x14ac:dyDescent="0.3">
      <c r="A186" s="6" t="str">
        <f t="shared" si="5"/>
        <v>000186</v>
      </c>
      <c r="B186" s="35" t="s">
        <v>188</v>
      </c>
      <c r="C186" s="35" t="s">
        <v>190</v>
      </c>
      <c r="D186" s="35" t="s">
        <v>188</v>
      </c>
      <c r="E186" s="35" t="s">
        <v>190</v>
      </c>
      <c r="F186" s="35" t="s">
        <v>451</v>
      </c>
      <c r="G186" s="35" t="s">
        <v>388</v>
      </c>
      <c r="H186" s="35" t="s">
        <v>49</v>
      </c>
      <c r="I186" s="35" t="s">
        <v>450</v>
      </c>
      <c r="J186" s="35" t="s">
        <v>1958</v>
      </c>
      <c r="K186" s="35" t="s">
        <v>1959</v>
      </c>
      <c r="L186" s="35" t="s">
        <v>47</v>
      </c>
      <c r="M186" s="35" t="s">
        <v>48</v>
      </c>
      <c r="N186" s="35" t="s">
        <v>43</v>
      </c>
      <c r="O186" s="35" t="s">
        <v>594</v>
      </c>
      <c r="P186" s="35" t="s">
        <v>51</v>
      </c>
      <c r="Q186" s="35"/>
      <c r="R186" s="35"/>
      <c r="S186" s="38">
        <v>118500</v>
      </c>
      <c r="T186" s="38">
        <v>0</v>
      </c>
      <c r="U186" s="38">
        <v>0</v>
      </c>
      <c r="V186" s="38">
        <v>25597.260000000002</v>
      </c>
      <c r="W186" s="38">
        <v>7406.25</v>
      </c>
      <c r="X186" s="38">
        <v>1600.75</v>
      </c>
      <c r="Y186" s="38">
        <v>111093.75</v>
      </c>
      <c r="Z186" s="38">
        <v>0</v>
      </c>
      <c r="AA186" s="38">
        <v>0</v>
      </c>
      <c r="AB186" s="38">
        <v>111093.75</v>
      </c>
      <c r="AC186" s="38">
        <v>100</v>
      </c>
      <c r="AD186" s="38">
        <v>0</v>
      </c>
      <c r="AE186" s="38">
        <v>7406.25</v>
      </c>
      <c r="AF186" s="38">
        <v>0</v>
      </c>
      <c r="AG186" s="123">
        <v>45957</v>
      </c>
      <c r="AH186" s="123">
        <v>46069</v>
      </c>
      <c r="AI186" s="120">
        <v>0</v>
      </c>
      <c r="AJ186" s="120">
        <v>0</v>
      </c>
      <c r="AK186" s="120">
        <v>0</v>
      </c>
      <c r="AL186" s="120">
        <v>0</v>
      </c>
      <c r="AM186" s="35"/>
      <c r="AN186" s="35"/>
      <c r="AO186" s="35"/>
      <c r="AP186" s="35" t="s">
        <v>52</v>
      </c>
      <c r="AQ186" s="35">
        <v>7</v>
      </c>
      <c r="AR186" s="35">
        <v>0</v>
      </c>
      <c r="AS186" s="1">
        <f t="shared" si="6"/>
        <v>9007</v>
      </c>
    </row>
    <row r="187" spans="1:45" x14ac:dyDescent="0.3">
      <c r="A187" s="6" t="str">
        <f t="shared" si="5"/>
        <v>000187</v>
      </c>
      <c r="B187" s="35" t="s">
        <v>188</v>
      </c>
      <c r="C187" s="35" t="s">
        <v>190</v>
      </c>
      <c r="D187" s="35" t="s">
        <v>188</v>
      </c>
      <c r="E187" s="35" t="s">
        <v>190</v>
      </c>
      <c r="F187" s="35" t="s">
        <v>451</v>
      </c>
      <c r="G187" s="35" t="s">
        <v>388</v>
      </c>
      <c r="H187" s="35" t="s">
        <v>49</v>
      </c>
      <c r="I187" s="35" t="s">
        <v>450</v>
      </c>
      <c r="J187" s="35" t="s">
        <v>2002</v>
      </c>
      <c r="K187" s="35" t="s">
        <v>2003</v>
      </c>
      <c r="L187" s="35" t="s">
        <v>47</v>
      </c>
      <c r="M187" s="35" t="s">
        <v>48</v>
      </c>
      <c r="N187" s="35" t="s">
        <v>43</v>
      </c>
      <c r="O187" s="35" t="s">
        <v>594</v>
      </c>
      <c r="P187" s="35" t="s">
        <v>51</v>
      </c>
      <c r="Q187" s="35"/>
      <c r="R187" s="35"/>
      <c r="S187" s="38">
        <v>58000</v>
      </c>
      <c r="T187" s="38">
        <v>0</v>
      </c>
      <c r="U187" s="38">
        <v>0</v>
      </c>
      <c r="V187" s="38">
        <v>12528.62</v>
      </c>
      <c r="W187" s="38">
        <v>3625</v>
      </c>
      <c r="X187" s="38">
        <v>784</v>
      </c>
      <c r="Y187" s="38">
        <v>54375</v>
      </c>
      <c r="Z187" s="38">
        <v>0</v>
      </c>
      <c r="AA187" s="38">
        <v>0</v>
      </c>
      <c r="AB187" s="38">
        <v>54375</v>
      </c>
      <c r="AC187" s="38">
        <v>100</v>
      </c>
      <c r="AD187" s="38">
        <v>0</v>
      </c>
      <c r="AE187" s="38">
        <v>3625</v>
      </c>
      <c r="AF187" s="38">
        <v>0</v>
      </c>
      <c r="AG187" s="123">
        <v>45957</v>
      </c>
      <c r="AH187" s="123">
        <v>46069</v>
      </c>
      <c r="AI187" s="120">
        <v>0</v>
      </c>
      <c r="AJ187" s="120">
        <v>0</v>
      </c>
      <c r="AK187" s="120">
        <v>0</v>
      </c>
      <c r="AL187" s="120">
        <v>0</v>
      </c>
      <c r="AM187" s="35"/>
      <c r="AN187" s="35"/>
      <c r="AO187" s="35"/>
      <c r="AP187" s="35" t="s">
        <v>52</v>
      </c>
      <c r="AQ187" s="35">
        <v>6</v>
      </c>
      <c r="AR187" s="35">
        <v>0</v>
      </c>
      <c r="AS187" s="1">
        <f t="shared" si="6"/>
        <v>4409</v>
      </c>
    </row>
    <row r="188" spans="1:45" x14ac:dyDescent="0.3">
      <c r="A188" s="6" t="str">
        <f t="shared" si="5"/>
        <v>000194</v>
      </c>
      <c r="B188" s="35" t="s">
        <v>188</v>
      </c>
      <c r="C188" s="35" t="s">
        <v>190</v>
      </c>
      <c r="D188" s="35" t="s">
        <v>188</v>
      </c>
      <c r="E188" s="35" t="s">
        <v>190</v>
      </c>
      <c r="F188" s="35" t="s">
        <v>451</v>
      </c>
      <c r="G188" s="35" t="s">
        <v>388</v>
      </c>
      <c r="H188" s="35" t="s">
        <v>49</v>
      </c>
      <c r="I188" s="35" t="s">
        <v>450</v>
      </c>
      <c r="J188" s="35" t="s">
        <v>2028</v>
      </c>
      <c r="K188" s="35" t="s">
        <v>2029</v>
      </c>
      <c r="L188" s="35" t="s">
        <v>47</v>
      </c>
      <c r="M188" s="35" t="s">
        <v>48</v>
      </c>
      <c r="N188" s="35" t="s">
        <v>43</v>
      </c>
      <c r="O188" s="35" t="s">
        <v>594</v>
      </c>
      <c r="P188" s="35" t="s">
        <v>51</v>
      </c>
      <c r="Q188" s="35"/>
      <c r="R188" s="35"/>
      <c r="S188" s="38">
        <v>129000</v>
      </c>
      <c r="T188" s="38">
        <v>0</v>
      </c>
      <c r="U188" s="38">
        <v>0</v>
      </c>
      <c r="V188" s="38">
        <v>27865.38</v>
      </c>
      <c r="W188" s="38">
        <v>0</v>
      </c>
      <c r="X188" s="38">
        <v>0</v>
      </c>
      <c r="Y188" s="38">
        <v>129000</v>
      </c>
      <c r="Z188" s="38">
        <v>0</v>
      </c>
      <c r="AA188" s="38">
        <v>0</v>
      </c>
      <c r="AB188" s="38">
        <v>129000</v>
      </c>
      <c r="AC188" s="38">
        <v>100</v>
      </c>
      <c r="AD188" s="38">
        <v>0</v>
      </c>
      <c r="AE188" s="38">
        <v>8062.5</v>
      </c>
      <c r="AF188" s="38">
        <v>0</v>
      </c>
      <c r="AG188" s="123">
        <v>45959</v>
      </c>
      <c r="AH188" s="123">
        <v>46071</v>
      </c>
      <c r="AI188" s="120">
        <v>0</v>
      </c>
      <c r="AJ188" s="120">
        <v>0</v>
      </c>
      <c r="AK188" s="120">
        <v>0</v>
      </c>
      <c r="AL188" s="120">
        <v>0</v>
      </c>
      <c r="AM188" s="35"/>
      <c r="AN188" s="35"/>
      <c r="AO188" s="35"/>
      <c r="AP188" s="35" t="s">
        <v>52</v>
      </c>
      <c r="AQ188" s="35">
        <v>6</v>
      </c>
      <c r="AR188" s="35">
        <v>0</v>
      </c>
      <c r="AS188" s="1">
        <f t="shared" si="6"/>
        <v>0</v>
      </c>
    </row>
    <row r="189" spans="1:45" x14ac:dyDescent="0.3">
      <c r="A189" s="6" t="str">
        <f t="shared" si="5"/>
        <v>000031</v>
      </c>
      <c r="B189" s="35" t="s">
        <v>487</v>
      </c>
      <c r="C189" s="35" t="s">
        <v>488</v>
      </c>
      <c r="D189" s="35" t="s">
        <v>487</v>
      </c>
      <c r="E189" s="35" t="s">
        <v>488</v>
      </c>
      <c r="F189" s="35" t="s">
        <v>451</v>
      </c>
      <c r="G189" s="35" t="s">
        <v>388</v>
      </c>
      <c r="H189" s="35" t="s">
        <v>49</v>
      </c>
      <c r="I189" s="35" t="s">
        <v>450</v>
      </c>
      <c r="J189" s="35" t="s">
        <v>489</v>
      </c>
      <c r="K189" s="35" t="s">
        <v>434</v>
      </c>
      <c r="L189" s="35" t="s">
        <v>47</v>
      </c>
      <c r="M189" s="35" t="s">
        <v>48</v>
      </c>
      <c r="N189" s="35" t="s">
        <v>43</v>
      </c>
      <c r="O189" s="35" t="s">
        <v>486</v>
      </c>
      <c r="P189" s="35" t="s">
        <v>486</v>
      </c>
      <c r="Q189" s="35"/>
      <c r="R189" s="35"/>
      <c r="S189" s="38">
        <v>77000</v>
      </c>
      <c r="T189" s="38">
        <v>48125</v>
      </c>
      <c r="U189" s="38">
        <v>10395.5</v>
      </c>
      <c r="V189" s="38">
        <v>16632.82</v>
      </c>
      <c r="W189" s="38">
        <v>48104.49</v>
      </c>
      <c r="X189" s="38">
        <v>10395.51</v>
      </c>
      <c r="Y189" s="38">
        <v>28895.510000000002</v>
      </c>
      <c r="Z189" s="38">
        <v>20.51</v>
      </c>
      <c r="AA189" s="38">
        <v>7.0979885802327072E-2</v>
      </c>
      <c r="AB189" s="38">
        <v>28875</v>
      </c>
      <c r="AC189" s="38">
        <v>99.929020114197669</v>
      </c>
      <c r="AD189" s="38">
        <v>6237.3</v>
      </c>
      <c r="AE189" s="38">
        <v>4812.5</v>
      </c>
      <c r="AF189" s="38">
        <v>0</v>
      </c>
      <c r="AG189" s="123">
        <v>45891</v>
      </c>
      <c r="AH189" s="123">
        <v>46003</v>
      </c>
      <c r="AI189" s="120">
        <v>0</v>
      </c>
      <c r="AJ189" s="120">
        <v>0</v>
      </c>
      <c r="AK189" s="120">
        <v>0</v>
      </c>
      <c r="AL189" s="120">
        <v>0</v>
      </c>
      <c r="AM189" s="35"/>
      <c r="AN189" s="35"/>
      <c r="AO189" s="35"/>
      <c r="AP189" s="35" t="s">
        <v>52</v>
      </c>
      <c r="AQ189" s="35">
        <v>5</v>
      </c>
      <c r="AR189" s="35">
        <v>0</v>
      </c>
      <c r="AS189" s="1">
        <f t="shared" si="6"/>
        <v>58500</v>
      </c>
    </row>
    <row r="190" spans="1:45" x14ac:dyDescent="0.3">
      <c r="A190" s="6" t="str">
        <f t="shared" si="5"/>
        <v>000053</v>
      </c>
      <c r="B190" s="35" t="s">
        <v>487</v>
      </c>
      <c r="C190" s="35" t="s">
        <v>488</v>
      </c>
      <c r="D190" s="35" t="s">
        <v>487</v>
      </c>
      <c r="E190" s="35" t="s">
        <v>488</v>
      </c>
      <c r="F190" s="35" t="s">
        <v>451</v>
      </c>
      <c r="G190" s="35" t="s">
        <v>388</v>
      </c>
      <c r="H190" s="35" t="s">
        <v>49</v>
      </c>
      <c r="I190" s="35" t="s">
        <v>450</v>
      </c>
      <c r="J190" s="35" t="s">
        <v>667</v>
      </c>
      <c r="K190" s="35" t="s">
        <v>668</v>
      </c>
      <c r="L190" s="35" t="s">
        <v>47</v>
      </c>
      <c r="M190" s="35" t="s">
        <v>48</v>
      </c>
      <c r="N190" s="35" t="s">
        <v>43</v>
      </c>
      <c r="O190" s="35" t="s">
        <v>594</v>
      </c>
      <c r="P190" s="35" t="s">
        <v>51</v>
      </c>
      <c r="Q190" s="35"/>
      <c r="R190" s="35"/>
      <c r="S190" s="38">
        <v>171000</v>
      </c>
      <c r="T190" s="38">
        <v>96187.5</v>
      </c>
      <c r="U190" s="38">
        <v>20777.490000000002</v>
      </c>
      <c r="V190" s="38">
        <v>36937.82</v>
      </c>
      <c r="W190" s="38">
        <v>96186.47</v>
      </c>
      <c r="X190" s="38">
        <v>20777.53</v>
      </c>
      <c r="Y190" s="38">
        <v>74813.53</v>
      </c>
      <c r="Z190" s="38">
        <v>0</v>
      </c>
      <c r="AA190" s="38">
        <v>0</v>
      </c>
      <c r="AB190" s="38">
        <v>74813.53</v>
      </c>
      <c r="AC190" s="38">
        <v>100</v>
      </c>
      <c r="AD190" s="38">
        <v>16160.27</v>
      </c>
      <c r="AE190" s="38">
        <v>10687.5</v>
      </c>
      <c r="AF190" s="38">
        <v>0</v>
      </c>
      <c r="AG190" s="123">
        <v>45898</v>
      </c>
      <c r="AH190" s="123">
        <v>46010</v>
      </c>
      <c r="AI190" s="120">
        <v>0</v>
      </c>
      <c r="AJ190" s="120">
        <v>0</v>
      </c>
      <c r="AK190" s="120">
        <v>0</v>
      </c>
      <c r="AL190" s="120">
        <v>0</v>
      </c>
      <c r="AM190" s="35"/>
      <c r="AN190" s="35"/>
      <c r="AO190" s="35"/>
      <c r="AP190" s="35" t="s">
        <v>52</v>
      </c>
      <c r="AQ190" s="35">
        <v>5</v>
      </c>
      <c r="AR190" s="35">
        <v>0</v>
      </c>
      <c r="AS190" s="1">
        <f t="shared" si="6"/>
        <v>116964</v>
      </c>
    </row>
    <row r="191" spans="1:45" x14ac:dyDescent="0.3">
      <c r="A191" s="6" t="str">
        <f t="shared" si="5"/>
        <v>000089</v>
      </c>
      <c r="B191" s="35" t="s">
        <v>487</v>
      </c>
      <c r="C191" s="35" t="s">
        <v>488</v>
      </c>
      <c r="D191" s="35" t="s">
        <v>487</v>
      </c>
      <c r="E191" s="35" t="s">
        <v>488</v>
      </c>
      <c r="F191" s="35" t="s">
        <v>451</v>
      </c>
      <c r="G191" s="35" t="s">
        <v>388</v>
      </c>
      <c r="H191" s="35" t="s">
        <v>49</v>
      </c>
      <c r="I191" s="35" t="s">
        <v>450</v>
      </c>
      <c r="J191" s="35" t="s">
        <v>1124</v>
      </c>
      <c r="K191" s="35" t="s">
        <v>1103</v>
      </c>
      <c r="L191" s="35" t="s">
        <v>47</v>
      </c>
      <c r="M191" s="35" t="s">
        <v>48</v>
      </c>
      <c r="N191" s="35" t="s">
        <v>43</v>
      </c>
      <c r="O191" s="35" t="s">
        <v>594</v>
      </c>
      <c r="P191" s="35" t="s">
        <v>51</v>
      </c>
      <c r="Q191" s="35"/>
      <c r="R191" s="35"/>
      <c r="S191" s="38">
        <v>48000</v>
      </c>
      <c r="T191" s="38">
        <v>18000</v>
      </c>
      <c r="U191" s="38">
        <v>3888.1800000000003</v>
      </c>
      <c r="V191" s="38">
        <v>10368.51</v>
      </c>
      <c r="W191" s="38">
        <v>17999.82</v>
      </c>
      <c r="X191" s="38">
        <v>3888.1800000000003</v>
      </c>
      <c r="Y191" s="38">
        <v>30000.18</v>
      </c>
      <c r="Z191" s="38">
        <v>0</v>
      </c>
      <c r="AA191" s="38">
        <v>0</v>
      </c>
      <c r="AB191" s="38">
        <v>30000.18</v>
      </c>
      <c r="AC191" s="38">
        <v>100</v>
      </c>
      <c r="AD191" s="38">
        <v>6480.3</v>
      </c>
      <c r="AE191" s="38">
        <v>3000</v>
      </c>
      <c r="AF191" s="38">
        <v>0</v>
      </c>
      <c r="AG191" s="123">
        <v>45918</v>
      </c>
      <c r="AH191" s="123">
        <v>46030</v>
      </c>
      <c r="AI191" s="120">
        <v>0</v>
      </c>
      <c r="AJ191" s="120">
        <v>0</v>
      </c>
      <c r="AK191" s="120">
        <v>0</v>
      </c>
      <c r="AL191" s="120">
        <v>0</v>
      </c>
      <c r="AM191" s="35"/>
      <c r="AN191" s="35"/>
      <c r="AO191" s="35"/>
      <c r="AP191" s="35" t="s">
        <v>52</v>
      </c>
      <c r="AQ191" s="35">
        <v>6</v>
      </c>
      <c r="AR191" s="35">
        <v>0</v>
      </c>
      <c r="AS191" s="1">
        <f t="shared" si="6"/>
        <v>21888</v>
      </c>
    </row>
    <row r="192" spans="1:45" x14ac:dyDescent="0.3">
      <c r="A192" s="6" t="str">
        <f t="shared" si="5"/>
        <v>000116</v>
      </c>
      <c r="B192" s="35" t="s">
        <v>487</v>
      </c>
      <c r="C192" s="35" t="s">
        <v>488</v>
      </c>
      <c r="D192" s="35" t="s">
        <v>487</v>
      </c>
      <c r="E192" s="35" t="s">
        <v>488</v>
      </c>
      <c r="F192" s="35" t="s">
        <v>451</v>
      </c>
      <c r="G192" s="35" t="s">
        <v>388</v>
      </c>
      <c r="H192" s="35" t="s">
        <v>49</v>
      </c>
      <c r="I192" s="35" t="s">
        <v>450</v>
      </c>
      <c r="J192" s="35" t="s">
        <v>1323</v>
      </c>
      <c r="K192" s="35" t="s">
        <v>1324</v>
      </c>
      <c r="L192" s="35" t="s">
        <v>47</v>
      </c>
      <c r="M192" s="35" t="s">
        <v>48</v>
      </c>
      <c r="N192" s="35" t="s">
        <v>43</v>
      </c>
      <c r="O192" s="35" t="s">
        <v>594</v>
      </c>
      <c r="P192" s="35" t="s">
        <v>51</v>
      </c>
      <c r="Q192" s="35"/>
      <c r="R192" s="35"/>
      <c r="S192" s="38">
        <v>112000</v>
      </c>
      <c r="T192" s="38">
        <v>35000</v>
      </c>
      <c r="U192" s="38">
        <v>7560.35</v>
      </c>
      <c r="V192" s="38">
        <v>24193.19</v>
      </c>
      <c r="W192" s="38">
        <v>34999.620000000003</v>
      </c>
      <c r="X192" s="38">
        <v>7560.38</v>
      </c>
      <c r="Y192" s="38">
        <v>77000.38</v>
      </c>
      <c r="Z192" s="38">
        <v>0</v>
      </c>
      <c r="AA192" s="38">
        <v>0</v>
      </c>
      <c r="AB192" s="38">
        <v>77000.38</v>
      </c>
      <c r="AC192" s="38">
        <v>100</v>
      </c>
      <c r="AD192" s="38">
        <v>16632.77</v>
      </c>
      <c r="AE192" s="38">
        <v>7000</v>
      </c>
      <c r="AF192" s="38">
        <v>0</v>
      </c>
      <c r="AG192" s="123">
        <v>45926</v>
      </c>
      <c r="AH192" s="123">
        <v>46038</v>
      </c>
      <c r="AI192" s="120">
        <v>0</v>
      </c>
      <c r="AJ192" s="120">
        <v>0</v>
      </c>
      <c r="AK192" s="120">
        <v>0</v>
      </c>
      <c r="AL192" s="120">
        <v>0</v>
      </c>
      <c r="AM192" s="35"/>
      <c r="AN192" s="35"/>
      <c r="AO192" s="35"/>
      <c r="AP192" s="35" t="s">
        <v>52</v>
      </c>
      <c r="AQ192" s="35">
        <v>7</v>
      </c>
      <c r="AR192" s="35">
        <v>0</v>
      </c>
      <c r="AS192" s="1">
        <f t="shared" si="6"/>
        <v>42560</v>
      </c>
    </row>
    <row r="193" spans="1:45" x14ac:dyDescent="0.3">
      <c r="A193" s="6" t="str">
        <f t="shared" si="5"/>
        <v>000118</v>
      </c>
      <c r="B193" s="35" t="s">
        <v>487</v>
      </c>
      <c r="C193" s="35" t="s">
        <v>488</v>
      </c>
      <c r="D193" s="35" t="s">
        <v>487</v>
      </c>
      <c r="E193" s="35" t="s">
        <v>488</v>
      </c>
      <c r="F193" s="35" t="s">
        <v>451</v>
      </c>
      <c r="G193" s="35" t="s">
        <v>388</v>
      </c>
      <c r="H193" s="35" t="s">
        <v>49</v>
      </c>
      <c r="I193" s="35" t="s">
        <v>450</v>
      </c>
      <c r="J193" s="35" t="s">
        <v>1636</v>
      </c>
      <c r="K193" s="35" t="s">
        <v>186</v>
      </c>
      <c r="L193" s="35" t="s">
        <v>47</v>
      </c>
      <c r="M193" s="35" t="s">
        <v>48</v>
      </c>
      <c r="N193" s="35" t="s">
        <v>43</v>
      </c>
      <c r="O193" s="35" t="s">
        <v>594</v>
      </c>
      <c r="P193" s="35" t="s">
        <v>51</v>
      </c>
      <c r="Q193" s="35"/>
      <c r="R193" s="35"/>
      <c r="S193" s="38">
        <v>54000</v>
      </c>
      <c r="T193" s="38">
        <v>6750</v>
      </c>
      <c r="U193" s="38">
        <v>1458.08</v>
      </c>
      <c r="V193" s="38">
        <v>11664.58</v>
      </c>
      <c r="W193" s="38">
        <v>6749.92</v>
      </c>
      <c r="X193" s="38">
        <v>1458.08</v>
      </c>
      <c r="Y193" s="38">
        <v>47250.080000000002</v>
      </c>
      <c r="Z193" s="38">
        <v>0</v>
      </c>
      <c r="AA193" s="38">
        <v>0</v>
      </c>
      <c r="AB193" s="38">
        <v>47250.080000000002</v>
      </c>
      <c r="AC193" s="38">
        <v>100</v>
      </c>
      <c r="AD193" s="38">
        <v>10206.56</v>
      </c>
      <c r="AE193" s="38">
        <v>3375</v>
      </c>
      <c r="AF193" s="38">
        <v>0</v>
      </c>
      <c r="AG193" s="123">
        <v>45943</v>
      </c>
      <c r="AH193" s="123">
        <v>46055</v>
      </c>
      <c r="AI193" s="120">
        <v>0</v>
      </c>
      <c r="AJ193" s="120">
        <v>0</v>
      </c>
      <c r="AK193" s="120">
        <v>0</v>
      </c>
      <c r="AL193" s="120">
        <v>0</v>
      </c>
      <c r="AM193" s="35"/>
      <c r="AN193" s="35"/>
      <c r="AO193" s="35"/>
      <c r="AP193" s="35" t="s">
        <v>52</v>
      </c>
      <c r="AQ193" s="35">
        <v>6</v>
      </c>
      <c r="AR193" s="35">
        <v>0</v>
      </c>
      <c r="AS193" s="1">
        <f t="shared" si="6"/>
        <v>8208</v>
      </c>
    </row>
    <row r="194" spans="1:45" x14ac:dyDescent="0.3">
      <c r="A194" s="6" t="str">
        <f t="shared" si="5"/>
        <v>000124</v>
      </c>
      <c r="B194" s="35" t="s">
        <v>487</v>
      </c>
      <c r="C194" s="35" t="s">
        <v>488</v>
      </c>
      <c r="D194" s="35" t="s">
        <v>487</v>
      </c>
      <c r="E194" s="35" t="s">
        <v>488</v>
      </c>
      <c r="F194" s="35" t="s">
        <v>451</v>
      </c>
      <c r="G194" s="35" t="s">
        <v>388</v>
      </c>
      <c r="H194" s="35" t="s">
        <v>49</v>
      </c>
      <c r="I194" s="35" t="s">
        <v>450</v>
      </c>
      <c r="J194" s="35" t="s">
        <v>1394</v>
      </c>
      <c r="K194" s="35" t="s">
        <v>1212</v>
      </c>
      <c r="L194" s="35" t="s">
        <v>47</v>
      </c>
      <c r="M194" s="35" t="s">
        <v>48</v>
      </c>
      <c r="N194" s="35" t="s">
        <v>43</v>
      </c>
      <c r="O194" s="35" t="s">
        <v>594</v>
      </c>
      <c r="P194" s="35" t="s">
        <v>51</v>
      </c>
      <c r="Q194" s="35"/>
      <c r="R194" s="35"/>
      <c r="S194" s="38">
        <v>42000</v>
      </c>
      <c r="T194" s="38">
        <v>10500</v>
      </c>
      <c r="U194" s="38">
        <v>2268.12</v>
      </c>
      <c r="V194" s="38">
        <v>9072.4500000000007</v>
      </c>
      <c r="W194" s="38">
        <v>10499.880000000001</v>
      </c>
      <c r="X194" s="38">
        <v>2268.12</v>
      </c>
      <c r="Y194" s="38">
        <v>31500.12</v>
      </c>
      <c r="Z194" s="38">
        <v>0</v>
      </c>
      <c r="AA194" s="38">
        <v>0</v>
      </c>
      <c r="AB194" s="38">
        <v>31500.12</v>
      </c>
      <c r="AC194" s="38">
        <v>100</v>
      </c>
      <c r="AD194" s="38">
        <v>6804.3600000000006</v>
      </c>
      <c r="AE194" s="38">
        <v>2625</v>
      </c>
      <c r="AF194" s="38">
        <v>0</v>
      </c>
      <c r="AG194" s="123">
        <v>45930</v>
      </c>
      <c r="AH194" s="123">
        <v>46042</v>
      </c>
      <c r="AI194" s="120">
        <v>0</v>
      </c>
      <c r="AJ194" s="120">
        <v>0</v>
      </c>
      <c r="AK194" s="120">
        <v>0</v>
      </c>
      <c r="AL194" s="120">
        <v>0</v>
      </c>
      <c r="AM194" s="35"/>
      <c r="AN194" s="35"/>
      <c r="AO194" s="35"/>
      <c r="AP194" s="35" t="s">
        <v>52</v>
      </c>
      <c r="AQ194" s="35">
        <v>6</v>
      </c>
      <c r="AR194" s="35">
        <v>0</v>
      </c>
      <c r="AS194" s="1">
        <f t="shared" si="6"/>
        <v>12768</v>
      </c>
    </row>
    <row r="195" spans="1:45" x14ac:dyDescent="0.3">
      <c r="A195" s="6" t="str">
        <f t="shared" si="5"/>
        <v>000139</v>
      </c>
      <c r="B195" s="35" t="s">
        <v>487</v>
      </c>
      <c r="C195" s="35" t="s">
        <v>488</v>
      </c>
      <c r="D195" s="35" t="s">
        <v>487</v>
      </c>
      <c r="E195" s="35" t="s">
        <v>488</v>
      </c>
      <c r="F195" s="35" t="s">
        <v>451</v>
      </c>
      <c r="G195" s="35" t="s">
        <v>388</v>
      </c>
      <c r="H195" s="35" t="s">
        <v>49</v>
      </c>
      <c r="I195" s="35" t="s">
        <v>450</v>
      </c>
      <c r="J195" s="35" t="s">
        <v>1565</v>
      </c>
      <c r="K195" s="35" t="s">
        <v>1528</v>
      </c>
      <c r="L195" s="35" t="s">
        <v>47</v>
      </c>
      <c r="M195" s="35" t="s">
        <v>48</v>
      </c>
      <c r="N195" s="35" t="s">
        <v>43</v>
      </c>
      <c r="O195" s="35" t="s">
        <v>594</v>
      </c>
      <c r="P195" s="35" t="s">
        <v>51</v>
      </c>
      <c r="Q195" s="35"/>
      <c r="R195" s="35"/>
      <c r="S195" s="38">
        <v>75000</v>
      </c>
      <c r="T195" s="38">
        <v>14062.5</v>
      </c>
      <c r="U195" s="38">
        <v>3037.65</v>
      </c>
      <c r="V195" s="38">
        <v>16200.800000000001</v>
      </c>
      <c r="W195" s="38">
        <v>14062.35</v>
      </c>
      <c r="X195" s="38">
        <v>3037.65</v>
      </c>
      <c r="Y195" s="38">
        <v>60937.65</v>
      </c>
      <c r="Z195" s="38">
        <v>0</v>
      </c>
      <c r="AA195" s="38">
        <v>0</v>
      </c>
      <c r="AB195" s="38">
        <v>60937.65</v>
      </c>
      <c r="AC195" s="38">
        <v>100</v>
      </c>
      <c r="AD195" s="38">
        <v>13163.15</v>
      </c>
      <c r="AE195" s="38">
        <v>4687.5</v>
      </c>
      <c r="AF195" s="38">
        <v>0</v>
      </c>
      <c r="AG195" s="123">
        <v>45938</v>
      </c>
      <c r="AH195" s="123">
        <v>46050</v>
      </c>
      <c r="AI195" s="120">
        <v>0</v>
      </c>
      <c r="AJ195" s="120">
        <v>0</v>
      </c>
      <c r="AK195" s="120">
        <v>0</v>
      </c>
      <c r="AL195" s="120">
        <v>0</v>
      </c>
      <c r="AM195" s="35"/>
      <c r="AN195" s="35"/>
      <c r="AO195" s="35"/>
      <c r="AP195" s="35" t="s">
        <v>52</v>
      </c>
      <c r="AQ195" s="35">
        <v>7</v>
      </c>
      <c r="AR195" s="35">
        <v>0</v>
      </c>
      <c r="AS195" s="1">
        <f t="shared" si="6"/>
        <v>17100</v>
      </c>
    </row>
    <row r="196" spans="1:45" x14ac:dyDescent="0.3">
      <c r="A196" s="6" t="str">
        <f t="shared" si="5"/>
        <v>000166</v>
      </c>
      <c r="B196" s="35" t="s">
        <v>487</v>
      </c>
      <c r="C196" s="35" t="s">
        <v>488</v>
      </c>
      <c r="D196" s="35" t="s">
        <v>487</v>
      </c>
      <c r="E196" s="35" t="s">
        <v>488</v>
      </c>
      <c r="F196" s="35" t="s">
        <v>451</v>
      </c>
      <c r="G196" s="35" t="s">
        <v>388</v>
      </c>
      <c r="H196" s="35" t="s">
        <v>49</v>
      </c>
      <c r="I196" s="35" t="s">
        <v>450</v>
      </c>
      <c r="J196" s="35" t="s">
        <v>1787</v>
      </c>
      <c r="K196" s="35" t="s">
        <v>1665</v>
      </c>
      <c r="L196" s="35" t="s">
        <v>47</v>
      </c>
      <c r="M196" s="35" t="s">
        <v>48</v>
      </c>
      <c r="N196" s="35" t="s">
        <v>43</v>
      </c>
      <c r="O196" s="35" t="s">
        <v>594</v>
      </c>
      <c r="P196" s="35" t="s">
        <v>51</v>
      </c>
      <c r="Q196" s="35"/>
      <c r="R196" s="35"/>
      <c r="S196" s="38">
        <v>60000</v>
      </c>
      <c r="T196" s="38">
        <v>7500</v>
      </c>
      <c r="U196" s="38">
        <v>1620.08</v>
      </c>
      <c r="V196" s="38">
        <v>12960.64</v>
      </c>
      <c r="W196" s="38">
        <v>7499.92</v>
      </c>
      <c r="X196" s="38">
        <v>1620.08</v>
      </c>
      <c r="Y196" s="38">
        <v>52500.08</v>
      </c>
      <c r="Z196" s="38">
        <v>0</v>
      </c>
      <c r="AA196" s="38">
        <v>0</v>
      </c>
      <c r="AB196" s="38">
        <v>52500.08</v>
      </c>
      <c r="AC196" s="38">
        <v>100</v>
      </c>
      <c r="AD196" s="38">
        <v>11340.56</v>
      </c>
      <c r="AE196" s="38">
        <v>3750</v>
      </c>
      <c r="AF196" s="38">
        <v>0</v>
      </c>
      <c r="AG196" s="123">
        <v>45947</v>
      </c>
      <c r="AH196" s="123">
        <v>46059</v>
      </c>
      <c r="AI196" s="120">
        <v>0</v>
      </c>
      <c r="AJ196" s="120">
        <v>0</v>
      </c>
      <c r="AK196" s="120">
        <v>0</v>
      </c>
      <c r="AL196" s="120">
        <v>0</v>
      </c>
      <c r="AM196" s="35"/>
      <c r="AN196" s="35"/>
      <c r="AO196" s="35"/>
      <c r="AP196" s="35" t="s">
        <v>52</v>
      </c>
      <c r="AQ196" s="35">
        <v>5</v>
      </c>
      <c r="AR196" s="35">
        <v>0</v>
      </c>
      <c r="AS196" s="1">
        <f t="shared" si="6"/>
        <v>9120</v>
      </c>
    </row>
    <row r="197" spans="1:45" x14ac:dyDescent="0.3">
      <c r="A197" s="6" t="str">
        <f t="shared" si="5"/>
        <v>000191</v>
      </c>
      <c r="B197" s="35" t="s">
        <v>487</v>
      </c>
      <c r="C197" s="35" t="s">
        <v>488</v>
      </c>
      <c r="D197" s="35" t="s">
        <v>487</v>
      </c>
      <c r="E197" s="35" t="s">
        <v>488</v>
      </c>
      <c r="F197" s="35" t="s">
        <v>451</v>
      </c>
      <c r="G197" s="35" t="s">
        <v>388</v>
      </c>
      <c r="H197" s="35" t="s">
        <v>49</v>
      </c>
      <c r="I197" s="35" t="s">
        <v>450</v>
      </c>
      <c r="J197" s="35" t="s">
        <v>2085</v>
      </c>
      <c r="K197" s="35" t="s">
        <v>2086</v>
      </c>
      <c r="L197" s="35" t="s">
        <v>47</v>
      </c>
      <c r="M197" s="35" t="s">
        <v>48</v>
      </c>
      <c r="N197" s="35" t="s">
        <v>43</v>
      </c>
      <c r="O197" s="35" t="s">
        <v>594</v>
      </c>
      <c r="P197" s="35" t="s">
        <v>51</v>
      </c>
      <c r="Q197" s="35"/>
      <c r="R197" s="35"/>
      <c r="S197" s="38">
        <v>50000</v>
      </c>
      <c r="T197" s="38">
        <v>0</v>
      </c>
      <c r="U197" s="38">
        <v>0</v>
      </c>
      <c r="V197" s="38">
        <v>10800.53</v>
      </c>
      <c r="W197" s="38">
        <v>0</v>
      </c>
      <c r="X197" s="38">
        <v>0</v>
      </c>
      <c r="Y197" s="38">
        <v>50000</v>
      </c>
      <c r="Z197" s="38">
        <v>0</v>
      </c>
      <c r="AA197" s="38">
        <v>0</v>
      </c>
      <c r="AB197" s="38">
        <v>50000</v>
      </c>
      <c r="AC197" s="38">
        <v>100</v>
      </c>
      <c r="AD197" s="38">
        <v>0</v>
      </c>
      <c r="AE197" s="38">
        <v>3125</v>
      </c>
      <c r="AF197" s="38">
        <v>0</v>
      </c>
      <c r="AG197" s="123">
        <v>45959</v>
      </c>
      <c r="AH197" s="123">
        <v>46071</v>
      </c>
      <c r="AI197" s="120">
        <v>0</v>
      </c>
      <c r="AJ197" s="120">
        <v>0</v>
      </c>
      <c r="AK197" s="120">
        <v>0</v>
      </c>
      <c r="AL197" s="120">
        <v>0</v>
      </c>
      <c r="AM197" s="35"/>
      <c r="AN197" s="35"/>
      <c r="AO197" s="35"/>
      <c r="AP197" s="35" t="s">
        <v>52</v>
      </c>
      <c r="AQ197" s="35">
        <v>6</v>
      </c>
      <c r="AR197" s="35">
        <v>0</v>
      </c>
      <c r="AS197" s="1">
        <f t="shared" si="6"/>
        <v>0</v>
      </c>
    </row>
    <row r="198" spans="1:45" x14ac:dyDescent="0.3">
      <c r="A198" s="6" t="str">
        <f t="shared" si="5"/>
        <v>000200</v>
      </c>
      <c r="B198" s="35" t="s">
        <v>487</v>
      </c>
      <c r="C198" s="35" t="s">
        <v>488</v>
      </c>
      <c r="D198" s="35" t="s">
        <v>487</v>
      </c>
      <c r="E198" s="35" t="s">
        <v>488</v>
      </c>
      <c r="F198" s="35" t="s">
        <v>451</v>
      </c>
      <c r="G198" s="35" t="s">
        <v>388</v>
      </c>
      <c r="H198" s="35" t="s">
        <v>49</v>
      </c>
      <c r="I198" s="35" t="s">
        <v>450</v>
      </c>
      <c r="J198" s="35" t="s">
        <v>2087</v>
      </c>
      <c r="K198" s="35" t="s">
        <v>2088</v>
      </c>
      <c r="L198" s="35" t="s">
        <v>47</v>
      </c>
      <c r="M198" s="35" t="s">
        <v>48</v>
      </c>
      <c r="N198" s="35" t="s">
        <v>43</v>
      </c>
      <c r="O198" s="35" t="s">
        <v>594</v>
      </c>
      <c r="P198" s="35" t="s">
        <v>51</v>
      </c>
      <c r="Q198" s="35"/>
      <c r="R198" s="35"/>
      <c r="S198" s="38">
        <v>29000</v>
      </c>
      <c r="T198" s="38">
        <v>0</v>
      </c>
      <c r="U198" s="38">
        <v>0</v>
      </c>
      <c r="V198" s="38">
        <v>6264.31</v>
      </c>
      <c r="W198" s="38">
        <v>0</v>
      </c>
      <c r="X198" s="38">
        <v>0</v>
      </c>
      <c r="Y198" s="38">
        <v>29000</v>
      </c>
      <c r="Z198" s="38">
        <v>0</v>
      </c>
      <c r="AA198" s="38">
        <v>0</v>
      </c>
      <c r="AB198" s="38">
        <v>29000</v>
      </c>
      <c r="AC198" s="38">
        <v>100</v>
      </c>
      <c r="AD198" s="38">
        <v>0</v>
      </c>
      <c r="AE198" s="38">
        <v>1812.5</v>
      </c>
      <c r="AF198" s="38">
        <v>0</v>
      </c>
      <c r="AG198" s="123">
        <v>45960</v>
      </c>
      <c r="AH198" s="123">
        <v>46072</v>
      </c>
      <c r="AI198" s="120">
        <v>0</v>
      </c>
      <c r="AJ198" s="120">
        <v>0</v>
      </c>
      <c r="AK198" s="120">
        <v>0</v>
      </c>
      <c r="AL198" s="120">
        <v>0</v>
      </c>
      <c r="AM198" s="35"/>
      <c r="AN198" s="35"/>
      <c r="AO198" s="35"/>
      <c r="AP198" s="35" t="s">
        <v>52</v>
      </c>
      <c r="AQ198" s="35">
        <v>5</v>
      </c>
      <c r="AR198" s="35">
        <v>0</v>
      </c>
      <c r="AS198" s="1">
        <f t="shared" si="6"/>
        <v>0</v>
      </c>
    </row>
    <row r="199" spans="1:45" x14ac:dyDescent="0.3">
      <c r="A199" s="6" t="str">
        <f t="shared" si="5"/>
        <v>000172</v>
      </c>
      <c r="B199" s="35" t="s">
        <v>1145</v>
      </c>
      <c r="C199" s="35" t="s">
        <v>1840</v>
      </c>
      <c r="D199" s="35" t="s">
        <v>1145</v>
      </c>
      <c r="E199" s="35" t="s">
        <v>1840</v>
      </c>
      <c r="F199" s="35" t="s">
        <v>451</v>
      </c>
      <c r="G199" s="35" t="s">
        <v>388</v>
      </c>
      <c r="H199" s="35" t="s">
        <v>49</v>
      </c>
      <c r="I199" s="35" t="s">
        <v>450</v>
      </c>
      <c r="J199" s="35" t="s">
        <v>1841</v>
      </c>
      <c r="K199" s="35" t="s">
        <v>1842</v>
      </c>
      <c r="L199" s="35" t="s">
        <v>47</v>
      </c>
      <c r="M199" s="35" t="s">
        <v>48</v>
      </c>
      <c r="N199" s="35" t="s">
        <v>43</v>
      </c>
      <c r="O199" s="35" t="s">
        <v>594</v>
      </c>
      <c r="P199" s="35" t="s">
        <v>51</v>
      </c>
      <c r="Q199" s="35"/>
      <c r="R199" s="35"/>
      <c r="S199" s="38">
        <v>74000</v>
      </c>
      <c r="T199" s="38">
        <v>4625</v>
      </c>
      <c r="U199" s="38">
        <v>999.05000000000007</v>
      </c>
      <c r="V199" s="38">
        <v>15984.79</v>
      </c>
      <c r="W199" s="38">
        <v>4624.9400000000005</v>
      </c>
      <c r="X199" s="38">
        <v>999.06000000000006</v>
      </c>
      <c r="Y199" s="38">
        <v>69375.06</v>
      </c>
      <c r="Z199" s="38">
        <v>0</v>
      </c>
      <c r="AA199" s="38">
        <v>0</v>
      </c>
      <c r="AB199" s="38">
        <v>69375.06</v>
      </c>
      <c r="AC199" s="38">
        <v>100</v>
      </c>
      <c r="AD199" s="38">
        <v>14985.75</v>
      </c>
      <c r="AE199" s="38">
        <v>4625</v>
      </c>
      <c r="AF199" s="38">
        <v>0</v>
      </c>
      <c r="AG199" s="123">
        <v>45951</v>
      </c>
      <c r="AH199" s="123">
        <v>46063</v>
      </c>
      <c r="AI199" s="120">
        <v>0</v>
      </c>
      <c r="AJ199" s="120">
        <v>0</v>
      </c>
      <c r="AK199" s="120">
        <v>0</v>
      </c>
      <c r="AL199" s="120">
        <v>0</v>
      </c>
      <c r="AM199" s="35"/>
      <c r="AN199" s="35"/>
      <c r="AO199" s="35"/>
      <c r="AP199" s="35" t="s">
        <v>52</v>
      </c>
      <c r="AQ199" s="35">
        <v>5</v>
      </c>
      <c r="AR199" s="35">
        <v>0</v>
      </c>
      <c r="AS199" s="1">
        <f t="shared" si="6"/>
        <v>5624.0000000000009</v>
      </c>
    </row>
    <row r="200" spans="1:45" x14ac:dyDescent="0.3">
      <c r="A200" s="6" t="str">
        <f t="shared" si="5"/>
        <v>000185</v>
      </c>
      <c r="B200" s="35" t="s">
        <v>1145</v>
      </c>
      <c r="C200" s="35" t="s">
        <v>1840</v>
      </c>
      <c r="D200" s="35" t="s">
        <v>1145</v>
      </c>
      <c r="E200" s="35" t="s">
        <v>1840</v>
      </c>
      <c r="F200" s="35" t="s">
        <v>451</v>
      </c>
      <c r="G200" s="35" t="s">
        <v>388</v>
      </c>
      <c r="H200" s="35" t="s">
        <v>49</v>
      </c>
      <c r="I200" s="35" t="s">
        <v>450</v>
      </c>
      <c r="J200" s="35" t="s">
        <v>1915</v>
      </c>
      <c r="K200" s="35" t="s">
        <v>1916</v>
      </c>
      <c r="L200" s="35" t="s">
        <v>47</v>
      </c>
      <c r="M200" s="35" t="s">
        <v>48</v>
      </c>
      <c r="N200" s="35" t="s">
        <v>43</v>
      </c>
      <c r="O200" s="35" t="s">
        <v>594</v>
      </c>
      <c r="P200" s="35" t="s">
        <v>51</v>
      </c>
      <c r="Q200" s="35"/>
      <c r="R200" s="35"/>
      <c r="S200" s="38">
        <v>252000</v>
      </c>
      <c r="T200" s="38">
        <v>15750</v>
      </c>
      <c r="U200" s="38">
        <v>3402.17</v>
      </c>
      <c r="V200" s="38">
        <v>54434.69</v>
      </c>
      <c r="W200" s="38">
        <v>0</v>
      </c>
      <c r="X200" s="38">
        <v>0</v>
      </c>
      <c r="Y200" s="38">
        <v>252000</v>
      </c>
      <c r="Z200" s="38">
        <v>15750</v>
      </c>
      <c r="AA200" s="38">
        <v>6.25</v>
      </c>
      <c r="AB200" s="38">
        <v>236250</v>
      </c>
      <c r="AC200" s="38">
        <v>93.75</v>
      </c>
      <c r="AD200" s="38">
        <v>0</v>
      </c>
      <c r="AE200" s="38">
        <v>15750</v>
      </c>
      <c r="AF200" s="38">
        <v>1</v>
      </c>
      <c r="AG200" s="123">
        <v>45954</v>
      </c>
      <c r="AH200" s="123">
        <v>46066</v>
      </c>
      <c r="AI200" s="120">
        <v>0</v>
      </c>
      <c r="AJ200" s="120">
        <v>0</v>
      </c>
      <c r="AK200" s="120">
        <v>0</v>
      </c>
      <c r="AL200" s="120">
        <v>0</v>
      </c>
      <c r="AM200" s="35"/>
      <c r="AN200" s="35"/>
      <c r="AO200" s="35"/>
      <c r="AP200" s="35" t="s">
        <v>52</v>
      </c>
      <c r="AQ200" s="35">
        <v>5</v>
      </c>
      <c r="AR200" s="35">
        <v>0</v>
      </c>
      <c r="AS200" s="1">
        <f t="shared" si="6"/>
        <v>0</v>
      </c>
    </row>
    <row r="201" spans="1:45" x14ac:dyDescent="0.3">
      <c r="A201" s="6" t="str">
        <f t="shared" si="5"/>
        <v>000198</v>
      </c>
      <c r="B201" s="35" t="s">
        <v>1145</v>
      </c>
      <c r="C201" s="35" t="s">
        <v>1840</v>
      </c>
      <c r="D201" s="35" t="s">
        <v>1145</v>
      </c>
      <c r="E201" s="35" t="s">
        <v>1840</v>
      </c>
      <c r="F201" s="35" t="s">
        <v>451</v>
      </c>
      <c r="G201" s="35" t="s">
        <v>388</v>
      </c>
      <c r="H201" s="35" t="s">
        <v>49</v>
      </c>
      <c r="I201" s="35" t="s">
        <v>450</v>
      </c>
      <c r="J201" s="35" t="s">
        <v>2033</v>
      </c>
      <c r="K201" s="35" t="s">
        <v>2034</v>
      </c>
      <c r="L201" s="35" t="s">
        <v>47</v>
      </c>
      <c r="M201" s="35" t="s">
        <v>48</v>
      </c>
      <c r="N201" s="35" t="s">
        <v>43</v>
      </c>
      <c r="O201" s="35" t="s">
        <v>594</v>
      </c>
      <c r="P201" s="35" t="s">
        <v>51</v>
      </c>
      <c r="Q201" s="35"/>
      <c r="R201" s="35"/>
      <c r="S201" s="38">
        <v>192000</v>
      </c>
      <c r="T201" s="38">
        <v>0</v>
      </c>
      <c r="U201" s="38">
        <v>0</v>
      </c>
      <c r="V201" s="38">
        <v>41474.050000000003</v>
      </c>
      <c r="W201" s="38">
        <v>0</v>
      </c>
      <c r="X201" s="38">
        <v>0</v>
      </c>
      <c r="Y201" s="38">
        <v>192000</v>
      </c>
      <c r="Z201" s="38">
        <v>0</v>
      </c>
      <c r="AA201" s="38">
        <v>0</v>
      </c>
      <c r="AB201" s="38">
        <v>192000</v>
      </c>
      <c r="AC201" s="38">
        <v>100</v>
      </c>
      <c r="AD201" s="38">
        <v>0</v>
      </c>
      <c r="AE201" s="38">
        <v>12000</v>
      </c>
      <c r="AF201" s="38">
        <v>0</v>
      </c>
      <c r="AG201" s="123">
        <v>45959</v>
      </c>
      <c r="AH201" s="123">
        <v>46071</v>
      </c>
      <c r="AI201" s="120">
        <v>0</v>
      </c>
      <c r="AJ201" s="120">
        <v>0</v>
      </c>
      <c r="AK201" s="120">
        <v>0</v>
      </c>
      <c r="AL201" s="120">
        <v>0</v>
      </c>
      <c r="AM201" s="35"/>
      <c r="AN201" s="35"/>
      <c r="AO201" s="35"/>
      <c r="AP201" s="35" t="s">
        <v>52</v>
      </c>
      <c r="AQ201" s="35">
        <v>6</v>
      </c>
      <c r="AR201" s="35">
        <v>0</v>
      </c>
      <c r="AS201" s="1">
        <f t="shared" si="6"/>
        <v>0</v>
      </c>
    </row>
  </sheetData>
  <autoFilter ref="A8:AS166" xr:uid="{133D8125-D515-43A7-80E0-50F2A41E8471}"/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4943B-48B8-45F1-8601-6B7BD86C8C74}">
  <sheetPr codeName="Hoja6"/>
  <dimension ref="A1:BH199"/>
  <sheetViews>
    <sheetView topLeftCell="A5" workbookViewId="0">
      <selection activeCell="A6" sqref="A6"/>
    </sheetView>
  </sheetViews>
  <sheetFormatPr baseColWidth="10" defaultRowHeight="14.4" x14ac:dyDescent="0.3"/>
  <cols>
    <col min="1" max="1" width="11.5546875" style="6"/>
    <col min="2" max="2" width="9.33203125" bestFit="1" customWidth="1"/>
    <col min="3" max="3" width="19.109375" bestFit="1" customWidth="1"/>
    <col min="4" max="4" width="31.44140625" bestFit="1" customWidth="1"/>
    <col min="5" max="5" width="13.88671875" bestFit="1" customWidth="1"/>
    <col min="6" max="6" width="27.88671875" bestFit="1" customWidth="1"/>
    <col min="7" max="7" width="12.6640625" customWidth="1"/>
    <col min="8" max="8" width="27.88671875" bestFit="1" customWidth="1"/>
    <col min="9" max="9" width="13.6640625" customWidth="1"/>
    <col min="10" max="10" width="5.88671875" customWidth="1"/>
    <col min="11" max="11" width="15.88671875" bestFit="1" customWidth="1"/>
    <col min="12" max="12" width="15.88671875" customWidth="1"/>
    <col min="13" max="13" width="13" customWidth="1"/>
    <col min="14" max="15" width="10.5546875" style="56" bestFit="1" customWidth="1"/>
    <col min="16" max="16" width="10.6640625" style="56" bestFit="1" customWidth="1"/>
    <col min="17" max="17" width="10" bestFit="1" customWidth="1"/>
    <col min="18" max="18" width="13.6640625" bestFit="1" customWidth="1"/>
    <col min="19" max="19" width="9.6640625" bestFit="1" customWidth="1"/>
    <col min="20" max="20" width="13.109375" bestFit="1" customWidth="1"/>
    <col min="21" max="21" width="13.6640625" customWidth="1"/>
    <col min="22" max="22" width="10.33203125" bestFit="1" customWidth="1"/>
    <col min="23" max="23" width="14.5546875" customWidth="1"/>
    <col min="24" max="24" width="16.5546875" bestFit="1" customWidth="1"/>
    <col min="25" max="25" width="9.88671875" bestFit="1" customWidth="1"/>
    <col min="26" max="26" width="10" bestFit="1" customWidth="1"/>
    <col min="27" max="27" width="12" bestFit="1" customWidth="1"/>
    <col min="28" max="28" width="21.88671875" bestFit="1" customWidth="1"/>
    <col min="29" max="29" width="26.6640625" bestFit="1" customWidth="1"/>
    <col min="30" max="30" width="24.33203125" bestFit="1" customWidth="1"/>
    <col min="31" max="31" width="15.5546875" bestFit="1" customWidth="1"/>
    <col min="32" max="32" width="11.6640625" style="56" bestFit="1" customWidth="1"/>
    <col min="33" max="33" width="11.6640625" bestFit="1" customWidth="1"/>
    <col min="34" max="34" width="10" bestFit="1" customWidth="1"/>
    <col min="38" max="39" width="10.5546875" bestFit="1" customWidth="1"/>
    <col min="40" max="40" width="9.44140625" bestFit="1" customWidth="1"/>
    <col min="41" max="41" width="15.5546875" bestFit="1" customWidth="1"/>
    <col min="42" max="42" width="21.33203125" bestFit="1" customWidth="1"/>
    <col min="43" max="43" width="21.88671875" bestFit="1" customWidth="1"/>
    <col min="44" max="44" width="21.33203125" bestFit="1" customWidth="1"/>
    <col min="45" max="45" width="21.88671875" bestFit="1" customWidth="1"/>
    <col min="46" max="46" width="21.33203125" bestFit="1" customWidth="1"/>
    <col min="47" max="47" width="21.88671875" bestFit="1" customWidth="1"/>
    <col min="48" max="48" width="15.5546875" bestFit="1" customWidth="1"/>
    <col min="49" max="49" width="15.6640625" bestFit="1" customWidth="1"/>
    <col min="50" max="50" width="10.6640625" bestFit="1" customWidth="1"/>
    <col min="51" max="51" width="15.5546875" bestFit="1" customWidth="1"/>
    <col min="52" max="52" width="11.33203125" bestFit="1" customWidth="1"/>
    <col min="53" max="53" width="15.33203125" bestFit="1" customWidth="1"/>
    <col min="54" max="54" width="10" bestFit="1" customWidth="1"/>
    <col min="55" max="55" width="12.6640625" customWidth="1"/>
    <col min="56" max="56" width="9.6640625" bestFit="1" customWidth="1"/>
    <col min="57" max="57" width="13.5546875" bestFit="1" customWidth="1"/>
    <col min="58" max="58" width="22" bestFit="1" customWidth="1"/>
    <col min="59" max="59" width="19.33203125" bestFit="1" customWidth="1"/>
    <col min="60" max="60" width="21.88671875" bestFit="1" customWidth="1"/>
    <col min="61" max="61" width="13.6640625" bestFit="1" customWidth="1"/>
    <col min="62" max="62" width="26" bestFit="1" customWidth="1"/>
    <col min="63" max="63" width="10.6640625" bestFit="1" customWidth="1"/>
    <col min="64" max="64" width="9.44140625" bestFit="1" customWidth="1"/>
    <col min="65" max="65" width="11.6640625" bestFit="1" customWidth="1"/>
    <col min="66" max="66" width="10.33203125" bestFit="1" customWidth="1"/>
  </cols>
  <sheetData>
    <row r="1" spans="1:60" x14ac:dyDescent="0.3">
      <c r="A1"/>
    </row>
    <row r="2" spans="1:60" x14ac:dyDescent="0.3">
      <c r="A2"/>
    </row>
    <row r="3" spans="1:60" x14ac:dyDescent="0.3">
      <c r="A3"/>
      <c r="Z3" s="38"/>
    </row>
    <row r="4" spans="1:60" x14ac:dyDescent="0.3">
      <c r="A4"/>
      <c r="Z4" s="38">
        <f>Z53+AA53</f>
        <v>162187.5</v>
      </c>
      <c r="AA4" s="38">
        <f>Z53*CARTERA!P5</f>
        <v>0</v>
      </c>
    </row>
    <row r="5" spans="1:60" ht="55.2" customHeight="1" x14ac:dyDescent="0.3">
      <c r="A5" s="14" t="s">
        <v>100</v>
      </c>
      <c r="B5" s="7" t="s">
        <v>113</v>
      </c>
      <c r="C5" s="8" t="s">
        <v>55</v>
      </c>
      <c r="D5" s="7" t="s">
        <v>202</v>
      </c>
      <c r="E5" s="7" t="s">
        <v>56</v>
      </c>
      <c r="F5" s="7" t="s">
        <v>57</v>
      </c>
      <c r="G5" s="7" t="s">
        <v>58</v>
      </c>
      <c r="H5" s="7" t="s">
        <v>59</v>
      </c>
      <c r="I5" s="7" t="s">
        <v>112</v>
      </c>
      <c r="J5" s="8" t="s">
        <v>6</v>
      </c>
      <c r="K5" s="8" t="s">
        <v>114</v>
      </c>
      <c r="L5" s="7" t="s">
        <v>203</v>
      </c>
      <c r="M5" s="9" t="s">
        <v>115</v>
      </c>
      <c r="N5" s="96" t="s">
        <v>60</v>
      </c>
      <c r="O5" s="96" t="s">
        <v>61</v>
      </c>
      <c r="P5" s="96" t="s">
        <v>62</v>
      </c>
      <c r="Q5" s="10" t="s">
        <v>63</v>
      </c>
      <c r="R5" s="11" t="s">
        <v>64</v>
      </c>
      <c r="S5" s="9" t="s">
        <v>65</v>
      </c>
      <c r="T5" s="8" t="s">
        <v>9</v>
      </c>
      <c r="U5" s="10" t="s">
        <v>66</v>
      </c>
      <c r="V5" s="10" t="s">
        <v>67</v>
      </c>
      <c r="W5" s="10" t="s">
        <v>68</v>
      </c>
      <c r="X5" s="12" t="s">
        <v>69</v>
      </c>
      <c r="Y5" s="10" t="s">
        <v>70</v>
      </c>
      <c r="Z5" s="10" t="s">
        <v>71</v>
      </c>
      <c r="AA5" s="10" t="s">
        <v>72</v>
      </c>
      <c r="AB5" s="10" t="s">
        <v>116</v>
      </c>
      <c r="AC5" s="12" t="s">
        <v>73</v>
      </c>
      <c r="AD5" s="12" t="s">
        <v>74</v>
      </c>
      <c r="AE5" s="10" t="s">
        <v>75</v>
      </c>
      <c r="AF5" s="96" t="s">
        <v>76</v>
      </c>
      <c r="AG5" s="7" t="s">
        <v>77</v>
      </c>
      <c r="AH5" s="7" t="s">
        <v>78</v>
      </c>
      <c r="AI5" s="7" t="s">
        <v>79</v>
      </c>
      <c r="AJ5" s="7" t="s">
        <v>80</v>
      </c>
      <c r="AK5" s="7" t="s">
        <v>81</v>
      </c>
      <c r="AL5" s="7" t="s">
        <v>82</v>
      </c>
      <c r="AM5" s="7" t="s">
        <v>117</v>
      </c>
      <c r="AN5" s="7" t="s">
        <v>118</v>
      </c>
      <c r="AO5" s="8" t="s">
        <v>83</v>
      </c>
      <c r="AP5" s="13" t="s">
        <v>84</v>
      </c>
      <c r="AQ5" s="7" t="s">
        <v>119</v>
      </c>
      <c r="AR5" s="10" t="s">
        <v>85</v>
      </c>
      <c r="AS5" s="10" t="s">
        <v>86</v>
      </c>
      <c r="AT5" s="8" t="s">
        <v>94</v>
      </c>
      <c r="AU5" s="8" t="s">
        <v>93</v>
      </c>
      <c r="AV5" s="7" t="s">
        <v>87</v>
      </c>
      <c r="AW5" s="7" t="s">
        <v>88</v>
      </c>
      <c r="AX5" s="8" t="s">
        <v>89</v>
      </c>
      <c r="AY5" s="8" t="s">
        <v>90</v>
      </c>
      <c r="AZ5" s="7" t="s">
        <v>91</v>
      </c>
      <c r="BA5" s="8" t="s">
        <v>92</v>
      </c>
      <c r="BB5" s="10" t="s">
        <v>120</v>
      </c>
      <c r="BC5" s="10" t="s">
        <v>121</v>
      </c>
      <c r="BD5" s="8" t="s">
        <v>122</v>
      </c>
      <c r="BE5" s="7" t="s">
        <v>123</v>
      </c>
      <c r="BF5" s="7" t="s">
        <v>1179</v>
      </c>
      <c r="BG5" s="12" t="s">
        <v>1085</v>
      </c>
      <c r="BH5" s="12" t="s">
        <v>1506</v>
      </c>
    </row>
    <row r="6" spans="1:60" x14ac:dyDescent="0.3">
      <c r="A6" s="6" t="str">
        <f>I6</f>
        <v>000089</v>
      </c>
      <c r="B6" s="35" t="s">
        <v>49</v>
      </c>
      <c r="C6" s="35" t="s">
        <v>388</v>
      </c>
      <c r="D6" s="35" t="s">
        <v>207</v>
      </c>
      <c r="E6" s="35" t="s">
        <v>487</v>
      </c>
      <c r="F6" s="35" t="s">
        <v>488</v>
      </c>
      <c r="G6" s="35" t="s">
        <v>487</v>
      </c>
      <c r="H6" s="35" t="s">
        <v>488</v>
      </c>
      <c r="I6" s="35" t="s">
        <v>1124</v>
      </c>
      <c r="J6" s="35" t="s">
        <v>47</v>
      </c>
      <c r="K6" s="35" t="s">
        <v>1103</v>
      </c>
      <c r="L6" s="35" t="s">
        <v>205</v>
      </c>
      <c r="M6" s="126">
        <v>6</v>
      </c>
      <c r="N6" s="123">
        <v>45918</v>
      </c>
      <c r="O6" s="123">
        <v>46030</v>
      </c>
      <c r="P6" s="38">
        <v>41676</v>
      </c>
      <c r="Q6" s="38">
        <v>48000</v>
      </c>
      <c r="R6" s="126">
        <v>0</v>
      </c>
      <c r="S6" s="126">
        <v>16</v>
      </c>
      <c r="T6" s="35" t="s">
        <v>95</v>
      </c>
      <c r="U6" s="38">
        <v>3648.03</v>
      </c>
      <c r="V6" s="38">
        <v>0</v>
      </c>
      <c r="W6" s="38">
        <v>0</v>
      </c>
      <c r="X6" s="38">
        <v>6</v>
      </c>
      <c r="Y6" s="38">
        <v>0</v>
      </c>
      <c r="Z6" s="38">
        <v>30000.18</v>
      </c>
      <c r="AA6" s="38">
        <v>0.192</v>
      </c>
      <c r="AB6" s="38">
        <v>0</v>
      </c>
      <c r="AC6" s="38">
        <v>0</v>
      </c>
      <c r="AD6" s="38">
        <v>0</v>
      </c>
      <c r="AE6" s="38">
        <v>3648</v>
      </c>
      <c r="AF6" s="123">
        <v>45959</v>
      </c>
      <c r="AG6" s="35" t="s">
        <v>96</v>
      </c>
      <c r="AH6" s="35"/>
      <c r="AI6" s="35"/>
      <c r="AJ6" s="35"/>
      <c r="AK6" s="35"/>
      <c r="AL6" s="35"/>
      <c r="AM6" s="35"/>
      <c r="AN6" s="35"/>
      <c r="AO6" s="35"/>
      <c r="AQ6" s="35"/>
      <c r="AR6" s="38">
        <v>36480.51</v>
      </c>
      <c r="AS6" s="38">
        <v>0</v>
      </c>
      <c r="AT6" s="35">
        <v>0</v>
      </c>
      <c r="AU6" s="35">
        <v>0</v>
      </c>
      <c r="AV6" s="35" t="s">
        <v>47</v>
      </c>
      <c r="AW6" s="35" t="s">
        <v>52</v>
      </c>
      <c r="AX6" s="35" t="s">
        <v>1125</v>
      </c>
      <c r="AY6" s="35" t="s">
        <v>98</v>
      </c>
      <c r="AZ6" s="35" t="s">
        <v>99</v>
      </c>
      <c r="BA6" s="35" t="s">
        <v>42</v>
      </c>
      <c r="BB6" s="38"/>
      <c r="BC6" s="38">
        <v>5.7859999999999996</v>
      </c>
      <c r="BD6" s="35" t="s">
        <v>197</v>
      </c>
      <c r="BE6" s="35" t="s">
        <v>656</v>
      </c>
      <c r="BF6" s="35">
        <v>0</v>
      </c>
      <c r="BG6" s="38">
        <v>0</v>
      </c>
      <c r="BH6" s="35" t="s">
        <v>1319</v>
      </c>
    </row>
    <row r="7" spans="1:60" x14ac:dyDescent="0.3">
      <c r="A7" s="6" t="str">
        <f>I7</f>
        <v>000145</v>
      </c>
      <c r="B7" s="35" t="s">
        <v>43</v>
      </c>
      <c r="C7" s="35" t="s">
        <v>424</v>
      </c>
      <c r="D7" s="35" t="s">
        <v>204</v>
      </c>
      <c r="E7" s="35" t="s">
        <v>189</v>
      </c>
      <c r="F7" s="35" t="s">
        <v>191</v>
      </c>
      <c r="G7" s="35" t="s">
        <v>189</v>
      </c>
      <c r="H7" s="35" t="s">
        <v>191</v>
      </c>
      <c r="I7" s="35" t="s">
        <v>1602</v>
      </c>
      <c r="J7" s="35" t="s">
        <v>47</v>
      </c>
      <c r="K7" s="35" t="s">
        <v>295</v>
      </c>
      <c r="L7" s="35" t="s">
        <v>205</v>
      </c>
      <c r="M7" s="126">
        <v>8</v>
      </c>
      <c r="N7" s="123">
        <v>45940</v>
      </c>
      <c r="O7" s="123">
        <v>46052</v>
      </c>
      <c r="P7" s="38">
        <v>103860</v>
      </c>
      <c r="Q7" s="38">
        <v>118000</v>
      </c>
      <c r="R7" s="126">
        <v>0</v>
      </c>
      <c r="S7" s="126">
        <v>16</v>
      </c>
      <c r="T7" s="35" t="s">
        <v>95</v>
      </c>
      <c r="U7" s="38">
        <v>8968.08</v>
      </c>
      <c r="V7" s="38">
        <v>0</v>
      </c>
      <c r="W7" s="38">
        <v>0</v>
      </c>
      <c r="X7" s="38">
        <v>3</v>
      </c>
      <c r="Y7" s="38">
        <v>0</v>
      </c>
      <c r="Z7" s="38">
        <v>95875</v>
      </c>
      <c r="AA7" s="38">
        <v>0</v>
      </c>
      <c r="AB7" s="38">
        <v>0</v>
      </c>
      <c r="AC7" s="38">
        <v>0</v>
      </c>
      <c r="AD7" s="38">
        <v>0</v>
      </c>
      <c r="AE7" s="38">
        <v>8976</v>
      </c>
      <c r="AF7" s="123">
        <v>45959</v>
      </c>
      <c r="AG7" s="35" t="s">
        <v>96</v>
      </c>
      <c r="AH7" s="35"/>
      <c r="AI7" s="35"/>
      <c r="AJ7" s="35"/>
      <c r="AK7" s="35"/>
      <c r="AL7" s="35"/>
      <c r="AM7" s="35"/>
      <c r="AN7" s="35"/>
      <c r="AO7" s="35"/>
      <c r="AQ7" s="35"/>
      <c r="AR7" s="38">
        <v>116561.26000000001</v>
      </c>
      <c r="AS7" s="38">
        <v>23.764000000000003</v>
      </c>
      <c r="AT7" s="35">
        <v>0</v>
      </c>
      <c r="AU7" s="35">
        <v>0</v>
      </c>
      <c r="AV7" s="35" t="s">
        <v>47</v>
      </c>
      <c r="AW7" s="35" t="s">
        <v>52</v>
      </c>
      <c r="AX7" s="35" t="s">
        <v>1608</v>
      </c>
      <c r="AY7" s="35" t="s">
        <v>98</v>
      </c>
      <c r="AZ7" s="35" t="s">
        <v>99</v>
      </c>
      <c r="BA7" s="35" t="s">
        <v>42</v>
      </c>
      <c r="BB7" s="38"/>
      <c r="BC7" s="38">
        <v>5.7859999999999996</v>
      </c>
      <c r="BD7" s="35" t="s">
        <v>168</v>
      </c>
      <c r="BE7" s="35" t="s">
        <v>888</v>
      </c>
      <c r="BF7" s="35">
        <v>0</v>
      </c>
      <c r="BG7" s="38">
        <v>0</v>
      </c>
      <c r="BH7" s="35" t="s">
        <v>1319</v>
      </c>
    </row>
    <row r="8" spans="1:60" x14ac:dyDescent="0.3">
      <c r="A8" s="6" t="str">
        <f>I8</f>
        <v>000069</v>
      </c>
      <c r="B8" s="35" t="s">
        <v>43</v>
      </c>
      <c r="C8" s="35" t="s">
        <v>424</v>
      </c>
      <c r="D8" s="35" t="s">
        <v>204</v>
      </c>
      <c r="E8" s="35" t="s">
        <v>39</v>
      </c>
      <c r="F8" s="35" t="s">
        <v>40</v>
      </c>
      <c r="G8" s="35" t="s">
        <v>39</v>
      </c>
      <c r="H8" s="35" t="s">
        <v>40</v>
      </c>
      <c r="I8" s="35" t="s">
        <v>188</v>
      </c>
      <c r="J8" s="35" t="s">
        <v>47</v>
      </c>
      <c r="K8" s="35" t="s">
        <v>937</v>
      </c>
      <c r="L8" s="35" t="s">
        <v>205</v>
      </c>
      <c r="M8" s="126">
        <v>8</v>
      </c>
      <c r="N8" s="123">
        <v>45912</v>
      </c>
      <c r="O8" s="123">
        <v>46024</v>
      </c>
      <c r="P8" s="38">
        <v>94937</v>
      </c>
      <c r="Q8" s="38">
        <v>108000</v>
      </c>
      <c r="R8" s="126">
        <v>0</v>
      </c>
      <c r="S8" s="126">
        <v>16</v>
      </c>
      <c r="T8" s="35" t="s">
        <v>95</v>
      </c>
      <c r="U8" s="38">
        <v>8208.07</v>
      </c>
      <c r="V8" s="38">
        <v>0</v>
      </c>
      <c r="W8" s="38">
        <v>0</v>
      </c>
      <c r="X8" s="38">
        <v>7</v>
      </c>
      <c r="Y8" s="38">
        <v>0</v>
      </c>
      <c r="Z8" s="38">
        <v>60750.01</v>
      </c>
      <c r="AA8" s="38">
        <v>1.4E-2</v>
      </c>
      <c r="AB8" s="38">
        <v>0</v>
      </c>
      <c r="AC8" s="38">
        <v>0</v>
      </c>
      <c r="AD8" s="38">
        <v>0</v>
      </c>
      <c r="AE8" s="38">
        <v>8208.07</v>
      </c>
      <c r="AF8" s="123">
        <v>45960</v>
      </c>
      <c r="AG8" s="35" t="s">
        <v>96</v>
      </c>
      <c r="AH8" s="35"/>
      <c r="AI8" s="35"/>
      <c r="AJ8" s="35"/>
      <c r="AK8" s="35"/>
      <c r="AL8" s="35"/>
      <c r="AM8" s="35"/>
      <c r="AN8" s="35"/>
      <c r="AO8" s="35"/>
      <c r="AQ8" s="35"/>
      <c r="AR8" s="38">
        <v>73872.66</v>
      </c>
      <c r="AS8" s="38">
        <v>0</v>
      </c>
      <c r="AT8" s="35">
        <v>0</v>
      </c>
      <c r="AU8" s="35">
        <v>0</v>
      </c>
      <c r="AV8" s="35" t="s">
        <v>47</v>
      </c>
      <c r="AW8" s="35" t="s">
        <v>52</v>
      </c>
      <c r="AX8" s="35" t="s">
        <v>966</v>
      </c>
      <c r="AY8" s="35" t="s">
        <v>98</v>
      </c>
      <c r="AZ8" s="35" t="s">
        <v>99</v>
      </c>
      <c r="BA8" s="35" t="s">
        <v>42</v>
      </c>
      <c r="BB8" s="38"/>
      <c r="BC8" s="38">
        <v>5.7859999999999996</v>
      </c>
      <c r="BD8" s="35" t="s">
        <v>168</v>
      </c>
      <c r="BE8" s="35" t="s">
        <v>147</v>
      </c>
      <c r="BF8" s="35">
        <v>0</v>
      </c>
      <c r="BG8" s="38">
        <v>0</v>
      </c>
      <c r="BH8" s="35" t="s">
        <v>1319</v>
      </c>
    </row>
    <row r="9" spans="1:60" x14ac:dyDescent="0.3">
      <c r="A9" s="6" t="str">
        <f t="shared" ref="A9:A72" si="0">I9</f>
        <v>000079</v>
      </c>
      <c r="B9" s="35" t="s">
        <v>43</v>
      </c>
      <c r="C9" s="35" t="s">
        <v>424</v>
      </c>
      <c r="D9" s="35" t="s">
        <v>204</v>
      </c>
      <c r="E9" s="35" t="s">
        <v>39</v>
      </c>
      <c r="F9" s="35" t="s">
        <v>40</v>
      </c>
      <c r="G9" s="35" t="s">
        <v>39</v>
      </c>
      <c r="H9" s="35" t="s">
        <v>40</v>
      </c>
      <c r="I9" s="35" t="s">
        <v>1048</v>
      </c>
      <c r="J9" s="35" t="s">
        <v>47</v>
      </c>
      <c r="K9" s="35" t="s">
        <v>943</v>
      </c>
      <c r="L9" s="35" t="s">
        <v>205</v>
      </c>
      <c r="M9" s="126">
        <v>5</v>
      </c>
      <c r="N9" s="123">
        <v>45912</v>
      </c>
      <c r="O9" s="123">
        <v>46024</v>
      </c>
      <c r="P9" s="38">
        <v>80322</v>
      </c>
      <c r="Q9" s="38">
        <v>91000</v>
      </c>
      <c r="R9" s="126">
        <v>0</v>
      </c>
      <c r="S9" s="126">
        <v>16</v>
      </c>
      <c r="T9" s="35" t="s">
        <v>95</v>
      </c>
      <c r="U9" s="38">
        <v>6916.06</v>
      </c>
      <c r="V9" s="38">
        <v>0</v>
      </c>
      <c r="W9" s="38">
        <v>0</v>
      </c>
      <c r="X9" s="38">
        <v>7</v>
      </c>
      <c r="Y9" s="38">
        <v>0</v>
      </c>
      <c r="Z9" s="38">
        <v>51187.5</v>
      </c>
      <c r="AA9" s="38">
        <v>4.6666666666670001E-3</v>
      </c>
      <c r="AB9" s="38">
        <v>0</v>
      </c>
      <c r="AC9" s="38">
        <v>0</v>
      </c>
      <c r="AD9" s="38">
        <v>0</v>
      </c>
      <c r="AE9" s="38">
        <v>6916.06</v>
      </c>
      <c r="AF9" s="123">
        <v>45960</v>
      </c>
      <c r="AG9" s="35" t="s">
        <v>96</v>
      </c>
      <c r="AH9" s="35"/>
      <c r="AI9" s="35"/>
      <c r="AJ9" s="35"/>
      <c r="AK9" s="35"/>
      <c r="AL9" s="35"/>
      <c r="AM9" s="35"/>
      <c r="AN9" s="35"/>
      <c r="AO9" s="35"/>
      <c r="AQ9" s="35"/>
      <c r="AR9" s="38">
        <v>62244.55</v>
      </c>
      <c r="AS9" s="38">
        <v>0</v>
      </c>
      <c r="AT9" s="35">
        <v>0</v>
      </c>
      <c r="AU9" s="35">
        <v>0</v>
      </c>
      <c r="AV9" s="35" t="s">
        <v>47</v>
      </c>
      <c r="AW9" s="35" t="s">
        <v>52</v>
      </c>
      <c r="AX9" s="35" t="s">
        <v>964</v>
      </c>
      <c r="AY9" s="35" t="s">
        <v>98</v>
      </c>
      <c r="AZ9" s="35" t="s">
        <v>99</v>
      </c>
      <c r="BA9" s="35" t="s">
        <v>42</v>
      </c>
      <c r="BB9" s="38"/>
      <c r="BC9" s="38">
        <v>5.7859999999999996</v>
      </c>
      <c r="BD9" s="35" t="s">
        <v>168</v>
      </c>
      <c r="BE9" s="35" t="s">
        <v>965</v>
      </c>
      <c r="BF9" s="35">
        <v>0</v>
      </c>
      <c r="BG9" s="38">
        <v>0</v>
      </c>
      <c r="BH9" s="35" t="s">
        <v>1319</v>
      </c>
    </row>
    <row r="10" spans="1:60" x14ac:dyDescent="0.3">
      <c r="A10" s="6" t="str">
        <f t="shared" si="0"/>
        <v>000104</v>
      </c>
      <c r="B10" s="35" t="s">
        <v>43</v>
      </c>
      <c r="C10" s="35" t="s">
        <v>396</v>
      </c>
      <c r="D10" s="35" t="s">
        <v>206</v>
      </c>
      <c r="E10" s="35" t="s">
        <v>154</v>
      </c>
      <c r="F10" s="35" t="s">
        <v>155</v>
      </c>
      <c r="G10" s="35" t="s">
        <v>154</v>
      </c>
      <c r="H10" s="35" t="s">
        <v>155</v>
      </c>
      <c r="I10" s="35" t="s">
        <v>1209</v>
      </c>
      <c r="J10" s="35" t="s">
        <v>47</v>
      </c>
      <c r="K10" s="35" t="s">
        <v>1161</v>
      </c>
      <c r="L10" s="35" t="s">
        <v>205</v>
      </c>
      <c r="M10" s="126">
        <v>6</v>
      </c>
      <c r="N10" s="123">
        <v>45924</v>
      </c>
      <c r="O10" s="123">
        <v>46036</v>
      </c>
      <c r="P10" s="38">
        <v>54276</v>
      </c>
      <c r="Q10" s="38">
        <v>62000</v>
      </c>
      <c r="R10" s="126">
        <v>0</v>
      </c>
      <c r="S10" s="126">
        <v>16</v>
      </c>
      <c r="T10" s="35" t="s">
        <v>95</v>
      </c>
      <c r="U10" s="38">
        <v>4712.04</v>
      </c>
      <c r="V10" s="38">
        <v>0</v>
      </c>
      <c r="W10" s="38">
        <v>0</v>
      </c>
      <c r="X10" s="38">
        <v>5</v>
      </c>
      <c r="Y10" s="38">
        <v>0</v>
      </c>
      <c r="Z10" s="38">
        <v>42625</v>
      </c>
      <c r="AA10" s="38">
        <v>0</v>
      </c>
      <c r="AB10" s="38">
        <v>0</v>
      </c>
      <c r="AC10" s="38">
        <v>0</v>
      </c>
      <c r="AD10" s="38">
        <v>0</v>
      </c>
      <c r="AE10" s="38">
        <v>4718</v>
      </c>
      <c r="AF10" s="123">
        <v>45958</v>
      </c>
      <c r="AG10" s="35" t="s">
        <v>96</v>
      </c>
      <c r="AH10" s="35"/>
      <c r="AI10" s="35"/>
      <c r="AJ10" s="35"/>
      <c r="AK10" s="35"/>
      <c r="AL10" s="35"/>
      <c r="AM10" s="35"/>
      <c r="AN10" s="35"/>
      <c r="AO10" s="35"/>
      <c r="AQ10" s="35"/>
      <c r="AR10" s="38">
        <v>51802.66</v>
      </c>
      <c r="AS10" s="38">
        <v>29.793333333333326</v>
      </c>
      <c r="AT10" s="35">
        <v>0</v>
      </c>
      <c r="AU10" s="35">
        <v>0</v>
      </c>
      <c r="AV10" s="35" t="s">
        <v>47</v>
      </c>
      <c r="AW10" s="35" t="s">
        <v>52</v>
      </c>
      <c r="AX10" s="35" t="s">
        <v>1227</v>
      </c>
      <c r="AY10" s="35" t="s">
        <v>98</v>
      </c>
      <c r="AZ10" s="35" t="s">
        <v>99</v>
      </c>
      <c r="BA10" s="35" t="s">
        <v>42</v>
      </c>
      <c r="BB10" s="38"/>
      <c r="BC10" s="38">
        <v>5.7859999999999996</v>
      </c>
      <c r="BD10" s="35" t="s">
        <v>124</v>
      </c>
      <c r="BE10" s="35" t="s">
        <v>125</v>
      </c>
      <c r="BF10" s="35">
        <v>0</v>
      </c>
      <c r="BG10" s="38">
        <v>0</v>
      </c>
      <c r="BH10" s="35" t="s">
        <v>1319</v>
      </c>
    </row>
    <row r="11" spans="1:60" x14ac:dyDescent="0.3">
      <c r="A11" s="6" t="str">
        <f t="shared" si="0"/>
        <v>000120</v>
      </c>
      <c r="B11" s="35" t="s">
        <v>49</v>
      </c>
      <c r="C11" s="35" t="s">
        <v>388</v>
      </c>
      <c r="D11" s="35" t="s">
        <v>207</v>
      </c>
      <c r="E11" s="35" t="s">
        <v>170</v>
      </c>
      <c r="F11" s="35" t="s">
        <v>171</v>
      </c>
      <c r="G11" s="35" t="s">
        <v>170</v>
      </c>
      <c r="H11" s="35" t="s">
        <v>171</v>
      </c>
      <c r="I11" s="35" t="s">
        <v>1361</v>
      </c>
      <c r="J11" s="35" t="s">
        <v>47</v>
      </c>
      <c r="K11" s="35" t="s">
        <v>1356</v>
      </c>
      <c r="L11" s="35" t="s">
        <v>205</v>
      </c>
      <c r="M11" s="126">
        <v>5</v>
      </c>
      <c r="N11" s="123">
        <v>45929</v>
      </c>
      <c r="O11" s="123">
        <v>46041</v>
      </c>
      <c r="P11" s="38">
        <v>142110</v>
      </c>
      <c r="Q11" s="38">
        <v>160000</v>
      </c>
      <c r="R11" s="126">
        <v>0</v>
      </c>
      <c r="S11" s="126">
        <v>16</v>
      </c>
      <c r="T11" s="35" t="s">
        <v>95</v>
      </c>
      <c r="U11" s="38">
        <v>12160.11</v>
      </c>
      <c r="V11" s="38">
        <v>0</v>
      </c>
      <c r="W11" s="38">
        <v>0</v>
      </c>
      <c r="X11" s="38">
        <v>4</v>
      </c>
      <c r="Y11" s="38">
        <v>0</v>
      </c>
      <c r="Z11" s="38">
        <v>120000.44</v>
      </c>
      <c r="AA11" s="38">
        <v>0.42666666666666703</v>
      </c>
      <c r="AB11" s="38">
        <v>0</v>
      </c>
      <c r="AC11" s="38">
        <v>0</v>
      </c>
      <c r="AD11" s="38">
        <v>0</v>
      </c>
      <c r="AE11" s="38">
        <v>12160</v>
      </c>
      <c r="AF11" s="123">
        <v>45954</v>
      </c>
      <c r="AG11" s="35" t="s">
        <v>96</v>
      </c>
      <c r="AH11" s="35"/>
      <c r="AI11" s="35"/>
      <c r="AJ11" s="35"/>
      <c r="AK11" s="35"/>
      <c r="AL11" s="35"/>
      <c r="AM11" s="35"/>
      <c r="AN11" s="35"/>
      <c r="AO11" s="35"/>
      <c r="AQ11" s="35"/>
      <c r="AR11" s="38">
        <v>145921.71</v>
      </c>
      <c r="AS11" s="38">
        <v>0</v>
      </c>
      <c r="AT11" s="35">
        <v>1</v>
      </c>
      <c r="AU11" s="35">
        <v>1</v>
      </c>
      <c r="AV11" s="35" t="s">
        <v>47</v>
      </c>
      <c r="AW11" s="35" t="s">
        <v>52</v>
      </c>
      <c r="AX11" s="35" t="s">
        <v>1373</v>
      </c>
      <c r="AY11" s="35" t="s">
        <v>98</v>
      </c>
      <c r="AZ11" s="35" t="s">
        <v>99</v>
      </c>
      <c r="BA11" s="35" t="s">
        <v>42</v>
      </c>
      <c r="BB11" s="38"/>
      <c r="BC11" s="38">
        <v>5.7859999999999996</v>
      </c>
      <c r="BD11" s="35" t="s">
        <v>126</v>
      </c>
      <c r="BE11" s="35" t="s">
        <v>160</v>
      </c>
      <c r="BF11" s="35">
        <v>0</v>
      </c>
      <c r="BG11" s="38">
        <v>0</v>
      </c>
      <c r="BH11" s="35" t="s">
        <v>1319</v>
      </c>
    </row>
    <row r="12" spans="1:60" x14ac:dyDescent="0.3">
      <c r="A12" s="6" t="str">
        <f t="shared" si="0"/>
        <v>000119</v>
      </c>
      <c r="B12" s="35" t="s">
        <v>43</v>
      </c>
      <c r="C12" s="35" t="s">
        <v>396</v>
      </c>
      <c r="D12" s="35" t="s">
        <v>206</v>
      </c>
      <c r="E12" s="35" t="s">
        <v>154</v>
      </c>
      <c r="F12" s="35" t="s">
        <v>155</v>
      </c>
      <c r="G12" s="35" t="s">
        <v>154</v>
      </c>
      <c r="H12" s="35" t="s">
        <v>155</v>
      </c>
      <c r="I12" s="35" t="s">
        <v>1403</v>
      </c>
      <c r="J12" s="35" t="s">
        <v>47</v>
      </c>
      <c r="K12" s="35" t="s">
        <v>1359</v>
      </c>
      <c r="L12" s="35" t="s">
        <v>205</v>
      </c>
      <c r="M12" s="126">
        <v>6</v>
      </c>
      <c r="N12" s="123">
        <v>45930</v>
      </c>
      <c r="O12" s="123">
        <v>46042</v>
      </c>
      <c r="P12" s="38">
        <v>66695</v>
      </c>
      <c r="Q12" s="38">
        <v>76000</v>
      </c>
      <c r="R12" s="126">
        <v>0</v>
      </c>
      <c r="S12" s="126">
        <v>16</v>
      </c>
      <c r="T12" s="35" t="s">
        <v>95</v>
      </c>
      <c r="U12" s="38">
        <v>5776.05</v>
      </c>
      <c r="V12" s="38">
        <v>0</v>
      </c>
      <c r="W12" s="38">
        <v>0</v>
      </c>
      <c r="X12" s="38">
        <v>4</v>
      </c>
      <c r="Y12" s="38">
        <v>0</v>
      </c>
      <c r="Z12" s="38">
        <v>57000</v>
      </c>
      <c r="AA12" s="38">
        <v>0</v>
      </c>
      <c r="AB12" s="38">
        <v>0</v>
      </c>
      <c r="AC12" s="38">
        <v>0</v>
      </c>
      <c r="AD12" s="38">
        <v>0</v>
      </c>
      <c r="AE12" s="38">
        <v>5782</v>
      </c>
      <c r="AF12" s="123">
        <v>45957</v>
      </c>
      <c r="AG12" s="35" t="s">
        <v>96</v>
      </c>
      <c r="AH12" s="35"/>
      <c r="AI12" s="35"/>
      <c r="AJ12" s="35"/>
      <c r="AK12" s="35"/>
      <c r="AL12" s="35"/>
      <c r="AM12" s="35"/>
      <c r="AN12" s="35"/>
      <c r="AO12" s="35"/>
      <c r="AQ12" s="35"/>
      <c r="AR12" s="38">
        <v>69288.759999999995</v>
      </c>
      <c r="AS12" s="38">
        <v>23.847333333333328</v>
      </c>
      <c r="AT12" s="35">
        <v>0</v>
      </c>
      <c r="AU12" s="35">
        <v>0</v>
      </c>
      <c r="AV12" s="35" t="s">
        <v>47</v>
      </c>
      <c r="AW12" s="35" t="s">
        <v>52</v>
      </c>
      <c r="AX12" s="35" t="s">
        <v>1409</v>
      </c>
      <c r="AY12" s="35" t="s">
        <v>98</v>
      </c>
      <c r="AZ12" s="35" t="s">
        <v>99</v>
      </c>
      <c r="BA12" s="35" t="s">
        <v>42</v>
      </c>
      <c r="BB12" s="38"/>
      <c r="BC12" s="38">
        <v>5.7859999999999996</v>
      </c>
      <c r="BD12" s="35" t="s">
        <v>146</v>
      </c>
      <c r="BE12" s="35" t="s">
        <v>198</v>
      </c>
      <c r="BF12" s="35">
        <v>0</v>
      </c>
      <c r="BG12" s="38">
        <v>0</v>
      </c>
      <c r="BH12" s="35" t="s">
        <v>1320</v>
      </c>
    </row>
    <row r="13" spans="1:60" x14ac:dyDescent="0.3">
      <c r="A13" s="6" t="str">
        <f t="shared" si="0"/>
        <v>000039</v>
      </c>
      <c r="B13" s="35" t="s">
        <v>49</v>
      </c>
      <c r="C13" s="35" t="s">
        <v>388</v>
      </c>
      <c r="D13" s="35" t="s">
        <v>207</v>
      </c>
      <c r="E13" s="35" t="s">
        <v>170</v>
      </c>
      <c r="F13" s="35" t="s">
        <v>171</v>
      </c>
      <c r="G13" s="35" t="s">
        <v>170</v>
      </c>
      <c r="H13" s="35" t="s">
        <v>171</v>
      </c>
      <c r="I13" s="35" t="s">
        <v>595</v>
      </c>
      <c r="J13" s="35" t="s">
        <v>47</v>
      </c>
      <c r="K13" s="35" t="s">
        <v>596</v>
      </c>
      <c r="L13" s="35" t="s">
        <v>205</v>
      </c>
      <c r="M13" s="126">
        <v>8</v>
      </c>
      <c r="N13" s="123">
        <v>45896</v>
      </c>
      <c r="O13" s="123">
        <v>46008</v>
      </c>
      <c r="P13" s="38">
        <v>105710</v>
      </c>
      <c r="Q13" s="38">
        <v>120000</v>
      </c>
      <c r="R13" s="126">
        <v>0</v>
      </c>
      <c r="S13" s="126">
        <v>16</v>
      </c>
      <c r="T13" s="35" t="s">
        <v>95</v>
      </c>
      <c r="U13" s="38">
        <v>9120.08</v>
      </c>
      <c r="V13" s="38">
        <v>0</v>
      </c>
      <c r="W13" s="38">
        <v>0</v>
      </c>
      <c r="X13" s="38">
        <v>9</v>
      </c>
      <c r="Y13" s="38">
        <v>0</v>
      </c>
      <c r="Z13" s="38">
        <v>52500.72</v>
      </c>
      <c r="AA13" s="38">
        <v>0.72</v>
      </c>
      <c r="AB13" s="38">
        <v>0</v>
      </c>
      <c r="AC13" s="38">
        <v>0</v>
      </c>
      <c r="AD13" s="38">
        <v>0</v>
      </c>
      <c r="AE13" s="38">
        <v>9120</v>
      </c>
      <c r="AF13" s="123">
        <v>45958</v>
      </c>
      <c r="AG13" s="35" t="s">
        <v>96</v>
      </c>
      <c r="AH13" s="35"/>
      <c r="AI13" s="35"/>
      <c r="AJ13" s="35"/>
      <c r="AK13" s="35"/>
      <c r="AL13" s="35"/>
      <c r="AM13" s="35"/>
      <c r="AN13" s="35"/>
      <c r="AO13" s="35"/>
      <c r="AQ13" s="35"/>
      <c r="AR13" s="38">
        <v>63841.279999999999</v>
      </c>
      <c r="AS13" s="38">
        <v>0</v>
      </c>
      <c r="AT13" s="35">
        <v>0</v>
      </c>
      <c r="AU13" s="35">
        <v>0</v>
      </c>
      <c r="AV13" s="35" t="s">
        <v>47</v>
      </c>
      <c r="AW13" s="35" t="s">
        <v>52</v>
      </c>
      <c r="AX13" s="35" t="s">
        <v>597</v>
      </c>
      <c r="AY13" s="35" t="s">
        <v>98</v>
      </c>
      <c r="AZ13" s="35" t="s">
        <v>99</v>
      </c>
      <c r="BA13" s="35" t="s">
        <v>42</v>
      </c>
      <c r="BB13" s="38"/>
      <c r="BC13" s="38">
        <v>5.7859999999999996</v>
      </c>
      <c r="BD13" s="35" t="s">
        <v>124</v>
      </c>
      <c r="BE13" s="35" t="s">
        <v>160</v>
      </c>
      <c r="BF13" s="35">
        <v>0</v>
      </c>
      <c r="BG13" s="38">
        <v>0</v>
      </c>
      <c r="BH13" s="35" t="s">
        <v>1319</v>
      </c>
    </row>
    <row r="14" spans="1:60" x14ac:dyDescent="0.3">
      <c r="A14" s="6" t="str">
        <f t="shared" si="0"/>
        <v>000053</v>
      </c>
      <c r="B14" s="35" t="s">
        <v>49</v>
      </c>
      <c r="C14" s="35" t="s">
        <v>388</v>
      </c>
      <c r="D14" s="35" t="s">
        <v>207</v>
      </c>
      <c r="E14" s="35" t="s">
        <v>487</v>
      </c>
      <c r="F14" s="35" t="s">
        <v>488</v>
      </c>
      <c r="G14" s="35" t="s">
        <v>487</v>
      </c>
      <c r="H14" s="35" t="s">
        <v>488</v>
      </c>
      <c r="I14" s="35" t="s">
        <v>667</v>
      </c>
      <c r="J14" s="35" t="s">
        <v>47</v>
      </c>
      <c r="K14" s="35" t="s">
        <v>668</v>
      </c>
      <c r="L14" s="35" t="s">
        <v>205</v>
      </c>
      <c r="M14" s="126">
        <v>5</v>
      </c>
      <c r="N14" s="123">
        <v>45898</v>
      </c>
      <c r="O14" s="123">
        <v>46010</v>
      </c>
      <c r="P14" s="38">
        <v>151984</v>
      </c>
      <c r="Q14" s="38">
        <v>171000</v>
      </c>
      <c r="R14" s="126">
        <v>0</v>
      </c>
      <c r="S14" s="126">
        <v>16</v>
      </c>
      <c r="T14" s="35" t="s">
        <v>95</v>
      </c>
      <c r="U14" s="38">
        <v>12996.11</v>
      </c>
      <c r="V14" s="38">
        <v>0</v>
      </c>
      <c r="W14" s="38">
        <v>0</v>
      </c>
      <c r="X14" s="38">
        <v>9</v>
      </c>
      <c r="Y14" s="38">
        <v>0</v>
      </c>
      <c r="Z14" s="38">
        <v>74813.53</v>
      </c>
      <c r="AA14" s="38">
        <v>1.026</v>
      </c>
      <c r="AB14" s="38">
        <v>0</v>
      </c>
      <c r="AC14" s="38">
        <v>0</v>
      </c>
      <c r="AD14" s="38">
        <v>0</v>
      </c>
      <c r="AE14" s="38">
        <v>12996</v>
      </c>
      <c r="AF14" s="123">
        <v>45959</v>
      </c>
      <c r="AG14" s="35" t="s">
        <v>96</v>
      </c>
      <c r="AH14" s="35"/>
      <c r="AI14" s="35"/>
      <c r="AJ14" s="35"/>
      <c r="AK14" s="35"/>
      <c r="AL14" s="35"/>
      <c r="AM14" s="35"/>
      <c r="AN14" s="35"/>
      <c r="AO14" s="35"/>
      <c r="AQ14" s="35"/>
      <c r="AR14" s="38">
        <v>90973.82</v>
      </c>
      <c r="AS14" s="38">
        <v>0</v>
      </c>
      <c r="AT14" s="35">
        <v>0</v>
      </c>
      <c r="AU14" s="35">
        <v>0</v>
      </c>
      <c r="AV14" s="35" t="s">
        <v>47</v>
      </c>
      <c r="AW14" s="35" t="s">
        <v>52</v>
      </c>
      <c r="AX14" s="35" t="s">
        <v>669</v>
      </c>
      <c r="AY14" s="35" t="s">
        <v>98</v>
      </c>
      <c r="AZ14" s="35" t="s">
        <v>99</v>
      </c>
      <c r="BA14" s="35" t="s">
        <v>42</v>
      </c>
      <c r="BB14" s="38"/>
      <c r="BC14" s="38">
        <v>5.7859999999999996</v>
      </c>
      <c r="BD14" s="35" t="s">
        <v>168</v>
      </c>
      <c r="BE14" s="35" t="s">
        <v>160</v>
      </c>
      <c r="BF14" s="35">
        <v>0</v>
      </c>
      <c r="BG14" s="38">
        <v>0</v>
      </c>
      <c r="BH14" s="35" t="s">
        <v>1319</v>
      </c>
    </row>
    <row r="15" spans="1:60" x14ac:dyDescent="0.3">
      <c r="A15" s="6" t="str">
        <f t="shared" si="0"/>
        <v>000195</v>
      </c>
      <c r="B15" s="35" t="s">
        <v>43</v>
      </c>
      <c r="C15" s="35" t="s">
        <v>424</v>
      </c>
      <c r="D15" s="35" t="s">
        <v>204</v>
      </c>
      <c r="E15" s="35" t="s">
        <v>39</v>
      </c>
      <c r="F15" s="35" t="s">
        <v>40</v>
      </c>
      <c r="G15" s="35" t="s">
        <v>39</v>
      </c>
      <c r="H15" s="35" t="s">
        <v>40</v>
      </c>
      <c r="I15" s="35" t="s">
        <v>2026</v>
      </c>
      <c r="J15" s="35" t="s">
        <v>47</v>
      </c>
      <c r="K15" s="35" t="s">
        <v>186</v>
      </c>
      <c r="L15" s="35" t="s">
        <v>205</v>
      </c>
      <c r="M15" s="126">
        <v>9</v>
      </c>
      <c r="N15" s="123">
        <v>45959</v>
      </c>
      <c r="O15" s="123">
        <v>46071</v>
      </c>
      <c r="P15" s="38">
        <v>87637</v>
      </c>
      <c r="Q15" s="38">
        <v>100000</v>
      </c>
      <c r="R15" s="126">
        <v>0</v>
      </c>
      <c r="S15" s="126">
        <v>16</v>
      </c>
      <c r="T15" s="35" t="s">
        <v>95</v>
      </c>
      <c r="U15" s="38">
        <v>7600.07</v>
      </c>
      <c r="V15" s="38">
        <v>0</v>
      </c>
      <c r="W15" s="38">
        <v>0</v>
      </c>
      <c r="X15" s="38">
        <v>0</v>
      </c>
      <c r="Y15" s="38">
        <v>0</v>
      </c>
      <c r="Z15" s="38">
        <v>100000</v>
      </c>
      <c r="AA15" s="38">
        <v>0</v>
      </c>
      <c r="AB15" s="38">
        <v>0</v>
      </c>
      <c r="AC15" s="38">
        <v>0</v>
      </c>
      <c r="AD15" s="38">
        <v>0</v>
      </c>
      <c r="AE15" s="38"/>
      <c r="AF15" s="123"/>
      <c r="AG15" s="35" t="s">
        <v>96</v>
      </c>
      <c r="AH15" s="35"/>
      <c r="AI15" s="35"/>
      <c r="AJ15" s="35"/>
      <c r="AK15" s="35"/>
      <c r="AL15" s="35"/>
      <c r="AM15" s="35"/>
      <c r="AN15" s="35"/>
      <c r="AO15" s="35"/>
      <c r="AQ15" s="35"/>
      <c r="AR15" s="38">
        <v>121601.07</v>
      </c>
      <c r="AS15" s="38">
        <v>0</v>
      </c>
      <c r="AT15" s="35">
        <v>0</v>
      </c>
      <c r="AU15" s="35">
        <v>0</v>
      </c>
      <c r="AV15" s="35" t="s">
        <v>47</v>
      </c>
      <c r="AW15" s="35" t="s">
        <v>52</v>
      </c>
      <c r="AX15" s="35" t="s">
        <v>2027</v>
      </c>
      <c r="AY15" s="35" t="s">
        <v>98</v>
      </c>
      <c r="AZ15" s="35" t="s">
        <v>99</v>
      </c>
      <c r="BA15" s="35" t="s">
        <v>42</v>
      </c>
      <c r="BB15" s="38"/>
      <c r="BC15" s="38">
        <v>5.7859999999999996</v>
      </c>
      <c r="BD15" s="35" t="s">
        <v>124</v>
      </c>
      <c r="BE15" s="35" t="s">
        <v>982</v>
      </c>
      <c r="BF15" s="35">
        <v>0</v>
      </c>
      <c r="BG15" s="38"/>
      <c r="BH15" s="35" t="s">
        <v>1319</v>
      </c>
    </row>
    <row r="16" spans="1:60" x14ac:dyDescent="0.3">
      <c r="A16" s="6" t="str">
        <f t="shared" si="0"/>
        <v>000141</v>
      </c>
      <c r="B16" s="35" t="s">
        <v>49</v>
      </c>
      <c r="C16" s="35" t="s">
        <v>388</v>
      </c>
      <c r="D16" s="35" t="s">
        <v>207</v>
      </c>
      <c r="E16" s="35" t="s">
        <v>188</v>
      </c>
      <c r="F16" s="35" t="s">
        <v>190</v>
      </c>
      <c r="G16" s="35" t="s">
        <v>188</v>
      </c>
      <c r="H16" s="35" t="s">
        <v>190</v>
      </c>
      <c r="I16" s="35" t="s">
        <v>1591</v>
      </c>
      <c r="J16" s="35" t="s">
        <v>47</v>
      </c>
      <c r="K16" s="35" t="s">
        <v>1354</v>
      </c>
      <c r="L16" s="35" t="s">
        <v>205</v>
      </c>
      <c r="M16" s="126">
        <v>5</v>
      </c>
      <c r="N16" s="123">
        <v>45939</v>
      </c>
      <c r="O16" s="123">
        <v>46051</v>
      </c>
      <c r="P16" s="38">
        <v>52653</v>
      </c>
      <c r="Q16" s="38">
        <v>60000</v>
      </c>
      <c r="R16" s="126">
        <v>0</v>
      </c>
      <c r="S16" s="126">
        <v>16</v>
      </c>
      <c r="T16" s="35" t="s">
        <v>95</v>
      </c>
      <c r="U16" s="38">
        <v>4560.04</v>
      </c>
      <c r="V16" s="38">
        <v>0</v>
      </c>
      <c r="W16" s="38">
        <v>0</v>
      </c>
      <c r="X16" s="38">
        <v>3</v>
      </c>
      <c r="Y16" s="38">
        <v>0</v>
      </c>
      <c r="Z16" s="38">
        <v>48750</v>
      </c>
      <c r="AA16" s="38">
        <v>0</v>
      </c>
      <c r="AB16" s="38">
        <v>0</v>
      </c>
      <c r="AC16" s="38">
        <v>0</v>
      </c>
      <c r="AD16" s="38">
        <v>0</v>
      </c>
      <c r="AE16" s="38">
        <v>4561</v>
      </c>
      <c r="AF16" s="123">
        <v>45959</v>
      </c>
      <c r="AG16" s="35" t="s">
        <v>96</v>
      </c>
      <c r="AH16" s="35"/>
      <c r="AI16" s="35"/>
      <c r="AJ16" s="35"/>
      <c r="AK16" s="35"/>
      <c r="AL16" s="35"/>
      <c r="AM16" s="35"/>
      <c r="AN16" s="35"/>
      <c r="AO16" s="35"/>
      <c r="AQ16" s="35"/>
      <c r="AR16" s="38">
        <v>59279.64</v>
      </c>
      <c r="AS16" s="38">
        <v>0.88</v>
      </c>
      <c r="AT16" s="35">
        <v>0</v>
      </c>
      <c r="AU16" s="35">
        <v>0</v>
      </c>
      <c r="AV16" s="35" t="s">
        <v>47</v>
      </c>
      <c r="AW16" s="35" t="s">
        <v>52</v>
      </c>
      <c r="AX16" s="35" t="s">
        <v>1592</v>
      </c>
      <c r="AY16" s="35" t="s">
        <v>98</v>
      </c>
      <c r="AZ16" s="35" t="s">
        <v>99</v>
      </c>
      <c r="BA16" s="35" t="s">
        <v>42</v>
      </c>
      <c r="BB16" s="38"/>
      <c r="BC16" s="38">
        <v>5.7859999999999996</v>
      </c>
      <c r="BD16" s="35" t="s">
        <v>197</v>
      </c>
      <c r="BE16" s="35" t="s">
        <v>1178</v>
      </c>
      <c r="BF16" s="35">
        <v>0</v>
      </c>
      <c r="BG16" s="38">
        <v>0</v>
      </c>
      <c r="BH16" s="35" t="s">
        <v>1319</v>
      </c>
    </row>
    <row r="17" spans="1:60" x14ac:dyDescent="0.3">
      <c r="A17" s="6" t="str">
        <f t="shared" si="0"/>
        <v>000143</v>
      </c>
      <c r="B17" s="35" t="s">
        <v>49</v>
      </c>
      <c r="C17" s="35" t="s">
        <v>388</v>
      </c>
      <c r="D17" s="35" t="s">
        <v>207</v>
      </c>
      <c r="E17" s="35" t="s">
        <v>170</v>
      </c>
      <c r="F17" s="35" t="s">
        <v>171</v>
      </c>
      <c r="G17" s="35" t="s">
        <v>170</v>
      </c>
      <c r="H17" s="35" t="s">
        <v>171</v>
      </c>
      <c r="I17" s="35" t="s">
        <v>1575</v>
      </c>
      <c r="J17" s="35" t="s">
        <v>47</v>
      </c>
      <c r="K17" s="35" t="s">
        <v>1564</v>
      </c>
      <c r="L17" s="35" t="s">
        <v>205</v>
      </c>
      <c r="M17" s="126">
        <v>5</v>
      </c>
      <c r="N17" s="123">
        <v>45939</v>
      </c>
      <c r="O17" s="123">
        <v>46051</v>
      </c>
      <c r="P17" s="38">
        <v>61653</v>
      </c>
      <c r="Q17" s="38">
        <v>70000</v>
      </c>
      <c r="R17" s="126">
        <v>0</v>
      </c>
      <c r="S17" s="126">
        <v>16</v>
      </c>
      <c r="T17" s="35" t="s">
        <v>95</v>
      </c>
      <c r="U17" s="38">
        <v>5320.05</v>
      </c>
      <c r="V17" s="38">
        <v>0</v>
      </c>
      <c r="W17" s="38">
        <v>0</v>
      </c>
      <c r="X17" s="38">
        <v>3</v>
      </c>
      <c r="Y17" s="38">
        <v>0</v>
      </c>
      <c r="Z17" s="38">
        <v>56875</v>
      </c>
      <c r="AA17" s="38">
        <v>0</v>
      </c>
      <c r="AB17" s="38">
        <v>0</v>
      </c>
      <c r="AC17" s="38">
        <v>0</v>
      </c>
      <c r="AD17" s="38">
        <v>0</v>
      </c>
      <c r="AE17" s="38">
        <v>5321</v>
      </c>
      <c r="AF17" s="123">
        <v>45959</v>
      </c>
      <c r="AG17" s="35" t="s">
        <v>96</v>
      </c>
      <c r="AH17" s="35"/>
      <c r="AI17" s="35"/>
      <c r="AJ17" s="35"/>
      <c r="AK17" s="35"/>
      <c r="AL17" s="35"/>
      <c r="AM17" s="35"/>
      <c r="AN17" s="35"/>
      <c r="AO17" s="35"/>
      <c r="AQ17" s="35"/>
      <c r="AR17" s="38">
        <v>69159.75</v>
      </c>
      <c r="AS17" s="38">
        <v>0.86</v>
      </c>
      <c r="AT17" s="35">
        <v>0</v>
      </c>
      <c r="AU17" s="35">
        <v>0</v>
      </c>
      <c r="AV17" s="35" t="s">
        <v>47</v>
      </c>
      <c r="AW17" s="35" t="s">
        <v>52</v>
      </c>
      <c r="AX17" s="35" t="s">
        <v>1589</v>
      </c>
      <c r="AY17" s="35" t="s">
        <v>98</v>
      </c>
      <c r="AZ17" s="35" t="s">
        <v>99</v>
      </c>
      <c r="BA17" s="35" t="s">
        <v>42</v>
      </c>
      <c r="BB17" s="38"/>
      <c r="BC17" s="38">
        <v>5.7859999999999996</v>
      </c>
      <c r="BD17" s="35" t="s">
        <v>197</v>
      </c>
      <c r="BE17" s="35" t="s">
        <v>185</v>
      </c>
      <c r="BF17" s="35">
        <v>0</v>
      </c>
      <c r="BG17" s="38">
        <v>0</v>
      </c>
      <c r="BH17" s="35" t="s">
        <v>1319</v>
      </c>
    </row>
    <row r="18" spans="1:60" x14ac:dyDescent="0.3">
      <c r="A18" s="6" t="str">
        <f t="shared" si="0"/>
        <v>000002</v>
      </c>
      <c r="B18" s="35" t="s">
        <v>43</v>
      </c>
      <c r="C18" s="35" t="s">
        <v>424</v>
      </c>
      <c r="D18" s="35" t="s">
        <v>204</v>
      </c>
      <c r="E18" s="35" t="s">
        <v>39</v>
      </c>
      <c r="F18" s="35" t="s">
        <v>40</v>
      </c>
      <c r="G18" s="35" t="s">
        <v>39</v>
      </c>
      <c r="H18" s="35" t="s">
        <v>40</v>
      </c>
      <c r="I18" s="35" t="s">
        <v>53</v>
      </c>
      <c r="J18" s="35" t="s">
        <v>47</v>
      </c>
      <c r="K18" s="35" t="s">
        <v>54</v>
      </c>
      <c r="L18" s="35" t="s">
        <v>205</v>
      </c>
      <c r="M18" s="126">
        <v>7</v>
      </c>
      <c r="N18" s="123">
        <v>45875</v>
      </c>
      <c r="O18" s="123">
        <v>45987</v>
      </c>
      <c r="P18" s="38">
        <v>169200</v>
      </c>
      <c r="Q18" s="38">
        <v>188000</v>
      </c>
      <c r="R18" s="126">
        <v>0</v>
      </c>
      <c r="S18" s="126">
        <v>16</v>
      </c>
      <c r="T18" s="35" t="s">
        <v>95</v>
      </c>
      <c r="U18" s="38">
        <v>14288.130000000001</v>
      </c>
      <c r="V18" s="38">
        <v>0</v>
      </c>
      <c r="W18" s="38">
        <v>0</v>
      </c>
      <c r="X18" s="38">
        <v>12</v>
      </c>
      <c r="Y18" s="38">
        <v>0</v>
      </c>
      <c r="Z18" s="38">
        <v>47000</v>
      </c>
      <c r="AA18" s="38">
        <v>0</v>
      </c>
      <c r="AB18" s="38">
        <v>0</v>
      </c>
      <c r="AC18" s="38">
        <v>0</v>
      </c>
      <c r="AD18" s="38">
        <v>0</v>
      </c>
      <c r="AE18" s="38">
        <v>14288.130000000001</v>
      </c>
      <c r="AF18" s="123">
        <v>45958</v>
      </c>
      <c r="AG18" s="35" t="s">
        <v>96</v>
      </c>
      <c r="AH18" s="35"/>
      <c r="AI18" s="35"/>
      <c r="AJ18" s="35"/>
      <c r="AK18" s="35"/>
      <c r="AL18" s="35"/>
      <c r="AM18" s="35"/>
      <c r="AN18" s="35"/>
      <c r="AO18" s="35"/>
      <c r="AQ18" s="35"/>
      <c r="AR18" s="38">
        <v>57152.450000000004</v>
      </c>
      <c r="AS18" s="38">
        <v>5.6000000000000001E-2</v>
      </c>
      <c r="AT18" s="35">
        <v>0</v>
      </c>
      <c r="AU18" s="35">
        <v>0</v>
      </c>
      <c r="AV18" s="35" t="s">
        <v>47</v>
      </c>
      <c r="AW18" s="35" t="s">
        <v>52</v>
      </c>
      <c r="AX18" s="35" t="s">
        <v>741</v>
      </c>
      <c r="AY18" s="35" t="s">
        <v>1261</v>
      </c>
      <c r="AZ18" s="35" t="s">
        <v>99</v>
      </c>
      <c r="BA18" s="35" t="s">
        <v>1262</v>
      </c>
      <c r="BB18" s="38"/>
      <c r="BC18" s="38">
        <v>5.7859999999999996</v>
      </c>
      <c r="BD18" s="35" t="s">
        <v>124</v>
      </c>
      <c r="BE18" s="35" t="s">
        <v>125</v>
      </c>
      <c r="BF18" s="35">
        <v>0</v>
      </c>
      <c r="BG18" s="38">
        <v>0</v>
      </c>
      <c r="BH18" s="35" t="s">
        <v>1320</v>
      </c>
    </row>
    <row r="19" spans="1:60" x14ac:dyDescent="0.3">
      <c r="A19" s="6" t="str">
        <f t="shared" si="0"/>
        <v>000005</v>
      </c>
      <c r="B19" s="35" t="s">
        <v>43</v>
      </c>
      <c r="C19" s="35" t="s">
        <v>42</v>
      </c>
      <c r="D19" s="35" t="s">
        <v>1526</v>
      </c>
      <c r="E19" s="35" t="s">
        <v>148</v>
      </c>
      <c r="F19" s="35" t="s">
        <v>149</v>
      </c>
      <c r="G19" s="35" t="s">
        <v>148</v>
      </c>
      <c r="H19" s="35" t="s">
        <v>149</v>
      </c>
      <c r="I19" s="35" t="s">
        <v>150</v>
      </c>
      <c r="J19" s="35" t="s">
        <v>47</v>
      </c>
      <c r="K19" s="35" t="s">
        <v>110</v>
      </c>
      <c r="L19" s="35" t="s">
        <v>205</v>
      </c>
      <c r="M19" s="126">
        <v>6</v>
      </c>
      <c r="N19" s="123">
        <v>45880</v>
      </c>
      <c r="O19" s="123">
        <v>45992</v>
      </c>
      <c r="P19" s="38">
        <v>136500</v>
      </c>
      <c r="Q19" s="38">
        <v>154000</v>
      </c>
      <c r="R19" s="126">
        <v>0</v>
      </c>
      <c r="S19" s="126">
        <v>16</v>
      </c>
      <c r="T19" s="35" t="s">
        <v>95</v>
      </c>
      <c r="U19" s="38">
        <v>11704.1</v>
      </c>
      <c r="V19" s="38">
        <v>0</v>
      </c>
      <c r="W19" s="38">
        <v>0</v>
      </c>
      <c r="X19" s="38">
        <v>11</v>
      </c>
      <c r="Y19" s="38">
        <v>0</v>
      </c>
      <c r="Z19" s="38">
        <v>48125</v>
      </c>
      <c r="AA19" s="38">
        <v>0</v>
      </c>
      <c r="AB19" s="38">
        <v>0</v>
      </c>
      <c r="AC19" s="38">
        <v>0</v>
      </c>
      <c r="AD19" s="38">
        <v>0</v>
      </c>
      <c r="AE19" s="38">
        <v>11704</v>
      </c>
      <c r="AF19" s="123">
        <v>45957</v>
      </c>
      <c r="AG19" s="35" t="s">
        <v>96</v>
      </c>
      <c r="AH19" s="35"/>
      <c r="AI19" s="35"/>
      <c r="AJ19" s="35"/>
      <c r="AK19" s="35"/>
      <c r="AL19" s="35"/>
      <c r="AM19" s="35"/>
      <c r="AN19" s="35"/>
      <c r="AO19" s="35"/>
      <c r="AQ19" s="35"/>
      <c r="AR19" s="38">
        <v>58485.440000000002</v>
      </c>
      <c r="AS19" s="38">
        <v>35.070666666666654</v>
      </c>
      <c r="AT19" s="35">
        <v>1</v>
      </c>
      <c r="AU19" s="35">
        <v>1</v>
      </c>
      <c r="AV19" s="35" t="s">
        <v>47</v>
      </c>
      <c r="AW19" s="35" t="s">
        <v>52</v>
      </c>
      <c r="AX19" s="35" t="s">
        <v>740</v>
      </c>
      <c r="AY19" s="35" t="s">
        <v>98</v>
      </c>
      <c r="AZ19" s="35" t="s">
        <v>99</v>
      </c>
      <c r="BA19" s="35" t="s">
        <v>42</v>
      </c>
      <c r="BB19" s="38"/>
      <c r="BC19" s="38">
        <v>5.7859999999999996</v>
      </c>
      <c r="BD19" s="35" t="s">
        <v>126</v>
      </c>
      <c r="BE19" s="35" t="s">
        <v>151</v>
      </c>
      <c r="BF19" s="35">
        <v>0</v>
      </c>
      <c r="BG19" s="38">
        <v>0</v>
      </c>
      <c r="BH19" s="35" t="s">
        <v>1319</v>
      </c>
    </row>
    <row r="20" spans="1:60" x14ac:dyDescent="0.3">
      <c r="A20" s="6" t="str">
        <f t="shared" si="0"/>
        <v>000017</v>
      </c>
      <c r="B20" s="35" t="s">
        <v>49</v>
      </c>
      <c r="C20" s="35" t="s">
        <v>388</v>
      </c>
      <c r="D20" s="35" t="s">
        <v>207</v>
      </c>
      <c r="E20" s="35" t="s">
        <v>188</v>
      </c>
      <c r="F20" s="35" t="s">
        <v>190</v>
      </c>
      <c r="G20" s="35" t="s">
        <v>188</v>
      </c>
      <c r="H20" s="35" t="s">
        <v>190</v>
      </c>
      <c r="I20" s="35" t="s">
        <v>389</v>
      </c>
      <c r="J20" s="35" t="s">
        <v>47</v>
      </c>
      <c r="K20" s="35" t="s">
        <v>182</v>
      </c>
      <c r="L20" s="35" t="s">
        <v>205</v>
      </c>
      <c r="M20" s="126">
        <v>9</v>
      </c>
      <c r="N20" s="123">
        <v>45887</v>
      </c>
      <c r="O20" s="123">
        <v>45999</v>
      </c>
      <c r="P20" s="38">
        <v>61518</v>
      </c>
      <c r="Q20" s="38">
        <v>71000</v>
      </c>
      <c r="R20" s="126">
        <v>0</v>
      </c>
      <c r="S20" s="126">
        <v>16</v>
      </c>
      <c r="T20" s="35" t="s">
        <v>95</v>
      </c>
      <c r="U20" s="38">
        <v>5396.05</v>
      </c>
      <c r="V20" s="38">
        <v>0</v>
      </c>
      <c r="W20" s="38">
        <v>0</v>
      </c>
      <c r="X20" s="38">
        <v>10</v>
      </c>
      <c r="Y20" s="38">
        <v>0</v>
      </c>
      <c r="Z20" s="38">
        <v>26625.420000000002</v>
      </c>
      <c r="AA20" s="38">
        <v>0.42333333333333301</v>
      </c>
      <c r="AB20" s="38">
        <v>0</v>
      </c>
      <c r="AC20" s="38">
        <v>0</v>
      </c>
      <c r="AD20" s="38">
        <v>0</v>
      </c>
      <c r="AE20" s="38">
        <v>5396</v>
      </c>
      <c r="AF20" s="123">
        <v>45955</v>
      </c>
      <c r="AG20" s="35" t="s">
        <v>96</v>
      </c>
      <c r="AH20" s="35"/>
      <c r="AI20" s="35"/>
      <c r="AJ20" s="35"/>
      <c r="AK20" s="35"/>
      <c r="AL20" s="35"/>
      <c r="AM20" s="35"/>
      <c r="AN20" s="35"/>
      <c r="AO20" s="35"/>
      <c r="AQ20" s="35"/>
      <c r="AR20" s="38">
        <v>32376.71</v>
      </c>
      <c r="AS20" s="38">
        <v>0</v>
      </c>
      <c r="AT20" s="35">
        <v>1</v>
      </c>
      <c r="AU20" s="35">
        <v>1</v>
      </c>
      <c r="AV20" s="35" t="s">
        <v>47</v>
      </c>
      <c r="AW20" s="35" t="s">
        <v>52</v>
      </c>
      <c r="AX20" s="35" t="s">
        <v>390</v>
      </c>
      <c r="AY20" s="35" t="s">
        <v>98</v>
      </c>
      <c r="AZ20" s="35" t="s">
        <v>99</v>
      </c>
      <c r="BA20" s="35" t="s">
        <v>42</v>
      </c>
      <c r="BB20" s="38"/>
      <c r="BC20" s="38">
        <v>5.7859999999999996</v>
      </c>
      <c r="BD20" s="35" t="s">
        <v>126</v>
      </c>
      <c r="BE20" s="35" t="s">
        <v>185</v>
      </c>
      <c r="BF20" s="35">
        <v>0</v>
      </c>
      <c r="BG20" s="38">
        <v>0</v>
      </c>
      <c r="BH20" s="35" t="s">
        <v>1319</v>
      </c>
    </row>
    <row r="21" spans="1:60" x14ac:dyDescent="0.3">
      <c r="A21" s="6" t="str">
        <f t="shared" si="0"/>
        <v>000132</v>
      </c>
      <c r="B21" s="35" t="s">
        <v>43</v>
      </c>
      <c r="C21" s="35" t="s">
        <v>42</v>
      </c>
      <c r="D21" s="35" t="s">
        <v>1526</v>
      </c>
      <c r="E21" s="35" t="s">
        <v>883</v>
      </c>
      <c r="F21" s="35" t="s">
        <v>884</v>
      </c>
      <c r="G21" s="35" t="s">
        <v>883</v>
      </c>
      <c r="H21" s="35" t="s">
        <v>884</v>
      </c>
      <c r="I21" s="35" t="s">
        <v>1518</v>
      </c>
      <c r="J21" s="35" t="s">
        <v>47</v>
      </c>
      <c r="K21" s="35" t="s">
        <v>1519</v>
      </c>
      <c r="L21" s="35" t="s">
        <v>205</v>
      </c>
      <c r="M21" s="126">
        <v>5</v>
      </c>
      <c r="N21" s="123">
        <v>45933</v>
      </c>
      <c r="O21" s="123">
        <v>46045</v>
      </c>
      <c r="P21" s="38">
        <v>118788</v>
      </c>
      <c r="Q21" s="38">
        <v>134000</v>
      </c>
      <c r="R21" s="126">
        <v>0</v>
      </c>
      <c r="S21" s="126">
        <v>16</v>
      </c>
      <c r="T21" s="35" t="s">
        <v>95</v>
      </c>
      <c r="U21" s="38">
        <v>10184.09</v>
      </c>
      <c r="V21" s="38">
        <v>0</v>
      </c>
      <c r="W21" s="38">
        <v>0</v>
      </c>
      <c r="X21" s="38">
        <v>4</v>
      </c>
      <c r="Y21" s="38">
        <v>0</v>
      </c>
      <c r="Z21" s="38">
        <v>100500</v>
      </c>
      <c r="AA21" s="38">
        <v>0</v>
      </c>
      <c r="AB21" s="38">
        <v>0</v>
      </c>
      <c r="AC21" s="38">
        <v>0</v>
      </c>
      <c r="AD21" s="38">
        <v>0</v>
      </c>
      <c r="AE21" s="38">
        <v>10184</v>
      </c>
      <c r="AF21" s="123">
        <v>45960</v>
      </c>
      <c r="AG21" s="35" t="s">
        <v>96</v>
      </c>
      <c r="AH21" s="35"/>
      <c r="AI21" s="35"/>
      <c r="AJ21" s="35"/>
      <c r="AK21" s="35"/>
      <c r="AL21" s="35"/>
      <c r="AM21" s="35"/>
      <c r="AN21" s="35"/>
      <c r="AO21" s="35"/>
      <c r="AQ21" s="35"/>
      <c r="AR21" s="38">
        <v>122208.43000000001</v>
      </c>
      <c r="AS21" s="38">
        <v>0.64266666666666705</v>
      </c>
      <c r="AT21" s="35">
        <v>0</v>
      </c>
      <c r="AU21" s="35">
        <v>0</v>
      </c>
      <c r="AV21" s="35" t="s">
        <v>47</v>
      </c>
      <c r="AW21" s="35" t="s">
        <v>52</v>
      </c>
      <c r="AX21" s="35"/>
      <c r="AY21" s="35" t="s">
        <v>98</v>
      </c>
      <c r="AZ21" s="35" t="s">
        <v>99</v>
      </c>
      <c r="BA21" s="35" t="s">
        <v>42</v>
      </c>
      <c r="BB21" s="38"/>
      <c r="BC21" s="38">
        <v>5.7859999999999996</v>
      </c>
      <c r="BD21" s="35" t="s">
        <v>168</v>
      </c>
      <c r="BE21" s="35" t="s">
        <v>125</v>
      </c>
      <c r="BF21" s="35">
        <v>0</v>
      </c>
      <c r="BG21" s="38">
        <v>0</v>
      </c>
      <c r="BH21" s="35" t="s">
        <v>1320</v>
      </c>
    </row>
    <row r="22" spans="1:60" x14ac:dyDescent="0.3">
      <c r="A22" s="6" t="str">
        <f t="shared" si="0"/>
        <v>000031</v>
      </c>
      <c r="B22" s="35" t="s">
        <v>49</v>
      </c>
      <c r="C22" s="35" t="s">
        <v>388</v>
      </c>
      <c r="D22" s="35" t="s">
        <v>207</v>
      </c>
      <c r="E22" s="35" t="s">
        <v>487</v>
      </c>
      <c r="F22" s="35" t="s">
        <v>488</v>
      </c>
      <c r="G22" s="35" t="s">
        <v>487</v>
      </c>
      <c r="H22" s="35" t="s">
        <v>488</v>
      </c>
      <c r="I22" s="35" t="s">
        <v>489</v>
      </c>
      <c r="J22" s="35" t="s">
        <v>47</v>
      </c>
      <c r="K22" s="35" t="s">
        <v>434</v>
      </c>
      <c r="L22" s="35" t="s">
        <v>205</v>
      </c>
      <c r="M22" s="126">
        <v>5</v>
      </c>
      <c r="N22" s="123">
        <v>45891</v>
      </c>
      <c r="O22" s="123">
        <v>46003</v>
      </c>
      <c r="P22" s="38">
        <v>67876</v>
      </c>
      <c r="Q22" s="38">
        <v>77000</v>
      </c>
      <c r="R22" s="126">
        <v>0</v>
      </c>
      <c r="S22" s="126">
        <v>16</v>
      </c>
      <c r="T22" s="35" t="s">
        <v>95</v>
      </c>
      <c r="U22" s="38">
        <v>5852.05</v>
      </c>
      <c r="V22" s="38">
        <v>0</v>
      </c>
      <c r="W22" s="38">
        <v>0</v>
      </c>
      <c r="X22" s="38">
        <v>10</v>
      </c>
      <c r="Y22" s="38">
        <v>0</v>
      </c>
      <c r="Z22" s="38">
        <v>28895.510000000002</v>
      </c>
      <c r="AA22" s="38">
        <v>20.513333333333328</v>
      </c>
      <c r="AB22" s="38">
        <v>0</v>
      </c>
      <c r="AC22" s="38">
        <v>0</v>
      </c>
      <c r="AD22" s="38">
        <v>0</v>
      </c>
      <c r="AE22" s="38">
        <v>5832</v>
      </c>
      <c r="AF22" s="123">
        <v>45960</v>
      </c>
      <c r="AG22" s="35" t="s">
        <v>96</v>
      </c>
      <c r="AH22" s="35"/>
      <c r="AI22" s="35"/>
      <c r="AJ22" s="35"/>
      <c r="AK22" s="35"/>
      <c r="AL22" s="35"/>
      <c r="AM22" s="35"/>
      <c r="AN22" s="35"/>
      <c r="AO22" s="35"/>
      <c r="AQ22" s="35"/>
      <c r="AR22" s="38">
        <v>35132.82</v>
      </c>
      <c r="AS22" s="38">
        <v>0</v>
      </c>
      <c r="AT22" s="35">
        <v>1</v>
      </c>
      <c r="AU22" s="35">
        <v>1</v>
      </c>
      <c r="AV22" s="35" t="s">
        <v>47</v>
      </c>
      <c r="AW22" s="35" t="s">
        <v>52</v>
      </c>
      <c r="AX22" s="35" t="s">
        <v>490</v>
      </c>
      <c r="AY22" s="35" t="s">
        <v>98</v>
      </c>
      <c r="AZ22" s="35" t="s">
        <v>99</v>
      </c>
      <c r="BA22" s="35" t="s">
        <v>42</v>
      </c>
      <c r="BB22" s="38"/>
      <c r="BC22" s="38">
        <v>5.7859999999999996</v>
      </c>
      <c r="BD22" s="35" t="s">
        <v>168</v>
      </c>
      <c r="BE22" s="35" t="s">
        <v>185</v>
      </c>
      <c r="BF22" s="35">
        <v>0</v>
      </c>
      <c r="BG22" s="38">
        <v>0</v>
      </c>
      <c r="BH22" s="35" t="s">
        <v>1319</v>
      </c>
    </row>
    <row r="23" spans="1:60" x14ac:dyDescent="0.3">
      <c r="A23" s="6" t="str">
        <f t="shared" si="0"/>
        <v>000111</v>
      </c>
      <c r="B23" s="35" t="s">
        <v>43</v>
      </c>
      <c r="C23" s="35" t="s">
        <v>42</v>
      </c>
      <c r="D23" s="35" t="s">
        <v>1526</v>
      </c>
      <c r="E23" s="35" t="s">
        <v>663</v>
      </c>
      <c r="F23" s="35" t="s">
        <v>664</v>
      </c>
      <c r="G23" s="35" t="s">
        <v>663</v>
      </c>
      <c r="H23" s="35" t="s">
        <v>664</v>
      </c>
      <c r="I23" s="35" t="s">
        <v>1311</v>
      </c>
      <c r="J23" s="35" t="s">
        <v>47</v>
      </c>
      <c r="K23" s="35" t="s">
        <v>1207</v>
      </c>
      <c r="L23" s="35" t="s">
        <v>205</v>
      </c>
      <c r="M23" s="126">
        <v>6</v>
      </c>
      <c r="N23" s="123">
        <v>45925</v>
      </c>
      <c r="O23" s="123">
        <v>46037</v>
      </c>
      <c r="P23" s="38">
        <v>57799</v>
      </c>
      <c r="Q23" s="38">
        <v>66000</v>
      </c>
      <c r="R23" s="126">
        <v>0</v>
      </c>
      <c r="S23" s="126">
        <v>16</v>
      </c>
      <c r="T23" s="35" t="s">
        <v>95</v>
      </c>
      <c r="U23" s="38">
        <v>5016.04</v>
      </c>
      <c r="V23" s="38">
        <v>0</v>
      </c>
      <c r="W23" s="38">
        <v>0</v>
      </c>
      <c r="X23" s="38">
        <v>5</v>
      </c>
      <c r="Y23" s="38">
        <v>0</v>
      </c>
      <c r="Z23" s="38">
        <v>45375.21</v>
      </c>
      <c r="AA23" s="38">
        <v>0.22</v>
      </c>
      <c r="AB23" s="38">
        <v>0</v>
      </c>
      <c r="AC23" s="38">
        <v>0</v>
      </c>
      <c r="AD23" s="38">
        <v>0</v>
      </c>
      <c r="AE23" s="38">
        <v>5016</v>
      </c>
      <c r="AF23" s="123">
        <v>45959</v>
      </c>
      <c r="AG23" s="35" t="s">
        <v>96</v>
      </c>
      <c r="AH23" s="35"/>
      <c r="AI23" s="35"/>
      <c r="AJ23" s="35"/>
      <c r="AK23" s="35"/>
      <c r="AL23" s="35"/>
      <c r="AM23" s="35"/>
      <c r="AN23" s="35"/>
      <c r="AO23" s="35"/>
      <c r="AQ23" s="35"/>
      <c r="AR23" s="38">
        <v>55176.700000000004</v>
      </c>
      <c r="AS23" s="38">
        <v>0</v>
      </c>
      <c r="AT23" s="35">
        <v>0</v>
      </c>
      <c r="AU23" s="35">
        <v>0</v>
      </c>
      <c r="AV23" s="35" t="s">
        <v>47</v>
      </c>
      <c r="AW23" s="35" t="s">
        <v>52</v>
      </c>
      <c r="AX23" s="35"/>
      <c r="AY23" s="35" t="s">
        <v>98</v>
      </c>
      <c r="AZ23" s="35" t="s">
        <v>99</v>
      </c>
      <c r="BA23" s="35" t="s">
        <v>42</v>
      </c>
      <c r="BB23" s="38"/>
      <c r="BC23" s="38">
        <v>5.7859999999999996</v>
      </c>
      <c r="BD23" s="35" t="s">
        <v>197</v>
      </c>
      <c r="BE23" s="35" t="s">
        <v>160</v>
      </c>
      <c r="BF23" s="35">
        <v>0</v>
      </c>
      <c r="BG23" s="38">
        <v>0</v>
      </c>
      <c r="BH23" s="35" t="s">
        <v>1319</v>
      </c>
    </row>
    <row r="24" spans="1:60" x14ac:dyDescent="0.3">
      <c r="A24" s="6" t="str">
        <f t="shared" si="0"/>
        <v>000026</v>
      </c>
      <c r="B24" s="35" t="s">
        <v>49</v>
      </c>
      <c r="C24" s="35" t="s">
        <v>388</v>
      </c>
      <c r="D24" s="35" t="s">
        <v>207</v>
      </c>
      <c r="E24" s="35" t="s">
        <v>170</v>
      </c>
      <c r="F24" s="35" t="s">
        <v>171</v>
      </c>
      <c r="G24" s="35" t="s">
        <v>170</v>
      </c>
      <c r="H24" s="35" t="s">
        <v>171</v>
      </c>
      <c r="I24" s="35" t="s">
        <v>432</v>
      </c>
      <c r="J24" s="35" t="s">
        <v>47</v>
      </c>
      <c r="K24" s="35" t="s">
        <v>399</v>
      </c>
      <c r="L24" s="35" t="s">
        <v>205</v>
      </c>
      <c r="M24" s="126">
        <v>5</v>
      </c>
      <c r="N24" s="123">
        <v>45890</v>
      </c>
      <c r="O24" s="123">
        <v>46002</v>
      </c>
      <c r="P24" s="38">
        <v>67772</v>
      </c>
      <c r="Q24" s="38">
        <v>77000</v>
      </c>
      <c r="R24" s="126">
        <v>0</v>
      </c>
      <c r="S24" s="126">
        <v>16</v>
      </c>
      <c r="T24" s="35" t="s">
        <v>95</v>
      </c>
      <c r="U24" s="38">
        <v>5852.05</v>
      </c>
      <c r="V24" s="38">
        <v>0</v>
      </c>
      <c r="W24" s="38">
        <v>0</v>
      </c>
      <c r="X24" s="38">
        <v>10</v>
      </c>
      <c r="Y24" s="38">
        <v>0</v>
      </c>
      <c r="Z24" s="38">
        <v>28875.48</v>
      </c>
      <c r="AA24" s="38">
        <v>0.46333333333333299</v>
      </c>
      <c r="AB24" s="38">
        <v>0</v>
      </c>
      <c r="AC24" s="38">
        <v>0</v>
      </c>
      <c r="AD24" s="38">
        <v>0</v>
      </c>
      <c r="AE24" s="38">
        <v>5852</v>
      </c>
      <c r="AF24" s="123">
        <v>45959</v>
      </c>
      <c r="AG24" s="35" t="s">
        <v>96</v>
      </c>
      <c r="AH24" s="35"/>
      <c r="AI24" s="35"/>
      <c r="AJ24" s="35"/>
      <c r="AK24" s="35"/>
      <c r="AL24" s="35"/>
      <c r="AM24" s="35"/>
      <c r="AN24" s="35"/>
      <c r="AO24" s="35"/>
      <c r="AQ24" s="35"/>
      <c r="AR24" s="38">
        <v>35112.770000000004</v>
      </c>
      <c r="AS24" s="38">
        <v>0</v>
      </c>
      <c r="AT24" s="35">
        <v>0</v>
      </c>
      <c r="AU24" s="35">
        <v>0</v>
      </c>
      <c r="AV24" s="35" t="s">
        <v>47</v>
      </c>
      <c r="AW24" s="35" t="s">
        <v>52</v>
      </c>
      <c r="AX24" s="35" t="s">
        <v>433</v>
      </c>
      <c r="AY24" s="35" t="s">
        <v>98</v>
      </c>
      <c r="AZ24" s="35" t="s">
        <v>99</v>
      </c>
      <c r="BA24" s="35" t="s">
        <v>42</v>
      </c>
      <c r="BB24" s="38"/>
      <c r="BC24" s="38">
        <v>5.7859999999999996</v>
      </c>
      <c r="BD24" s="35" t="s">
        <v>197</v>
      </c>
      <c r="BE24" s="35" t="s">
        <v>147</v>
      </c>
      <c r="BF24" s="35">
        <v>0</v>
      </c>
      <c r="BG24" s="38">
        <v>0</v>
      </c>
      <c r="BH24" s="35" t="s">
        <v>1319</v>
      </c>
    </row>
    <row r="25" spans="1:60" x14ac:dyDescent="0.3">
      <c r="A25" s="6" t="str">
        <f t="shared" si="0"/>
        <v>000095</v>
      </c>
      <c r="B25" s="35" t="s">
        <v>43</v>
      </c>
      <c r="C25" s="35" t="s">
        <v>424</v>
      </c>
      <c r="D25" s="35" t="s">
        <v>204</v>
      </c>
      <c r="E25" s="35" t="s">
        <v>189</v>
      </c>
      <c r="F25" s="35" t="s">
        <v>191</v>
      </c>
      <c r="G25" s="35" t="s">
        <v>189</v>
      </c>
      <c r="H25" s="35" t="s">
        <v>191</v>
      </c>
      <c r="I25" s="35" t="s">
        <v>1140</v>
      </c>
      <c r="J25" s="35" t="s">
        <v>47</v>
      </c>
      <c r="K25" s="35" t="s">
        <v>1130</v>
      </c>
      <c r="L25" s="35" t="s">
        <v>205</v>
      </c>
      <c r="M25" s="126">
        <v>5</v>
      </c>
      <c r="N25" s="123">
        <v>45919</v>
      </c>
      <c r="O25" s="123">
        <v>46031</v>
      </c>
      <c r="P25" s="38">
        <v>48230</v>
      </c>
      <c r="Q25" s="38">
        <v>55000</v>
      </c>
      <c r="R25" s="126">
        <v>0</v>
      </c>
      <c r="S25" s="126">
        <v>16</v>
      </c>
      <c r="T25" s="35" t="s">
        <v>95</v>
      </c>
      <c r="U25" s="38">
        <v>4180.04</v>
      </c>
      <c r="V25" s="38">
        <v>0</v>
      </c>
      <c r="W25" s="38">
        <v>0</v>
      </c>
      <c r="X25" s="38">
        <v>6</v>
      </c>
      <c r="Y25" s="38">
        <v>0</v>
      </c>
      <c r="Z25" s="38">
        <v>34375.01</v>
      </c>
      <c r="AA25" s="38">
        <v>0</v>
      </c>
      <c r="AB25" s="38">
        <v>0</v>
      </c>
      <c r="AC25" s="38">
        <v>0</v>
      </c>
      <c r="AD25" s="38">
        <v>0</v>
      </c>
      <c r="AE25" s="38">
        <v>4180.04</v>
      </c>
      <c r="AF25" s="123">
        <v>45960</v>
      </c>
      <c r="AG25" s="35" t="s">
        <v>96</v>
      </c>
      <c r="AH25" s="35"/>
      <c r="AI25" s="35"/>
      <c r="AJ25" s="35"/>
      <c r="AK25" s="35"/>
      <c r="AL25" s="35"/>
      <c r="AM25" s="35"/>
      <c r="AN25" s="35"/>
      <c r="AO25" s="35"/>
      <c r="AQ25" s="35"/>
      <c r="AR25" s="38">
        <v>41800.35</v>
      </c>
      <c r="AS25" s="38">
        <v>0.02</v>
      </c>
      <c r="AT25" s="35">
        <v>0</v>
      </c>
      <c r="AU25" s="35">
        <v>0</v>
      </c>
      <c r="AV25" s="35" t="s">
        <v>47</v>
      </c>
      <c r="AW25" s="35" t="s">
        <v>52</v>
      </c>
      <c r="AX25" s="35" t="s">
        <v>1141</v>
      </c>
      <c r="AY25" s="35" t="s">
        <v>98</v>
      </c>
      <c r="AZ25" s="35" t="s">
        <v>99</v>
      </c>
      <c r="BA25" s="35" t="s">
        <v>42</v>
      </c>
      <c r="BB25" s="38"/>
      <c r="BC25" s="38">
        <v>5.7859999999999996</v>
      </c>
      <c r="BD25" s="35" t="s">
        <v>168</v>
      </c>
      <c r="BE25" s="35" t="s">
        <v>198</v>
      </c>
      <c r="BF25" s="35">
        <v>0</v>
      </c>
      <c r="BG25" s="38">
        <v>0</v>
      </c>
      <c r="BH25" s="35" t="s">
        <v>1319</v>
      </c>
    </row>
    <row r="26" spans="1:60" x14ac:dyDescent="0.3">
      <c r="A26" s="6" t="str">
        <f t="shared" si="0"/>
        <v>000098</v>
      </c>
      <c r="B26" s="35" t="s">
        <v>49</v>
      </c>
      <c r="C26" s="35" t="s">
        <v>388</v>
      </c>
      <c r="D26" s="35" t="s">
        <v>207</v>
      </c>
      <c r="E26" s="35" t="s">
        <v>188</v>
      </c>
      <c r="F26" s="35" t="s">
        <v>190</v>
      </c>
      <c r="G26" s="35" t="s">
        <v>188</v>
      </c>
      <c r="H26" s="35" t="s">
        <v>190</v>
      </c>
      <c r="I26" s="35" t="s">
        <v>1171</v>
      </c>
      <c r="J26" s="35" t="s">
        <v>47</v>
      </c>
      <c r="K26" s="35" t="s">
        <v>1128</v>
      </c>
      <c r="L26" s="35" t="s">
        <v>205</v>
      </c>
      <c r="M26" s="126">
        <v>5</v>
      </c>
      <c r="N26" s="123">
        <v>45923</v>
      </c>
      <c r="O26" s="123">
        <v>46035</v>
      </c>
      <c r="P26" s="38">
        <v>55353</v>
      </c>
      <c r="Q26" s="38">
        <v>63000</v>
      </c>
      <c r="R26" s="126">
        <v>0</v>
      </c>
      <c r="S26" s="126">
        <v>16</v>
      </c>
      <c r="T26" s="35" t="s">
        <v>95</v>
      </c>
      <c r="U26" s="38">
        <v>4788.04</v>
      </c>
      <c r="V26" s="38">
        <v>0</v>
      </c>
      <c r="W26" s="38">
        <v>0</v>
      </c>
      <c r="X26" s="38">
        <v>5</v>
      </c>
      <c r="Y26" s="38">
        <v>0</v>
      </c>
      <c r="Z26" s="38">
        <v>43312.5</v>
      </c>
      <c r="AA26" s="38">
        <v>0</v>
      </c>
      <c r="AB26" s="38">
        <v>0</v>
      </c>
      <c r="AC26" s="38">
        <v>0</v>
      </c>
      <c r="AD26" s="38">
        <v>0</v>
      </c>
      <c r="AE26" s="38">
        <v>4789</v>
      </c>
      <c r="AF26" s="123">
        <v>45957</v>
      </c>
      <c r="AG26" s="35" t="s">
        <v>96</v>
      </c>
      <c r="AH26" s="35"/>
      <c r="AI26" s="35"/>
      <c r="AJ26" s="35"/>
      <c r="AK26" s="35"/>
      <c r="AL26" s="35"/>
      <c r="AM26" s="35"/>
      <c r="AN26" s="35"/>
      <c r="AO26" s="35"/>
      <c r="AQ26" s="35"/>
      <c r="AR26" s="38">
        <v>52663.67</v>
      </c>
      <c r="AS26" s="38">
        <v>4.79</v>
      </c>
      <c r="AT26" s="35">
        <v>0</v>
      </c>
      <c r="AU26" s="35">
        <v>0</v>
      </c>
      <c r="AV26" s="35" t="s">
        <v>47</v>
      </c>
      <c r="AW26" s="35" t="s">
        <v>52</v>
      </c>
      <c r="AX26" s="35" t="s">
        <v>1172</v>
      </c>
      <c r="AY26" s="35" t="s">
        <v>98</v>
      </c>
      <c r="AZ26" s="35" t="s">
        <v>99</v>
      </c>
      <c r="BA26" s="35" t="s">
        <v>42</v>
      </c>
      <c r="BB26" s="38"/>
      <c r="BC26" s="38">
        <v>5.7859999999999996</v>
      </c>
      <c r="BD26" s="35" t="s">
        <v>146</v>
      </c>
      <c r="BE26" s="35" t="s">
        <v>1173</v>
      </c>
      <c r="BF26" s="35">
        <v>0</v>
      </c>
      <c r="BG26" s="38">
        <v>0</v>
      </c>
      <c r="BH26" s="35" t="s">
        <v>1319</v>
      </c>
    </row>
    <row r="27" spans="1:60" x14ac:dyDescent="0.3">
      <c r="A27" s="6" t="str">
        <f t="shared" si="0"/>
        <v>000036</v>
      </c>
      <c r="B27" s="35" t="s">
        <v>43</v>
      </c>
      <c r="C27" s="35" t="s">
        <v>396</v>
      </c>
      <c r="D27" s="35" t="s">
        <v>206</v>
      </c>
      <c r="E27" s="35" t="s">
        <v>143</v>
      </c>
      <c r="F27" s="35" t="s">
        <v>144</v>
      </c>
      <c r="G27" s="35" t="s">
        <v>143</v>
      </c>
      <c r="H27" s="35" t="s">
        <v>144</v>
      </c>
      <c r="I27" s="35" t="s">
        <v>495</v>
      </c>
      <c r="J27" s="35" t="s">
        <v>47</v>
      </c>
      <c r="K27" s="35" t="s">
        <v>496</v>
      </c>
      <c r="L27" s="35" t="s">
        <v>205</v>
      </c>
      <c r="M27" s="126">
        <v>6</v>
      </c>
      <c r="N27" s="123">
        <v>45894</v>
      </c>
      <c r="O27" s="123">
        <v>46006</v>
      </c>
      <c r="P27" s="38">
        <v>129333</v>
      </c>
      <c r="Q27" s="38">
        <v>146000</v>
      </c>
      <c r="R27" s="126">
        <v>0</v>
      </c>
      <c r="S27" s="126">
        <v>16</v>
      </c>
      <c r="T27" s="35" t="s">
        <v>95</v>
      </c>
      <c r="U27" s="38">
        <v>11096.1</v>
      </c>
      <c r="V27" s="38">
        <v>0</v>
      </c>
      <c r="W27" s="38">
        <v>0</v>
      </c>
      <c r="X27" s="38">
        <v>9</v>
      </c>
      <c r="Y27" s="38">
        <v>0</v>
      </c>
      <c r="Z27" s="38">
        <v>63875</v>
      </c>
      <c r="AA27" s="38">
        <v>0</v>
      </c>
      <c r="AB27" s="38">
        <v>0</v>
      </c>
      <c r="AC27" s="38">
        <v>0</v>
      </c>
      <c r="AD27" s="38">
        <v>0</v>
      </c>
      <c r="AE27" s="38">
        <v>11096.11</v>
      </c>
      <c r="AF27" s="123">
        <v>45954</v>
      </c>
      <c r="AG27" s="35" t="s">
        <v>96</v>
      </c>
      <c r="AH27" s="35"/>
      <c r="AI27" s="35"/>
      <c r="AJ27" s="35"/>
      <c r="AK27" s="35"/>
      <c r="AL27" s="35"/>
      <c r="AM27" s="35"/>
      <c r="AN27" s="35"/>
      <c r="AO27" s="35"/>
      <c r="AQ27" s="35"/>
      <c r="AR27" s="38">
        <v>77671.680000000008</v>
      </c>
      <c r="AS27" s="38">
        <v>1.004</v>
      </c>
      <c r="AT27" s="35">
        <v>1</v>
      </c>
      <c r="AU27" s="35">
        <v>1</v>
      </c>
      <c r="AV27" s="35" t="s">
        <v>47</v>
      </c>
      <c r="AW27" s="35" t="s">
        <v>52</v>
      </c>
      <c r="AX27" s="35" t="s">
        <v>497</v>
      </c>
      <c r="AY27" s="35" t="s">
        <v>98</v>
      </c>
      <c r="AZ27" s="35" t="s">
        <v>99</v>
      </c>
      <c r="BA27" s="35" t="s">
        <v>42</v>
      </c>
      <c r="BB27" s="38"/>
      <c r="BC27" s="38">
        <v>5.7859999999999996</v>
      </c>
      <c r="BD27" s="35" t="s">
        <v>126</v>
      </c>
      <c r="BE27" s="35" t="s">
        <v>160</v>
      </c>
      <c r="BF27" s="35">
        <v>0</v>
      </c>
      <c r="BG27" s="38">
        <v>0</v>
      </c>
      <c r="BH27" s="35" t="s">
        <v>1319</v>
      </c>
    </row>
    <row r="28" spans="1:60" x14ac:dyDescent="0.3">
      <c r="A28" s="6" t="str">
        <f t="shared" si="0"/>
        <v>000081</v>
      </c>
      <c r="B28" s="35" t="s">
        <v>43</v>
      </c>
      <c r="C28" s="35" t="s">
        <v>396</v>
      </c>
      <c r="D28" s="35" t="s">
        <v>206</v>
      </c>
      <c r="E28" s="35" t="s">
        <v>501</v>
      </c>
      <c r="F28" s="35" t="s">
        <v>502</v>
      </c>
      <c r="G28" s="35" t="s">
        <v>501</v>
      </c>
      <c r="H28" s="35" t="s">
        <v>502</v>
      </c>
      <c r="I28" s="35" t="s">
        <v>663</v>
      </c>
      <c r="J28" s="35" t="s">
        <v>47</v>
      </c>
      <c r="K28" s="35" t="s">
        <v>942</v>
      </c>
      <c r="L28" s="35" t="s">
        <v>205</v>
      </c>
      <c r="M28" s="126">
        <v>7</v>
      </c>
      <c r="N28" s="123">
        <v>45912</v>
      </c>
      <c r="O28" s="123">
        <v>46024</v>
      </c>
      <c r="P28" s="38">
        <v>134506</v>
      </c>
      <c r="Q28" s="38">
        <v>152000</v>
      </c>
      <c r="R28" s="126">
        <v>0</v>
      </c>
      <c r="S28" s="126">
        <v>16</v>
      </c>
      <c r="T28" s="35" t="s">
        <v>95</v>
      </c>
      <c r="U28" s="38">
        <v>11552.1</v>
      </c>
      <c r="V28" s="38">
        <v>0</v>
      </c>
      <c r="W28" s="38">
        <v>0</v>
      </c>
      <c r="X28" s="38">
        <v>7</v>
      </c>
      <c r="Y28" s="38">
        <v>0</v>
      </c>
      <c r="Z28" s="38">
        <v>85500</v>
      </c>
      <c r="AA28" s="38">
        <v>0</v>
      </c>
      <c r="AB28" s="38">
        <v>0</v>
      </c>
      <c r="AC28" s="38">
        <v>0</v>
      </c>
      <c r="AD28" s="38">
        <v>0</v>
      </c>
      <c r="AE28" s="38">
        <v>11557</v>
      </c>
      <c r="AF28" s="123">
        <v>45959</v>
      </c>
      <c r="AG28" s="35" t="s">
        <v>96</v>
      </c>
      <c r="AH28" s="35"/>
      <c r="AI28" s="35"/>
      <c r="AJ28" s="35"/>
      <c r="AK28" s="35"/>
      <c r="AL28" s="35"/>
      <c r="AM28" s="35"/>
      <c r="AN28" s="35"/>
      <c r="AO28" s="35"/>
      <c r="AQ28" s="35"/>
      <c r="AR28" s="38">
        <v>103961.62</v>
      </c>
      <c r="AS28" s="38">
        <v>7.2906666666666693</v>
      </c>
      <c r="AT28" s="35">
        <v>0</v>
      </c>
      <c r="AU28" s="35">
        <v>0</v>
      </c>
      <c r="AV28" s="35" t="s">
        <v>47</v>
      </c>
      <c r="AW28" s="35" t="s">
        <v>52</v>
      </c>
      <c r="AX28" s="35"/>
      <c r="AY28" s="35" t="s">
        <v>98</v>
      </c>
      <c r="AZ28" s="35" t="s">
        <v>99</v>
      </c>
      <c r="BA28" s="35" t="s">
        <v>42</v>
      </c>
      <c r="BB28" s="38"/>
      <c r="BC28" s="38">
        <v>5.7859999999999996</v>
      </c>
      <c r="BD28" s="35" t="s">
        <v>168</v>
      </c>
      <c r="BE28" s="35" t="s">
        <v>147</v>
      </c>
      <c r="BF28" s="35">
        <v>0</v>
      </c>
      <c r="BG28" s="38">
        <v>0</v>
      </c>
      <c r="BH28" s="35" t="s">
        <v>1319</v>
      </c>
    </row>
    <row r="29" spans="1:60" x14ac:dyDescent="0.3">
      <c r="A29" s="6" t="str">
        <f t="shared" si="0"/>
        <v>000201</v>
      </c>
      <c r="B29" s="35" t="s">
        <v>43</v>
      </c>
      <c r="C29" s="35" t="s">
        <v>396</v>
      </c>
      <c r="D29" s="35" t="s">
        <v>206</v>
      </c>
      <c r="E29" s="35" t="s">
        <v>143</v>
      </c>
      <c r="F29" s="35" t="s">
        <v>144</v>
      </c>
      <c r="G29" s="35" t="s">
        <v>143</v>
      </c>
      <c r="H29" s="35" t="s">
        <v>144</v>
      </c>
      <c r="I29" s="35" t="s">
        <v>2079</v>
      </c>
      <c r="J29" s="35" t="s">
        <v>47</v>
      </c>
      <c r="K29" s="35" t="s">
        <v>2080</v>
      </c>
      <c r="L29" s="35" t="s">
        <v>205</v>
      </c>
      <c r="M29" s="126">
        <v>6</v>
      </c>
      <c r="N29" s="123">
        <v>45960</v>
      </c>
      <c r="O29" s="123">
        <v>46072</v>
      </c>
      <c r="P29" s="38">
        <v>82768</v>
      </c>
      <c r="Q29" s="38">
        <v>94000</v>
      </c>
      <c r="R29" s="126">
        <v>0</v>
      </c>
      <c r="S29" s="126">
        <v>16</v>
      </c>
      <c r="T29" s="35" t="s">
        <v>95</v>
      </c>
      <c r="U29" s="38">
        <v>7144.06</v>
      </c>
      <c r="V29" s="38">
        <v>0</v>
      </c>
      <c r="W29" s="38">
        <v>0</v>
      </c>
      <c r="X29" s="38">
        <v>0</v>
      </c>
      <c r="Y29" s="38">
        <v>0</v>
      </c>
      <c r="Z29" s="38">
        <v>94000</v>
      </c>
      <c r="AA29" s="38">
        <v>0</v>
      </c>
      <c r="AB29" s="38">
        <v>0</v>
      </c>
      <c r="AC29" s="38">
        <v>0</v>
      </c>
      <c r="AD29" s="38">
        <v>0</v>
      </c>
      <c r="AE29" s="38"/>
      <c r="AF29" s="123"/>
      <c r="AG29" s="35" t="s">
        <v>96</v>
      </c>
      <c r="AH29" s="35"/>
      <c r="AI29" s="35"/>
      <c r="AJ29" s="35"/>
      <c r="AK29" s="35"/>
      <c r="AL29" s="35"/>
      <c r="AM29" s="35"/>
      <c r="AN29" s="35"/>
      <c r="AO29" s="35"/>
      <c r="AQ29" s="35"/>
      <c r="AR29" s="38">
        <v>114305</v>
      </c>
      <c r="AS29" s="38">
        <v>0</v>
      </c>
      <c r="AT29" s="35">
        <v>0</v>
      </c>
      <c r="AU29" s="35">
        <v>0</v>
      </c>
      <c r="AV29" s="35" t="s">
        <v>47</v>
      </c>
      <c r="AW29" s="35" t="s">
        <v>52</v>
      </c>
      <c r="AX29" s="35" t="s">
        <v>2089</v>
      </c>
      <c r="AY29" s="35" t="s">
        <v>98</v>
      </c>
      <c r="AZ29" s="35" t="s">
        <v>99</v>
      </c>
      <c r="BA29" s="35" t="s">
        <v>42</v>
      </c>
      <c r="BB29" s="38"/>
      <c r="BC29" s="38">
        <v>5.7859999999999996</v>
      </c>
      <c r="BD29" s="35" t="s">
        <v>197</v>
      </c>
      <c r="BE29" s="35" t="s">
        <v>125</v>
      </c>
      <c r="BF29" s="35">
        <v>0</v>
      </c>
      <c r="BG29" s="38"/>
      <c r="BH29" s="35" t="s">
        <v>1320</v>
      </c>
    </row>
    <row r="30" spans="1:60" x14ac:dyDescent="0.3">
      <c r="A30" s="6" t="str">
        <f t="shared" si="0"/>
        <v>000061</v>
      </c>
      <c r="B30" s="35" t="s">
        <v>43</v>
      </c>
      <c r="C30" s="35" t="s">
        <v>42</v>
      </c>
      <c r="D30" s="35" t="s">
        <v>1526</v>
      </c>
      <c r="E30" s="35" t="s">
        <v>148</v>
      </c>
      <c r="F30" s="35" t="s">
        <v>149</v>
      </c>
      <c r="G30" s="35" t="s">
        <v>148</v>
      </c>
      <c r="H30" s="35" t="s">
        <v>149</v>
      </c>
      <c r="I30" s="35" t="s">
        <v>848</v>
      </c>
      <c r="J30" s="35" t="s">
        <v>47</v>
      </c>
      <c r="K30" s="35" t="s">
        <v>829</v>
      </c>
      <c r="L30" s="35" t="s">
        <v>205</v>
      </c>
      <c r="M30" s="126">
        <v>5</v>
      </c>
      <c r="N30" s="123">
        <v>45905</v>
      </c>
      <c r="O30" s="123">
        <v>46017</v>
      </c>
      <c r="P30" s="38">
        <v>43653</v>
      </c>
      <c r="Q30" s="38">
        <v>50000</v>
      </c>
      <c r="R30" s="126">
        <v>0</v>
      </c>
      <c r="S30" s="126">
        <v>16</v>
      </c>
      <c r="T30" s="35" t="s">
        <v>95</v>
      </c>
      <c r="U30" s="38">
        <v>3800.03</v>
      </c>
      <c r="V30" s="38">
        <v>0</v>
      </c>
      <c r="W30" s="38">
        <v>0</v>
      </c>
      <c r="X30" s="38">
        <v>8</v>
      </c>
      <c r="Y30" s="38">
        <v>0</v>
      </c>
      <c r="Z30" s="38">
        <v>25000</v>
      </c>
      <c r="AA30" s="38">
        <v>0</v>
      </c>
      <c r="AB30" s="38">
        <v>0</v>
      </c>
      <c r="AC30" s="38">
        <v>0</v>
      </c>
      <c r="AD30" s="38">
        <v>0</v>
      </c>
      <c r="AE30" s="38">
        <v>3801</v>
      </c>
      <c r="AF30" s="123">
        <v>45960</v>
      </c>
      <c r="AG30" s="35" t="s">
        <v>96</v>
      </c>
      <c r="AH30" s="35"/>
      <c r="AI30" s="35"/>
      <c r="AJ30" s="35"/>
      <c r="AK30" s="35"/>
      <c r="AL30" s="35"/>
      <c r="AM30" s="35"/>
      <c r="AN30" s="35"/>
      <c r="AO30" s="35"/>
      <c r="AQ30" s="35"/>
      <c r="AR30" s="38">
        <v>30395.510000000002</v>
      </c>
      <c r="AS30" s="38">
        <v>4.7533333333333294</v>
      </c>
      <c r="AT30" s="35">
        <v>0</v>
      </c>
      <c r="AU30" s="35">
        <v>0</v>
      </c>
      <c r="AV30" s="35" t="s">
        <v>47</v>
      </c>
      <c r="AW30" s="35" t="s">
        <v>52</v>
      </c>
      <c r="AX30" s="35"/>
      <c r="AY30" s="35" t="s">
        <v>98</v>
      </c>
      <c r="AZ30" s="35" t="s">
        <v>99</v>
      </c>
      <c r="BA30" s="35" t="s">
        <v>42</v>
      </c>
      <c r="BB30" s="38"/>
      <c r="BC30" s="38">
        <v>5.7859999999999996</v>
      </c>
      <c r="BD30" s="35" t="s">
        <v>168</v>
      </c>
      <c r="BE30" s="35" t="s">
        <v>127</v>
      </c>
      <c r="BF30" s="35">
        <v>0</v>
      </c>
      <c r="BG30" s="38">
        <v>0</v>
      </c>
      <c r="BH30" s="35" t="s">
        <v>1319</v>
      </c>
    </row>
    <row r="31" spans="1:60" x14ac:dyDescent="0.3">
      <c r="A31" s="6" t="str">
        <f t="shared" si="0"/>
        <v>000166</v>
      </c>
      <c r="B31" s="35" t="s">
        <v>49</v>
      </c>
      <c r="C31" s="35" t="s">
        <v>388</v>
      </c>
      <c r="D31" s="35" t="s">
        <v>207</v>
      </c>
      <c r="E31" s="35" t="s">
        <v>487</v>
      </c>
      <c r="F31" s="35" t="s">
        <v>488</v>
      </c>
      <c r="G31" s="35" t="s">
        <v>487</v>
      </c>
      <c r="H31" s="35" t="s">
        <v>488</v>
      </c>
      <c r="I31" s="35" t="s">
        <v>1787</v>
      </c>
      <c r="J31" s="35" t="s">
        <v>47</v>
      </c>
      <c r="K31" s="35" t="s">
        <v>1665</v>
      </c>
      <c r="L31" s="35" t="s">
        <v>205</v>
      </c>
      <c r="M31" s="126">
        <v>5</v>
      </c>
      <c r="N31" s="123">
        <v>45947</v>
      </c>
      <c r="O31" s="123">
        <v>46059</v>
      </c>
      <c r="P31" s="38">
        <v>52730</v>
      </c>
      <c r="Q31" s="38">
        <v>60000</v>
      </c>
      <c r="R31" s="126">
        <v>0</v>
      </c>
      <c r="S31" s="126">
        <v>16</v>
      </c>
      <c r="T31" s="35" t="s">
        <v>95</v>
      </c>
      <c r="U31" s="38">
        <v>4560.04</v>
      </c>
      <c r="V31" s="38">
        <v>0</v>
      </c>
      <c r="W31" s="38">
        <v>0</v>
      </c>
      <c r="X31" s="38">
        <v>2</v>
      </c>
      <c r="Y31" s="38">
        <v>0</v>
      </c>
      <c r="Z31" s="38">
        <v>52500.08</v>
      </c>
      <c r="AA31" s="38">
        <v>0.08</v>
      </c>
      <c r="AB31" s="38">
        <v>0</v>
      </c>
      <c r="AC31" s="38">
        <v>0</v>
      </c>
      <c r="AD31" s="38">
        <v>0</v>
      </c>
      <c r="AE31" s="38">
        <v>4560</v>
      </c>
      <c r="AF31" s="123">
        <v>45960</v>
      </c>
      <c r="AG31" s="35" t="s">
        <v>96</v>
      </c>
      <c r="AH31" s="35"/>
      <c r="AI31" s="35"/>
      <c r="AJ31" s="35"/>
      <c r="AK31" s="35"/>
      <c r="AL31" s="35"/>
      <c r="AM31" s="35"/>
      <c r="AN31" s="35"/>
      <c r="AO31" s="35"/>
      <c r="AQ31" s="35"/>
      <c r="AR31" s="38">
        <v>63840.639999999999</v>
      </c>
      <c r="AS31" s="38">
        <v>0</v>
      </c>
      <c r="AT31" s="35">
        <v>0</v>
      </c>
      <c r="AU31" s="35">
        <v>0</v>
      </c>
      <c r="AV31" s="35" t="s">
        <v>47</v>
      </c>
      <c r="AW31" s="35" t="s">
        <v>52</v>
      </c>
      <c r="AX31" s="35" t="s">
        <v>1794</v>
      </c>
      <c r="AY31" s="35" t="s">
        <v>98</v>
      </c>
      <c r="AZ31" s="35" t="s">
        <v>99</v>
      </c>
      <c r="BA31" s="35" t="s">
        <v>42</v>
      </c>
      <c r="BB31" s="38"/>
      <c r="BC31" s="38">
        <v>5.7859999999999996</v>
      </c>
      <c r="BD31" s="35" t="s">
        <v>168</v>
      </c>
      <c r="BE31" s="35" t="s">
        <v>160</v>
      </c>
      <c r="BF31" s="35">
        <v>0</v>
      </c>
      <c r="BG31" s="38">
        <v>0</v>
      </c>
      <c r="BH31" s="35" t="s">
        <v>1319</v>
      </c>
    </row>
    <row r="32" spans="1:60" x14ac:dyDescent="0.3">
      <c r="A32" s="6" t="str">
        <f t="shared" si="0"/>
        <v>000064</v>
      </c>
      <c r="B32" s="35" t="s">
        <v>43</v>
      </c>
      <c r="C32" s="35" t="s">
        <v>396</v>
      </c>
      <c r="D32" s="35" t="s">
        <v>206</v>
      </c>
      <c r="E32" s="35" t="s">
        <v>143</v>
      </c>
      <c r="F32" s="35" t="s">
        <v>144</v>
      </c>
      <c r="G32" s="35" t="s">
        <v>143</v>
      </c>
      <c r="H32" s="35" t="s">
        <v>144</v>
      </c>
      <c r="I32" s="35" t="s">
        <v>143</v>
      </c>
      <c r="J32" s="35" t="s">
        <v>47</v>
      </c>
      <c r="K32" s="35" t="s">
        <v>877</v>
      </c>
      <c r="L32" s="35" t="s">
        <v>205</v>
      </c>
      <c r="M32" s="126">
        <v>6</v>
      </c>
      <c r="N32" s="123">
        <v>45909</v>
      </c>
      <c r="O32" s="123">
        <v>46021</v>
      </c>
      <c r="P32" s="38">
        <v>98014</v>
      </c>
      <c r="Q32" s="38">
        <v>111000</v>
      </c>
      <c r="R32" s="126">
        <v>0</v>
      </c>
      <c r="S32" s="126">
        <v>16</v>
      </c>
      <c r="T32" s="35" t="s">
        <v>95</v>
      </c>
      <c r="U32" s="38">
        <v>8436.07</v>
      </c>
      <c r="V32" s="38">
        <v>0</v>
      </c>
      <c r="W32" s="38">
        <v>0</v>
      </c>
      <c r="X32" s="38">
        <v>7</v>
      </c>
      <c r="Y32" s="38">
        <v>0</v>
      </c>
      <c r="Z32" s="38">
        <v>62437.5</v>
      </c>
      <c r="AA32" s="38">
        <v>0</v>
      </c>
      <c r="AB32" s="38">
        <v>0</v>
      </c>
      <c r="AC32" s="38">
        <v>0</v>
      </c>
      <c r="AD32" s="38">
        <v>0</v>
      </c>
      <c r="AE32" s="38">
        <v>8442</v>
      </c>
      <c r="AF32" s="123">
        <v>45957</v>
      </c>
      <c r="AG32" s="35" t="s">
        <v>96</v>
      </c>
      <c r="AH32" s="35"/>
      <c r="AI32" s="35"/>
      <c r="AJ32" s="35"/>
      <c r="AK32" s="35"/>
      <c r="AL32" s="35"/>
      <c r="AM32" s="35"/>
      <c r="AN32" s="35"/>
      <c r="AO32" s="35"/>
      <c r="AQ32" s="35"/>
      <c r="AR32" s="38">
        <v>75904.11</v>
      </c>
      <c r="AS32" s="38">
        <v>20.552</v>
      </c>
      <c r="AT32" s="35">
        <v>0</v>
      </c>
      <c r="AU32" s="35">
        <v>0</v>
      </c>
      <c r="AV32" s="35" t="s">
        <v>47</v>
      </c>
      <c r="AW32" s="35" t="s">
        <v>52</v>
      </c>
      <c r="AX32" s="35" t="s">
        <v>887</v>
      </c>
      <c r="AY32" s="35" t="s">
        <v>98</v>
      </c>
      <c r="AZ32" s="35" t="s">
        <v>99</v>
      </c>
      <c r="BA32" s="35" t="s">
        <v>42</v>
      </c>
      <c r="BB32" s="38"/>
      <c r="BC32" s="38">
        <v>5.7859999999999996</v>
      </c>
      <c r="BD32" s="35" t="s">
        <v>146</v>
      </c>
      <c r="BE32" s="35" t="s">
        <v>888</v>
      </c>
      <c r="BF32" s="35">
        <v>0</v>
      </c>
      <c r="BG32" s="38">
        <v>0</v>
      </c>
      <c r="BH32" s="35" t="s">
        <v>1319</v>
      </c>
    </row>
    <row r="33" spans="1:60" x14ac:dyDescent="0.3">
      <c r="A33" s="6" t="str">
        <f t="shared" si="0"/>
        <v>000082</v>
      </c>
      <c r="B33" s="35" t="s">
        <v>49</v>
      </c>
      <c r="C33" s="35" t="s">
        <v>388</v>
      </c>
      <c r="D33" s="35" t="s">
        <v>207</v>
      </c>
      <c r="E33" s="35" t="s">
        <v>188</v>
      </c>
      <c r="F33" s="35" t="s">
        <v>190</v>
      </c>
      <c r="G33" s="35" t="s">
        <v>188</v>
      </c>
      <c r="H33" s="35" t="s">
        <v>190</v>
      </c>
      <c r="I33" s="35" t="s">
        <v>971</v>
      </c>
      <c r="J33" s="35" t="s">
        <v>47</v>
      </c>
      <c r="K33" s="35" t="s">
        <v>815</v>
      </c>
      <c r="L33" s="35" t="s">
        <v>205</v>
      </c>
      <c r="M33" s="126">
        <v>7</v>
      </c>
      <c r="N33" s="123">
        <v>45912</v>
      </c>
      <c r="O33" s="123">
        <v>46024</v>
      </c>
      <c r="P33" s="38">
        <v>163998</v>
      </c>
      <c r="Q33" s="38">
        <v>185000</v>
      </c>
      <c r="R33" s="126">
        <v>0</v>
      </c>
      <c r="S33" s="126">
        <v>16</v>
      </c>
      <c r="T33" s="35" t="s">
        <v>95</v>
      </c>
      <c r="U33" s="38">
        <v>14060.12</v>
      </c>
      <c r="V33" s="38">
        <v>0</v>
      </c>
      <c r="W33" s="38">
        <v>0</v>
      </c>
      <c r="X33" s="38">
        <v>7</v>
      </c>
      <c r="Y33" s="38">
        <v>0</v>
      </c>
      <c r="Z33" s="38">
        <v>104062.51000000001</v>
      </c>
      <c r="AA33" s="38">
        <v>0</v>
      </c>
      <c r="AB33" s="38">
        <v>0</v>
      </c>
      <c r="AC33" s="38">
        <v>0</v>
      </c>
      <c r="AD33" s="38">
        <v>0</v>
      </c>
      <c r="AE33" s="38">
        <v>14061</v>
      </c>
      <c r="AF33" s="123">
        <v>45960</v>
      </c>
      <c r="AG33" s="35" t="s">
        <v>96</v>
      </c>
      <c r="AH33" s="35"/>
      <c r="AI33" s="35"/>
      <c r="AJ33" s="35"/>
      <c r="AK33" s="35"/>
      <c r="AL33" s="35"/>
      <c r="AM33" s="35"/>
      <c r="AN33" s="35"/>
      <c r="AO33" s="35"/>
      <c r="AQ33" s="35"/>
      <c r="AR33" s="38">
        <v>126540.97</v>
      </c>
      <c r="AS33" s="38">
        <v>0.13666666666666699</v>
      </c>
      <c r="AT33" s="35">
        <v>0</v>
      </c>
      <c r="AU33" s="35">
        <v>0</v>
      </c>
      <c r="AV33" s="35" t="s">
        <v>47</v>
      </c>
      <c r="AW33" s="35" t="s">
        <v>52</v>
      </c>
      <c r="AX33" s="35" t="s">
        <v>972</v>
      </c>
      <c r="AY33" s="35" t="s">
        <v>98</v>
      </c>
      <c r="AZ33" s="35" t="s">
        <v>99</v>
      </c>
      <c r="BA33" s="35" t="s">
        <v>42</v>
      </c>
      <c r="BB33" s="38"/>
      <c r="BC33" s="38">
        <v>5.7859999999999996</v>
      </c>
      <c r="BD33" s="35" t="s">
        <v>168</v>
      </c>
      <c r="BE33" s="35" t="s">
        <v>656</v>
      </c>
      <c r="BF33" s="35">
        <v>0</v>
      </c>
      <c r="BG33" s="38">
        <v>0</v>
      </c>
      <c r="BH33" s="35" t="s">
        <v>1319</v>
      </c>
    </row>
    <row r="34" spans="1:60" x14ac:dyDescent="0.3">
      <c r="A34" s="6" t="str">
        <f t="shared" si="0"/>
        <v>000123</v>
      </c>
      <c r="B34" s="35" t="s">
        <v>43</v>
      </c>
      <c r="C34" s="35" t="s">
        <v>396</v>
      </c>
      <c r="D34" s="35" t="s">
        <v>206</v>
      </c>
      <c r="E34" s="35" t="s">
        <v>154</v>
      </c>
      <c r="F34" s="35" t="s">
        <v>155</v>
      </c>
      <c r="G34" s="35" t="s">
        <v>154</v>
      </c>
      <c r="H34" s="35" t="s">
        <v>155</v>
      </c>
      <c r="I34" s="35" t="s">
        <v>1435</v>
      </c>
      <c r="J34" s="35" t="s">
        <v>47</v>
      </c>
      <c r="K34" s="35" t="s">
        <v>1357</v>
      </c>
      <c r="L34" s="35" t="s">
        <v>205</v>
      </c>
      <c r="M34" s="126">
        <v>6</v>
      </c>
      <c r="N34" s="123">
        <v>45930</v>
      </c>
      <c r="O34" s="123">
        <v>46042</v>
      </c>
      <c r="P34" s="38">
        <v>56976</v>
      </c>
      <c r="Q34" s="38">
        <v>65000</v>
      </c>
      <c r="R34" s="126">
        <v>0</v>
      </c>
      <c r="S34" s="126">
        <v>16</v>
      </c>
      <c r="T34" s="35" t="s">
        <v>95</v>
      </c>
      <c r="U34" s="38">
        <v>4940.04</v>
      </c>
      <c r="V34" s="38">
        <v>0</v>
      </c>
      <c r="W34" s="38">
        <v>0</v>
      </c>
      <c r="X34" s="38">
        <v>4</v>
      </c>
      <c r="Y34" s="38">
        <v>0</v>
      </c>
      <c r="Z34" s="38">
        <v>47763.71</v>
      </c>
      <c r="AA34" s="38">
        <v>0</v>
      </c>
      <c r="AB34" s="38">
        <v>0</v>
      </c>
      <c r="AC34" s="38">
        <v>0</v>
      </c>
      <c r="AD34" s="38">
        <v>0</v>
      </c>
      <c r="AE34" s="38">
        <v>4946</v>
      </c>
      <c r="AF34" s="123">
        <v>45957</v>
      </c>
      <c r="AG34" s="35" t="s">
        <v>96</v>
      </c>
      <c r="AH34" s="35"/>
      <c r="AI34" s="35"/>
      <c r="AJ34" s="35"/>
      <c r="AK34" s="35"/>
      <c r="AL34" s="35"/>
      <c r="AM34" s="35"/>
      <c r="AN34" s="35"/>
      <c r="AO34" s="35"/>
      <c r="AQ34" s="35"/>
      <c r="AR34" s="38">
        <v>57416.69</v>
      </c>
      <c r="AS34" s="38">
        <v>1863.8266666666661</v>
      </c>
      <c r="AT34" s="35">
        <v>0</v>
      </c>
      <c r="AU34" s="35">
        <v>0</v>
      </c>
      <c r="AV34" s="35" t="s">
        <v>47</v>
      </c>
      <c r="AW34" s="35" t="s">
        <v>52</v>
      </c>
      <c r="AX34" s="35" t="s">
        <v>1442</v>
      </c>
      <c r="AY34" s="35" t="s">
        <v>98</v>
      </c>
      <c r="AZ34" s="35" t="s">
        <v>99</v>
      </c>
      <c r="BA34" s="35" t="s">
        <v>42</v>
      </c>
      <c r="BB34" s="38"/>
      <c r="BC34" s="38">
        <v>5.7859999999999996</v>
      </c>
      <c r="BD34" s="35" t="s">
        <v>146</v>
      </c>
      <c r="BE34" s="35" t="s">
        <v>125</v>
      </c>
      <c r="BF34" s="35">
        <v>0</v>
      </c>
      <c r="BG34" s="38">
        <v>0</v>
      </c>
      <c r="BH34" s="35" t="s">
        <v>1320</v>
      </c>
    </row>
    <row r="35" spans="1:60" x14ac:dyDescent="0.3">
      <c r="A35" s="6" t="str">
        <f t="shared" si="0"/>
        <v>000052</v>
      </c>
      <c r="B35" s="35" t="s">
        <v>43</v>
      </c>
      <c r="C35" s="35" t="s">
        <v>424</v>
      </c>
      <c r="D35" s="35" t="s">
        <v>204</v>
      </c>
      <c r="E35" s="35" t="s">
        <v>39</v>
      </c>
      <c r="F35" s="35" t="s">
        <v>40</v>
      </c>
      <c r="G35" s="35" t="s">
        <v>39</v>
      </c>
      <c r="H35" s="35" t="s">
        <v>40</v>
      </c>
      <c r="I35" s="35" t="s">
        <v>670</v>
      </c>
      <c r="J35" s="35" t="s">
        <v>47</v>
      </c>
      <c r="K35" s="35" t="s">
        <v>671</v>
      </c>
      <c r="L35" s="35" t="s">
        <v>205</v>
      </c>
      <c r="M35" s="126">
        <v>6</v>
      </c>
      <c r="N35" s="123">
        <v>45898</v>
      </c>
      <c r="O35" s="123">
        <v>46010</v>
      </c>
      <c r="P35" s="38">
        <v>69345</v>
      </c>
      <c r="Q35" s="38">
        <v>79000</v>
      </c>
      <c r="R35" s="126">
        <v>0</v>
      </c>
      <c r="S35" s="126">
        <v>16</v>
      </c>
      <c r="T35" s="35" t="s">
        <v>95</v>
      </c>
      <c r="U35" s="38">
        <v>6004.05</v>
      </c>
      <c r="V35" s="38">
        <v>0</v>
      </c>
      <c r="W35" s="38">
        <v>0</v>
      </c>
      <c r="X35" s="38">
        <v>9</v>
      </c>
      <c r="Y35" s="38">
        <v>0</v>
      </c>
      <c r="Z35" s="38">
        <v>34562.520000000004</v>
      </c>
      <c r="AA35" s="38">
        <v>2.4E-2</v>
      </c>
      <c r="AB35" s="38">
        <v>0</v>
      </c>
      <c r="AC35" s="38">
        <v>0</v>
      </c>
      <c r="AD35" s="38">
        <v>0</v>
      </c>
      <c r="AE35" s="38">
        <v>6004.05</v>
      </c>
      <c r="AF35" s="123">
        <v>45960</v>
      </c>
      <c r="AG35" s="35" t="s">
        <v>96</v>
      </c>
      <c r="AH35" s="35"/>
      <c r="AI35" s="35"/>
      <c r="AJ35" s="35"/>
      <c r="AK35" s="35"/>
      <c r="AL35" s="35"/>
      <c r="AM35" s="35"/>
      <c r="AN35" s="35"/>
      <c r="AO35" s="35"/>
      <c r="AQ35" s="35"/>
      <c r="AR35" s="38">
        <v>42028.39</v>
      </c>
      <c r="AS35" s="38">
        <v>0</v>
      </c>
      <c r="AT35" s="35">
        <v>0</v>
      </c>
      <c r="AU35" s="35">
        <v>0</v>
      </c>
      <c r="AV35" s="35" t="s">
        <v>47</v>
      </c>
      <c r="AW35" s="35" t="s">
        <v>52</v>
      </c>
      <c r="AX35" s="35" t="s">
        <v>672</v>
      </c>
      <c r="AY35" s="35" t="s">
        <v>98</v>
      </c>
      <c r="AZ35" s="35" t="s">
        <v>99</v>
      </c>
      <c r="BA35" s="35" t="s">
        <v>42</v>
      </c>
      <c r="BB35" s="38"/>
      <c r="BC35" s="38">
        <v>5.7859999999999996</v>
      </c>
      <c r="BD35" s="35" t="s">
        <v>168</v>
      </c>
      <c r="BE35" s="35" t="s">
        <v>125</v>
      </c>
      <c r="BF35" s="35">
        <v>0</v>
      </c>
      <c r="BG35" s="38">
        <v>0</v>
      </c>
      <c r="BH35" s="35" t="s">
        <v>1319</v>
      </c>
    </row>
    <row r="36" spans="1:60" x14ac:dyDescent="0.3">
      <c r="A36" s="6" t="str">
        <f t="shared" si="0"/>
        <v>000051</v>
      </c>
      <c r="B36" s="35" t="s">
        <v>43</v>
      </c>
      <c r="C36" s="35" t="s">
        <v>42</v>
      </c>
      <c r="D36" s="35" t="s">
        <v>1526</v>
      </c>
      <c r="E36" s="35" t="s">
        <v>148</v>
      </c>
      <c r="F36" s="35" t="s">
        <v>149</v>
      </c>
      <c r="G36" s="35" t="s">
        <v>148</v>
      </c>
      <c r="H36" s="35" t="s">
        <v>149</v>
      </c>
      <c r="I36" s="35" t="s">
        <v>673</v>
      </c>
      <c r="J36" s="35" t="s">
        <v>47</v>
      </c>
      <c r="K36" s="35" t="s">
        <v>674</v>
      </c>
      <c r="L36" s="35" t="s">
        <v>205</v>
      </c>
      <c r="M36" s="126">
        <v>5</v>
      </c>
      <c r="N36" s="123">
        <v>45898</v>
      </c>
      <c r="O36" s="123">
        <v>46010</v>
      </c>
      <c r="P36" s="38">
        <v>44553</v>
      </c>
      <c r="Q36" s="38">
        <v>51000</v>
      </c>
      <c r="R36" s="126">
        <v>0</v>
      </c>
      <c r="S36" s="126">
        <v>16</v>
      </c>
      <c r="T36" s="35" t="s">
        <v>95</v>
      </c>
      <c r="U36" s="38">
        <v>3876.03</v>
      </c>
      <c r="V36" s="38">
        <v>0</v>
      </c>
      <c r="W36" s="38">
        <v>0</v>
      </c>
      <c r="X36" s="38">
        <v>9</v>
      </c>
      <c r="Y36" s="38">
        <v>0</v>
      </c>
      <c r="Z36" s="38">
        <v>22312.5</v>
      </c>
      <c r="AA36" s="38">
        <v>0</v>
      </c>
      <c r="AB36" s="38">
        <v>0</v>
      </c>
      <c r="AC36" s="38">
        <v>0</v>
      </c>
      <c r="AD36" s="38">
        <v>0</v>
      </c>
      <c r="AE36" s="38">
        <v>3876</v>
      </c>
      <c r="AF36" s="123">
        <v>45960</v>
      </c>
      <c r="AG36" s="35" t="s">
        <v>96</v>
      </c>
      <c r="AH36" s="35"/>
      <c r="AI36" s="35"/>
      <c r="AJ36" s="35"/>
      <c r="AK36" s="35"/>
      <c r="AL36" s="35"/>
      <c r="AM36" s="35"/>
      <c r="AN36" s="35"/>
      <c r="AO36" s="35"/>
      <c r="AQ36" s="35"/>
      <c r="AR36" s="38">
        <v>27128.54</v>
      </c>
      <c r="AS36" s="38">
        <v>3.694</v>
      </c>
      <c r="AT36" s="35">
        <v>0</v>
      </c>
      <c r="AU36" s="35">
        <v>0</v>
      </c>
      <c r="AV36" s="35" t="s">
        <v>47</v>
      </c>
      <c r="AW36" s="35" t="s">
        <v>52</v>
      </c>
      <c r="AX36" s="35"/>
      <c r="AY36" s="35" t="s">
        <v>98</v>
      </c>
      <c r="AZ36" s="35" t="s">
        <v>99</v>
      </c>
      <c r="BA36" s="35" t="s">
        <v>42</v>
      </c>
      <c r="BB36" s="38"/>
      <c r="BC36" s="38">
        <v>5.7859999999999996</v>
      </c>
      <c r="BD36" s="35" t="s">
        <v>168</v>
      </c>
      <c r="BE36" s="35" t="s">
        <v>125</v>
      </c>
      <c r="BF36" s="35">
        <v>0</v>
      </c>
      <c r="BG36" s="38">
        <v>0</v>
      </c>
      <c r="BH36" s="35" t="s">
        <v>1319</v>
      </c>
    </row>
    <row r="37" spans="1:60" x14ac:dyDescent="0.3">
      <c r="A37" s="6" t="str">
        <f t="shared" si="0"/>
        <v>000060</v>
      </c>
      <c r="B37" s="35" t="s">
        <v>49</v>
      </c>
      <c r="C37" s="35" t="s">
        <v>388</v>
      </c>
      <c r="D37" s="35" t="s">
        <v>207</v>
      </c>
      <c r="E37" s="35" t="s">
        <v>170</v>
      </c>
      <c r="F37" s="35" t="s">
        <v>171</v>
      </c>
      <c r="G37" s="35" t="s">
        <v>170</v>
      </c>
      <c r="H37" s="35" t="s">
        <v>171</v>
      </c>
      <c r="I37" s="35" t="s">
        <v>814</v>
      </c>
      <c r="J37" s="35" t="s">
        <v>47</v>
      </c>
      <c r="K37" s="35" t="s">
        <v>815</v>
      </c>
      <c r="L37" s="35" t="s">
        <v>205</v>
      </c>
      <c r="M37" s="126">
        <v>6</v>
      </c>
      <c r="N37" s="123">
        <v>45904</v>
      </c>
      <c r="O37" s="123">
        <v>46016</v>
      </c>
      <c r="P37" s="38">
        <v>127560</v>
      </c>
      <c r="Q37" s="38">
        <v>144000</v>
      </c>
      <c r="R37" s="126">
        <v>0</v>
      </c>
      <c r="S37" s="126">
        <v>16</v>
      </c>
      <c r="T37" s="35" t="s">
        <v>95</v>
      </c>
      <c r="U37" s="38">
        <v>10944.1</v>
      </c>
      <c r="V37" s="38">
        <v>0</v>
      </c>
      <c r="W37" s="38">
        <v>0</v>
      </c>
      <c r="X37" s="38">
        <v>8</v>
      </c>
      <c r="Y37" s="38">
        <v>0</v>
      </c>
      <c r="Z37" s="38">
        <v>72000</v>
      </c>
      <c r="AA37" s="38">
        <v>0</v>
      </c>
      <c r="AB37" s="38">
        <v>0</v>
      </c>
      <c r="AC37" s="38">
        <v>0</v>
      </c>
      <c r="AD37" s="38">
        <v>0</v>
      </c>
      <c r="AE37" s="38">
        <v>10945</v>
      </c>
      <c r="AF37" s="123">
        <v>45959</v>
      </c>
      <c r="AG37" s="35" t="s">
        <v>96</v>
      </c>
      <c r="AH37" s="35"/>
      <c r="AI37" s="35"/>
      <c r="AJ37" s="35"/>
      <c r="AK37" s="35"/>
      <c r="AL37" s="35"/>
      <c r="AM37" s="35"/>
      <c r="AN37" s="35"/>
      <c r="AO37" s="35"/>
      <c r="AQ37" s="35"/>
      <c r="AR37" s="38">
        <v>87552.540000000008</v>
      </c>
      <c r="AS37" s="38">
        <v>0.23200000000000001</v>
      </c>
      <c r="AT37" s="35">
        <v>0</v>
      </c>
      <c r="AU37" s="35">
        <v>0</v>
      </c>
      <c r="AV37" s="35" t="s">
        <v>47</v>
      </c>
      <c r="AW37" s="35" t="s">
        <v>52</v>
      </c>
      <c r="AX37" s="35" t="s">
        <v>816</v>
      </c>
      <c r="AY37" s="35" t="s">
        <v>98</v>
      </c>
      <c r="AZ37" s="35" t="s">
        <v>99</v>
      </c>
      <c r="BA37" s="35" t="s">
        <v>42</v>
      </c>
      <c r="BB37" s="38"/>
      <c r="BC37" s="38">
        <v>5.7859999999999996</v>
      </c>
      <c r="BD37" s="35" t="s">
        <v>197</v>
      </c>
      <c r="BE37" s="35" t="s">
        <v>160</v>
      </c>
      <c r="BF37" s="35">
        <v>0</v>
      </c>
      <c r="BG37" s="38">
        <v>0</v>
      </c>
      <c r="BH37" s="35" t="s">
        <v>1319</v>
      </c>
    </row>
    <row r="38" spans="1:60" x14ac:dyDescent="0.3">
      <c r="A38" s="6" t="str">
        <f t="shared" si="0"/>
        <v>000042</v>
      </c>
      <c r="B38" s="35" t="s">
        <v>43</v>
      </c>
      <c r="C38" s="35" t="s">
        <v>396</v>
      </c>
      <c r="D38" s="35" t="s">
        <v>206</v>
      </c>
      <c r="E38" s="35" t="s">
        <v>154</v>
      </c>
      <c r="F38" s="35" t="s">
        <v>155</v>
      </c>
      <c r="G38" s="35" t="s">
        <v>154</v>
      </c>
      <c r="H38" s="35" t="s">
        <v>155</v>
      </c>
      <c r="I38" s="35" t="s">
        <v>650</v>
      </c>
      <c r="J38" s="35" t="s">
        <v>47</v>
      </c>
      <c r="K38" s="35" t="s">
        <v>575</v>
      </c>
      <c r="L38" s="35" t="s">
        <v>205</v>
      </c>
      <c r="M38" s="126">
        <v>5</v>
      </c>
      <c r="N38" s="123">
        <v>45897</v>
      </c>
      <c r="O38" s="123">
        <v>46009</v>
      </c>
      <c r="P38" s="38">
        <v>70576</v>
      </c>
      <c r="Q38" s="38">
        <v>80000</v>
      </c>
      <c r="R38" s="126">
        <v>0</v>
      </c>
      <c r="S38" s="126">
        <v>16</v>
      </c>
      <c r="T38" s="35" t="s">
        <v>95</v>
      </c>
      <c r="U38" s="38">
        <v>6080.05</v>
      </c>
      <c r="V38" s="38">
        <v>0</v>
      </c>
      <c r="W38" s="38">
        <v>0</v>
      </c>
      <c r="X38" s="38">
        <v>9</v>
      </c>
      <c r="Y38" s="38">
        <v>0</v>
      </c>
      <c r="Z38" s="38">
        <v>35000</v>
      </c>
      <c r="AA38" s="38">
        <v>0</v>
      </c>
      <c r="AB38" s="38">
        <v>0</v>
      </c>
      <c r="AC38" s="38">
        <v>0</v>
      </c>
      <c r="AD38" s="38">
        <v>0</v>
      </c>
      <c r="AE38" s="38">
        <v>6085</v>
      </c>
      <c r="AF38" s="123">
        <v>45959</v>
      </c>
      <c r="AG38" s="35" t="s">
        <v>96</v>
      </c>
      <c r="AH38" s="35"/>
      <c r="AI38" s="35"/>
      <c r="AJ38" s="35"/>
      <c r="AK38" s="35"/>
      <c r="AL38" s="35"/>
      <c r="AM38" s="35"/>
      <c r="AN38" s="35"/>
      <c r="AO38" s="35"/>
      <c r="AQ38" s="35"/>
      <c r="AR38" s="38">
        <v>42515.85</v>
      </c>
      <c r="AS38" s="38">
        <v>44.52</v>
      </c>
      <c r="AT38" s="35">
        <v>0</v>
      </c>
      <c r="AU38" s="35">
        <v>0</v>
      </c>
      <c r="AV38" s="35" t="s">
        <v>47</v>
      </c>
      <c r="AW38" s="35" t="s">
        <v>52</v>
      </c>
      <c r="AX38" s="35" t="s">
        <v>651</v>
      </c>
      <c r="AY38" s="35" t="s">
        <v>98</v>
      </c>
      <c r="AZ38" s="35" t="s">
        <v>99</v>
      </c>
      <c r="BA38" s="35" t="s">
        <v>42</v>
      </c>
      <c r="BB38" s="38"/>
      <c r="BC38" s="38">
        <v>5.7859999999999996</v>
      </c>
      <c r="BD38" s="35" t="s">
        <v>197</v>
      </c>
      <c r="BE38" s="35" t="s">
        <v>169</v>
      </c>
      <c r="BF38" s="35">
        <v>0</v>
      </c>
      <c r="BG38" s="38">
        <v>0</v>
      </c>
      <c r="BH38" s="35" t="s">
        <v>1319</v>
      </c>
    </row>
    <row r="39" spans="1:60" x14ac:dyDescent="0.3">
      <c r="A39" s="6" t="str">
        <f t="shared" si="0"/>
        <v>000194</v>
      </c>
      <c r="B39" s="35" t="s">
        <v>49</v>
      </c>
      <c r="C39" s="35" t="s">
        <v>388</v>
      </c>
      <c r="D39" s="35" t="s">
        <v>207</v>
      </c>
      <c r="E39" s="35" t="s">
        <v>188</v>
      </c>
      <c r="F39" s="35" t="s">
        <v>190</v>
      </c>
      <c r="G39" s="35" t="s">
        <v>188</v>
      </c>
      <c r="H39" s="35" t="s">
        <v>190</v>
      </c>
      <c r="I39" s="35" t="s">
        <v>2028</v>
      </c>
      <c r="J39" s="35" t="s">
        <v>47</v>
      </c>
      <c r="K39" s="35" t="s">
        <v>2029</v>
      </c>
      <c r="L39" s="35" t="s">
        <v>205</v>
      </c>
      <c r="M39" s="126">
        <v>6</v>
      </c>
      <c r="N39" s="123">
        <v>45959</v>
      </c>
      <c r="O39" s="123">
        <v>46071</v>
      </c>
      <c r="P39" s="38">
        <v>114137</v>
      </c>
      <c r="Q39" s="38">
        <v>129000</v>
      </c>
      <c r="R39" s="126">
        <v>0</v>
      </c>
      <c r="S39" s="126">
        <v>16</v>
      </c>
      <c r="T39" s="35" t="s">
        <v>95</v>
      </c>
      <c r="U39" s="38">
        <v>9804.09</v>
      </c>
      <c r="V39" s="38">
        <v>0</v>
      </c>
      <c r="W39" s="38">
        <v>0</v>
      </c>
      <c r="X39" s="38">
        <v>0</v>
      </c>
      <c r="Y39" s="38">
        <v>0</v>
      </c>
      <c r="Z39" s="38">
        <v>129000</v>
      </c>
      <c r="AA39" s="38">
        <v>0</v>
      </c>
      <c r="AB39" s="38">
        <v>0</v>
      </c>
      <c r="AC39" s="38">
        <v>0</v>
      </c>
      <c r="AD39" s="38">
        <v>0</v>
      </c>
      <c r="AE39" s="38"/>
      <c r="AF39" s="123"/>
      <c r="AG39" s="35" t="s">
        <v>96</v>
      </c>
      <c r="AH39" s="35"/>
      <c r="AI39" s="35"/>
      <c r="AJ39" s="35"/>
      <c r="AK39" s="35"/>
      <c r="AL39" s="35"/>
      <c r="AM39" s="35"/>
      <c r="AN39" s="35"/>
      <c r="AO39" s="35"/>
      <c r="AQ39" s="35"/>
      <c r="AR39" s="38">
        <v>156865.38</v>
      </c>
      <c r="AS39" s="38">
        <v>0</v>
      </c>
      <c r="AT39" s="35">
        <v>0</v>
      </c>
      <c r="AU39" s="35">
        <v>0</v>
      </c>
      <c r="AV39" s="35" t="s">
        <v>47</v>
      </c>
      <c r="AW39" s="35" t="s">
        <v>52</v>
      </c>
      <c r="AX39" s="35" t="s">
        <v>2030</v>
      </c>
      <c r="AY39" s="35" t="s">
        <v>98</v>
      </c>
      <c r="AZ39" s="35" t="s">
        <v>99</v>
      </c>
      <c r="BA39" s="35" t="s">
        <v>42</v>
      </c>
      <c r="BB39" s="38"/>
      <c r="BC39" s="38">
        <v>5.7859999999999996</v>
      </c>
      <c r="BD39" s="35" t="s">
        <v>124</v>
      </c>
      <c r="BE39" s="35" t="s">
        <v>127</v>
      </c>
      <c r="BF39" s="35">
        <v>0</v>
      </c>
      <c r="BG39" s="38"/>
      <c r="BH39" s="35" t="s">
        <v>1319</v>
      </c>
    </row>
    <row r="40" spans="1:60" x14ac:dyDescent="0.3">
      <c r="A40" s="6" t="str">
        <f t="shared" si="0"/>
        <v>000137</v>
      </c>
      <c r="B40" s="35" t="s">
        <v>49</v>
      </c>
      <c r="C40" s="35" t="s">
        <v>388</v>
      </c>
      <c r="D40" s="35" t="s">
        <v>207</v>
      </c>
      <c r="E40" s="35" t="s">
        <v>170</v>
      </c>
      <c r="F40" s="35" t="s">
        <v>171</v>
      </c>
      <c r="G40" s="35" t="s">
        <v>170</v>
      </c>
      <c r="H40" s="35" t="s">
        <v>171</v>
      </c>
      <c r="I40" s="35" t="s">
        <v>1533</v>
      </c>
      <c r="J40" s="35" t="s">
        <v>47</v>
      </c>
      <c r="K40" s="35" t="s">
        <v>1516</v>
      </c>
      <c r="L40" s="35" t="s">
        <v>205</v>
      </c>
      <c r="M40" s="126">
        <v>8</v>
      </c>
      <c r="N40" s="123">
        <v>45937</v>
      </c>
      <c r="O40" s="123">
        <v>46049</v>
      </c>
      <c r="P40" s="38">
        <v>99437</v>
      </c>
      <c r="Q40" s="38">
        <v>113000</v>
      </c>
      <c r="R40" s="126">
        <v>0</v>
      </c>
      <c r="S40" s="126">
        <v>16</v>
      </c>
      <c r="T40" s="35" t="s">
        <v>95</v>
      </c>
      <c r="U40" s="38">
        <v>8588.08</v>
      </c>
      <c r="V40" s="38">
        <v>0</v>
      </c>
      <c r="W40" s="38">
        <v>0</v>
      </c>
      <c r="X40" s="38">
        <v>3</v>
      </c>
      <c r="Y40" s="38">
        <v>0</v>
      </c>
      <c r="Z40" s="38">
        <v>91812.72</v>
      </c>
      <c r="AA40" s="38">
        <v>0.22600000000000001</v>
      </c>
      <c r="AB40" s="38">
        <v>0</v>
      </c>
      <c r="AC40" s="38">
        <v>0</v>
      </c>
      <c r="AD40" s="38">
        <v>0</v>
      </c>
      <c r="AE40" s="38">
        <v>8588</v>
      </c>
      <c r="AF40" s="123">
        <v>45954</v>
      </c>
      <c r="AG40" s="35" t="s">
        <v>96</v>
      </c>
      <c r="AH40" s="35"/>
      <c r="AI40" s="35"/>
      <c r="AJ40" s="35"/>
      <c r="AK40" s="35"/>
      <c r="AL40" s="35"/>
      <c r="AM40" s="35"/>
      <c r="AN40" s="35"/>
      <c r="AO40" s="35"/>
      <c r="AQ40" s="35"/>
      <c r="AR40" s="38">
        <v>111645.21</v>
      </c>
      <c r="AS40" s="38">
        <v>0</v>
      </c>
      <c r="AT40" s="35">
        <v>0</v>
      </c>
      <c r="AU40" s="35">
        <v>0</v>
      </c>
      <c r="AV40" s="35" t="s">
        <v>47</v>
      </c>
      <c r="AW40" s="35" t="s">
        <v>52</v>
      </c>
      <c r="AX40" s="35" t="s">
        <v>1554</v>
      </c>
      <c r="AY40" s="35" t="s">
        <v>98</v>
      </c>
      <c r="AZ40" s="35" t="s">
        <v>99</v>
      </c>
      <c r="BA40" s="35" t="s">
        <v>42</v>
      </c>
      <c r="BB40" s="38"/>
      <c r="BC40" s="38">
        <v>5.7859999999999996</v>
      </c>
      <c r="BD40" s="35" t="s">
        <v>146</v>
      </c>
      <c r="BE40" s="35" t="s">
        <v>185</v>
      </c>
      <c r="BF40" s="35">
        <v>0</v>
      </c>
      <c r="BG40" s="38">
        <v>0</v>
      </c>
      <c r="BH40" s="35" t="s">
        <v>1319</v>
      </c>
    </row>
    <row r="41" spans="1:60" x14ac:dyDescent="0.3">
      <c r="A41" s="6" t="str">
        <f t="shared" si="0"/>
        <v>000077</v>
      </c>
      <c r="B41" s="35" t="s">
        <v>43</v>
      </c>
      <c r="C41" s="35" t="s">
        <v>42</v>
      </c>
      <c r="D41" s="35" t="s">
        <v>1526</v>
      </c>
      <c r="E41" s="35" t="s">
        <v>883</v>
      </c>
      <c r="F41" s="35" t="s">
        <v>884</v>
      </c>
      <c r="G41" s="35" t="s">
        <v>883</v>
      </c>
      <c r="H41" s="35" t="s">
        <v>884</v>
      </c>
      <c r="I41" s="35" t="s">
        <v>501</v>
      </c>
      <c r="J41" s="35" t="s">
        <v>47</v>
      </c>
      <c r="K41" s="35" t="s">
        <v>944</v>
      </c>
      <c r="L41" s="35" t="s">
        <v>205</v>
      </c>
      <c r="M41" s="126">
        <v>8</v>
      </c>
      <c r="N41" s="123">
        <v>45912</v>
      </c>
      <c r="O41" s="123">
        <v>46024</v>
      </c>
      <c r="P41" s="38">
        <v>175394</v>
      </c>
      <c r="Q41" s="38">
        <v>198000</v>
      </c>
      <c r="R41" s="126">
        <v>0</v>
      </c>
      <c r="S41" s="126">
        <v>16</v>
      </c>
      <c r="T41" s="35" t="s">
        <v>95</v>
      </c>
      <c r="U41" s="38">
        <v>15048.130000000001</v>
      </c>
      <c r="V41" s="38">
        <v>0</v>
      </c>
      <c r="W41" s="38">
        <v>0</v>
      </c>
      <c r="X41" s="38">
        <v>7</v>
      </c>
      <c r="Y41" s="38">
        <v>0</v>
      </c>
      <c r="Z41" s="38">
        <v>111375</v>
      </c>
      <c r="AA41" s="38">
        <v>0</v>
      </c>
      <c r="AB41" s="38">
        <v>0</v>
      </c>
      <c r="AC41" s="38">
        <v>0</v>
      </c>
      <c r="AD41" s="38">
        <v>0</v>
      </c>
      <c r="AE41" s="38">
        <v>15089</v>
      </c>
      <c r="AF41" s="123">
        <v>45960</v>
      </c>
      <c r="AG41" s="35" t="s">
        <v>96</v>
      </c>
      <c r="AH41" s="35"/>
      <c r="AI41" s="35"/>
      <c r="AJ41" s="35"/>
      <c r="AK41" s="35"/>
      <c r="AL41" s="35"/>
      <c r="AM41" s="35"/>
      <c r="AN41" s="35"/>
      <c r="AO41" s="35"/>
      <c r="AQ41" s="35"/>
      <c r="AR41" s="38">
        <v>134342.11000000002</v>
      </c>
      <c r="AS41" s="38">
        <v>1091.076</v>
      </c>
      <c r="AT41" s="35">
        <v>0</v>
      </c>
      <c r="AU41" s="35">
        <v>0</v>
      </c>
      <c r="AV41" s="35" t="s">
        <v>47</v>
      </c>
      <c r="AW41" s="35" t="s">
        <v>52</v>
      </c>
      <c r="AX41" s="35" t="s">
        <v>967</v>
      </c>
      <c r="AY41" s="35" t="s">
        <v>968</v>
      </c>
      <c r="AZ41" s="35" t="s">
        <v>99</v>
      </c>
      <c r="BA41" s="35" t="s">
        <v>1263</v>
      </c>
      <c r="BB41" s="38"/>
      <c r="BC41" s="38">
        <v>5.7859999999999996</v>
      </c>
      <c r="BD41" s="35" t="s">
        <v>168</v>
      </c>
      <c r="BE41" s="35" t="s">
        <v>125</v>
      </c>
      <c r="BF41" s="35">
        <v>0</v>
      </c>
      <c r="BG41" s="38">
        <v>0</v>
      </c>
      <c r="BH41" s="35" t="s">
        <v>1319</v>
      </c>
    </row>
    <row r="42" spans="1:60" x14ac:dyDescent="0.3">
      <c r="A42" s="6" t="str">
        <f>I42</f>
        <v>000080</v>
      </c>
      <c r="B42" s="35" t="s">
        <v>43</v>
      </c>
      <c r="C42" s="35" t="s">
        <v>396</v>
      </c>
      <c r="D42" s="35" t="s">
        <v>206</v>
      </c>
      <c r="E42" s="35" t="s">
        <v>501</v>
      </c>
      <c r="F42" s="35" t="s">
        <v>502</v>
      </c>
      <c r="G42" s="35" t="s">
        <v>501</v>
      </c>
      <c r="H42" s="35" t="s">
        <v>502</v>
      </c>
      <c r="I42" s="35" t="s">
        <v>969</v>
      </c>
      <c r="J42" s="35" t="s">
        <v>47</v>
      </c>
      <c r="K42" s="35" t="s">
        <v>941</v>
      </c>
      <c r="L42" s="35" t="s">
        <v>205</v>
      </c>
      <c r="M42" s="126">
        <v>6</v>
      </c>
      <c r="N42" s="123">
        <v>45912</v>
      </c>
      <c r="O42" s="123">
        <v>46024</v>
      </c>
      <c r="P42" s="38">
        <v>88218</v>
      </c>
      <c r="Q42" s="38">
        <v>100000</v>
      </c>
      <c r="R42" s="126">
        <v>0</v>
      </c>
      <c r="S42" s="126">
        <v>16</v>
      </c>
      <c r="T42" s="35" t="s">
        <v>95</v>
      </c>
      <c r="U42" s="38">
        <v>7600.07</v>
      </c>
      <c r="V42" s="38">
        <v>0</v>
      </c>
      <c r="W42" s="38">
        <v>0</v>
      </c>
      <c r="X42" s="38">
        <v>7</v>
      </c>
      <c r="Y42" s="38">
        <v>1</v>
      </c>
      <c r="Z42" s="38">
        <v>62500</v>
      </c>
      <c r="AA42" s="38">
        <v>7579.4666666666662</v>
      </c>
      <c r="AB42" s="38">
        <v>183.38</v>
      </c>
      <c r="AC42" s="38">
        <v>0</v>
      </c>
      <c r="AD42" s="38">
        <v>0</v>
      </c>
      <c r="AE42" s="38">
        <v>7606</v>
      </c>
      <c r="AF42" s="123">
        <v>45953</v>
      </c>
      <c r="AG42" s="35" t="s">
        <v>96</v>
      </c>
      <c r="AH42" s="35"/>
      <c r="AI42" s="35"/>
      <c r="AJ42" s="35"/>
      <c r="AK42" s="35"/>
      <c r="AL42" s="35"/>
      <c r="AM42" s="35"/>
      <c r="AN42" s="35"/>
      <c r="AO42" s="35"/>
      <c r="AQ42" s="35"/>
      <c r="AR42" s="38">
        <v>75980.070000000007</v>
      </c>
      <c r="AS42" s="38">
        <v>0</v>
      </c>
      <c r="AT42" s="35">
        <v>1</v>
      </c>
      <c r="AU42" s="35">
        <v>1</v>
      </c>
      <c r="AV42" s="35" t="s">
        <v>47</v>
      </c>
      <c r="AW42" s="35" t="s">
        <v>52</v>
      </c>
      <c r="AX42" s="35" t="s">
        <v>970</v>
      </c>
      <c r="AY42" s="35" t="s">
        <v>98</v>
      </c>
      <c r="AZ42" s="35" t="s">
        <v>99</v>
      </c>
      <c r="BA42" s="35" t="s">
        <v>42</v>
      </c>
      <c r="BB42" s="38"/>
      <c r="BC42" s="38">
        <v>5.7859999999999996</v>
      </c>
      <c r="BD42" s="35" t="s">
        <v>168</v>
      </c>
      <c r="BE42" s="35" t="s">
        <v>160</v>
      </c>
      <c r="BF42" s="35">
        <v>0</v>
      </c>
      <c r="BG42" s="38">
        <v>0</v>
      </c>
      <c r="BH42" s="35" t="s">
        <v>1319</v>
      </c>
    </row>
    <row r="43" spans="1:60" x14ac:dyDescent="0.3">
      <c r="A43" s="6" t="str">
        <f t="shared" si="0"/>
        <v>000190</v>
      </c>
      <c r="B43" s="35" t="s">
        <v>43</v>
      </c>
      <c r="C43" s="35" t="s">
        <v>42</v>
      </c>
      <c r="D43" s="35" t="s">
        <v>1526</v>
      </c>
      <c r="E43" s="35" t="s">
        <v>148</v>
      </c>
      <c r="F43" s="35" t="s">
        <v>149</v>
      </c>
      <c r="G43" s="35" t="s">
        <v>148</v>
      </c>
      <c r="H43" s="35" t="s">
        <v>149</v>
      </c>
      <c r="I43" s="35" t="s">
        <v>2031</v>
      </c>
      <c r="J43" s="35" t="s">
        <v>47</v>
      </c>
      <c r="K43" s="35" t="s">
        <v>2032</v>
      </c>
      <c r="L43" s="35" t="s">
        <v>205</v>
      </c>
      <c r="M43" s="126">
        <v>5</v>
      </c>
      <c r="N43" s="123">
        <v>45959</v>
      </c>
      <c r="O43" s="123">
        <v>46071</v>
      </c>
      <c r="P43" s="38">
        <v>47330</v>
      </c>
      <c r="Q43" s="38">
        <v>54000</v>
      </c>
      <c r="R43" s="126">
        <v>0</v>
      </c>
      <c r="S43" s="126">
        <v>16</v>
      </c>
      <c r="T43" s="35" t="s">
        <v>95</v>
      </c>
      <c r="U43" s="38">
        <v>4104.04</v>
      </c>
      <c r="V43" s="38">
        <v>0</v>
      </c>
      <c r="W43" s="38">
        <v>0</v>
      </c>
      <c r="X43" s="38">
        <v>0</v>
      </c>
      <c r="Y43" s="38">
        <v>0</v>
      </c>
      <c r="Z43" s="38">
        <v>54000</v>
      </c>
      <c r="AA43" s="38">
        <v>0</v>
      </c>
      <c r="AB43" s="38">
        <v>0</v>
      </c>
      <c r="AC43" s="38">
        <v>0</v>
      </c>
      <c r="AD43" s="38">
        <v>0</v>
      </c>
      <c r="AE43" s="38"/>
      <c r="AF43" s="123"/>
      <c r="AG43" s="35" t="s">
        <v>96</v>
      </c>
      <c r="AH43" s="35"/>
      <c r="AI43" s="35"/>
      <c r="AJ43" s="35"/>
      <c r="AK43" s="35"/>
      <c r="AL43" s="35"/>
      <c r="AM43" s="35"/>
      <c r="AN43" s="35"/>
      <c r="AO43" s="35"/>
      <c r="AQ43" s="35"/>
      <c r="AR43" s="38">
        <v>65664.58</v>
      </c>
      <c r="AS43" s="38">
        <v>0</v>
      </c>
      <c r="AT43" s="35">
        <v>0</v>
      </c>
      <c r="AU43" s="35">
        <v>0</v>
      </c>
      <c r="AV43" s="35" t="s">
        <v>47</v>
      </c>
      <c r="AW43" s="35" t="s">
        <v>52</v>
      </c>
      <c r="AX43" s="35"/>
      <c r="AY43" s="35" t="s">
        <v>98</v>
      </c>
      <c r="AZ43" s="35" t="s">
        <v>99</v>
      </c>
      <c r="BA43" s="35" t="s">
        <v>42</v>
      </c>
      <c r="BB43" s="38"/>
      <c r="BC43" s="38">
        <v>5.7859999999999996</v>
      </c>
      <c r="BD43" s="35" t="s">
        <v>124</v>
      </c>
      <c r="BE43" s="35" t="s">
        <v>125</v>
      </c>
      <c r="BF43" s="35">
        <v>0</v>
      </c>
      <c r="BG43" s="38"/>
      <c r="BH43" s="35" t="s">
        <v>1320</v>
      </c>
    </row>
    <row r="44" spans="1:60" x14ac:dyDescent="0.3">
      <c r="A44" s="6" t="str">
        <f t="shared" si="0"/>
        <v>000009</v>
      </c>
      <c r="B44" s="35" t="s">
        <v>43</v>
      </c>
      <c r="C44" s="35" t="s">
        <v>396</v>
      </c>
      <c r="D44" s="35" t="s">
        <v>206</v>
      </c>
      <c r="E44" s="35" t="s">
        <v>164</v>
      </c>
      <c r="F44" s="35" t="s">
        <v>165</v>
      </c>
      <c r="G44" s="35" t="s">
        <v>164</v>
      </c>
      <c r="H44" s="35" t="s">
        <v>165</v>
      </c>
      <c r="I44" s="35" t="s">
        <v>166</v>
      </c>
      <c r="J44" s="35" t="s">
        <v>47</v>
      </c>
      <c r="K44" s="35" t="s">
        <v>103</v>
      </c>
      <c r="L44" s="35" t="s">
        <v>205</v>
      </c>
      <c r="M44" s="126">
        <v>7</v>
      </c>
      <c r="N44" s="123">
        <v>45881</v>
      </c>
      <c r="O44" s="123">
        <v>45996</v>
      </c>
      <c r="P44" s="38">
        <v>67750</v>
      </c>
      <c r="Q44" s="38">
        <v>78000</v>
      </c>
      <c r="R44" s="126">
        <v>0</v>
      </c>
      <c r="S44" s="126">
        <v>16</v>
      </c>
      <c r="T44" s="35" t="s">
        <v>95</v>
      </c>
      <c r="U44" s="38">
        <v>5928.05</v>
      </c>
      <c r="V44" s="38">
        <v>0</v>
      </c>
      <c r="W44" s="38">
        <v>0</v>
      </c>
      <c r="X44" s="38">
        <v>11</v>
      </c>
      <c r="Y44" s="38">
        <v>1</v>
      </c>
      <c r="Z44" s="38">
        <v>29250</v>
      </c>
      <c r="AA44" s="38">
        <v>5882.4720000000007</v>
      </c>
      <c r="AB44" s="38">
        <v>138.96</v>
      </c>
      <c r="AC44" s="38">
        <v>0</v>
      </c>
      <c r="AD44" s="38">
        <v>0</v>
      </c>
      <c r="AE44" s="38">
        <v>5935</v>
      </c>
      <c r="AF44" s="123">
        <v>45950</v>
      </c>
      <c r="AG44" s="35" t="s">
        <v>96</v>
      </c>
      <c r="AH44" s="35"/>
      <c r="AI44" s="35"/>
      <c r="AJ44" s="35"/>
      <c r="AK44" s="35"/>
      <c r="AL44" s="35"/>
      <c r="AM44" s="35"/>
      <c r="AN44" s="35"/>
      <c r="AO44" s="35"/>
      <c r="AQ44" s="35"/>
      <c r="AR44" s="38">
        <v>35522.730000000003</v>
      </c>
      <c r="AS44" s="38">
        <v>0</v>
      </c>
      <c r="AT44" s="35">
        <v>1</v>
      </c>
      <c r="AU44" s="35">
        <v>1</v>
      </c>
      <c r="AV44" s="35" t="s">
        <v>47</v>
      </c>
      <c r="AW44" s="35" t="s">
        <v>52</v>
      </c>
      <c r="AX44" s="35" t="s">
        <v>167</v>
      </c>
      <c r="AY44" s="35" t="s">
        <v>98</v>
      </c>
      <c r="AZ44" s="35" t="s">
        <v>99</v>
      </c>
      <c r="BA44" s="35" t="s">
        <v>42</v>
      </c>
      <c r="BB44" s="38"/>
      <c r="BC44" s="38">
        <v>5.7859999999999996</v>
      </c>
      <c r="BD44" s="35" t="s">
        <v>168</v>
      </c>
      <c r="BE44" s="35" t="s">
        <v>169</v>
      </c>
      <c r="BF44" s="35">
        <v>0</v>
      </c>
      <c r="BG44" s="38">
        <v>0</v>
      </c>
      <c r="BH44" s="35" t="s">
        <v>1319</v>
      </c>
    </row>
    <row r="45" spans="1:60" x14ac:dyDescent="0.3">
      <c r="A45" s="6" t="str">
        <f t="shared" si="0"/>
        <v>000125</v>
      </c>
      <c r="B45" s="35" t="s">
        <v>43</v>
      </c>
      <c r="C45" s="35" t="s">
        <v>42</v>
      </c>
      <c r="D45" s="35" t="s">
        <v>1526</v>
      </c>
      <c r="E45" s="35" t="s">
        <v>883</v>
      </c>
      <c r="F45" s="35" t="s">
        <v>884</v>
      </c>
      <c r="G45" s="35" t="s">
        <v>883</v>
      </c>
      <c r="H45" s="35" t="s">
        <v>884</v>
      </c>
      <c r="I45" s="35" t="s">
        <v>1429</v>
      </c>
      <c r="J45" s="35" t="s">
        <v>47</v>
      </c>
      <c r="K45" s="35" t="s">
        <v>1377</v>
      </c>
      <c r="L45" s="35" t="s">
        <v>205</v>
      </c>
      <c r="M45" s="126">
        <v>5</v>
      </c>
      <c r="N45" s="123">
        <v>45930</v>
      </c>
      <c r="O45" s="123">
        <v>46042</v>
      </c>
      <c r="P45" s="38">
        <v>191327</v>
      </c>
      <c r="Q45" s="38">
        <v>215000</v>
      </c>
      <c r="R45" s="126">
        <v>0</v>
      </c>
      <c r="S45" s="126">
        <v>16</v>
      </c>
      <c r="T45" s="35" t="s">
        <v>95</v>
      </c>
      <c r="U45" s="38">
        <v>16340.140000000001</v>
      </c>
      <c r="V45" s="38">
        <v>0</v>
      </c>
      <c r="W45" s="38">
        <v>0</v>
      </c>
      <c r="X45" s="38">
        <v>4</v>
      </c>
      <c r="Y45" s="38">
        <v>0</v>
      </c>
      <c r="Z45" s="38">
        <v>161250</v>
      </c>
      <c r="AA45" s="38">
        <v>0</v>
      </c>
      <c r="AB45" s="38">
        <v>0</v>
      </c>
      <c r="AC45" s="38">
        <v>0</v>
      </c>
      <c r="AD45" s="38">
        <v>0</v>
      </c>
      <c r="AE45" s="38">
        <v>16340</v>
      </c>
      <c r="AF45" s="123">
        <v>45957</v>
      </c>
      <c r="AG45" s="35" t="s">
        <v>96</v>
      </c>
      <c r="AH45" s="35"/>
      <c r="AI45" s="35"/>
      <c r="AJ45" s="35"/>
      <c r="AK45" s="35"/>
      <c r="AL45" s="35"/>
      <c r="AM45" s="35"/>
      <c r="AN45" s="35"/>
      <c r="AO45" s="35"/>
      <c r="AQ45" s="35"/>
      <c r="AR45" s="38">
        <v>196081.29</v>
      </c>
      <c r="AS45" s="38">
        <v>0.42666666666666703</v>
      </c>
      <c r="AT45" s="35">
        <v>0</v>
      </c>
      <c r="AU45" s="35">
        <v>0</v>
      </c>
      <c r="AV45" s="35" t="s">
        <v>47</v>
      </c>
      <c r="AW45" s="35" t="s">
        <v>52</v>
      </c>
      <c r="AX45" s="35"/>
      <c r="AY45" s="35" t="s">
        <v>98</v>
      </c>
      <c r="AZ45" s="35" t="s">
        <v>99</v>
      </c>
      <c r="BA45" s="35" t="s">
        <v>42</v>
      </c>
      <c r="BB45" s="38"/>
      <c r="BC45" s="38">
        <v>5.7859999999999996</v>
      </c>
      <c r="BD45" s="35" t="s">
        <v>146</v>
      </c>
      <c r="BE45" s="35" t="s">
        <v>160</v>
      </c>
      <c r="BF45" s="35">
        <v>0</v>
      </c>
      <c r="BG45" s="38">
        <v>0</v>
      </c>
      <c r="BH45" s="35" t="s">
        <v>1320</v>
      </c>
    </row>
    <row r="46" spans="1:60" x14ac:dyDescent="0.3">
      <c r="A46" s="6" t="str">
        <f t="shared" si="0"/>
        <v>000114</v>
      </c>
      <c r="B46" s="35" t="s">
        <v>43</v>
      </c>
      <c r="C46" s="35" t="s">
        <v>42</v>
      </c>
      <c r="D46" s="35" t="s">
        <v>1526</v>
      </c>
      <c r="E46" s="35" t="s">
        <v>663</v>
      </c>
      <c r="F46" s="35" t="s">
        <v>664</v>
      </c>
      <c r="G46" s="35" t="s">
        <v>663</v>
      </c>
      <c r="H46" s="35" t="s">
        <v>664</v>
      </c>
      <c r="I46" s="35" t="s">
        <v>1271</v>
      </c>
      <c r="J46" s="35" t="s">
        <v>47</v>
      </c>
      <c r="K46" s="35" t="s">
        <v>1159</v>
      </c>
      <c r="L46" s="35" t="s">
        <v>205</v>
      </c>
      <c r="M46" s="126">
        <v>6</v>
      </c>
      <c r="N46" s="123">
        <v>45925</v>
      </c>
      <c r="O46" s="123">
        <v>46037</v>
      </c>
      <c r="P46" s="38">
        <v>52476</v>
      </c>
      <c r="Q46" s="38">
        <v>60000</v>
      </c>
      <c r="R46" s="126">
        <v>0</v>
      </c>
      <c r="S46" s="126">
        <v>16</v>
      </c>
      <c r="T46" s="35" t="s">
        <v>95</v>
      </c>
      <c r="U46" s="38">
        <v>4560.04</v>
      </c>
      <c r="V46" s="38">
        <v>0</v>
      </c>
      <c r="W46" s="38">
        <v>0</v>
      </c>
      <c r="X46" s="38">
        <v>5</v>
      </c>
      <c r="Y46" s="38">
        <v>0</v>
      </c>
      <c r="Z46" s="38">
        <v>41250.14</v>
      </c>
      <c r="AA46" s="38">
        <v>0.16</v>
      </c>
      <c r="AB46" s="38">
        <v>0</v>
      </c>
      <c r="AC46" s="38">
        <v>0</v>
      </c>
      <c r="AD46" s="38">
        <v>0</v>
      </c>
      <c r="AE46" s="38">
        <v>4560</v>
      </c>
      <c r="AF46" s="123">
        <v>45959</v>
      </c>
      <c r="AG46" s="35" t="s">
        <v>96</v>
      </c>
      <c r="AH46" s="35"/>
      <c r="AI46" s="35"/>
      <c r="AJ46" s="35"/>
      <c r="AK46" s="35"/>
      <c r="AL46" s="35"/>
      <c r="AM46" s="35"/>
      <c r="AN46" s="35"/>
      <c r="AO46" s="35"/>
      <c r="AQ46" s="35"/>
      <c r="AR46" s="38">
        <v>50160.6</v>
      </c>
      <c r="AS46" s="38">
        <v>0</v>
      </c>
      <c r="AT46" s="35">
        <v>0</v>
      </c>
      <c r="AU46" s="35">
        <v>0</v>
      </c>
      <c r="AV46" s="35" t="s">
        <v>47</v>
      </c>
      <c r="AW46" s="35" t="s">
        <v>52</v>
      </c>
      <c r="AX46" s="35" t="s">
        <v>1303</v>
      </c>
      <c r="AY46" s="35" t="s">
        <v>98</v>
      </c>
      <c r="AZ46" s="35" t="s">
        <v>99</v>
      </c>
      <c r="BA46" s="35" t="s">
        <v>42</v>
      </c>
      <c r="BB46" s="38"/>
      <c r="BC46" s="38">
        <v>5.7859999999999996</v>
      </c>
      <c r="BD46" s="35" t="s">
        <v>197</v>
      </c>
      <c r="BE46" s="35" t="s">
        <v>147</v>
      </c>
      <c r="BF46" s="35">
        <v>0</v>
      </c>
      <c r="BG46" s="38">
        <v>0</v>
      </c>
      <c r="BH46" s="35" t="s">
        <v>1320</v>
      </c>
    </row>
    <row r="47" spans="1:60" x14ac:dyDescent="0.3">
      <c r="A47" s="6" t="str">
        <f t="shared" si="0"/>
        <v>000154</v>
      </c>
      <c r="B47" s="35" t="s">
        <v>49</v>
      </c>
      <c r="C47" s="35" t="s">
        <v>388</v>
      </c>
      <c r="D47" s="35" t="s">
        <v>207</v>
      </c>
      <c r="E47" s="35" t="s">
        <v>188</v>
      </c>
      <c r="F47" s="35" t="s">
        <v>190</v>
      </c>
      <c r="G47" s="35" t="s">
        <v>188</v>
      </c>
      <c r="H47" s="35" t="s">
        <v>190</v>
      </c>
      <c r="I47" s="35" t="s">
        <v>1690</v>
      </c>
      <c r="J47" s="35" t="s">
        <v>47</v>
      </c>
      <c r="K47" s="35" t="s">
        <v>1661</v>
      </c>
      <c r="L47" s="35" t="s">
        <v>205</v>
      </c>
      <c r="M47" s="126">
        <v>8</v>
      </c>
      <c r="N47" s="123">
        <v>45945</v>
      </c>
      <c r="O47" s="123">
        <v>46057</v>
      </c>
      <c r="P47" s="38">
        <v>110160</v>
      </c>
      <c r="Q47" s="38">
        <v>125000</v>
      </c>
      <c r="R47" s="126">
        <v>0</v>
      </c>
      <c r="S47" s="126">
        <v>16</v>
      </c>
      <c r="T47" s="35" t="s">
        <v>95</v>
      </c>
      <c r="U47" s="38">
        <v>9500.08</v>
      </c>
      <c r="V47" s="38">
        <v>0</v>
      </c>
      <c r="W47" s="38">
        <v>0</v>
      </c>
      <c r="X47" s="38">
        <v>2</v>
      </c>
      <c r="Y47" s="38">
        <v>0</v>
      </c>
      <c r="Z47" s="38">
        <v>109375.17</v>
      </c>
      <c r="AA47" s="38">
        <v>0.16666666666666699</v>
      </c>
      <c r="AB47" s="38">
        <v>0</v>
      </c>
      <c r="AC47" s="38">
        <v>0</v>
      </c>
      <c r="AD47" s="38">
        <v>0</v>
      </c>
      <c r="AE47" s="38">
        <v>9500</v>
      </c>
      <c r="AF47" s="123">
        <v>45958</v>
      </c>
      <c r="AG47" s="35" t="s">
        <v>96</v>
      </c>
      <c r="AH47" s="35"/>
      <c r="AI47" s="35"/>
      <c r="AJ47" s="35"/>
      <c r="AK47" s="35"/>
      <c r="AL47" s="35"/>
      <c r="AM47" s="35"/>
      <c r="AN47" s="35"/>
      <c r="AO47" s="35"/>
      <c r="AQ47" s="35"/>
      <c r="AR47" s="38">
        <v>133001.33000000002</v>
      </c>
      <c r="AS47" s="38">
        <v>0</v>
      </c>
      <c r="AT47" s="35">
        <v>0</v>
      </c>
      <c r="AU47" s="35">
        <v>0</v>
      </c>
      <c r="AV47" s="35" t="s">
        <v>47</v>
      </c>
      <c r="AW47" s="35" t="s">
        <v>52</v>
      </c>
      <c r="AX47" s="35" t="s">
        <v>1691</v>
      </c>
      <c r="AY47" s="35" t="s">
        <v>98</v>
      </c>
      <c r="AZ47" s="35" t="s">
        <v>99</v>
      </c>
      <c r="BA47" s="35" t="s">
        <v>42</v>
      </c>
      <c r="BB47" s="38"/>
      <c r="BC47" s="38">
        <v>5.7859999999999996</v>
      </c>
      <c r="BD47" s="35" t="s">
        <v>124</v>
      </c>
      <c r="BE47" s="35" t="s">
        <v>160</v>
      </c>
      <c r="BF47" s="35">
        <v>0</v>
      </c>
      <c r="BG47" s="38">
        <v>0</v>
      </c>
      <c r="BH47" s="35" t="s">
        <v>1319</v>
      </c>
    </row>
    <row r="48" spans="1:60" x14ac:dyDescent="0.3">
      <c r="A48" s="6" t="str">
        <f t="shared" si="0"/>
        <v>000146</v>
      </c>
      <c r="B48" s="35" t="s">
        <v>43</v>
      </c>
      <c r="C48" s="35" t="s">
        <v>42</v>
      </c>
      <c r="D48" s="35" t="s">
        <v>1526</v>
      </c>
      <c r="E48" s="35" t="s">
        <v>1163</v>
      </c>
      <c r="F48" s="35" t="s">
        <v>1685</v>
      </c>
      <c r="G48" s="35" t="s">
        <v>1163</v>
      </c>
      <c r="H48" s="35" t="s">
        <v>1685</v>
      </c>
      <c r="I48" s="35" t="s">
        <v>1686</v>
      </c>
      <c r="J48" s="35" t="s">
        <v>47</v>
      </c>
      <c r="K48" s="35" t="s">
        <v>1600</v>
      </c>
      <c r="L48" s="35" t="s">
        <v>205</v>
      </c>
      <c r="M48" s="126">
        <v>5</v>
      </c>
      <c r="N48" s="123">
        <v>45945</v>
      </c>
      <c r="O48" s="123">
        <v>46057</v>
      </c>
      <c r="P48" s="38">
        <v>54453</v>
      </c>
      <c r="Q48" s="38">
        <v>62000</v>
      </c>
      <c r="R48" s="126">
        <v>0</v>
      </c>
      <c r="S48" s="126">
        <v>16</v>
      </c>
      <c r="T48" s="35" t="s">
        <v>95</v>
      </c>
      <c r="U48" s="38">
        <v>4712.04</v>
      </c>
      <c r="V48" s="38">
        <v>0</v>
      </c>
      <c r="W48" s="38">
        <v>0</v>
      </c>
      <c r="X48" s="38">
        <v>2</v>
      </c>
      <c r="Y48" s="38">
        <v>0</v>
      </c>
      <c r="Z48" s="38">
        <v>54250</v>
      </c>
      <c r="AA48" s="38">
        <v>0</v>
      </c>
      <c r="AB48" s="38">
        <v>0</v>
      </c>
      <c r="AC48" s="38">
        <v>0</v>
      </c>
      <c r="AD48" s="38">
        <v>0</v>
      </c>
      <c r="AE48" s="38">
        <v>4712</v>
      </c>
      <c r="AF48" s="123">
        <v>45958</v>
      </c>
      <c r="AG48" s="35" t="s">
        <v>96</v>
      </c>
      <c r="AH48" s="35"/>
      <c r="AI48" s="35"/>
      <c r="AJ48" s="35"/>
      <c r="AK48" s="35"/>
      <c r="AL48" s="35"/>
      <c r="AM48" s="35"/>
      <c r="AN48" s="35"/>
      <c r="AO48" s="35"/>
      <c r="AQ48" s="35"/>
      <c r="AR48" s="38">
        <v>65963.66</v>
      </c>
      <c r="AS48" s="38">
        <v>4.91733333333333</v>
      </c>
      <c r="AT48" s="35">
        <v>0</v>
      </c>
      <c r="AU48" s="35">
        <v>0</v>
      </c>
      <c r="AV48" s="35" t="s">
        <v>47</v>
      </c>
      <c r="AW48" s="35" t="s">
        <v>52</v>
      </c>
      <c r="AX48" s="35"/>
      <c r="AY48" s="35" t="s">
        <v>98</v>
      </c>
      <c r="AZ48" s="35" t="s">
        <v>99</v>
      </c>
      <c r="BA48" s="35" t="s">
        <v>42</v>
      </c>
      <c r="BB48" s="38"/>
      <c r="BC48" s="38">
        <v>5.7859999999999996</v>
      </c>
      <c r="BD48" s="35" t="s">
        <v>124</v>
      </c>
      <c r="BE48" s="35" t="s">
        <v>185</v>
      </c>
      <c r="BF48" s="35">
        <v>0</v>
      </c>
      <c r="BG48" s="38">
        <v>0</v>
      </c>
      <c r="BH48" s="35" t="s">
        <v>1319</v>
      </c>
    </row>
    <row r="49" spans="1:60" x14ac:dyDescent="0.3">
      <c r="A49" s="6" t="str">
        <f t="shared" si="0"/>
        <v>000066</v>
      </c>
      <c r="B49" s="35" t="s">
        <v>43</v>
      </c>
      <c r="C49" s="35" t="s">
        <v>396</v>
      </c>
      <c r="D49" s="35" t="s">
        <v>206</v>
      </c>
      <c r="E49" s="35" t="s">
        <v>143</v>
      </c>
      <c r="F49" s="35" t="s">
        <v>144</v>
      </c>
      <c r="G49" s="35" t="s">
        <v>143</v>
      </c>
      <c r="H49" s="35" t="s">
        <v>144</v>
      </c>
      <c r="I49" s="35" t="s">
        <v>164</v>
      </c>
      <c r="J49" s="35" t="s">
        <v>47</v>
      </c>
      <c r="K49" s="35" t="s">
        <v>828</v>
      </c>
      <c r="L49" s="35" t="s">
        <v>205</v>
      </c>
      <c r="M49" s="126">
        <v>6</v>
      </c>
      <c r="N49" s="123">
        <v>45909</v>
      </c>
      <c r="O49" s="123">
        <v>46021</v>
      </c>
      <c r="P49" s="38">
        <v>130183</v>
      </c>
      <c r="Q49" s="38">
        <v>147000</v>
      </c>
      <c r="R49" s="126">
        <v>0</v>
      </c>
      <c r="S49" s="126">
        <v>16</v>
      </c>
      <c r="T49" s="35" t="s">
        <v>95</v>
      </c>
      <c r="U49" s="38">
        <v>11172.1</v>
      </c>
      <c r="V49" s="38">
        <v>0</v>
      </c>
      <c r="W49" s="38">
        <v>0</v>
      </c>
      <c r="X49" s="38">
        <v>7</v>
      </c>
      <c r="Y49" s="38">
        <v>0</v>
      </c>
      <c r="Z49" s="38">
        <v>82687.5</v>
      </c>
      <c r="AA49" s="38">
        <v>0</v>
      </c>
      <c r="AB49" s="38">
        <v>0</v>
      </c>
      <c r="AC49" s="38">
        <v>0</v>
      </c>
      <c r="AD49" s="38">
        <v>0</v>
      </c>
      <c r="AE49" s="38">
        <v>11178</v>
      </c>
      <c r="AF49" s="123">
        <v>45957</v>
      </c>
      <c r="AG49" s="35" t="s">
        <v>96</v>
      </c>
      <c r="AH49" s="35"/>
      <c r="AI49" s="35"/>
      <c r="AJ49" s="35"/>
      <c r="AK49" s="35"/>
      <c r="AL49" s="35"/>
      <c r="AM49" s="35"/>
      <c r="AN49" s="35"/>
      <c r="AO49" s="35"/>
      <c r="AQ49" s="35"/>
      <c r="AR49" s="38">
        <v>100517.57</v>
      </c>
      <c r="AS49" s="38">
        <v>31.314</v>
      </c>
      <c r="AT49" s="35">
        <v>0</v>
      </c>
      <c r="AU49" s="35">
        <v>0</v>
      </c>
      <c r="AV49" s="35" t="s">
        <v>47</v>
      </c>
      <c r="AW49" s="35" t="s">
        <v>52</v>
      </c>
      <c r="AX49" s="35" t="s">
        <v>885</v>
      </c>
      <c r="AY49" s="35" t="s">
        <v>98</v>
      </c>
      <c r="AZ49" s="35" t="s">
        <v>99</v>
      </c>
      <c r="BA49" s="35" t="s">
        <v>42</v>
      </c>
      <c r="BB49" s="38"/>
      <c r="BC49" s="38">
        <v>5.7859999999999996</v>
      </c>
      <c r="BD49" s="35" t="s">
        <v>146</v>
      </c>
      <c r="BE49" s="35" t="s">
        <v>886</v>
      </c>
      <c r="BF49" s="35">
        <v>0</v>
      </c>
      <c r="BG49" s="38">
        <v>0</v>
      </c>
      <c r="BH49" s="35" t="s">
        <v>1319</v>
      </c>
    </row>
    <row r="50" spans="1:60" x14ac:dyDescent="0.3">
      <c r="A50" s="6" t="str">
        <f t="shared" si="0"/>
        <v>000101</v>
      </c>
      <c r="B50" s="35" t="s">
        <v>49</v>
      </c>
      <c r="C50" s="35" t="s">
        <v>388</v>
      </c>
      <c r="D50" s="35" t="s">
        <v>207</v>
      </c>
      <c r="E50" s="35" t="s">
        <v>188</v>
      </c>
      <c r="F50" s="35" t="s">
        <v>190</v>
      </c>
      <c r="G50" s="35" t="s">
        <v>188</v>
      </c>
      <c r="H50" s="35" t="s">
        <v>190</v>
      </c>
      <c r="I50" s="35" t="s">
        <v>1174</v>
      </c>
      <c r="J50" s="35" t="s">
        <v>47</v>
      </c>
      <c r="K50" s="35" t="s">
        <v>1126</v>
      </c>
      <c r="L50" s="35" t="s">
        <v>205</v>
      </c>
      <c r="M50" s="126">
        <v>6</v>
      </c>
      <c r="N50" s="123">
        <v>45923</v>
      </c>
      <c r="O50" s="123">
        <v>46035</v>
      </c>
      <c r="P50" s="38">
        <v>79322</v>
      </c>
      <c r="Q50" s="38">
        <v>90000</v>
      </c>
      <c r="R50" s="126">
        <v>0</v>
      </c>
      <c r="S50" s="126">
        <v>16</v>
      </c>
      <c r="T50" s="35" t="s">
        <v>95</v>
      </c>
      <c r="U50" s="38">
        <v>6840.06</v>
      </c>
      <c r="V50" s="38">
        <v>0</v>
      </c>
      <c r="W50" s="38">
        <v>0</v>
      </c>
      <c r="X50" s="38">
        <v>5</v>
      </c>
      <c r="Y50" s="38">
        <v>0</v>
      </c>
      <c r="Z50" s="38">
        <v>61875.29</v>
      </c>
      <c r="AA50" s="38">
        <v>0.3</v>
      </c>
      <c r="AB50" s="38">
        <v>0</v>
      </c>
      <c r="AC50" s="38">
        <v>0</v>
      </c>
      <c r="AD50" s="38">
        <v>0</v>
      </c>
      <c r="AE50" s="38">
        <v>6840</v>
      </c>
      <c r="AF50" s="123">
        <v>45957</v>
      </c>
      <c r="AG50" s="35" t="s">
        <v>96</v>
      </c>
      <c r="AH50" s="35"/>
      <c r="AI50" s="35"/>
      <c r="AJ50" s="35"/>
      <c r="AK50" s="35"/>
      <c r="AL50" s="35"/>
      <c r="AM50" s="35"/>
      <c r="AN50" s="35"/>
      <c r="AO50" s="35"/>
      <c r="AQ50" s="35"/>
      <c r="AR50" s="38">
        <v>75240.960000000006</v>
      </c>
      <c r="AS50" s="38">
        <v>0</v>
      </c>
      <c r="AT50" s="35">
        <v>0</v>
      </c>
      <c r="AU50" s="35">
        <v>0</v>
      </c>
      <c r="AV50" s="35" t="s">
        <v>47</v>
      </c>
      <c r="AW50" s="35" t="s">
        <v>52</v>
      </c>
      <c r="AX50" s="35" t="s">
        <v>1175</v>
      </c>
      <c r="AY50" s="35" t="s">
        <v>98</v>
      </c>
      <c r="AZ50" s="35" t="s">
        <v>99</v>
      </c>
      <c r="BA50" s="35" t="s">
        <v>42</v>
      </c>
      <c r="BB50" s="38"/>
      <c r="BC50" s="38">
        <v>5.7859999999999996</v>
      </c>
      <c r="BD50" s="35" t="s">
        <v>146</v>
      </c>
      <c r="BE50" s="35" t="s">
        <v>1173</v>
      </c>
      <c r="BF50" s="35">
        <v>0</v>
      </c>
      <c r="BG50" s="38">
        <v>0</v>
      </c>
      <c r="BH50" s="35" t="s">
        <v>1319</v>
      </c>
    </row>
    <row r="51" spans="1:60" x14ac:dyDescent="0.3">
      <c r="A51" s="6" t="str">
        <f t="shared" si="0"/>
        <v>000029</v>
      </c>
      <c r="B51" s="35" t="s">
        <v>43</v>
      </c>
      <c r="C51" s="35" t="s">
        <v>396</v>
      </c>
      <c r="D51" s="35" t="s">
        <v>206</v>
      </c>
      <c r="E51" s="35" t="s">
        <v>154</v>
      </c>
      <c r="F51" s="35" t="s">
        <v>155</v>
      </c>
      <c r="G51" s="35" t="s">
        <v>154</v>
      </c>
      <c r="H51" s="35" t="s">
        <v>155</v>
      </c>
      <c r="I51" s="35" t="s">
        <v>566</v>
      </c>
      <c r="J51" s="35" t="s">
        <v>47</v>
      </c>
      <c r="K51" s="35" t="s">
        <v>428</v>
      </c>
      <c r="L51" s="35" t="s">
        <v>205</v>
      </c>
      <c r="M51" s="126">
        <v>8</v>
      </c>
      <c r="N51" s="123">
        <v>45895</v>
      </c>
      <c r="O51" s="123">
        <v>46007</v>
      </c>
      <c r="P51" s="38">
        <v>132556</v>
      </c>
      <c r="Q51" s="38">
        <v>150000</v>
      </c>
      <c r="R51" s="126">
        <v>0</v>
      </c>
      <c r="S51" s="126">
        <v>16</v>
      </c>
      <c r="T51" s="35" t="s">
        <v>95</v>
      </c>
      <c r="U51" s="38">
        <v>11400.1</v>
      </c>
      <c r="V51" s="38">
        <v>0</v>
      </c>
      <c r="W51" s="38">
        <v>0</v>
      </c>
      <c r="X51" s="38">
        <v>9</v>
      </c>
      <c r="Y51" s="38">
        <v>0</v>
      </c>
      <c r="Z51" s="38">
        <v>65625</v>
      </c>
      <c r="AA51" s="38">
        <v>0</v>
      </c>
      <c r="AB51" s="38">
        <v>0</v>
      </c>
      <c r="AC51" s="38">
        <v>0</v>
      </c>
      <c r="AD51" s="38">
        <v>0</v>
      </c>
      <c r="AE51" s="38">
        <v>11408</v>
      </c>
      <c r="AF51" s="123">
        <v>45957</v>
      </c>
      <c r="AG51" s="35" t="s">
        <v>96</v>
      </c>
      <c r="AH51" s="35"/>
      <c r="AI51" s="35"/>
      <c r="AJ51" s="35"/>
      <c r="AK51" s="35"/>
      <c r="AL51" s="35"/>
      <c r="AM51" s="35"/>
      <c r="AN51" s="35"/>
      <c r="AO51" s="35"/>
      <c r="AQ51" s="35"/>
      <c r="AR51" s="38">
        <v>79729.600000000006</v>
      </c>
      <c r="AS51" s="38">
        <v>71.100000000000009</v>
      </c>
      <c r="AT51" s="35">
        <v>0</v>
      </c>
      <c r="AU51" s="35">
        <v>0</v>
      </c>
      <c r="AV51" s="35" t="s">
        <v>47</v>
      </c>
      <c r="AW51" s="35" t="s">
        <v>52</v>
      </c>
      <c r="AX51" s="35" t="s">
        <v>567</v>
      </c>
      <c r="AY51" s="35" t="s">
        <v>98</v>
      </c>
      <c r="AZ51" s="35" t="s">
        <v>99</v>
      </c>
      <c r="BA51" s="35" t="s">
        <v>42</v>
      </c>
      <c r="BB51" s="38"/>
      <c r="BC51" s="38">
        <v>5.7859999999999996</v>
      </c>
      <c r="BD51" s="35" t="s">
        <v>146</v>
      </c>
      <c r="BE51" s="35" t="s">
        <v>198</v>
      </c>
      <c r="BF51" s="35">
        <v>0</v>
      </c>
      <c r="BG51" s="38">
        <v>0</v>
      </c>
      <c r="BH51" s="35" t="s">
        <v>1319</v>
      </c>
    </row>
    <row r="52" spans="1:60" x14ac:dyDescent="0.3">
      <c r="A52" s="6" t="str">
        <f t="shared" si="0"/>
        <v>000204</v>
      </c>
      <c r="B52" s="35" t="s">
        <v>43</v>
      </c>
      <c r="C52" s="35" t="s">
        <v>396</v>
      </c>
      <c r="D52" s="35" t="s">
        <v>206</v>
      </c>
      <c r="E52" s="35" t="s">
        <v>143</v>
      </c>
      <c r="F52" s="35" t="s">
        <v>144</v>
      </c>
      <c r="G52" s="35" t="s">
        <v>143</v>
      </c>
      <c r="H52" s="35" t="s">
        <v>144</v>
      </c>
      <c r="I52" s="35" t="s">
        <v>2137</v>
      </c>
      <c r="J52" s="35" t="s">
        <v>47</v>
      </c>
      <c r="K52" s="35" t="s">
        <v>2138</v>
      </c>
      <c r="L52" s="35" t="s">
        <v>205</v>
      </c>
      <c r="M52" s="126">
        <v>8</v>
      </c>
      <c r="N52" s="123">
        <v>45961</v>
      </c>
      <c r="O52" s="123">
        <v>46073</v>
      </c>
      <c r="P52" s="38">
        <v>177271</v>
      </c>
      <c r="Q52" s="38">
        <v>200000</v>
      </c>
      <c r="R52" s="126">
        <v>0</v>
      </c>
      <c r="S52" s="126">
        <v>16</v>
      </c>
      <c r="T52" s="35" t="s">
        <v>95</v>
      </c>
      <c r="U52" s="38">
        <v>15200.130000000001</v>
      </c>
      <c r="V52" s="38">
        <v>0</v>
      </c>
      <c r="W52" s="38">
        <v>0</v>
      </c>
      <c r="X52" s="38">
        <v>0</v>
      </c>
      <c r="Y52" s="38">
        <v>0</v>
      </c>
      <c r="Z52" s="38">
        <v>200000</v>
      </c>
      <c r="AA52" s="38">
        <v>0</v>
      </c>
      <c r="AB52" s="38">
        <v>0</v>
      </c>
      <c r="AC52" s="38">
        <v>0</v>
      </c>
      <c r="AD52" s="38">
        <v>0</v>
      </c>
      <c r="AE52" s="38"/>
      <c r="AF52" s="123"/>
      <c r="AG52" s="35" t="s">
        <v>96</v>
      </c>
      <c r="AH52" s="35"/>
      <c r="AI52" s="35"/>
      <c r="AJ52" s="35"/>
      <c r="AK52" s="35"/>
      <c r="AL52" s="35"/>
      <c r="AM52" s="35"/>
      <c r="AN52" s="35"/>
      <c r="AO52" s="35"/>
      <c r="AQ52" s="35"/>
      <c r="AR52" s="38">
        <v>243202.13</v>
      </c>
      <c r="AS52" s="38">
        <v>0</v>
      </c>
      <c r="AT52" s="35">
        <v>0</v>
      </c>
      <c r="AU52" s="35">
        <v>0</v>
      </c>
      <c r="AV52" s="35" t="s">
        <v>47</v>
      </c>
      <c r="AW52" s="35" t="s">
        <v>52</v>
      </c>
      <c r="AX52" s="35" t="s">
        <v>2148</v>
      </c>
      <c r="AY52" s="35" t="s">
        <v>98</v>
      </c>
      <c r="AZ52" s="35" t="s">
        <v>99</v>
      </c>
      <c r="BA52" s="35" t="s">
        <v>42</v>
      </c>
      <c r="BB52" s="38"/>
      <c r="BC52" s="38">
        <v>5.7859999999999996</v>
      </c>
      <c r="BD52" s="35" t="s">
        <v>168</v>
      </c>
      <c r="BE52" s="35" t="s">
        <v>125</v>
      </c>
      <c r="BF52" s="35">
        <v>0</v>
      </c>
      <c r="BG52" s="38"/>
      <c r="BH52" s="35" t="s">
        <v>1320</v>
      </c>
    </row>
    <row r="53" spans="1:60" x14ac:dyDescent="0.3">
      <c r="A53" s="6" t="str">
        <f t="shared" si="0"/>
        <v>000184</v>
      </c>
      <c r="B53" s="35" t="s">
        <v>43</v>
      </c>
      <c r="C53" s="35" t="s">
        <v>396</v>
      </c>
      <c r="D53" s="35" t="s">
        <v>206</v>
      </c>
      <c r="E53" s="35" t="s">
        <v>154</v>
      </c>
      <c r="F53" s="35" t="s">
        <v>155</v>
      </c>
      <c r="G53" s="35" t="s">
        <v>154</v>
      </c>
      <c r="H53" s="35" t="s">
        <v>155</v>
      </c>
      <c r="I53" s="35" t="s">
        <v>1922</v>
      </c>
      <c r="J53" s="35" t="s">
        <v>47</v>
      </c>
      <c r="K53" s="35" t="s">
        <v>1923</v>
      </c>
      <c r="L53" s="35" t="s">
        <v>205</v>
      </c>
      <c r="M53" s="126">
        <v>7</v>
      </c>
      <c r="N53" s="123">
        <v>45954</v>
      </c>
      <c r="O53" s="123">
        <v>46066</v>
      </c>
      <c r="P53" s="38">
        <v>153433</v>
      </c>
      <c r="Q53" s="38">
        <v>173000</v>
      </c>
      <c r="R53" s="126">
        <v>0</v>
      </c>
      <c r="S53" s="126">
        <v>16</v>
      </c>
      <c r="T53" s="35" t="s">
        <v>95</v>
      </c>
      <c r="U53" s="38">
        <v>13148.12</v>
      </c>
      <c r="V53" s="38">
        <v>0</v>
      </c>
      <c r="W53" s="38">
        <v>0</v>
      </c>
      <c r="X53" s="38">
        <v>1</v>
      </c>
      <c r="Y53" s="38">
        <v>0</v>
      </c>
      <c r="Z53" s="38">
        <v>162187.5</v>
      </c>
      <c r="AA53" s="38">
        <v>0</v>
      </c>
      <c r="AB53" s="38">
        <v>0</v>
      </c>
      <c r="AC53" s="38">
        <v>0</v>
      </c>
      <c r="AD53" s="38">
        <v>0</v>
      </c>
      <c r="AE53" s="38">
        <v>13150</v>
      </c>
      <c r="AF53" s="123">
        <v>45960</v>
      </c>
      <c r="AG53" s="35" t="s">
        <v>96</v>
      </c>
      <c r="AH53" s="35"/>
      <c r="AI53" s="35"/>
      <c r="AJ53" s="35"/>
      <c r="AK53" s="35"/>
      <c r="AL53" s="35"/>
      <c r="AM53" s="35"/>
      <c r="AN53" s="35"/>
      <c r="AO53" s="35"/>
      <c r="AQ53" s="35"/>
      <c r="AR53" s="38">
        <v>197219.85</v>
      </c>
      <c r="AS53" s="38">
        <v>1.88466666666667</v>
      </c>
      <c r="AT53" s="35">
        <v>0</v>
      </c>
      <c r="AU53" s="35">
        <v>0</v>
      </c>
      <c r="AV53" s="35" t="s">
        <v>47</v>
      </c>
      <c r="AW53" s="35" t="s">
        <v>52</v>
      </c>
      <c r="AX53" s="35" t="s">
        <v>1924</v>
      </c>
      <c r="AY53" s="35" t="s">
        <v>98</v>
      </c>
      <c r="AZ53" s="35" t="s">
        <v>99</v>
      </c>
      <c r="BA53" s="35" t="s">
        <v>42</v>
      </c>
      <c r="BB53" s="38"/>
      <c r="BC53" s="38">
        <v>5.7859999999999996</v>
      </c>
      <c r="BD53" s="35" t="s">
        <v>168</v>
      </c>
      <c r="BE53" s="35" t="s">
        <v>147</v>
      </c>
      <c r="BF53" s="35">
        <v>0</v>
      </c>
      <c r="BG53" s="38">
        <v>0</v>
      </c>
      <c r="BH53" s="35" t="s">
        <v>1319</v>
      </c>
    </row>
    <row r="54" spans="1:60" x14ac:dyDescent="0.3">
      <c r="A54" s="6" t="str">
        <f t="shared" si="0"/>
        <v>000058</v>
      </c>
      <c r="B54" s="35" t="s">
        <v>43</v>
      </c>
      <c r="C54" s="35" t="s">
        <v>424</v>
      </c>
      <c r="D54" s="35" t="s">
        <v>204</v>
      </c>
      <c r="E54" s="35" t="s">
        <v>39</v>
      </c>
      <c r="F54" s="35" t="s">
        <v>40</v>
      </c>
      <c r="G54" s="35" t="s">
        <v>39</v>
      </c>
      <c r="H54" s="35" t="s">
        <v>40</v>
      </c>
      <c r="I54" s="35" t="s">
        <v>817</v>
      </c>
      <c r="J54" s="35" t="s">
        <v>47</v>
      </c>
      <c r="K54" s="35" t="s">
        <v>803</v>
      </c>
      <c r="L54" s="35" t="s">
        <v>205</v>
      </c>
      <c r="M54" s="126">
        <v>7</v>
      </c>
      <c r="N54" s="123">
        <v>45904</v>
      </c>
      <c r="O54" s="123">
        <v>46016</v>
      </c>
      <c r="P54" s="38">
        <v>96964</v>
      </c>
      <c r="Q54" s="38">
        <v>110000</v>
      </c>
      <c r="R54" s="126">
        <v>0</v>
      </c>
      <c r="S54" s="126">
        <v>16</v>
      </c>
      <c r="T54" s="35" t="s">
        <v>95</v>
      </c>
      <c r="U54" s="38">
        <v>8360.07</v>
      </c>
      <c r="V54" s="38">
        <v>0</v>
      </c>
      <c r="W54" s="38">
        <v>0</v>
      </c>
      <c r="X54" s="38">
        <v>8</v>
      </c>
      <c r="Y54" s="38">
        <v>0</v>
      </c>
      <c r="Z54" s="38">
        <v>55000.020000000004</v>
      </c>
      <c r="AA54" s="38">
        <v>2.6666666666667001E-2</v>
      </c>
      <c r="AB54" s="38">
        <v>0</v>
      </c>
      <c r="AC54" s="38">
        <v>0</v>
      </c>
      <c r="AD54" s="38">
        <v>0</v>
      </c>
      <c r="AE54" s="38">
        <v>8360.07</v>
      </c>
      <c r="AF54" s="123">
        <v>45959</v>
      </c>
      <c r="AG54" s="35" t="s">
        <v>96</v>
      </c>
      <c r="AH54" s="35"/>
      <c r="AI54" s="35"/>
      <c r="AJ54" s="35"/>
      <c r="AK54" s="35"/>
      <c r="AL54" s="35"/>
      <c r="AM54" s="35"/>
      <c r="AN54" s="35"/>
      <c r="AO54" s="35"/>
      <c r="AQ54" s="35"/>
      <c r="AR54" s="38">
        <v>66880.61</v>
      </c>
      <c r="AS54" s="38">
        <v>0</v>
      </c>
      <c r="AT54" s="35">
        <v>0</v>
      </c>
      <c r="AU54" s="35">
        <v>0</v>
      </c>
      <c r="AV54" s="35" t="s">
        <v>47</v>
      </c>
      <c r="AW54" s="35" t="s">
        <v>52</v>
      </c>
      <c r="AX54" s="35" t="s">
        <v>818</v>
      </c>
      <c r="AY54" s="35" t="s">
        <v>98</v>
      </c>
      <c r="AZ54" s="35" t="s">
        <v>99</v>
      </c>
      <c r="BA54" s="35" t="s">
        <v>42</v>
      </c>
      <c r="BB54" s="38"/>
      <c r="BC54" s="38">
        <v>5.7859999999999996</v>
      </c>
      <c r="BD54" s="35" t="s">
        <v>197</v>
      </c>
      <c r="BE54" s="35" t="s">
        <v>127</v>
      </c>
      <c r="BF54" s="35">
        <v>0</v>
      </c>
      <c r="BG54" s="38">
        <v>0</v>
      </c>
      <c r="BH54" s="35" t="s">
        <v>1319</v>
      </c>
    </row>
    <row r="55" spans="1:60" x14ac:dyDescent="0.3">
      <c r="A55" s="6" t="str">
        <f t="shared" si="0"/>
        <v>000071</v>
      </c>
      <c r="B55" s="35" t="s">
        <v>49</v>
      </c>
      <c r="C55" s="35" t="s">
        <v>388</v>
      </c>
      <c r="D55" s="35" t="s">
        <v>207</v>
      </c>
      <c r="E55" s="35" t="s">
        <v>188</v>
      </c>
      <c r="F55" s="35" t="s">
        <v>190</v>
      </c>
      <c r="G55" s="35" t="s">
        <v>188</v>
      </c>
      <c r="H55" s="35" t="s">
        <v>190</v>
      </c>
      <c r="I55" s="35" t="s">
        <v>929</v>
      </c>
      <c r="J55" s="35" t="s">
        <v>47</v>
      </c>
      <c r="K55" s="35" t="s">
        <v>930</v>
      </c>
      <c r="L55" s="35" t="s">
        <v>205</v>
      </c>
      <c r="M55" s="126">
        <v>6</v>
      </c>
      <c r="N55" s="123">
        <v>45911</v>
      </c>
      <c r="O55" s="123">
        <v>46023</v>
      </c>
      <c r="P55" s="38">
        <v>89068</v>
      </c>
      <c r="Q55" s="38">
        <v>101000</v>
      </c>
      <c r="R55" s="126">
        <v>0</v>
      </c>
      <c r="S55" s="126">
        <v>16</v>
      </c>
      <c r="T55" s="35" t="s">
        <v>95</v>
      </c>
      <c r="U55" s="38">
        <v>7676.07</v>
      </c>
      <c r="V55" s="38">
        <v>0</v>
      </c>
      <c r="W55" s="38">
        <v>0</v>
      </c>
      <c r="X55" s="38">
        <v>7</v>
      </c>
      <c r="Y55" s="38">
        <v>0</v>
      </c>
      <c r="Z55" s="38">
        <v>56812.5</v>
      </c>
      <c r="AA55" s="38">
        <v>0</v>
      </c>
      <c r="AB55" s="38">
        <v>0</v>
      </c>
      <c r="AC55" s="38">
        <v>0</v>
      </c>
      <c r="AD55" s="38">
        <v>0</v>
      </c>
      <c r="AE55" s="38">
        <v>7767</v>
      </c>
      <c r="AF55" s="123">
        <v>45959</v>
      </c>
      <c r="AG55" s="35" t="s">
        <v>96</v>
      </c>
      <c r="AH55" s="35"/>
      <c r="AI55" s="35"/>
      <c r="AJ55" s="35"/>
      <c r="AK55" s="35"/>
      <c r="AL55" s="35"/>
      <c r="AM55" s="35"/>
      <c r="AN55" s="35"/>
      <c r="AO55" s="35"/>
      <c r="AQ55" s="35"/>
      <c r="AR55" s="38">
        <v>68994.080000000002</v>
      </c>
      <c r="AS55" s="38">
        <v>90.528666666666666</v>
      </c>
      <c r="AT55" s="35">
        <v>0</v>
      </c>
      <c r="AU55" s="35">
        <v>0</v>
      </c>
      <c r="AV55" s="35" t="s">
        <v>47</v>
      </c>
      <c r="AW55" s="35" t="s">
        <v>52</v>
      </c>
      <c r="AX55" s="35" t="s">
        <v>931</v>
      </c>
      <c r="AY55" s="35" t="s">
        <v>98</v>
      </c>
      <c r="AZ55" s="35" t="s">
        <v>99</v>
      </c>
      <c r="BA55" s="35" t="s">
        <v>42</v>
      </c>
      <c r="BB55" s="38"/>
      <c r="BC55" s="38">
        <v>5.7859999999999996</v>
      </c>
      <c r="BD55" s="35" t="s">
        <v>197</v>
      </c>
      <c r="BE55" s="35" t="s">
        <v>198</v>
      </c>
      <c r="BF55" s="35">
        <v>0</v>
      </c>
      <c r="BG55" s="38">
        <v>0</v>
      </c>
      <c r="BH55" s="35" t="s">
        <v>1319</v>
      </c>
    </row>
    <row r="56" spans="1:60" x14ac:dyDescent="0.3">
      <c r="A56" s="6" t="str">
        <f t="shared" si="0"/>
        <v>000076</v>
      </c>
      <c r="B56" s="35" t="s">
        <v>43</v>
      </c>
      <c r="C56" s="35" t="s">
        <v>396</v>
      </c>
      <c r="D56" s="35" t="s">
        <v>206</v>
      </c>
      <c r="E56" s="35" t="s">
        <v>143</v>
      </c>
      <c r="F56" s="35" t="s">
        <v>144</v>
      </c>
      <c r="G56" s="35" t="s">
        <v>143</v>
      </c>
      <c r="H56" s="35" t="s">
        <v>144</v>
      </c>
      <c r="I56" s="35" t="s">
        <v>973</v>
      </c>
      <c r="J56" s="35" t="s">
        <v>47</v>
      </c>
      <c r="K56" s="35" t="s">
        <v>881</v>
      </c>
      <c r="L56" s="35" t="s">
        <v>205</v>
      </c>
      <c r="M56" s="126">
        <v>5</v>
      </c>
      <c r="N56" s="123">
        <v>45911</v>
      </c>
      <c r="O56" s="123">
        <v>46023</v>
      </c>
      <c r="P56" s="38">
        <v>53553</v>
      </c>
      <c r="Q56" s="38">
        <v>61000</v>
      </c>
      <c r="R56" s="126">
        <v>0</v>
      </c>
      <c r="S56" s="126">
        <v>16</v>
      </c>
      <c r="T56" s="35" t="s">
        <v>95</v>
      </c>
      <c r="U56" s="38">
        <v>4636.04</v>
      </c>
      <c r="V56" s="38">
        <v>0</v>
      </c>
      <c r="W56" s="38">
        <v>0</v>
      </c>
      <c r="X56" s="38">
        <v>7</v>
      </c>
      <c r="Y56" s="38">
        <v>0</v>
      </c>
      <c r="Z56" s="38">
        <v>34312.5</v>
      </c>
      <c r="AA56" s="38">
        <v>0</v>
      </c>
      <c r="AB56" s="38">
        <v>0</v>
      </c>
      <c r="AC56" s="38">
        <v>0</v>
      </c>
      <c r="AD56" s="38">
        <v>0</v>
      </c>
      <c r="AE56" s="38">
        <v>4637</v>
      </c>
      <c r="AF56" s="123">
        <v>45959</v>
      </c>
      <c r="AG56" s="35" t="s">
        <v>96</v>
      </c>
      <c r="AH56" s="35"/>
      <c r="AI56" s="35"/>
      <c r="AJ56" s="35"/>
      <c r="AK56" s="35"/>
      <c r="AL56" s="35"/>
      <c r="AM56" s="35"/>
      <c r="AN56" s="35"/>
      <c r="AO56" s="35"/>
      <c r="AQ56" s="35"/>
      <c r="AR56" s="38">
        <v>41719.65</v>
      </c>
      <c r="AS56" s="38">
        <v>4.71533333333333</v>
      </c>
      <c r="AT56" s="35">
        <v>0</v>
      </c>
      <c r="AU56" s="35">
        <v>0</v>
      </c>
      <c r="AV56" s="35" t="s">
        <v>47</v>
      </c>
      <c r="AW56" s="35" t="s">
        <v>52</v>
      </c>
      <c r="AX56" s="35" t="s">
        <v>974</v>
      </c>
      <c r="AY56" s="35" t="s">
        <v>98</v>
      </c>
      <c r="AZ56" s="35" t="s">
        <v>99</v>
      </c>
      <c r="BA56" s="35" t="s">
        <v>42</v>
      </c>
      <c r="BB56" s="38"/>
      <c r="BC56" s="38">
        <v>5.7859999999999996</v>
      </c>
      <c r="BD56" s="35" t="s">
        <v>197</v>
      </c>
      <c r="BE56" s="35" t="s">
        <v>185</v>
      </c>
      <c r="BF56" s="35">
        <v>0</v>
      </c>
      <c r="BG56" s="38">
        <v>0</v>
      </c>
      <c r="BH56" s="35" t="s">
        <v>1319</v>
      </c>
    </row>
    <row r="57" spans="1:60" x14ac:dyDescent="0.3">
      <c r="A57" s="6" t="str">
        <f t="shared" si="0"/>
        <v>000078</v>
      </c>
      <c r="B57" s="35" t="s">
        <v>43</v>
      </c>
      <c r="C57" s="35" t="s">
        <v>396</v>
      </c>
      <c r="D57" s="35" t="s">
        <v>206</v>
      </c>
      <c r="E57" s="35" t="s">
        <v>501</v>
      </c>
      <c r="F57" s="35" t="s">
        <v>502</v>
      </c>
      <c r="G57" s="35" t="s">
        <v>501</v>
      </c>
      <c r="H57" s="35" t="s">
        <v>502</v>
      </c>
      <c r="I57" s="35" t="s">
        <v>975</v>
      </c>
      <c r="J57" s="35" t="s">
        <v>47</v>
      </c>
      <c r="K57" s="35" t="s">
        <v>878</v>
      </c>
      <c r="L57" s="35" t="s">
        <v>205</v>
      </c>
      <c r="M57" s="126">
        <v>6</v>
      </c>
      <c r="N57" s="123">
        <v>45911</v>
      </c>
      <c r="O57" s="123">
        <v>46023</v>
      </c>
      <c r="P57" s="38">
        <v>66876</v>
      </c>
      <c r="Q57" s="38">
        <v>76000</v>
      </c>
      <c r="R57" s="126">
        <v>0</v>
      </c>
      <c r="S57" s="126">
        <v>16</v>
      </c>
      <c r="T57" s="35" t="s">
        <v>95</v>
      </c>
      <c r="U57" s="38">
        <v>5776.05</v>
      </c>
      <c r="V57" s="38">
        <v>0</v>
      </c>
      <c r="W57" s="38">
        <v>0</v>
      </c>
      <c r="X57" s="38">
        <v>7</v>
      </c>
      <c r="Y57" s="38">
        <v>0</v>
      </c>
      <c r="Z57" s="38">
        <v>42750</v>
      </c>
      <c r="AA57" s="38">
        <v>0</v>
      </c>
      <c r="AB57" s="38">
        <v>0</v>
      </c>
      <c r="AC57" s="38">
        <v>0</v>
      </c>
      <c r="AD57" s="38">
        <v>0</v>
      </c>
      <c r="AE57" s="38">
        <v>5782</v>
      </c>
      <c r="AF57" s="123">
        <v>45959</v>
      </c>
      <c r="AG57" s="35" t="s">
        <v>96</v>
      </c>
      <c r="AH57" s="35"/>
      <c r="AI57" s="35"/>
      <c r="AJ57" s="35"/>
      <c r="AK57" s="35"/>
      <c r="AL57" s="35"/>
      <c r="AM57" s="35"/>
      <c r="AN57" s="35"/>
      <c r="AO57" s="35"/>
      <c r="AQ57" s="35"/>
      <c r="AR57" s="38">
        <v>51943.81</v>
      </c>
      <c r="AS57" s="38">
        <v>40.645333333333333</v>
      </c>
      <c r="AT57" s="35">
        <v>0</v>
      </c>
      <c r="AU57" s="35">
        <v>0</v>
      </c>
      <c r="AV57" s="35" t="s">
        <v>47</v>
      </c>
      <c r="AW57" s="35" t="s">
        <v>52</v>
      </c>
      <c r="AX57" s="35" t="s">
        <v>976</v>
      </c>
      <c r="AY57" s="35" t="s">
        <v>98</v>
      </c>
      <c r="AZ57" s="35" t="s">
        <v>99</v>
      </c>
      <c r="BA57" s="35" t="s">
        <v>42</v>
      </c>
      <c r="BB57" s="38"/>
      <c r="BC57" s="38">
        <v>5.7859999999999996</v>
      </c>
      <c r="BD57" s="35" t="s">
        <v>197</v>
      </c>
      <c r="BE57" s="35" t="s">
        <v>160</v>
      </c>
      <c r="BF57" s="35">
        <v>0</v>
      </c>
      <c r="BG57" s="38">
        <v>0</v>
      </c>
      <c r="BH57" s="35" t="s">
        <v>1319</v>
      </c>
    </row>
    <row r="58" spans="1:60" x14ac:dyDescent="0.3">
      <c r="A58" s="6" t="str">
        <f t="shared" si="0"/>
        <v>000130</v>
      </c>
      <c r="B58" s="35" t="s">
        <v>49</v>
      </c>
      <c r="C58" s="35" t="s">
        <v>388</v>
      </c>
      <c r="D58" s="35" t="s">
        <v>207</v>
      </c>
      <c r="E58" s="35" t="s">
        <v>170</v>
      </c>
      <c r="F58" s="35" t="s">
        <v>171</v>
      </c>
      <c r="G58" s="35" t="s">
        <v>170</v>
      </c>
      <c r="H58" s="35" t="s">
        <v>171</v>
      </c>
      <c r="I58" s="35" t="s">
        <v>1468</v>
      </c>
      <c r="J58" s="35" t="s">
        <v>47</v>
      </c>
      <c r="K58" s="35" t="s">
        <v>1384</v>
      </c>
      <c r="L58" s="35" t="s">
        <v>205</v>
      </c>
      <c r="M58" s="126">
        <v>7</v>
      </c>
      <c r="N58" s="123">
        <v>45931</v>
      </c>
      <c r="O58" s="123">
        <v>46043</v>
      </c>
      <c r="P58" s="38">
        <v>51322</v>
      </c>
      <c r="Q58" s="38">
        <v>59000</v>
      </c>
      <c r="R58" s="126">
        <v>0</v>
      </c>
      <c r="S58" s="126">
        <v>16</v>
      </c>
      <c r="T58" s="35" t="s">
        <v>95</v>
      </c>
      <c r="U58" s="38">
        <v>4484.04</v>
      </c>
      <c r="V58" s="38">
        <v>0</v>
      </c>
      <c r="W58" s="38">
        <v>0</v>
      </c>
      <c r="X58" s="38">
        <v>4</v>
      </c>
      <c r="Y58" s="38">
        <v>0</v>
      </c>
      <c r="Z58" s="38">
        <v>44250.15</v>
      </c>
      <c r="AA58" s="38">
        <v>0.15733333333333299</v>
      </c>
      <c r="AB58" s="38">
        <v>0</v>
      </c>
      <c r="AC58" s="38">
        <v>0</v>
      </c>
      <c r="AD58" s="38">
        <v>0</v>
      </c>
      <c r="AE58" s="38">
        <v>4484</v>
      </c>
      <c r="AF58" s="123">
        <v>45958</v>
      </c>
      <c r="AG58" s="35" t="s">
        <v>96</v>
      </c>
      <c r="AH58" s="35"/>
      <c r="AI58" s="35"/>
      <c r="AJ58" s="35"/>
      <c r="AK58" s="35"/>
      <c r="AL58" s="35"/>
      <c r="AM58" s="35"/>
      <c r="AN58" s="35"/>
      <c r="AO58" s="35"/>
      <c r="AQ58" s="35"/>
      <c r="AR58" s="38">
        <v>53808.630000000005</v>
      </c>
      <c r="AS58" s="38">
        <v>0</v>
      </c>
      <c r="AT58" s="35">
        <v>0</v>
      </c>
      <c r="AU58" s="35">
        <v>0</v>
      </c>
      <c r="AV58" s="35" t="s">
        <v>47</v>
      </c>
      <c r="AW58" s="35" t="s">
        <v>52</v>
      </c>
      <c r="AX58" s="35" t="s">
        <v>1473</v>
      </c>
      <c r="AY58" s="35" t="s">
        <v>98</v>
      </c>
      <c r="AZ58" s="35" t="s">
        <v>99</v>
      </c>
      <c r="BA58" s="35" t="s">
        <v>42</v>
      </c>
      <c r="BB58" s="38"/>
      <c r="BC58" s="38">
        <v>5.7859999999999996</v>
      </c>
      <c r="BD58" s="35" t="s">
        <v>124</v>
      </c>
      <c r="BE58" s="35" t="s">
        <v>185</v>
      </c>
      <c r="BF58" s="35">
        <v>0</v>
      </c>
      <c r="BG58" s="38">
        <v>0</v>
      </c>
      <c r="BH58" s="35" t="s">
        <v>1319</v>
      </c>
    </row>
    <row r="59" spans="1:60" x14ac:dyDescent="0.3">
      <c r="A59" s="6" t="str">
        <f t="shared" si="0"/>
        <v>000048</v>
      </c>
      <c r="B59" s="35" t="s">
        <v>43</v>
      </c>
      <c r="C59" s="35" t="s">
        <v>396</v>
      </c>
      <c r="D59" s="35" t="s">
        <v>206</v>
      </c>
      <c r="E59" s="35" t="s">
        <v>164</v>
      </c>
      <c r="F59" s="35" t="s">
        <v>165</v>
      </c>
      <c r="G59" s="35" t="s">
        <v>164</v>
      </c>
      <c r="H59" s="35" t="s">
        <v>165</v>
      </c>
      <c r="I59" s="35" t="s">
        <v>675</v>
      </c>
      <c r="J59" s="35" t="s">
        <v>47</v>
      </c>
      <c r="K59" s="35" t="s">
        <v>676</v>
      </c>
      <c r="L59" s="35" t="s">
        <v>205</v>
      </c>
      <c r="M59" s="126">
        <v>7</v>
      </c>
      <c r="N59" s="123">
        <v>45898</v>
      </c>
      <c r="O59" s="123">
        <v>46010</v>
      </c>
      <c r="P59" s="38">
        <v>123914</v>
      </c>
      <c r="Q59" s="38">
        <v>140000</v>
      </c>
      <c r="R59" s="126">
        <v>14</v>
      </c>
      <c r="S59" s="126">
        <v>16</v>
      </c>
      <c r="T59" s="35" t="s">
        <v>95</v>
      </c>
      <c r="U59" s="38">
        <v>10640.09</v>
      </c>
      <c r="V59" s="38">
        <v>0</v>
      </c>
      <c r="W59" s="38">
        <v>0</v>
      </c>
      <c r="X59" s="38">
        <v>9</v>
      </c>
      <c r="Y59" s="38">
        <v>2.6</v>
      </c>
      <c r="Z59" s="38">
        <v>84622.650000000009</v>
      </c>
      <c r="AA59" s="38">
        <v>27152.84</v>
      </c>
      <c r="AB59" s="38">
        <v>521.41</v>
      </c>
      <c r="AC59" s="38">
        <v>0</v>
      </c>
      <c r="AD59" s="38">
        <v>0</v>
      </c>
      <c r="AE59" s="38">
        <v>5050</v>
      </c>
      <c r="AF59" s="123">
        <v>45953</v>
      </c>
      <c r="AG59" s="35" t="s">
        <v>96</v>
      </c>
      <c r="AH59" s="35"/>
      <c r="AI59" s="35"/>
      <c r="AJ59" s="35"/>
      <c r="AK59" s="35"/>
      <c r="AL59" s="35"/>
      <c r="AM59" s="35"/>
      <c r="AN59" s="35"/>
      <c r="AO59" s="35"/>
      <c r="AQ59" s="35"/>
      <c r="AR59" s="38">
        <v>101633.49</v>
      </c>
      <c r="AS59" s="38">
        <v>0</v>
      </c>
      <c r="AT59" s="35">
        <v>4</v>
      </c>
      <c r="AU59" s="35">
        <v>4</v>
      </c>
      <c r="AV59" s="35" t="s">
        <v>47</v>
      </c>
      <c r="AW59" s="35" t="s">
        <v>52</v>
      </c>
      <c r="AX59" s="35" t="s">
        <v>677</v>
      </c>
      <c r="AY59" s="35" t="s">
        <v>98</v>
      </c>
      <c r="AZ59" s="35" t="s">
        <v>99</v>
      </c>
      <c r="BA59" s="35" t="s">
        <v>42</v>
      </c>
      <c r="BB59" s="38"/>
      <c r="BC59" s="38">
        <v>5.7859999999999996</v>
      </c>
      <c r="BD59" s="35" t="s">
        <v>168</v>
      </c>
      <c r="BE59" s="35" t="s">
        <v>160</v>
      </c>
      <c r="BF59" s="35">
        <v>0</v>
      </c>
      <c r="BG59" s="38">
        <v>0</v>
      </c>
      <c r="BH59" s="35" t="s">
        <v>1319</v>
      </c>
    </row>
    <row r="60" spans="1:60" x14ac:dyDescent="0.3">
      <c r="A60" s="6" t="str">
        <f t="shared" si="0"/>
        <v>000196</v>
      </c>
      <c r="B60" s="35" t="s">
        <v>43</v>
      </c>
      <c r="C60" s="35" t="s">
        <v>396</v>
      </c>
      <c r="D60" s="35" t="s">
        <v>206</v>
      </c>
      <c r="E60" s="35" t="s">
        <v>154</v>
      </c>
      <c r="F60" s="35" t="s">
        <v>155</v>
      </c>
      <c r="G60" s="35" t="s">
        <v>154</v>
      </c>
      <c r="H60" s="35" t="s">
        <v>155</v>
      </c>
      <c r="I60" s="35" t="s">
        <v>2081</v>
      </c>
      <c r="J60" s="35" t="s">
        <v>47</v>
      </c>
      <c r="K60" s="35" t="s">
        <v>2082</v>
      </c>
      <c r="L60" s="35" t="s">
        <v>205</v>
      </c>
      <c r="M60" s="126">
        <v>8</v>
      </c>
      <c r="N60" s="123">
        <v>45960</v>
      </c>
      <c r="O60" s="123">
        <v>46072</v>
      </c>
      <c r="P60" s="38">
        <v>88868</v>
      </c>
      <c r="Q60" s="38">
        <v>101000</v>
      </c>
      <c r="R60" s="126">
        <v>0</v>
      </c>
      <c r="S60" s="126">
        <v>16</v>
      </c>
      <c r="T60" s="35" t="s">
        <v>95</v>
      </c>
      <c r="U60" s="38">
        <v>7676.07</v>
      </c>
      <c r="V60" s="38">
        <v>0</v>
      </c>
      <c r="W60" s="38">
        <v>0</v>
      </c>
      <c r="X60" s="38">
        <v>0</v>
      </c>
      <c r="Y60" s="38">
        <v>0</v>
      </c>
      <c r="Z60" s="38">
        <v>101000</v>
      </c>
      <c r="AA60" s="38">
        <v>0</v>
      </c>
      <c r="AB60" s="38">
        <v>0</v>
      </c>
      <c r="AC60" s="38">
        <v>0</v>
      </c>
      <c r="AD60" s="38">
        <v>0</v>
      </c>
      <c r="AE60" s="38"/>
      <c r="AF60" s="123"/>
      <c r="AG60" s="35" t="s">
        <v>96</v>
      </c>
      <c r="AH60" s="35"/>
      <c r="AI60" s="35"/>
      <c r="AJ60" s="35"/>
      <c r="AK60" s="35"/>
      <c r="AL60" s="35"/>
      <c r="AM60" s="35"/>
      <c r="AN60" s="35"/>
      <c r="AO60" s="35"/>
      <c r="AQ60" s="35"/>
      <c r="AR60" s="38">
        <v>122817.08</v>
      </c>
      <c r="AS60" s="38">
        <v>0</v>
      </c>
      <c r="AT60" s="35">
        <v>0</v>
      </c>
      <c r="AU60" s="35">
        <v>0</v>
      </c>
      <c r="AV60" s="35" t="s">
        <v>47</v>
      </c>
      <c r="AW60" s="35" t="s">
        <v>52</v>
      </c>
      <c r="AX60" s="35" t="s">
        <v>2090</v>
      </c>
      <c r="AY60" s="35" t="s">
        <v>98</v>
      </c>
      <c r="AZ60" s="35" t="s">
        <v>99</v>
      </c>
      <c r="BA60" s="35" t="s">
        <v>42</v>
      </c>
      <c r="BB60" s="38"/>
      <c r="BC60" s="38">
        <v>5.7859999999999996</v>
      </c>
      <c r="BD60" s="35" t="s">
        <v>197</v>
      </c>
      <c r="BE60" s="35" t="s">
        <v>125</v>
      </c>
      <c r="BF60" s="35">
        <v>0</v>
      </c>
      <c r="BG60" s="38"/>
      <c r="BH60" s="35" t="s">
        <v>1320</v>
      </c>
    </row>
    <row r="61" spans="1:60" x14ac:dyDescent="0.3">
      <c r="A61" s="6" t="str">
        <f t="shared" si="0"/>
        <v>000124</v>
      </c>
      <c r="B61" s="35" t="s">
        <v>49</v>
      </c>
      <c r="C61" s="35" t="s">
        <v>388</v>
      </c>
      <c r="D61" s="35" t="s">
        <v>207</v>
      </c>
      <c r="E61" s="35" t="s">
        <v>487</v>
      </c>
      <c r="F61" s="35" t="s">
        <v>488</v>
      </c>
      <c r="G61" s="35" t="s">
        <v>487</v>
      </c>
      <c r="H61" s="35" t="s">
        <v>488</v>
      </c>
      <c r="I61" s="35" t="s">
        <v>1394</v>
      </c>
      <c r="J61" s="35" t="s">
        <v>47</v>
      </c>
      <c r="K61" s="35" t="s">
        <v>1212</v>
      </c>
      <c r="L61" s="35" t="s">
        <v>205</v>
      </c>
      <c r="M61" s="126">
        <v>6</v>
      </c>
      <c r="N61" s="123">
        <v>45930</v>
      </c>
      <c r="O61" s="123">
        <v>46042</v>
      </c>
      <c r="P61" s="38">
        <v>36276</v>
      </c>
      <c r="Q61" s="38">
        <v>42000</v>
      </c>
      <c r="R61" s="126">
        <v>0</v>
      </c>
      <c r="S61" s="126">
        <v>16</v>
      </c>
      <c r="T61" s="35" t="s">
        <v>95</v>
      </c>
      <c r="U61" s="38">
        <v>3192.03</v>
      </c>
      <c r="V61" s="38">
        <v>0</v>
      </c>
      <c r="W61" s="38">
        <v>0</v>
      </c>
      <c r="X61" s="38">
        <v>4</v>
      </c>
      <c r="Y61" s="38">
        <v>0</v>
      </c>
      <c r="Z61" s="38">
        <v>31500.12</v>
      </c>
      <c r="AA61" s="38">
        <v>0.112</v>
      </c>
      <c r="AB61" s="38">
        <v>0</v>
      </c>
      <c r="AC61" s="38">
        <v>0</v>
      </c>
      <c r="AD61" s="38">
        <v>0</v>
      </c>
      <c r="AE61" s="38">
        <v>3192</v>
      </c>
      <c r="AF61" s="123">
        <v>45957</v>
      </c>
      <c r="AG61" s="35" t="s">
        <v>96</v>
      </c>
      <c r="AH61" s="35"/>
      <c r="AI61" s="35"/>
      <c r="AJ61" s="35"/>
      <c r="AK61" s="35"/>
      <c r="AL61" s="35"/>
      <c r="AM61" s="35"/>
      <c r="AN61" s="35"/>
      <c r="AO61" s="35"/>
      <c r="AQ61" s="35"/>
      <c r="AR61" s="38">
        <v>38304.450000000004</v>
      </c>
      <c r="AS61" s="38">
        <v>0</v>
      </c>
      <c r="AT61" s="35">
        <v>0</v>
      </c>
      <c r="AU61" s="35">
        <v>0</v>
      </c>
      <c r="AV61" s="35" t="s">
        <v>47</v>
      </c>
      <c r="AW61" s="35" t="s">
        <v>52</v>
      </c>
      <c r="AX61" s="35" t="s">
        <v>1401</v>
      </c>
      <c r="AY61" s="35" t="s">
        <v>98</v>
      </c>
      <c r="AZ61" s="35" t="s">
        <v>99</v>
      </c>
      <c r="BA61" s="35" t="s">
        <v>42</v>
      </c>
      <c r="BB61" s="38"/>
      <c r="BC61" s="38">
        <v>5.7859999999999996</v>
      </c>
      <c r="BD61" s="35" t="s">
        <v>146</v>
      </c>
      <c r="BE61" s="35" t="s">
        <v>160</v>
      </c>
      <c r="BF61" s="35">
        <v>0</v>
      </c>
      <c r="BG61" s="38">
        <v>0</v>
      </c>
      <c r="BH61" s="35" t="s">
        <v>1320</v>
      </c>
    </row>
    <row r="62" spans="1:60" x14ac:dyDescent="0.3">
      <c r="A62" s="6" t="str">
        <f t="shared" si="0"/>
        <v>000156</v>
      </c>
      <c r="B62" s="35" t="s">
        <v>43</v>
      </c>
      <c r="C62" s="35" t="s">
        <v>42</v>
      </c>
      <c r="D62" s="35" t="s">
        <v>1526</v>
      </c>
      <c r="E62" s="35" t="s">
        <v>148</v>
      </c>
      <c r="F62" s="35" t="s">
        <v>149</v>
      </c>
      <c r="G62" s="35" t="s">
        <v>148</v>
      </c>
      <c r="H62" s="35" t="s">
        <v>149</v>
      </c>
      <c r="I62" s="35" t="s">
        <v>1684</v>
      </c>
      <c r="J62" s="35" t="s">
        <v>47</v>
      </c>
      <c r="K62" s="35" t="s">
        <v>1662</v>
      </c>
      <c r="L62" s="35" t="s">
        <v>205</v>
      </c>
      <c r="M62" s="126">
        <v>5</v>
      </c>
      <c r="N62" s="123">
        <v>45945</v>
      </c>
      <c r="O62" s="123">
        <v>46057</v>
      </c>
      <c r="P62" s="38">
        <v>76799</v>
      </c>
      <c r="Q62" s="38">
        <v>87000</v>
      </c>
      <c r="R62" s="126">
        <v>0</v>
      </c>
      <c r="S62" s="126">
        <v>16</v>
      </c>
      <c r="T62" s="35" t="s">
        <v>95</v>
      </c>
      <c r="U62" s="38">
        <v>6612.06</v>
      </c>
      <c r="V62" s="38">
        <v>0</v>
      </c>
      <c r="W62" s="38">
        <v>0</v>
      </c>
      <c r="X62" s="38">
        <v>2</v>
      </c>
      <c r="Y62" s="38">
        <v>0</v>
      </c>
      <c r="Z62" s="38">
        <v>76125</v>
      </c>
      <c r="AA62" s="38">
        <v>0</v>
      </c>
      <c r="AB62" s="38">
        <v>0</v>
      </c>
      <c r="AC62" s="38">
        <v>0</v>
      </c>
      <c r="AD62" s="38">
        <v>0</v>
      </c>
      <c r="AE62" s="38">
        <v>6613</v>
      </c>
      <c r="AF62" s="123">
        <v>45958</v>
      </c>
      <c r="AG62" s="35" t="s">
        <v>96</v>
      </c>
      <c r="AH62" s="35"/>
      <c r="AI62" s="35"/>
      <c r="AJ62" s="35"/>
      <c r="AK62" s="35"/>
      <c r="AL62" s="35"/>
      <c r="AM62" s="35"/>
      <c r="AN62" s="35"/>
      <c r="AO62" s="35"/>
      <c r="AQ62" s="35"/>
      <c r="AR62" s="38">
        <v>92567.92</v>
      </c>
      <c r="AS62" s="38">
        <v>0.89400000000000002</v>
      </c>
      <c r="AT62" s="35">
        <v>0</v>
      </c>
      <c r="AU62" s="35">
        <v>0</v>
      </c>
      <c r="AV62" s="35" t="s">
        <v>47</v>
      </c>
      <c r="AW62" s="35" t="s">
        <v>52</v>
      </c>
      <c r="AX62" s="35"/>
      <c r="AY62" s="35" t="s">
        <v>98</v>
      </c>
      <c r="AZ62" s="35" t="s">
        <v>99</v>
      </c>
      <c r="BA62" s="35" t="s">
        <v>42</v>
      </c>
      <c r="BB62" s="38"/>
      <c r="BC62" s="38">
        <v>5.7859999999999996</v>
      </c>
      <c r="BD62" s="35" t="s">
        <v>124</v>
      </c>
      <c r="BE62" s="35" t="s">
        <v>1178</v>
      </c>
      <c r="BF62" s="35">
        <v>0</v>
      </c>
      <c r="BG62" s="38">
        <v>0</v>
      </c>
      <c r="BH62" s="35" t="s">
        <v>1319</v>
      </c>
    </row>
    <row r="63" spans="1:60" x14ac:dyDescent="0.3">
      <c r="A63" s="6" t="str">
        <f t="shared" si="0"/>
        <v>000028</v>
      </c>
      <c r="B63" s="35" t="s">
        <v>49</v>
      </c>
      <c r="C63" s="35" t="s">
        <v>388</v>
      </c>
      <c r="D63" s="35" t="s">
        <v>207</v>
      </c>
      <c r="E63" s="35" t="s">
        <v>170</v>
      </c>
      <c r="F63" s="35" t="s">
        <v>171</v>
      </c>
      <c r="G63" s="35" t="s">
        <v>170</v>
      </c>
      <c r="H63" s="35" t="s">
        <v>171</v>
      </c>
      <c r="I63" s="35" t="s">
        <v>678</v>
      </c>
      <c r="J63" s="35" t="s">
        <v>47</v>
      </c>
      <c r="K63" s="35" t="s">
        <v>395</v>
      </c>
      <c r="L63" s="35" t="s">
        <v>205</v>
      </c>
      <c r="M63" s="126">
        <v>7</v>
      </c>
      <c r="N63" s="123">
        <v>45898</v>
      </c>
      <c r="O63" s="123">
        <v>46010</v>
      </c>
      <c r="P63" s="38">
        <v>66545</v>
      </c>
      <c r="Q63" s="38">
        <v>76000</v>
      </c>
      <c r="R63" s="126">
        <v>0</v>
      </c>
      <c r="S63" s="126">
        <v>16</v>
      </c>
      <c r="T63" s="35" t="s">
        <v>95</v>
      </c>
      <c r="U63" s="38">
        <v>5776.05</v>
      </c>
      <c r="V63" s="38">
        <v>0</v>
      </c>
      <c r="W63" s="38">
        <v>0</v>
      </c>
      <c r="X63" s="38">
        <v>9</v>
      </c>
      <c r="Y63" s="38">
        <v>1</v>
      </c>
      <c r="Z63" s="38">
        <v>38000</v>
      </c>
      <c r="AA63" s="38">
        <v>5720.4560000000001</v>
      </c>
      <c r="AB63" s="38">
        <v>133.86000000000001</v>
      </c>
      <c r="AC63" s="38">
        <v>0</v>
      </c>
      <c r="AD63" s="38">
        <v>0</v>
      </c>
      <c r="AE63" s="38">
        <v>5783</v>
      </c>
      <c r="AF63" s="123">
        <v>45953</v>
      </c>
      <c r="AG63" s="35" t="s">
        <v>96</v>
      </c>
      <c r="AH63" s="35"/>
      <c r="AI63" s="35"/>
      <c r="AJ63" s="35"/>
      <c r="AK63" s="35"/>
      <c r="AL63" s="35"/>
      <c r="AM63" s="35"/>
      <c r="AN63" s="35"/>
      <c r="AO63" s="35"/>
      <c r="AQ63" s="35"/>
      <c r="AR63" s="38">
        <v>46152.81</v>
      </c>
      <c r="AS63" s="38">
        <v>0</v>
      </c>
      <c r="AT63" s="35">
        <v>1</v>
      </c>
      <c r="AU63" s="35">
        <v>1</v>
      </c>
      <c r="AV63" s="35" t="s">
        <v>47</v>
      </c>
      <c r="AW63" s="35" t="s">
        <v>52</v>
      </c>
      <c r="AX63" s="35" t="s">
        <v>679</v>
      </c>
      <c r="AY63" s="35" t="s">
        <v>98</v>
      </c>
      <c r="AZ63" s="35" t="s">
        <v>99</v>
      </c>
      <c r="BA63" s="35" t="s">
        <v>42</v>
      </c>
      <c r="BB63" s="38"/>
      <c r="BC63" s="38">
        <v>5.7859999999999996</v>
      </c>
      <c r="BD63" s="35" t="s">
        <v>168</v>
      </c>
      <c r="BE63" s="35" t="s">
        <v>160</v>
      </c>
      <c r="BF63" s="35">
        <v>0</v>
      </c>
      <c r="BG63" s="38">
        <v>0</v>
      </c>
      <c r="BH63" s="35" t="s">
        <v>1319</v>
      </c>
    </row>
    <row r="64" spans="1:60" x14ac:dyDescent="0.3">
      <c r="A64" s="6" t="str">
        <f t="shared" si="0"/>
        <v>000040</v>
      </c>
      <c r="B64" s="35" t="s">
        <v>43</v>
      </c>
      <c r="C64" s="35" t="s">
        <v>42</v>
      </c>
      <c r="D64" s="35" t="s">
        <v>1526</v>
      </c>
      <c r="E64" s="35" t="s">
        <v>148</v>
      </c>
      <c r="F64" s="35" t="s">
        <v>149</v>
      </c>
      <c r="G64" s="35" t="s">
        <v>148</v>
      </c>
      <c r="H64" s="35" t="s">
        <v>149</v>
      </c>
      <c r="I64" s="35" t="s">
        <v>598</v>
      </c>
      <c r="J64" s="35" t="s">
        <v>47</v>
      </c>
      <c r="K64" s="35" t="s">
        <v>599</v>
      </c>
      <c r="L64" s="35" t="s">
        <v>205</v>
      </c>
      <c r="M64" s="126">
        <v>5</v>
      </c>
      <c r="N64" s="123">
        <v>45896</v>
      </c>
      <c r="O64" s="123">
        <v>46008</v>
      </c>
      <c r="P64" s="38">
        <v>83999</v>
      </c>
      <c r="Q64" s="38">
        <v>95000</v>
      </c>
      <c r="R64" s="126">
        <v>0</v>
      </c>
      <c r="S64" s="126">
        <v>16</v>
      </c>
      <c r="T64" s="35" t="s">
        <v>95</v>
      </c>
      <c r="U64" s="38">
        <v>7220.06</v>
      </c>
      <c r="V64" s="38">
        <v>0</v>
      </c>
      <c r="W64" s="38">
        <v>0</v>
      </c>
      <c r="X64" s="38">
        <v>9</v>
      </c>
      <c r="Y64" s="38">
        <v>0</v>
      </c>
      <c r="Z64" s="38">
        <v>41563.07</v>
      </c>
      <c r="AA64" s="38">
        <v>0.56999999999999995</v>
      </c>
      <c r="AB64" s="38">
        <v>0</v>
      </c>
      <c r="AC64" s="38">
        <v>0</v>
      </c>
      <c r="AD64" s="38">
        <v>0</v>
      </c>
      <c r="AE64" s="38">
        <v>7220</v>
      </c>
      <c r="AF64" s="123">
        <v>45958</v>
      </c>
      <c r="AG64" s="35" t="s">
        <v>96</v>
      </c>
      <c r="AH64" s="35"/>
      <c r="AI64" s="35"/>
      <c r="AJ64" s="35"/>
      <c r="AK64" s="35"/>
      <c r="AL64" s="35"/>
      <c r="AM64" s="35"/>
      <c r="AN64" s="35"/>
      <c r="AO64" s="35"/>
      <c r="AQ64" s="35"/>
      <c r="AR64" s="38">
        <v>50541.01</v>
      </c>
      <c r="AS64" s="38">
        <v>0</v>
      </c>
      <c r="AT64" s="35">
        <v>0</v>
      </c>
      <c r="AU64" s="35">
        <v>0</v>
      </c>
      <c r="AV64" s="35" t="s">
        <v>47</v>
      </c>
      <c r="AW64" s="35" t="s">
        <v>52</v>
      </c>
      <c r="AX64" s="35" t="s">
        <v>600</v>
      </c>
      <c r="AY64" s="35" t="s">
        <v>98</v>
      </c>
      <c r="AZ64" s="35" t="s">
        <v>99</v>
      </c>
      <c r="BA64" s="35" t="s">
        <v>42</v>
      </c>
      <c r="BB64" s="38"/>
      <c r="BC64" s="38">
        <v>5.7859999999999996</v>
      </c>
      <c r="BD64" s="35" t="s">
        <v>124</v>
      </c>
      <c r="BE64" s="35" t="s">
        <v>147</v>
      </c>
      <c r="BF64" s="35">
        <v>0</v>
      </c>
      <c r="BG64" s="38">
        <v>0</v>
      </c>
      <c r="BH64" s="35" t="s">
        <v>1319</v>
      </c>
    </row>
    <row r="65" spans="1:60" x14ac:dyDescent="0.3">
      <c r="A65" s="6" t="str">
        <f t="shared" si="0"/>
        <v>000158</v>
      </c>
      <c r="B65" s="35" t="s">
        <v>43</v>
      </c>
      <c r="C65" s="35" t="s">
        <v>424</v>
      </c>
      <c r="D65" s="35" t="s">
        <v>204</v>
      </c>
      <c r="E65" s="35" t="s">
        <v>39</v>
      </c>
      <c r="F65" s="35" t="s">
        <v>40</v>
      </c>
      <c r="G65" s="35" t="s">
        <v>39</v>
      </c>
      <c r="H65" s="35" t="s">
        <v>40</v>
      </c>
      <c r="I65" s="35" t="s">
        <v>1689</v>
      </c>
      <c r="J65" s="35" t="s">
        <v>47</v>
      </c>
      <c r="K65" s="35" t="s">
        <v>572</v>
      </c>
      <c r="L65" s="35" t="s">
        <v>205</v>
      </c>
      <c r="M65" s="126">
        <v>6</v>
      </c>
      <c r="N65" s="123">
        <v>45945</v>
      </c>
      <c r="O65" s="123">
        <v>46057</v>
      </c>
      <c r="P65" s="38">
        <v>56899</v>
      </c>
      <c r="Q65" s="38">
        <v>65000</v>
      </c>
      <c r="R65" s="126">
        <v>0</v>
      </c>
      <c r="S65" s="126">
        <v>16</v>
      </c>
      <c r="T65" s="35" t="s">
        <v>95</v>
      </c>
      <c r="U65" s="38">
        <v>4940.04</v>
      </c>
      <c r="V65" s="38">
        <v>0</v>
      </c>
      <c r="W65" s="38">
        <v>0</v>
      </c>
      <c r="X65" s="38">
        <v>2</v>
      </c>
      <c r="Y65" s="38">
        <v>0</v>
      </c>
      <c r="Z65" s="38">
        <v>56875</v>
      </c>
      <c r="AA65" s="38">
        <v>6.6666666666670002E-3</v>
      </c>
      <c r="AB65" s="38">
        <v>0</v>
      </c>
      <c r="AC65" s="38">
        <v>0</v>
      </c>
      <c r="AD65" s="38">
        <v>0</v>
      </c>
      <c r="AE65" s="38">
        <v>4940.04</v>
      </c>
      <c r="AF65" s="123">
        <v>45958</v>
      </c>
      <c r="AG65" s="35" t="s">
        <v>96</v>
      </c>
      <c r="AH65" s="35"/>
      <c r="AI65" s="35"/>
      <c r="AJ65" s="35"/>
      <c r="AK65" s="35"/>
      <c r="AL65" s="35"/>
      <c r="AM65" s="35"/>
      <c r="AN65" s="35"/>
      <c r="AO65" s="35"/>
      <c r="AQ65" s="35"/>
      <c r="AR65" s="38">
        <v>69160.61</v>
      </c>
      <c r="AS65" s="38">
        <v>0</v>
      </c>
      <c r="AT65" s="35">
        <v>0</v>
      </c>
      <c r="AU65" s="35">
        <v>0</v>
      </c>
      <c r="AV65" s="35" t="s">
        <v>47</v>
      </c>
      <c r="AW65" s="35" t="s">
        <v>52</v>
      </c>
      <c r="AX65" s="35" t="s">
        <v>1692</v>
      </c>
      <c r="AY65" s="35" t="s">
        <v>98</v>
      </c>
      <c r="AZ65" s="35" t="s">
        <v>99</v>
      </c>
      <c r="BA65" s="35" t="s">
        <v>42</v>
      </c>
      <c r="BB65" s="38"/>
      <c r="BC65" s="38">
        <v>5.7859999999999996</v>
      </c>
      <c r="BD65" s="35" t="s">
        <v>124</v>
      </c>
      <c r="BE65" s="35" t="s">
        <v>147</v>
      </c>
      <c r="BF65" s="35">
        <v>0</v>
      </c>
      <c r="BG65" s="38">
        <v>0</v>
      </c>
      <c r="BH65" s="35" t="s">
        <v>1319</v>
      </c>
    </row>
    <row r="66" spans="1:60" x14ac:dyDescent="0.3">
      <c r="A66" s="6" t="str">
        <f t="shared" si="0"/>
        <v>000003</v>
      </c>
      <c r="B66" s="35" t="s">
        <v>43</v>
      </c>
      <c r="C66" s="35" t="s">
        <v>396</v>
      </c>
      <c r="D66" s="35" t="s">
        <v>206</v>
      </c>
      <c r="E66" s="35" t="s">
        <v>154</v>
      </c>
      <c r="F66" s="35" t="s">
        <v>155</v>
      </c>
      <c r="G66" s="35" t="s">
        <v>154</v>
      </c>
      <c r="H66" s="35" t="s">
        <v>155</v>
      </c>
      <c r="I66" s="35" t="s">
        <v>156</v>
      </c>
      <c r="J66" s="35" t="s">
        <v>47</v>
      </c>
      <c r="K66" s="35" t="s">
        <v>102</v>
      </c>
      <c r="L66" s="35" t="s">
        <v>205</v>
      </c>
      <c r="M66" s="126">
        <v>6</v>
      </c>
      <c r="N66" s="123">
        <v>45877</v>
      </c>
      <c r="O66" s="123">
        <v>45992</v>
      </c>
      <c r="P66" s="38">
        <v>132900</v>
      </c>
      <c r="Q66" s="38">
        <v>150000</v>
      </c>
      <c r="R66" s="126">
        <v>0</v>
      </c>
      <c r="S66" s="126">
        <v>16</v>
      </c>
      <c r="T66" s="35" t="s">
        <v>95</v>
      </c>
      <c r="U66" s="38">
        <v>11400.1</v>
      </c>
      <c r="V66" s="38">
        <v>0</v>
      </c>
      <c r="W66" s="38">
        <v>0</v>
      </c>
      <c r="X66" s="38">
        <v>11</v>
      </c>
      <c r="Y66" s="38">
        <v>0</v>
      </c>
      <c r="Z66" s="38">
        <v>46875</v>
      </c>
      <c r="AA66" s="38">
        <v>0</v>
      </c>
      <c r="AB66" s="38">
        <v>0</v>
      </c>
      <c r="AC66" s="38">
        <v>0</v>
      </c>
      <c r="AD66" s="38">
        <v>0</v>
      </c>
      <c r="AE66" s="38">
        <v>11400</v>
      </c>
      <c r="AF66" s="123">
        <v>45954</v>
      </c>
      <c r="AG66" s="35" t="s">
        <v>96</v>
      </c>
      <c r="AH66" s="35"/>
      <c r="AI66" s="35"/>
      <c r="AJ66" s="35"/>
      <c r="AK66" s="35"/>
      <c r="AL66" s="35"/>
      <c r="AM66" s="35"/>
      <c r="AN66" s="35"/>
      <c r="AO66" s="35"/>
      <c r="AQ66" s="35"/>
      <c r="AR66" s="38">
        <v>57000.4</v>
      </c>
      <c r="AS66" s="38">
        <v>0.1</v>
      </c>
      <c r="AT66" s="35">
        <v>1</v>
      </c>
      <c r="AU66" s="35">
        <v>1</v>
      </c>
      <c r="AV66" s="35" t="s">
        <v>47</v>
      </c>
      <c r="AW66" s="35" t="s">
        <v>52</v>
      </c>
      <c r="AX66" s="35" t="s">
        <v>157</v>
      </c>
      <c r="AY66" s="35" t="s">
        <v>98</v>
      </c>
      <c r="AZ66" s="35" t="s">
        <v>99</v>
      </c>
      <c r="BA66" s="35" t="s">
        <v>42</v>
      </c>
      <c r="BB66" s="38"/>
      <c r="BC66" s="38">
        <v>5.7859999999999996</v>
      </c>
      <c r="BD66" s="35" t="s">
        <v>126</v>
      </c>
      <c r="BE66" s="35" t="s">
        <v>147</v>
      </c>
      <c r="BF66" s="35">
        <v>0</v>
      </c>
      <c r="BG66" s="38">
        <v>0</v>
      </c>
      <c r="BH66" s="35" t="s">
        <v>1320</v>
      </c>
    </row>
    <row r="67" spans="1:60" x14ac:dyDescent="0.3">
      <c r="A67" s="6" t="str">
        <f t="shared" si="0"/>
        <v>000056</v>
      </c>
      <c r="B67" s="35" t="s">
        <v>43</v>
      </c>
      <c r="C67" s="35" t="s">
        <v>424</v>
      </c>
      <c r="D67" s="35" t="s">
        <v>204</v>
      </c>
      <c r="E67" s="35" t="s">
        <v>39</v>
      </c>
      <c r="F67" s="35" t="s">
        <v>40</v>
      </c>
      <c r="G67" s="35" t="s">
        <v>39</v>
      </c>
      <c r="H67" s="35" t="s">
        <v>40</v>
      </c>
      <c r="I67" s="35" t="s">
        <v>806</v>
      </c>
      <c r="J67" s="35" t="s">
        <v>47</v>
      </c>
      <c r="K67" s="35" t="s">
        <v>807</v>
      </c>
      <c r="L67" s="35" t="s">
        <v>205</v>
      </c>
      <c r="M67" s="126">
        <v>6</v>
      </c>
      <c r="N67" s="123">
        <v>45902</v>
      </c>
      <c r="O67" s="123">
        <v>46014</v>
      </c>
      <c r="P67" s="38">
        <v>59522</v>
      </c>
      <c r="Q67" s="38">
        <v>68000</v>
      </c>
      <c r="R67" s="126">
        <v>0</v>
      </c>
      <c r="S67" s="126">
        <v>16</v>
      </c>
      <c r="T67" s="35" t="s">
        <v>95</v>
      </c>
      <c r="U67" s="38">
        <v>5168.05</v>
      </c>
      <c r="V67" s="38">
        <v>0</v>
      </c>
      <c r="W67" s="38">
        <v>0</v>
      </c>
      <c r="X67" s="38">
        <v>8</v>
      </c>
      <c r="Y67" s="38">
        <v>0</v>
      </c>
      <c r="Z67" s="38">
        <v>34000</v>
      </c>
      <c r="AA67" s="38">
        <v>0</v>
      </c>
      <c r="AB67" s="38">
        <v>0</v>
      </c>
      <c r="AC67" s="38">
        <v>0</v>
      </c>
      <c r="AD67" s="38">
        <v>0</v>
      </c>
      <c r="AE67" s="38">
        <v>5168.05</v>
      </c>
      <c r="AF67" s="123">
        <v>45957</v>
      </c>
      <c r="AG67" s="35" t="s">
        <v>96</v>
      </c>
      <c r="AH67" s="35"/>
      <c r="AI67" s="35"/>
      <c r="AJ67" s="35"/>
      <c r="AK67" s="35"/>
      <c r="AL67" s="35"/>
      <c r="AM67" s="35"/>
      <c r="AN67" s="35"/>
      <c r="AO67" s="35"/>
      <c r="AQ67" s="35"/>
      <c r="AR67" s="38">
        <v>41344.33</v>
      </c>
      <c r="AS67" s="38">
        <v>3.7333333333333003E-2</v>
      </c>
      <c r="AT67" s="35">
        <v>0</v>
      </c>
      <c r="AU67" s="35">
        <v>0</v>
      </c>
      <c r="AV67" s="35" t="s">
        <v>47</v>
      </c>
      <c r="AW67" s="35" t="s">
        <v>52</v>
      </c>
      <c r="AX67" s="35" t="s">
        <v>808</v>
      </c>
      <c r="AY67" s="35" t="s">
        <v>98</v>
      </c>
      <c r="AZ67" s="35" t="s">
        <v>99</v>
      </c>
      <c r="BA67" s="35" t="s">
        <v>42</v>
      </c>
      <c r="BB67" s="38"/>
      <c r="BC67" s="38">
        <v>5.7859999999999996</v>
      </c>
      <c r="BD67" s="35" t="s">
        <v>146</v>
      </c>
      <c r="BE67" s="35" t="s">
        <v>127</v>
      </c>
      <c r="BF67" s="35">
        <v>0</v>
      </c>
      <c r="BG67" s="38">
        <v>0</v>
      </c>
      <c r="BH67" s="35" t="s">
        <v>1319</v>
      </c>
    </row>
    <row r="68" spans="1:60" x14ac:dyDescent="0.3">
      <c r="A68" s="6" t="str">
        <f t="shared" si="0"/>
        <v>000136</v>
      </c>
      <c r="B68" s="35" t="s">
        <v>43</v>
      </c>
      <c r="C68" s="35" t="s">
        <v>42</v>
      </c>
      <c r="D68" s="35" t="s">
        <v>1526</v>
      </c>
      <c r="E68" s="35" t="s">
        <v>663</v>
      </c>
      <c r="F68" s="35" t="s">
        <v>664</v>
      </c>
      <c r="G68" s="35" t="s">
        <v>663</v>
      </c>
      <c r="H68" s="35" t="s">
        <v>664</v>
      </c>
      <c r="I68" s="35" t="s">
        <v>1530</v>
      </c>
      <c r="J68" s="35" t="s">
        <v>47</v>
      </c>
      <c r="K68" s="35" t="s">
        <v>575</v>
      </c>
      <c r="L68" s="35" t="s">
        <v>205</v>
      </c>
      <c r="M68" s="126">
        <v>5</v>
      </c>
      <c r="N68" s="123">
        <v>45936</v>
      </c>
      <c r="O68" s="123">
        <v>46048</v>
      </c>
      <c r="P68" s="38">
        <v>102691</v>
      </c>
      <c r="Q68" s="38">
        <v>116000</v>
      </c>
      <c r="R68" s="126">
        <v>0</v>
      </c>
      <c r="S68" s="126">
        <v>16</v>
      </c>
      <c r="T68" s="35" t="s">
        <v>95</v>
      </c>
      <c r="U68" s="38">
        <v>8816.08</v>
      </c>
      <c r="V68" s="38">
        <v>0</v>
      </c>
      <c r="W68" s="38">
        <v>0</v>
      </c>
      <c r="X68" s="38">
        <v>3</v>
      </c>
      <c r="Y68" s="38">
        <v>0</v>
      </c>
      <c r="Z68" s="38">
        <v>94250.240000000005</v>
      </c>
      <c r="AA68" s="38">
        <v>0.23200000000000001</v>
      </c>
      <c r="AB68" s="38">
        <v>0</v>
      </c>
      <c r="AC68" s="38">
        <v>0</v>
      </c>
      <c r="AD68" s="38">
        <v>0</v>
      </c>
      <c r="AE68" s="38">
        <v>8816</v>
      </c>
      <c r="AF68" s="123">
        <v>45954</v>
      </c>
      <c r="AG68" s="35" t="s">
        <v>96</v>
      </c>
      <c r="AH68" s="35"/>
      <c r="AI68" s="35"/>
      <c r="AJ68" s="35"/>
      <c r="AK68" s="35"/>
      <c r="AL68" s="35"/>
      <c r="AM68" s="35"/>
      <c r="AN68" s="35"/>
      <c r="AO68" s="35"/>
      <c r="AQ68" s="35"/>
      <c r="AR68" s="38">
        <v>114609.24</v>
      </c>
      <c r="AS68" s="38">
        <v>0</v>
      </c>
      <c r="AT68" s="35">
        <v>1</v>
      </c>
      <c r="AU68" s="35">
        <v>1</v>
      </c>
      <c r="AV68" s="35" t="s">
        <v>47</v>
      </c>
      <c r="AW68" s="35" t="s">
        <v>52</v>
      </c>
      <c r="AX68" s="35"/>
      <c r="AY68" s="35" t="s">
        <v>98</v>
      </c>
      <c r="AZ68" s="35" t="s">
        <v>99</v>
      </c>
      <c r="BA68" s="35" t="s">
        <v>42</v>
      </c>
      <c r="BB68" s="38"/>
      <c r="BC68" s="38">
        <v>5.7859999999999996</v>
      </c>
      <c r="BD68" s="35" t="s">
        <v>126</v>
      </c>
      <c r="BE68" s="35" t="s">
        <v>160</v>
      </c>
      <c r="BF68" s="35">
        <v>0</v>
      </c>
      <c r="BG68" s="38">
        <v>0</v>
      </c>
      <c r="BH68" s="35" t="s">
        <v>1320</v>
      </c>
    </row>
    <row r="69" spans="1:60" x14ac:dyDescent="0.3">
      <c r="A69" s="6" t="str">
        <f t="shared" si="0"/>
        <v>000108</v>
      </c>
      <c r="B69" s="35" t="s">
        <v>49</v>
      </c>
      <c r="C69" s="35" t="s">
        <v>388</v>
      </c>
      <c r="D69" s="35" t="s">
        <v>207</v>
      </c>
      <c r="E69" s="35" t="s">
        <v>170</v>
      </c>
      <c r="F69" s="35" t="s">
        <v>171</v>
      </c>
      <c r="G69" s="35" t="s">
        <v>170</v>
      </c>
      <c r="H69" s="35" t="s">
        <v>171</v>
      </c>
      <c r="I69" s="35" t="s">
        <v>1274</v>
      </c>
      <c r="J69" s="35" t="s">
        <v>47</v>
      </c>
      <c r="K69" s="35" t="s">
        <v>1199</v>
      </c>
      <c r="L69" s="35" t="s">
        <v>205</v>
      </c>
      <c r="M69" s="126">
        <v>5</v>
      </c>
      <c r="N69" s="123">
        <v>45925</v>
      </c>
      <c r="O69" s="123">
        <v>46037</v>
      </c>
      <c r="P69" s="38">
        <v>124214</v>
      </c>
      <c r="Q69" s="38">
        <v>140000</v>
      </c>
      <c r="R69" s="126">
        <v>0</v>
      </c>
      <c r="S69" s="126">
        <v>16</v>
      </c>
      <c r="T69" s="35" t="s">
        <v>95</v>
      </c>
      <c r="U69" s="38">
        <v>10640.09</v>
      </c>
      <c r="V69" s="38">
        <v>0</v>
      </c>
      <c r="W69" s="38">
        <v>0</v>
      </c>
      <c r="X69" s="38">
        <v>5</v>
      </c>
      <c r="Y69" s="38">
        <v>0</v>
      </c>
      <c r="Z69" s="38">
        <v>96250</v>
      </c>
      <c r="AA69" s="38">
        <v>0</v>
      </c>
      <c r="AB69" s="38">
        <v>0</v>
      </c>
      <c r="AC69" s="38">
        <v>0</v>
      </c>
      <c r="AD69" s="38">
        <v>0</v>
      </c>
      <c r="AE69" s="38">
        <v>10643</v>
      </c>
      <c r="AF69" s="123">
        <v>45959</v>
      </c>
      <c r="AG69" s="35" t="s">
        <v>96</v>
      </c>
      <c r="AH69" s="35"/>
      <c r="AI69" s="35"/>
      <c r="AJ69" s="35"/>
      <c r="AK69" s="35"/>
      <c r="AL69" s="35"/>
      <c r="AM69" s="35"/>
      <c r="AN69" s="35"/>
      <c r="AO69" s="35"/>
      <c r="AQ69" s="35"/>
      <c r="AR69" s="38">
        <v>117038.49</v>
      </c>
      <c r="AS69" s="38">
        <v>2.5333333333333301</v>
      </c>
      <c r="AT69" s="35">
        <v>0</v>
      </c>
      <c r="AU69" s="35">
        <v>0</v>
      </c>
      <c r="AV69" s="35" t="s">
        <v>47</v>
      </c>
      <c r="AW69" s="35" t="s">
        <v>52</v>
      </c>
      <c r="AX69" s="35" t="s">
        <v>1290</v>
      </c>
      <c r="AY69" s="35" t="s">
        <v>98</v>
      </c>
      <c r="AZ69" s="35" t="s">
        <v>99</v>
      </c>
      <c r="BA69" s="35" t="s">
        <v>42</v>
      </c>
      <c r="BB69" s="38"/>
      <c r="BC69" s="38">
        <v>5.7859999999999996</v>
      </c>
      <c r="BD69" s="35" t="s">
        <v>197</v>
      </c>
      <c r="BE69" s="35" t="s">
        <v>160</v>
      </c>
      <c r="BF69" s="35">
        <v>0</v>
      </c>
      <c r="BG69" s="38">
        <v>0</v>
      </c>
      <c r="BH69" s="35" t="s">
        <v>1319</v>
      </c>
    </row>
    <row r="70" spans="1:60" x14ac:dyDescent="0.3">
      <c r="A70" s="6" t="str">
        <f t="shared" si="0"/>
        <v>000176</v>
      </c>
      <c r="B70" s="35" t="s">
        <v>43</v>
      </c>
      <c r="C70" s="35" t="s">
        <v>42</v>
      </c>
      <c r="D70" s="35" t="s">
        <v>1526</v>
      </c>
      <c r="E70" s="35" t="s">
        <v>883</v>
      </c>
      <c r="F70" s="35" t="s">
        <v>884</v>
      </c>
      <c r="G70" s="35" t="s">
        <v>883</v>
      </c>
      <c r="H70" s="35" t="s">
        <v>884</v>
      </c>
      <c r="I70" s="35" t="s">
        <v>1997</v>
      </c>
      <c r="J70" s="35" t="s">
        <v>47</v>
      </c>
      <c r="K70" s="35" t="s">
        <v>1998</v>
      </c>
      <c r="L70" s="35" t="s">
        <v>205</v>
      </c>
      <c r="M70" s="126">
        <v>5</v>
      </c>
      <c r="N70" s="123">
        <v>45958</v>
      </c>
      <c r="O70" s="123">
        <v>46072</v>
      </c>
      <c r="P70" s="38">
        <v>75899</v>
      </c>
      <c r="Q70" s="38">
        <v>86000</v>
      </c>
      <c r="R70" s="126">
        <v>0</v>
      </c>
      <c r="S70" s="126">
        <v>16</v>
      </c>
      <c r="T70" s="35" t="s">
        <v>95</v>
      </c>
      <c r="U70" s="38">
        <v>6536.06</v>
      </c>
      <c r="V70" s="38">
        <v>0</v>
      </c>
      <c r="W70" s="38">
        <v>0</v>
      </c>
      <c r="X70" s="38">
        <v>0</v>
      </c>
      <c r="Y70" s="38">
        <v>0</v>
      </c>
      <c r="Z70" s="38">
        <v>86000</v>
      </c>
      <c r="AA70" s="38">
        <v>0</v>
      </c>
      <c r="AB70" s="38">
        <v>0</v>
      </c>
      <c r="AC70" s="38">
        <v>0</v>
      </c>
      <c r="AD70" s="38">
        <v>0</v>
      </c>
      <c r="AE70" s="38"/>
      <c r="AF70" s="123"/>
      <c r="AG70" s="35" t="s">
        <v>96</v>
      </c>
      <c r="AH70" s="35"/>
      <c r="AI70" s="35"/>
      <c r="AJ70" s="35"/>
      <c r="AK70" s="35"/>
      <c r="AL70" s="35"/>
      <c r="AM70" s="35"/>
      <c r="AN70" s="35"/>
      <c r="AO70" s="35"/>
      <c r="AQ70" s="35"/>
      <c r="AR70" s="38">
        <v>104576.92</v>
      </c>
      <c r="AS70" s="38">
        <v>0</v>
      </c>
      <c r="AT70" s="35">
        <v>0</v>
      </c>
      <c r="AU70" s="35">
        <v>0</v>
      </c>
      <c r="AV70" s="35" t="s">
        <v>47</v>
      </c>
      <c r="AW70" s="35" t="s">
        <v>52</v>
      </c>
      <c r="AX70" s="35"/>
      <c r="AY70" s="35" t="s">
        <v>98</v>
      </c>
      <c r="AZ70" s="35" t="s">
        <v>99</v>
      </c>
      <c r="BA70" s="35" t="s">
        <v>42</v>
      </c>
      <c r="BB70" s="38"/>
      <c r="BC70" s="38">
        <v>5.7859999999999996</v>
      </c>
      <c r="BD70" s="35" t="s">
        <v>197</v>
      </c>
      <c r="BE70" s="35" t="s">
        <v>185</v>
      </c>
      <c r="BF70" s="35">
        <v>0</v>
      </c>
      <c r="BG70" s="38"/>
      <c r="BH70" s="35" t="s">
        <v>1319</v>
      </c>
    </row>
    <row r="71" spans="1:60" x14ac:dyDescent="0.3">
      <c r="A71" s="6" t="str">
        <f t="shared" si="0"/>
        <v>000001</v>
      </c>
      <c r="B71" s="35" t="s">
        <v>43</v>
      </c>
      <c r="C71" s="35" t="s">
        <v>424</v>
      </c>
      <c r="D71" s="35" t="s">
        <v>204</v>
      </c>
      <c r="E71" s="35" t="s">
        <v>39</v>
      </c>
      <c r="F71" s="35" t="s">
        <v>40</v>
      </c>
      <c r="G71" s="35" t="s">
        <v>39</v>
      </c>
      <c r="H71" s="35" t="s">
        <v>40</v>
      </c>
      <c r="I71" s="35" t="s">
        <v>45</v>
      </c>
      <c r="J71" s="35" t="s">
        <v>47</v>
      </c>
      <c r="K71" s="35" t="s">
        <v>46</v>
      </c>
      <c r="L71" s="35" t="s">
        <v>205</v>
      </c>
      <c r="M71" s="126">
        <v>6</v>
      </c>
      <c r="N71" s="123">
        <v>45875</v>
      </c>
      <c r="O71" s="123">
        <v>45987</v>
      </c>
      <c r="P71" s="38">
        <v>120300</v>
      </c>
      <c r="Q71" s="38">
        <v>136000</v>
      </c>
      <c r="R71" s="126">
        <v>0</v>
      </c>
      <c r="S71" s="126">
        <v>16</v>
      </c>
      <c r="T71" s="35" t="s">
        <v>95</v>
      </c>
      <c r="U71" s="38">
        <v>10336.09</v>
      </c>
      <c r="V71" s="38">
        <v>0</v>
      </c>
      <c r="W71" s="38">
        <v>0</v>
      </c>
      <c r="X71" s="38">
        <v>12</v>
      </c>
      <c r="Y71" s="38">
        <v>0</v>
      </c>
      <c r="Z71" s="38">
        <v>34000.01</v>
      </c>
      <c r="AA71" s="38">
        <v>8.0000000000000002E-3</v>
      </c>
      <c r="AB71" s="38">
        <v>0</v>
      </c>
      <c r="AC71" s="38">
        <v>0</v>
      </c>
      <c r="AD71" s="38">
        <v>0</v>
      </c>
      <c r="AE71" s="38">
        <v>10336.09</v>
      </c>
      <c r="AF71" s="123">
        <v>45958</v>
      </c>
      <c r="AG71" s="35" t="s">
        <v>96</v>
      </c>
      <c r="AH71" s="35"/>
      <c r="AI71" s="35"/>
      <c r="AJ71" s="35"/>
      <c r="AK71" s="35"/>
      <c r="AL71" s="35"/>
      <c r="AM71" s="35"/>
      <c r="AN71" s="35"/>
      <c r="AO71" s="35"/>
      <c r="AQ71" s="35"/>
      <c r="AR71" s="38">
        <v>41344.370000000003</v>
      </c>
      <c r="AS71" s="38">
        <v>0</v>
      </c>
      <c r="AT71" s="35">
        <v>0</v>
      </c>
      <c r="AU71" s="35">
        <v>0</v>
      </c>
      <c r="AV71" s="35" t="s">
        <v>47</v>
      </c>
      <c r="AW71" s="35" t="s">
        <v>52</v>
      </c>
      <c r="AX71" s="35" t="s">
        <v>97</v>
      </c>
      <c r="AY71" s="35" t="s">
        <v>98</v>
      </c>
      <c r="AZ71" s="35" t="s">
        <v>99</v>
      </c>
      <c r="BA71" s="35" t="s">
        <v>42</v>
      </c>
      <c r="BB71" s="38"/>
      <c r="BC71" s="38">
        <v>5.7859999999999996</v>
      </c>
      <c r="BD71" s="35" t="s">
        <v>124</v>
      </c>
      <c r="BE71" s="35" t="s">
        <v>127</v>
      </c>
      <c r="BF71" s="35">
        <v>0</v>
      </c>
      <c r="BG71" s="38">
        <v>0</v>
      </c>
      <c r="BH71" s="35" t="s">
        <v>1320</v>
      </c>
    </row>
    <row r="72" spans="1:60" x14ac:dyDescent="0.3">
      <c r="A72" s="6" t="str">
        <f t="shared" si="0"/>
        <v>000007</v>
      </c>
      <c r="B72" s="35" t="s">
        <v>43</v>
      </c>
      <c r="C72" s="35" t="s">
        <v>42</v>
      </c>
      <c r="D72" s="35" t="s">
        <v>1526</v>
      </c>
      <c r="E72" s="35" t="s">
        <v>148</v>
      </c>
      <c r="F72" s="35" t="s">
        <v>149</v>
      </c>
      <c r="G72" s="35" t="s">
        <v>148</v>
      </c>
      <c r="H72" s="35" t="s">
        <v>149</v>
      </c>
      <c r="I72" s="35" t="s">
        <v>152</v>
      </c>
      <c r="J72" s="35" t="s">
        <v>47</v>
      </c>
      <c r="K72" s="35" t="s">
        <v>107</v>
      </c>
      <c r="L72" s="35" t="s">
        <v>205</v>
      </c>
      <c r="M72" s="126">
        <v>5</v>
      </c>
      <c r="N72" s="123">
        <v>45880</v>
      </c>
      <c r="O72" s="123">
        <v>45992</v>
      </c>
      <c r="P72" s="38">
        <v>126950</v>
      </c>
      <c r="Q72" s="38">
        <v>143000</v>
      </c>
      <c r="R72" s="126">
        <v>0</v>
      </c>
      <c r="S72" s="126">
        <v>16</v>
      </c>
      <c r="T72" s="35" t="s">
        <v>95</v>
      </c>
      <c r="U72" s="38">
        <v>10868.1</v>
      </c>
      <c r="V72" s="38">
        <v>0</v>
      </c>
      <c r="W72" s="38">
        <v>0</v>
      </c>
      <c r="X72" s="38">
        <v>11</v>
      </c>
      <c r="Y72" s="38">
        <v>0</v>
      </c>
      <c r="Z72" s="38">
        <v>44688.340000000004</v>
      </c>
      <c r="AA72" s="38">
        <v>0.84866666666666701</v>
      </c>
      <c r="AB72" s="38">
        <v>0</v>
      </c>
      <c r="AC72" s="38">
        <v>0</v>
      </c>
      <c r="AD72" s="38">
        <v>0</v>
      </c>
      <c r="AE72" s="38">
        <v>10868</v>
      </c>
      <c r="AF72" s="123">
        <v>45954</v>
      </c>
      <c r="AG72" s="35" t="s">
        <v>96</v>
      </c>
      <c r="AH72" s="35"/>
      <c r="AI72" s="35"/>
      <c r="AJ72" s="35"/>
      <c r="AK72" s="35"/>
      <c r="AL72" s="35"/>
      <c r="AM72" s="35"/>
      <c r="AN72" s="35"/>
      <c r="AO72" s="35"/>
      <c r="AQ72" s="35"/>
      <c r="AR72" s="38">
        <v>54341.33</v>
      </c>
      <c r="AS72" s="38">
        <v>0</v>
      </c>
      <c r="AT72" s="35">
        <v>1</v>
      </c>
      <c r="AU72" s="35">
        <v>1</v>
      </c>
      <c r="AV72" s="35" t="s">
        <v>47</v>
      </c>
      <c r="AW72" s="35" t="s">
        <v>52</v>
      </c>
      <c r="AX72" s="35" t="s">
        <v>153</v>
      </c>
      <c r="AY72" s="35" t="s">
        <v>98</v>
      </c>
      <c r="AZ72" s="35" t="s">
        <v>99</v>
      </c>
      <c r="BA72" s="35" t="s">
        <v>42</v>
      </c>
      <c r="BB72" s="38"/>
      <c r="BC72" s="38">
        <v>5.7859999999999996</v>
      </c>
      <c r="BD72" s="35" t="s">
        <v>126</v>
      </c>
      <c r="BE72" s="35" t="s">
        <v>147</v>
      </c>
      <c r="BF72" s="35">
        <v>0</v>
      </c>
      <c r="BG72" s="38">
        <v>0</v>
      </c>
      <c r="BH72" s="35" t="s">
        <v>1319</v>
      </c>
    </row>
    <row r="73" spans="1:60" x14ac:dyDescent="0.3">
      <c r="A73" s="6" t="str">
        <f t="shared" ref="A73:A138" si="1">I73</f>
        <v>000110</v>
      </c>
      <c r="B73" s="35" t="s">
        <v>43</v>
      </c>
      <c r="C73" s="35" t="s">
        <v>396</v>
      </c>
      <c r="D73" s="35" t="s">
        <v>206</v>
      </c>
      <c r="E73" s="35" t="s">
        <v>501</v>
      </c>
      <c r="F73" s="35" t="s">
        <v>502</v>
      </c>
      <c r="G73" s="35" t="s">
        <v>501</v>
      </c>
      <c r="H73" s="35" t="s">
        <v>502</v>
      </c>
      <c r="I73" s="35" t="s">
        <v>1210</v>
      </c>
      <c r="J73" s="35" t="s">
        <v>47</v>
      </c>
      <c r="K73" s="35" t="s">
        <v>1160</v>
      </c>
      <c r="L73" s="35" t="s">
        <v>205</v>
      </c>
      <c r="M73" s="126">
        <v>8</v>
      </c>
      <c r="N73" s="123">
        <v>45924</v>
      </c>
      <c r="O73" s="123">
        <v>46036</v>
      </c>
      <c r="P73" s="38">
        <v>110287</v>
      </c>
      <c r="Q73" s="38">
        <v>125000</v>
      </c>
      <c r="R73" s="126">
        <v>0</v>
      </c>
      <c r="S73" s="126">
        <v>16</v>
      </c>
      <c r="T73" s="35" t="s">
        <v>95</v>
      </c>
      <c r="U73" s="38">
        <v>9500.08</v>
      </c>
      <c r="V73" s="38">
        <v>0</v>
      </c>
      <c r="W73" s="38">
        <v>0</v>
      </c>
      <c r="X73" s="38">
        <v>5</v>
      </c>
      <c r="Y73" s="38">
        <v>0</v>
      </c>
      <c r="Z73" s="38">
        <v>85937.5</v>
      </c>
      <c r="AA73" s="38">
        <v>0</v>
      </c>
      <c r="AB73" s="38">
        <v>0</v>
      </c>
      <c r="AC73" s="38">
        <v>0</v>
      </c>
      <c r="AD73" s="38">
        <v>0</v>
      </c>
      <c r="AE73" s="38">
        <v>9508</v>
      </c>
      <c r="AF73" s="123">
        <v>45958</v>
      </c>
      <c r="AG73" s="35" t="s">
        <v>96</v>
      </c>
      <c r="AH73" s="35"/>
      <c r="AI73" s="35"/>
      <c r="AJ73" s="35"/>
      <c r="AK73" s="35"/>
      <c r="AL73" s="35"/>
      <c r="AM73" s="35"/>
      <c r="AN73" s="35"/>
      <c r="AO73" s="35"/>
      <c r="AQ73" s="35"/>
      <c r="AR73" s="38">
        <v>104475.33</v>
      </c>
      <c r="AS73" s="38">
        <v>25.583333333333329</v>
      </c>
      <c r="AT73" s="35">
        <v>0</v>
      </c>
      <c r="AU73" s="35">
        <v>0</v>
      </c>
      <c r="AV73" s="35" t="s">
        <v>47</v>
      </c>
      <c r="AW73" s="35" t="s">
        <v>52</v>
      </c>
      <c r="AX73" s="35"/>
      <c r="AY73" s="35" t="s">
        <v>98</v>
      </c>
      <c r="AZ73" s="35" t="s">
        <v>99</v>
      </c>
      <c r="BA73" s="35" t="s">
        <v>42</v>
      </c>
      <c r="BB73" s="38"/>
      <c r="BC73" s="38">
        <v>5.7859999999999996</v>
      </c>
      <c r="BD73" s="35" t="s">
        <v>124</v>
      </c>
      <c r="BE73" s="35" t="s">
        <v>160</v>
      </c>
      <c r="BF73" s="35">
        <v>0</v>
      </c>
      <c r="BG73" s="38">
        <v>0</v>
      </c>
      <c r="BH73" s="35" t="s">
        <v>1320</v>
      </c>
    </row>
    <row r="74" spans="1:60" x14ac:dyDescent="0.3">
      <c r="A74" s="6" t="str">
        <f t="shared" si="1"/>
        <v>000030</v>
      </c>
      <c r="B74" s="35" t="s">
        <v>43</v>
      </c>
      <c r="C74" s="35" t="s">
        <v>424</v>
      </c>
      <c r="D74" s="35" t="s">
        <v>204</v>
      </c>
      <c r="E74" s="35" t="s">
        <v>39</v>
      </c>
      <c r="F74" s="35" t="s">
        <v>40</v>
      </c>
      <c r="G74" s="35" t="s">
        <v>39</v>
      </c>
      <c r="H74" s="35" t="s">
        <v>40</v>
      </c>
      <c r="I74" s="35" t="s">
        <v>498</v>
      </c>
      <c r="J74" s="35" t="s">
        <v>47</v>
      </c>
      <c r="K74" s="35" t="s">
        <v>440</v>
      </c>
      <c r="L74" s="35" t="s">
        <v>205</v>
      </c>
      <c r="M74" s="126">
        <v>7</v>
      </c>
      <c r="N74" s="123">
        <v>45894</v>
      </c>
      <c r="O74" s="123">
        <v>46006</v>
      </c>
      <c r="P74" s="38">
        <v>118437</v>
      </c>
      <c r="Q74" s="38">
        <v>134000</v>
      </c>
      <c r="R74" s="126">
        <v>0</v>
      </c>
      <c r="S74" s="126">
        <v>16</v>
      </c>
      <c r="T74" s="35" t="s">
        <v>95</v>
      </c>
      <c r="U74" s="38">
        <v>10184.09</v>
      </c>
      <c r="V74" s="38">
        <v>0</v>
      </c>
      <c r="W74" s="38">
        <v>0</v>
      </c>
      <c r="X74" s="38">
        <v>9</v>
      </c>
      <c r="Y74" s="38">
        <v>0</v>
      </c>
      <c r="Z74" s="38">
        <v>58625.03</v>
      </c>
      <c r="AA74" s="38">
        <v>3.4000000000000002E-2</v>
      </c>
      <c r="AB74" s="38">
        <v>0</v>
      </c>
      <c r="AC74" s="38">
        <v>0</v>
      </c>
      <c r="AD74" s="38">
        <v>0</v>
      </c>
      <c r="AE74" s="38">
        <v>10184.09</v>
      </c>
      <c r="AF74" s="123">
        <v>45954</v>
      </c>
      <c r="AG74" s="35" t="s">
        <v>96</v>
      </c>
      <c r="AH74" s="35"/>
      <c r="AI74" s="35"/>
      <c r="AJ74" s="35"/>
      <c r="AK74" s="35"/>
      <c r="AL74" s="35"/>
      <c r="AM74" s="35"/>
      <c r="AN74" s="35"/>
      <c r="AO74" s="35"/>
      <c r="AQ74" s="35"/>
      <c r="AR74" s="38">
        <v>71288.66</v>
      </c>
      <c r="AS74" s="38">
        <v>0</v>
      </c>
      <c r="AT74" s="35">
        <v>1</v>
      </c>
      <c r="AU74" s="35">
        <v>1</v>
      </c>
      <c r="AV74" s="35" t="s">
        <v>47</v>
      </c>
      <c r="AW74" s="35" t="s">
        <v>52</v>
      </c>
      <c r="AX74" s="35" t="s">
        <v>499</v>
      </c>
      <c r="AY74" s="35" t="s">
        <v>98</v>
      </c>
      <c r="AZ74" s="35" t="s">
        <v>99</v>
      </c>
      <c r="BA74" s="35" t="s">
        <v>42</v>
      </c>
      <c r="BB74" s="38"/>
      <c r="BC74" s="38">
        <v>5.7859999999999996</v>
      </c>
      <c r="BD74" s="35" t="s">
        <v>126</v>
      </c>
      <c r="BE74" s="35" t="s">
        <v>500</v>
      </c>
      <c r="BF74" s="35">
        <v>0</v>
      </c>
      <c r="BG74" s="38">
        <v>0</v>
      </c>
      <c r="BH74" s="35" t="s">
        <v>1319</v>
      </c>
    </row>
    <row r="75" spans="1:60" x14ac:dyDescent="0.3">
      <c r="A75" s="6" t="str">
        <f t="shared" si="1"/>
        <v>000032</v>
      </c>
      <c r="B75" s="35" t="s">
        <v>43</v>
      </c>
      <c r="C75" s="35" t="s">
        <v>42</v>
      </c>
      <c r="D75" s="35" t="s">
        <v>1526</v>
      </c>
      <c r="E75" s="35" t="s">
        <v>148</v>
      </c>
      <c r="F75" s="35" t="s">
        <v>149</v>
      </c>
      <c r="G75" s="35" t="s">
        <v>148</v>
      </c>
      <c r="H75" s="35" t="s">
        <v>149</v>
      </c>
      <c r="I75" s="35" t="s">
        <v>491</v>
      </c>
      <c r="J75" s="35" t="s">
        <v>47</v>
      </c>
      <c r="K75" s="35" t="s">
        <v>436</v>
      </c>
      <c r="L75" s="35" t="s">
        <v>205</v>
      </c>
      <c r="M75" s="126">
        <v>6</v>
      </c>
      <c r="N75" s="123">
        <v>45891</v>
      </c>
      <c r="O75" s="123">
        <v>46003</v>
      </c>
      <c r="P75" s="38">
        <v>148234</v>
      </c>
      <c r="Q75" s="38">
        <v>167000</v>
      </c>
      <c r="R75" s="126">
        <v>0</v>
      </c>
      <c r="S75" s="126">
        <v>16</v>
      </c>
      <c r="T75" s="35" t="s">
        <v>95</v>
      </c>
      <c r="U75" s="38">
        <v>12692.11</v>
      </c>
      <c r="V75" s="38">
        <v>0</v>
      </c>
      <c r="W75" s="38">
        <v>0</v>
      </c>
      <c r="X75" s="38">
        <v>10</v>
      </c>
      <c r="Y75" s="38">
        <v>1</v>
      </c>
      <c r="Z75" s="38">
        <v>73062.5</v>
      </c>
      <c r="AA75" s="38">
        <v>12661.1133333333</v>
      </c>
      <c r="AB75" s="38">
        <v>306.7</v>
      </c>
      <c r="AC75" s="38">
        <v>0</v>
      </c>
      <c r="AD75" s="38">
        <v>0</v>
      </c>
      <c r="AE75" s="38">
        <v>12693</v>
      </c>
      <c r="AF75" s="123">
        <v>45954</v>
      </c>
      <c r="AG75" s="35" t="s">
        <v>96</v>
      </c>
      <c r="AH75" s="35"/>
      <c r="AI75" s="35"/>
      <c r="AJ75" s="35"/>
      <c r="AK75" s="35"/>
      <c r="AL75" s="35"/>
      <c r="AM75" s="35"/>
      <c r="AN75" s="35"/>
      <c r="AO75" s="35"/>
      <c r="AQ75" s="35"/>
      <c r="AR75" s="38">
        <v>88813.78</v>
      </c>
      <c r="AS75" s="38">
        <v>0</v>
      </c>
      <c r="AT75" s="35">
        <v>1</v>
      </c>
      <c r="AU75" s="35">
        <v>1</v>
      </c>
      <c r="AV75" s="35" t="s">
        <v>47</v>
      </c>
      <c r="AW75" s="35" t="s">
        <v>52</v>
      </c>
      <c r="AX75" s="35" t="s">
        <v>738</v>
      </c>
      <c r="AY75" s="35" t="s">
        <v>98</v>
      </c>
      <c r="AZ75" s="35" t="s">
        <v>99</v>
      </c>
      <c r="BA75" s="35" t="s">
        <v>42</v>
      </c>
      <c r="BB75" s="38"/>
      <c r="BC75" s="38">
        <v>5.7859999999999996</v>
      </c>
      <c r="BD75" s="35" t="s">
        <v>168</v>
      </c>
      <c r="BE75" s="35" t="s">
        <v>185</v>
      </c>
      <c r="BF75" s="35">
        <v>0</v>
      </c>
      <c r="BG75" s="38">
        <v>0</v>
      </c>
      <c r="BH75" s="35" t="s">
        <v>1319</v>
      </c>
    </row>
    <row r="76" spans="1:60" x14ac:dyDescent="0.3">
      <c r="A76" s="6" t="str">
        <f t="shared" si="1"/>
        <v>000045</v>
      </c>
      <c r="B76" s="35" t="s">
        <v>43</v>
      </c>
      <c r="C76" s="35" t="s">
        <v>396</v>
      </c>
      <c r="D76" s="35" t="s">
        <v>206</v>
      </c>
      <c r="E76" s="35" t="s">
        <v>501</v>
      </c>
      <c r="F76" s="35" t="s">
        <v>502</v>
      </c>
      <c r="G76" s="35" t="s">
        <v>501</v>
      </c>
      <c r="H76" s="35" t="s">
        <v>502</v>
      </c>
      <c r="I76" s="35" t="s">
        <v>601</v>
      </c>
      <c r="J76" s="35" t="s">
        <v>47</v>
      </c>
      <c r="K76" s="35" t="s">
        <v>602</v>
      </c>
      <c r="L76" s="35" t="s">
        <v>205</v>
      </c>
      <c r="M76" s="126">
        <v>9</v>
      </c>
      <c r="N76" s="123">
        <v>45896</v>
      </c>
      <c r="O76" s="123">
        <v>46008</v>
      </c>
      <c r="P76" s="38">
        <v>101060</v>
      </c>
      <c r="Q76" s="38">
        <v>115000</v>
      </c>
      <c r="R76" s="126">
        <v>0</v>
      </c>
      <c r="S76" s="126">
        <v>16</v>
      </c>
      <c r="T76" s="35" t="s">
        <v>95</v>
      </c>
      <c r="U76" s="38">
        <v>8740.08</v>
      </c>
      <c r="V76" s="38">
        <v>0</v>
      </c>
      <c r="W76" s="38">
        <v>0</v>
      </c>
      <c r="X76" s="38">
        <v>9</v>
      </c>
      <c r="Y76" s="38">
        <v>0</v>
      </c>
      <c r="Z76" s="38">
        <v>50312.5</v>
      </c>
      <c r="AA76" s="38">
        <v>0</v>
      </c>
      <c r="AB76" s="38">
        <v>0</v>
      </c>
      <c r="AC76" s="38">
        <v>0</v>
      </c>
      <c r="AD76" s="38">
        <v>0</v>
      </c>
      <c r="AE76" s="38">
        <v>8748</v>
      </c>
      <c r="AF76" s="123">
        <v>45958</v>
      </c>
      <c r="AG76" s="35" t="s">
        <v>96</v>
      </c>
      <c r="AH76" s="35"/>
      <c r="AI76" s="35"/>
      <c r="AJ76" s="35"/>
      <c r="AK76" s="35"/>
      <c r="AL76" s="35"/>
      <c r="AM76" s="35"/>
      <c r="AN76" s="35"/>
      <c r="AO76" s="35"/>
      <c r="AQ76" s="35"/>
      <c r="AR76" s="38">
        <v>60999.23</v>
      </c>
      <c r="AS76" s="38">
        <v>181.31</v>
      </c>
      <c r="AT76" s="35">
        <v>0</v>
      </c>
      <c r="AU76" s="35">
        <v>0</v>
      </c>
      <c r="AV76" s="35" t="s">
        <v>47</v>
      </c>
      <c r="AW76" s="35" t="s">
        <v>52</v>
      </c>
      <c r="AX76" s="35" t="s">
        <v>603</v>
      </c>
      <c r="AY76" s="35" t="s">
        <v>98</v>
      </c>
      <c r="AZ76" s="35" t="s">
        <v>99</v>
      </c>
      <c r="BA76" s="35" t="s">
        <v>42</v>
      </c>
      <c r="BB76" s="38"/>
      <c r="BC76" s="38">
        <v>5.7859999999999996</v>
      </c>
      <c r="BD76" s="35" t="s">
        <v>124</v>
      </c>
      <c r="BE76" s="35" t="s">
        <v>604</v>
      </c>
      <c r="BF76" s="35">
        <v>0</v>
      </c>
      <c r="BG76" s="38">
        <v>0</v>
      </c>
      <c r="BH76" s="35" t="s">
        <v>1319</v>
      </c>
    </row>
    <row r="77" spans="1:60" x14ac:dyDescent="0.3">
      <c r="A77" s="6" t="str">
        <f t="shared" si="1"/>
        <v>000086</v>
      </c>
      <c r="B77" s="35" t="s">
        <v>43</v>
      </c>
      <c r="C77" s="35" t="s">
        <v>42</v>
      </c>
      <c r="D77" s="35" t="s">
        <v>1526</v>
      </c>
      <c r="E77" s="35" t="s">
        <v>883</v>
      </c>
      <c r="F77" s="35" t="s">
        <v>884</v>
      </c>
      <c r="G77" s="35" t="s">
        <v>883</v>
      </c>
      <c r="H77" s="35" t="s">
        <v>884</v>
      </c>
      <c r="I77" s="35" t="s">
        <v>1052</v>
      </c>
      <c r="J77" s="35" t="s">
        <v>47</v>
      </c>
      <c r="K77" s="35" t="s">
        <v>945</v>
      </c>
      <c r="L77" s="35" t="s">
        <v>205</v>
      </c>
      <c r="M77" s="126">
        <v>6</v>
      </c>
      <c r="N77" s="123">
        <v>45912</v>
      </c>
      <c r="O77" s="123">
        <v>46024</v>
      </c>
      <c r="P77" s="38">
        <v>52476</v>
      </c>
      <c r="Q77" s="38">
        <v>60000</v>
      </c>
      <c r="R77" s="126">
        <v>0</v>
      </c>
      <c r="S77" s="126">
        <v>16</v>
      </c>
      <c r="T77" s="35" t="s">
        <v>95</v>
      </c>
      <c r="U77" s="38">
        <v>4560.04</v>
      </c>
      <c r="V77" s="38">
        <v>0</v>
      </c>
      <c r="W77" s="38">
        <v>0</v>
      </c>
      <c r="X77" s="38">
        <v>7</v>
      </c>
      <c r="Y77" s="38">
        <v>0</v>
      </c>
      <c r="Z77" s="38">
        <v>33750</v>
      </c>
      <c r="AA77" s="38">
        <v>0</v>
      </c>
      <c r="AB77" s="38">
        <v>0</v>
      </c>
      <c r="AC77" s="38">
        <v>0</v>
      </c>
      <c r="AD77" s="38">
        <v>0</v>
      </c>
      <c r="AE77" s="38">
        <v>4560</v>
      </c>
      <c r="AF77" s="123">
        <v>45960</v>
      </c>
      <c r="AG77" s="35" t="s">
        <v>96</v>
      </c>
      <c r="AH77" s="35"/>
      <c r="AI77" s="35"/>
      <c r="AJ77" s="35"/>
      <c r="AK77" s="35"/>
      <c r="AL77" s="35"/>
      <c r="AM77" s="35"/>
      <c r="AN77" s="35"/>
      <c r="AO77" s="35"/>
      <c r="AQ77" s="35"/>
      <c r="AR77" s="38">
        <v>41037.64</v>
      </c>
      <c r="AS77" s="38">
        <v>2.72</v>
      </c>
      <c r="AT77" s="35">
        <v>0</v>
      </c>
      <c r="AU77" s="35">
        <v>0</v>
      </c>
      <c r="AV77" s="35" t="s">
        <v>47</v>
      </c>
      <c r="AW77" s="35" t="s">
        <v>52</v>
      </c>
      <c r="AX77" s="35"/>
      <c r="AY77" s="35" t="s">
        <v>1059</v>
      </c>
      <c r="AZ77" s="35" t="s">
        <v>99</v>
      </c>
      <c r="BA77" s="35" t="s">
        <v>1264</v>
      </c>
      <c r="BB77" s="38"/>
      <c r="BC77" s="38">
        <v>5.7859999999999996</v>
      </c>
      <c r="BD77" s="35" t="s">
        <v>168</v>
      </c>
      <c r="BE77" s="35" t="s">
        <v>185</v>
      </c>
      <c r="BF77" s="35">
        <v>0</v>
      </c>
      <c r="BG77" s="38">
        <v>0</v>
      </c>
      <c r="BH77" s="35" t="s">
        <v>1319</v>
      </c>
    </row>
    <row r="78" spans="1:60" x14ac:dyDescent="0.3">
      <c r="A78" s="6" t="str">
        <f t="shared" si="1"/>
        <v>000199</v>
      </c>
      <c r="B78" s="35" t="s">
        <v>43</v>
      </c>
      <c r="C78" s="35" t="s">
        <v>396</v>
      </c>
      <c r="D78" s="35" t="s">
        <v>206</v>
      </c>
      <c r="E78" s="35" t="s">
        <v>501</v>
      </c>
      <c r="F78" s="35" t="s">
        <v>502</v>
      </c>
      <c r="G78" s="35" t="s">
        <v>501</v>
      </c>
      <c r="H78" s="35" t="s">
        <v>502</v>
      </c>
      <c r="I78" s="35" t="s">
        <v>2083</v>
      </c>
      <c r="J78" s="35" t="s">
        <v>47</v>
      </c>
      <c r="K78" s="35" t="s">
        <v>2084</v>
      </c>
      <c r="L78" s="35" t="s">
        <v>205</v>
      </c>
      <c r="M78" s="126">
        <v>6</v>
      </c>
      <c r="N78" s="123">
        <v>45960</v>
      </c>
      <c r="O78" s="123">
        <v>46072</v>
      </c>
      <c r="P78" s="38">
        <v>56076</v>
      </c>
      <c r="Q78" s="38">
        <v>64000</v>
      </c>
      <c r="R78" s="126">
        <v>0</v>
      </c>
      <c r="S78" s="126">
        <v>16</v>
      </c>
      <c r="T78" s="35" t="s">
        <v>95</v>
      </c>
      <c r="U78" s="38">
        <v>4864.04</v>
      </c>
      <c r="V78" s="38">
        <v>0</v>
      </c>
      <c r="W78" s="38">
        <v>0</v>
      </c>
      <c r="X78" s="38">
        <v>0</v>
      </c>
      <c r="Y78" s="38">
        <v>0</v>
      </c>
      <c r="Z78" s="38">
        <v>64000</v>
      </c>
      <c r="AA78" s="38">
        <v>0</v>
      </c>
      <c r="AB78" s="38">
        <v>0</v>
      </c>
      <c r="AC78" s="38">
        <v>0</v>
      </c>
      <c r="AD78" s="38">
        <v>0</v>
      </c>
      <c r="AE78" s="38"/>
      <c r="AF78" s="123"/>
      <c r="AG78" s="35" t="s">
        <v>96</v>
      </c>
      <c r="AH78" s="35"/>
      <c r="AI78" s="35"/>
      <c r="AJ78" s="35"/>
      <c r="AK78" s="35"/>
      <c r="AL78" s="35"/>
      <c r="AM78" s="35"/>
      <c r="AN78" s="35"/>
      <c r="AO78" s="35"/>
      <c r="AQ78" s="35"/>
      <c r="AR78" s="38">
        <v>77824.680000000008</v>
      </c>
      <c r="AS78" s="38">
        <v>0</v>
      </c>
      <c r="AT78" s="35">
        <v>0</v>
      </c>
      <c r="AU78" s="35">
        <v>0</v>
      </c>
      <c r="AV78" s="35" t="s">
        <v>47</v>
      </c>
      <c r="AW78" s="35" t="s">
        <v>52</v>
      </c>
      <c r="AX78" s="35" t="s">
        <v>2091</v>
      </c>
      <c r="AY78" s="35" t="s">
        <v>98</v>
      </c>
      <c r="AZ78" s="35" t="s">
        <v>99</v>
      </c>
      <c r="BA78" s="35" t="s">
        <v>42</v>
      </c>
      <c r="BB78" s="38"/>
      <c r="BC78" s="38">
        <v>5.7859999999999996</v>
      </c>
      <c r="BD78" s="35" t="s">
        <v>197</v>
      </c>
      <c r="BE78" s="35" t="s">
        <v>147</v>
      </c>
      <c r="BF78" s="35">
        <v>0</v>
      </c>
      <c r="BG78" s="38"/>
      <c r="BH78" s="35" t="s">
        <v>1320</v>
      </c>
    </row>
    <row r="79" spans="1:60" x14ac:dyDescent="0.3">
      <c r="A79" s="6" t="str">
        <f t="shared" si="1"/>
        <v>000169</v>
      </c>
      <c r="B79" s="35" t="s">
        <v>49</v>
      </c>
      <c r="C79" s="35" t="s">
        <v>388</v>
      </c>
      <c r="D79" s="35" t="s">
        <v>207</v>
      </c>
      <c r="E79" s="35" t="s">
        <v>188</v>
      </c>
      <c r="F79" s="35" t="s">
        <v>190</v>
      </c>
      <c r="G79" s="35" t="s">
        <v>188</v>
      </c>
      <c r="H79" s="35" t="s">
        <v>190</v>
      </c>
      <c r="I79" s="35" t="s">
        <v>1838</v>
      </c>
      <c r="J79" s="35" t="s">
        <v>47</v>
      </c>
      <c r="K79" s="35" t="s">
        <v>1839</v>
      </c>
      <c r="L79" s="35" t="s">
        <v>205</v>
      </c>
      <c r="M79" s="126">
        <v>6</v>
      </c>
      <c r="N79" s="123">
        <v>45951</v>
      </c>
      <c r="O79" s="123">
        <v>46063</v>
      </c>
      <c r="P79" s="38">
        <v>109264</v>
      </c>
      <c r="Q79" s="38">
        <v>123500</v>
      </c>
      <c r="R79" s="126">
        <v>0</v>
      </c>
      <c r="S79" s="126">
        <v>16</v>
      </c>
      <c r="T79" s="35" t="s">
        <v>95</v>
      </c>
      <c r="U79" s="38">
        <v>9386.08</v>
      </c>
      <c r="V79" s="38">
        <v>0</v>
      </c>
      <c r="W79" s="38">
        <v>0</v>
      </c>
      <c r="X79" s="38">
        <v>1</v>
      </c>
      <c r="Y79" s="38">
        <v>0</v>
      </c>
      <c r="Z79" s="38">
        <v>115781.35</v>
      </c>
      <c r="AA79" s="38">
        <v>8.2333333333332995E-2</v>
      </c>
      <c r="AB79" s="38">
        <v>0</v>
      </c>
      <c r="AC79" s="38">
        <v>0</v>
      </c>
      <c r="AD79" s="38">
        <v>0</v>
      </c>
      <c r="AE79" s="38">
        <v>9386</v>
      </c>
      <c r="AF79" s="123">
        <v>45957</v>
      </c>
      <c r="AG79" s="35" t="s">
        <v>96</v>
      </c>
      <c r="AH79" s="35"/>
      <c r="AI79" s="35"/>
      <c r="AJ79" s="35"/>
      <c r="AK79" s="35"/>
      <c r="AL79" s="35"/>
      <c r="AM79" s="35"/>
      <c r="AN79" s="35"/>
      <c r="AO79" s="35"/>
      <c r="AQ79" s="35"/>
      <c r="AR79" s="38">
        <v>140791.32</v>
      </c>
      <c r="AS79" s="38">
        <v>0</v>
      </c>
      <c r="AT79" s="35">
        <v>0</v>
      </c>
      <c r="AU79" s="35">
        <v>0</v>
      </c>
      <c r="AV79" s="35" t="s">
        <v>47</v>
      </c>
      <c r="AW79" s="35" t="s">
        <v>52</v>
      </c>
      <c r="AX79" s="35" t="s">
        <v>1866</v>
      </c>
      <c r="AY79" s="35" t="s">
        <v>98</v>
      </c>
      <c r="AZ79" s="35" t="s">
        <v>99</v>
      </c>
      <c r="BA79" s="35" t="s">
        <v>42</v>
      </c>
      <c r="BB79" s="38"/>
      <c r="BC79" s="38">
        <v>5.7859999999999996</v>
      </c>
      <c r="BD79" s="35" t="s">
        <v>146</v>
      </c>
      <c r="BE79" s="35" t="s">
        <v>982</v>
      </c>
      <c r="BF79" s="35">
        <v>0</v>
      </c>
      <c r="BG79" s="38">
        <v>0</v>
      </c>
      <c r="BH79" s="35" t="s">
        <v>1319</v>
      </c>
    </row>
    <row r="80" spans="1:60" x14ac:dyDescent="0.3">
      <c r="A80" s="6" t="str">
        <f t="shared" si="1"/>
        <v>000163</v>
      </c>
      <c r="B80" s="35" t="s">
        <v>43</v>
      </c>
      <c r="C80" s="35" t="s">
        <v>396</v>
      </c>
      <c r="D80" s="35" t="s">
        <v>206</v>
      </c>
      <c r="E80" s="35" t="s">
        <v>143</v>
      </c>
      <c r="F80" s="35" t="s">
        <v>144</v>
      </c>
      <c r="G80" s="35" t="s">
        <v>143</v>
      </c>
      <c r="H80" s="35" t="s">
        <v>144</v>
      </c>
      <c r="I80" s="35" t="s">
        <v>1802</v>
      </c>
      <c r="J80" s="35" t="s">
        <v>47</v>
      </c>
      <c r="K80" s="35" t="s">
        <v>1574</v>
      </c>
      <c r="L80" s="35" t="s">
        <v>205</v>
      </c>
      <c r="M80" s="126">
        <v>5</v>
      </c>
      <c r="N80" s="123">
        <v>45947</v>
      </c>
      <c r="O80" s="123">
        <v>46059</v>
      </c>
      <c r="P80" s="38">
        <v>96495</v>
      </c>
      <c r="Q80" s="38">
        <v>109000</v>
      </c>
      <c r="R80" s="126">
        <v>0</v>
      </c>
      <c r="S80" s="126">
        <v>16</v>
      </c>
      <c r="T80" s="35" t="s">
        <v>95</v>
      </c>
      <c r="U80" s="38">
        <v>8284.07</v>
      </c>
      <c r="V80" s="38">
        <v>0</v>
      </c>
      <c r="W80" s="38">
        <v>0</v>
      </c>
      <c r="X80" s="38">
        <v>2</v>
      </c>
      <c r="Y80" s="38">
        <v>0</v>
      </c>
      <c r="Z80" s="38">
        <v>95375</v>
      </c>
      <c r="AA80" s="38">
        <v>0</v>
      </c>
      <c r="AB80" s="38">
        <v>0</v>
      </c>
      <c r="AC80" s="38">
        <v>0</v>
      </c>
      <c r="AD80" s="38">
        <v>0</v>
      </c>
      <c r="AE80" s="38">
        <v>8285</v>
      </c>
      <c r="AF80" s="123">
        <v>45960</v>
      </c>
      <c r="AG80" s="35" t="s">
        <v>96</v>
      </c>
      <c r="AH80" s="35"/>
      <c r="AI80" s="35"/>
      <c r="AJ80" s="35"/>
      <c r="AK80" s="35"/>
      <c r="AL80" s="35"/>
      <c r="AM80" s="35"/>
      <c r="AN80" s="35"/>
      <c r="AO80" s="35"/>
      <c r="AQ80" s="35"/>
      <c r="AR80" s="38">
        <v>115975.16</v>
      </c>
      <c r="AS80" s="38">
        <v>1.85466666666667</v>
      </c>
      <c r="AT80" s="35">
        <v>0</v>
      </c>
      <c r="AU80" s="35">
        <v>0</v>
      </c>
      <c r="AV80" s="35" t="s">
        <v>47</v>
      </c>
      <c r="AW80" s="35" t="s">
        <v>52</v>
      </c>
      <c r="AX80" s="35" t="s">
        <v>1807</v>
      </c>
      <c r="AY80" s="35" t="s">
        <v>98</v>
      </c>
      <c r="AZ80" s="35" t="s">
        <v>99</v>
      </c>
      <c r="BA80" s="35" t="s">
        <v>42</v>
      </c>
      <c r="BB80" s="38"/>
      <c r="BC80" s="38">
        <v>5.7859999999999996</v>
      </c>
      <c r="BD80" s="35" t="s">
        <v>168</v>
      </c>
      <c r="BE80" s="35" t="s">
        <v>198</v>
      </c>
      <c r="BF80" s="35">
        <v>0</v>
      </c>
      <c r="BG80" s="38">
        <v>0</v>
      </c>
      <c r="BH80" s="35" t="s">
        <v>1319</v>
      </c>
    </row>
    <row r="81" spans="1:60" x14ac:dyDescent="0.3">
      <c r="A81" s="6" t="str">
        <f t="shared" si="1"/>
        <v>000167</v>
      </c>
      <c r="B81" s="35" t="s">
        <v>43</v>
      </c>
      <c r="C81" s="35" t="s">
        <v>424</v>
      </c>
      <c r="D81" s="35" t="s">
        <v>204</v>
      </c>
      <c r="E81" s="35" t="s">
        <v>189</v>
      </c>
      <c r="F81" s="35" t="s">
        <v>191</v>
      </c>
      <c r="G81" s="35" t="s">
        <v>189</v>
      </c>
      <c r="H81" s="35" t="s">
        <v>191</v>
      </c>
      <c r="I81" s="35" t="s">
        <v>1817</v>
      </c>
      <c r="J81" s="35" t="s">
        <v>47</v>
      </c>
      <c r="K81" s="35" t="s">
        <v>1818</v>
      </c>
      <c r="L81" s="35" t="s">
        <v>205</v>
      </c>
      <c r="M81" s="126">
        <v>6</v>
      </c>
      <c r="N81" s="123">
        <v>45950</v>
      </c>
      <c r="O81" s="123">
        <v>46062</v>
      </c>
      <c r="P81" s="38">
        <v>74745</v>
      </c>
      <c r="Q81" s="38">
        <v>85000</v>
      </c>
      <c r="R81" s="126">
        <v>0</v>
      </c>
      <c r="S81" s="126">
        <v>16</v>
      </c>
      <c r="T81" s="35" t="s">
        <v>95</v>
      </c>
      <c r="U81" s="38">
        <v>6460.06</v>
      </c>
      <c r="V81" s="38">
        <v>0</v>
      </c>
      <c r="W81" s="38">
        <v>0</v>
      </c>
      <c r="X81" s="38">
        <v>1</v>
      </c>
      <c r="Y81" s="38">
        <v>0</v>
      </c>
      <c r="Z81" s="38">
        <v>79687.5</v>
      </c>
      <c r="AA81" s="38">
        <v>0</v>
      </c>
      <c r="AB81" s="38">
        <v>0</v>
      </c>
      <c r="AC81" s="38">
        <v>0</v>
      </c>
      <c r="AD81" s="38">
        <v>0</v>
      </c>
      <c r="AE81" s="38">
        <v>6465</v>
      </c>
      <c r="AF81" s="123">
        <v>45954</v>
      </c>
      <c r="AG81" s="35" t="s">
        <v>96</v>
      </c>
      <c r="AH81" s="35"/>
      <c r="AI81" s="35"/>
      <c r="AJ81" s="35"/>
      <c r="AK81" s="35"/>
      <c r="AL81" s="35"/>
      <c r="AM81" s="35"/>
      <c r="AN81" s="35"/>
      <c r="AO81" s="35"/>
      <c r="AQ81" s="35"/>
      <c r="AR81" s="38">
        <v>96895.91</v>
      </c>
      <c r="AS81" s="38">
        <v>4.9433333333333298</v>
      </c>
      <c r="AT81" s="35">
        <v>1</v>
      </c>
      <c r="AU81" s="35">
        <v>1</v>
      </c>
      <c r="AV81" s="35" t="s">
        <v>47</v>
      </c>
      <c r="AW81" s="35" t="s">
        <v>52</v>
      </c>
      <c r="AX81" s="35" t="s">
        <v>1819</v>
      </c>
      <c r="AY81" s="35" t="s">
        <v>98</v>
      </c>
      <c r="AZ81" s="35" t="s">
        <v>99</v>
      </c>
      <c r="BA81" s="35" t="s">
        <v>42</v>
      </c>
      <c r="BB81" s="38"/>
      <c r="BC81" s="38">
        <v>5.7859999999999996</v>
      </c>
      <c r="BD81" s="35" t="s">
        <v>126</v>
      </c>
      <c r="BE81" s="35" t="s">
        <v>198</v>
      </c>
      <c r="BF81" s="35">
        <v>0</v>
      </c>
      <c r="BG81" s="38">
        <v>0</v>
      </c>
      <c r="BH81" s="35" t="s">
        <v>1319</v>
      </c>
    </row>
    <row r="82" spans="1:60" x14ac:dyDescent="0.3">
      <c r="A82" s="6" t="str">
        <f t="shared" si="1"/>
        <v>000070</v>
      </c>
      <c r="B82" s="35" t="s">
        <v>49</v>
      </c>
      <c r="C82" s="35" t="s">
        <v>388</v>
      </c>
      <c r="D82" s="35" t="s">
        <v>207</v>
      </c>
      <c r="E82" s="35" t="s">
        <v>170</v>
      </c>
      <c r="F82" s="35" t="s">
        <v>171</v>
      </c>
      <c r="G82" s="35" t="s">
        <v>170</v>
      </c>
      <c r="H82" s="35" t="s">
        <v>171</v>
      </c>
      <c r="I82" s="35" t="s">
        <v>189</v>
      </c>
      <c r="J82" s="35" t="s">
        <v>47</v>
      </c>
      <c r="K82" s="35" t="s">
        <v>932</v>
      </c>
      <c r="L82" s="35" t="s">
        <v>205</v>
      </c>
      <c r="M82" s="126">
        <v>6</v>
      </c>
      <c r="N82" s="123">
        <v>45911</v>
      </c>
      <c r="O82" s="123">
        <v>46023</v>
      </c>
      <c r="P82" s="38">
        <v>102541</v>
      </c>
      <c r="Q82" s="38">
        <v>116000</v>
      </c>
      <c r="R82" s="126">
        <v>0</v>
      </c>
      <c r="S82" s="126">
        <v>16</v>
      </c>
      <c r="T82" s="35" t="s">
        <v>95</v>
      </c>
      <c r="U82" s="38">
        <v>8816.08</v>
      </c>
      <c r="V82" s="38">
        <v>0</v>
      </c>
      <c r="W82" s="38">
        <v>0</v>
      </c>
      <c r="X82" s="38">
        <v>7</v>
      </c>
      <c r="Y82" s="38">
        <v>0</v>
      </c>
      <c r="Z82" s="38">
        <v>65250</v>
      </c>
      <c r="AA82" s="38">
        <v>0</v>
      </c>
      <c r="AB82" s="38">
        <v>0</v>
      </c>
      <c r="AC82" s="38">
        <v>0</v>
      </c>
      <c r="AD82" s="38">
        <v>0</v>
      </c>
      <c r="AE82" s="38">
        <v>8822</v>
      </c>
      <c r="AF82" s="123">
        <v>45959</v>
      </c>
      <c r="AG82" s="35" t="s">
        <v>96</v>
      </c>
      <c r="AH82" s="35"/>
      <c r="AI82" s="35"/>
      <c r="AJ82" s="35"/>
      <c r="AK82" s="35"/>
      <c r="AL82" s="35"/>
      <c r="AM82" s="35"/>
      <c r="AN82" s="35"/>
      <c r="AO82" s="35"/>
      <c r="AQ82" s="35"/>
      <c r="AR82" s="38">
        <v>79339.240000000005</v>
      </c>
      <c r="AS82" s="38">
        <v>5.4586666666666694</v>
      </c>
      <c r="AT82" s="35">
        <v>0</v>
      </c>
      <c r="AU82" s="35">
        <v>0</v>
      </c>
      <c r="AV82" s="35" t="s">
        <v>47</v>
      </c>
      <c r="AW82" s="35" t="s">
        <v>52</v>
      </c>
      <c r="AX82" s="35" t="s">
        <v>933</v>
      </c>
      <c r="AY82" s="35" t="s">
        <v>98</v>
      </c>
      <c r="AZ82" s="35" t="s">
        <v>99</v>
      </c>
      <c r="BA82" s="35" t="s">
        <v>42</v>
      </c>
      <c r="BB82" s="38"/>
      <c r="BC82" s="38">
        <v>5.7859999999999996</v>
      </c>
      <c r="BD82" s="35" t="s">
        <v>197</v>
      </c>
      <c r="BE82" s="35" t="s">
        <v>656</v>
      </c>
      <c r="BF82" s="35">
        <v>0</v>
      </c>
      <c r="BG82" s="38">
        <v>0</v>
      </c>
      <c r="BH82" s="35" t="s">
        <v>1319</v>
      </c>
    </row>
    <row r="83" spans="1:60" x14ac:dyDescent="0.3">
      <c r="A83" s="6" t="str">
        <f t="shared" si="1"/>
        <v>000126</v>
      </c>
      <c r="B83" s="35" t="s">
        <v>49</v>
      </c>
      <c r="C83" s="35" t="s">
        <v>388</v>
      </c>
      <c r="D83" s="35" t="s">
        <v>207</v>
      </c>
      <c r="E83" s="35" t="s">
        <v>170</v>
      </c>
      <c r="F83" s="35" t="s">
        <v>171</v>
      </c>
      <c r="G83" s="35" t="s">
        <v>170</v>
      </c>
      <c r="H83" s="35" t="s">
        <v>171</v>
      </c>
      <c r="I83" s="35" t="s">
        <v>1449</v>
      </c>
      <c r="J83" s="35" t="s">
        <v>47</v>
      </c>
      <c r="K83" s="35" t="s">
        <v>1383</v>
      </c>
      <c r="L83" s="35" t="s">
        <v>205</v>
      </c>
      <c r="M83" s="126">
        <v>5</v>
      </c>
      <c r="N83" s="123">
        <v>45931</v>
      </c>
      <c r="O83" s="123">
        <v>46043</v>
      </c>
      <c r="P83" s="38">
        <v>34730</v>
      </c>
      <c r="Q83" s="38">
        <v>40000</v>
      </c>
      <c r="R83" s="126">
        <v>0</v>
      </c>
      <c r="S83" s="126">
        <v>16</v>
      </c>
      <c r="T83" s="35" t="s">
        <v>95</v>
      </c>
      <c r="U83" s="38">
        <v>3040.03</v>
      </c>
      <c r="V83" s="38">
        <v>0</v>
      </c>
      <c r="W83" s="38">
        <v>0</v>
      </c>
      <c r="X83" s="38">
        <v>4</v>
      </c>
      <c r="Y83" s="38">
        <v>0</v>
      </c>
      <c r="Z83" s="38">
        <v>30000.100000000002</v>
      </c>
      <c r="AA83" s="38">
        <v>0.10666666666666701</v>
      </c>
      <c r="AB83" s="38">
        <v>0</v>
      </c>
      <c r="AC83" s="38">
        <v>0</v>
      </c>
      <c r="AD83" s="38">
        <v>0</v>
      </c>
      <c r="AE83" s="38">
        <v>3040</v>
      </c>
      <c r="AF83" s="123">
        <v>45958</v>
      </c>
      <c r="AG83" s="35" t="s">
        <v>96</v>
      </c>
      <c r="AH83" s="35"/>
      <c r="AI83" s="35"/>
      <c r="AJ83" s="35"/>
      <c r="AK83" s="35"/>
      <c r="AL83" s="35"/>
      <c r="AM83" s="35"/>
      <c r="AN83" s="35"/>
      <c r="AO83" s="35"/>
      <c r="AQ83" s="35"/>
      <c r="AR83" s="38">
        <v>36480.43</v>
      </c>
      <c r="AS83" s="38">
        <v>0</v>
      </c>
      <c r="AT83" s="35">
        <v>0</v>
      </c>
      <c r="AU83" s="35">
        <v>0</v>
      </c>
      <c r="AV83" s="35" t="s">
        <v>47</v>
      </c>
      <c r="AW83" s="35" t="s">
        <v>52</v>
      </c>
      <c r="AX83" s="35" t="s">
        <v>1457</v>
      </c>
      <c r="AY83" s="35" t="s">
        <v>98</v>
      </c>
      <c r="AZ83" s="35" t="s">
        <v>99</v>
      </c>
      <c r="BA83" s="35" t="s">
        <v>42</v>
      </c>
      <c r="BB83" s="38"/>
      <c r="BC83" s="38">
        <v>5.7859999999999996</v>
      </c>
      <c r="BD83" s="35" t="s">
        <v>124</v>
      </c>
      <c r="BE83" s="35" t="s">
        <v>198</v>
      </c>
      <c r="BF83" s="35">
        <v>0</v>
      </c>
      <c r="BG83" s="38">
        <v>0</v>
      </c>
      <c r="BH83" s="35" t="s">
        <v>1319</v>
      </c>
    </row>
    <row r="84" spans="1:60" x14ac:dyDescent="0.3">
      <c r="A84" s="6" t="str">
        <f t="shared" si="1"/>
        <v>000035</v>
      </c>
      <c r="B84" s="35" t="s">
        <v>43</v>
      </c>
      <c r="C84" s="35" t="s">
        <v>42</v>
      </c>
      <c r="D84" s="35" t="s">
        <v>1526</v>
      </c>
      <c r="E84" s="35" t="s">
        <v>148</v>
      </c>
      <c r="F84" s="35" t="s">
        <v>149</v>
      </c>
      <c r="G84" s="35" t="s">
        <v>148</v>
      </c>
      <c r="H84" s="35" t="s">
        <v>149</v>
      </c>
      <c r="I84" s="35" t="s">
        <v>568</v>
      </c>
      <c r="J84" s="35" t="s">
        <v>47</v>
      </c>
      <c r="K84" s="35" t="s">
        <v>569</v>
      </c>
      <c r="L84" s="35" t="s">
        <v>205</v>
      </c>
      <c r="M84" s="126">
        <v>7</v>
      </c>
      <c r="N84" s="123">
        <v>45895</v>
      </c>
      <c r="O84" s="123">
        <v>46007</v>
      </c>
      <c r="P84" s="38">
        <v>114014</v>
      </c>
      <c r="Q84" s="38">
        <v>129000</v>
      </c>
      <c r="R84" s="126">
        <v>0</v>
      </c>
      <c r="S84" s="126">
        <v>16</v>
      </c>
      <c r="T84" s="35" t="s">
        <v>95</v>
      </c>
      <c r="U84" s="38">
        <v>9804.09</v>
      </c>
      <c r="V84" s="38">
        <v>0</v>
      </c>
      <c r="W84" s="38">
        <v>0</v>
      </c>
      <c r="X84" s="38">
        <v>9</v>
      </c>
      <c r="Y84" s="38">
        <v>0</v>
      </c>
      <c r="Z84" s="38">
        <v>56438.26</v>
      </c>
      <c r="AA84" s="38">
        <v>0.77400000000000002</v>
      </c>
      <c r="AB84" s="38">
        <v>0</v>
      </c>
      <c r="AC84" s="38">
        <v>0</v>
      </c>
      <c r="AD84" s="38">
        <v>0</v>
      </c>
      <c r="AE84" s="38">
        <v>9804</v>
      </c>
      <c r="AF84" s="123">
        <v>45958</v>
      </c>
      <c r="AG84" s="35" t="s">
        <v>96</v>
      </c>
      <c r="AH84" s="35"/>
      <c r="AI84" s="35"/>
      <c r="AJ84" s="35"/>
      <c r="AK84" s="35"/>
      <c r="AL84" s="35"/>
      <c r="AM84" s="35"/>
      <c r="AN84" s="35"/>
      <c r="AO84" s="35"/>
      <c r="AQ84" s="35"/>
      <c r="AR84" s="38">
        <v>68629.38</v>
      </c>
      <c r="AS84" s="38">
        <v>0</v>
      </c>
      <c r="AT84" s="35">
        <v>0</v>
      </c>
      <c r="AU84" s="35">
        <v>0</v>
      </c>
      <c r="AV84" s="35" t="s">
        <v>47</v>
      </c>
      <c r="AW84" s="35" t="s">
        <v>52</v>
      </c>
      <c r="AX84" s="35" t="s">
        <v>570</v>
      </c>
      <c r="AY84" s="35" t="s">
        <v>1265</v>
      </c>
      <c r="AZ84" s="35" t="s">
        <v>99</v>
      </c>
      <c r="BA84" s="35" t="s">
        <v>42</v>
      </c>
      <c r="BB84" s="38"/>
      <c r="BC84" s="38">
        <v>5.7859999999999996</v>
      </c>
      <c r="BD84" s="35" t="s">
        <v>146</v>
      </c>
      <c r="BE84" s="35" t="s">
        <v>571</v>
      </c>
      <c r="BF84" s="35">
        <v>0</v>
      </c>
      <c r="BG84" s="38">
        <v>0</v>
      </c>
      <c r="BH84" s="35" t="s">
        <v>1319</v>
      </c>
    </row>
    <row r="85" spans="1:60" x14ac:dyDescent="0.3">
      <c r="A85" s="6" t="str">
        <f t="shared" si="1"/>
        <v>000192</v>
      </c>
      <c r="B85" s="35" t="s">
        <v>43</v>
      </c>
      <c r="C85" s="35" t="s">
        <v>396</v>
      </c>
      <c r="D85" s="35" t="s">
        <v>206</v>
      </c>
      <c r="E85" s="35" t="s">
        <v>143</v>
      </c>
      <c r="F85" s="35" t="s">
        <v>144</v>
      </c>
      <c r="G85" s="35" t="s">
        <v>143</v>
      </c>
      <c r="H85" s="35" t="s">
        <v>144</v>
      </c>
      <c r="I85" s="35" t="s">
        <v>2077</v>
      </c>
      <c r="J85" s="35" t="s">
        <v>47</v>
      </c>
      <c r="K85" s="35" t="s">
        <v>2078</v>
      </c>
      <c r="L85" s="35" t="s">
        <v>205</v>
      </c>
      <c r="M85" s="126">
        <v>5</v>
      </c>
      <c r="N85" s="123">
        <v>45959</v>
      </c>
      <c r="O85" s="123">
        <v>46071</v>
      </c>
      <c r="P85" s="38">
        <v>35630</v>
      </c>
      <c r="Q85" s="38">
        <v>41000</v>
      </c>
      <c r="R85" s="126">
        <v>0</v>
      </c>
      <c r="S85" s="126">
        <v>16</v>
      </c>
      <c r="T85" s="35" t="s">
        <v>95</v>
      </c>
      <c r="U85" s="38">
        <v>3116.03</v>
      </c>
      <c r="V85" s="38">
        <v>0</v>
      </c>
      <c r="W85" s="38">
        <v>0</v>
      </c>
      <c r="X85" s="38">
        <v>0</v>
      </c>
      <c r="Y85" s="38">
        <v>0</v>
      </c>
      <c r="Z85" s="38">
        <v>41000</v>
      </c>
      <c r="AA85" s="38">
        <v>0</v>
      </c>
      <c r="AB85" s="38">
        <v>0</v>
      </c>
      <c r="AC85" s="38">
        <v>0</v>
      </c>
      <c r="AD85" s="38">
        <v>0</v>
      </c>
      <c r="AE85" s="38"/>
      <c r="AF85" s="123"/>
      <c r="AG85" s="35" t="s">
        <v>96</v>
      </c>
      <c r="AH85" s="35"/>
      <c r="AI85" s="35"/>
      <c r="AJ85" s="35"/>
      <c r="AK85" s="35"/>
      <c r="AL85" s="35"/>
      <c r="AM85" s="35"/>
      <c r="AN85" s="35"/>
      <c r="AO85" s="35"/>
      <c r="AQ85" s="35"/>
      <c r="AR85" s="38">
        <v>49856.44</v>
      </c>
      <c r="AS85" s="38">
        <v>0</v>
      </c>
      <c r="AT85" s="35">
        <v>0</v>
      </c>
      <c r="AU85" s="35">
        <v>0</v>
      </c>
      <c r="AV85" s="35" t="s">
        <v>47</v>
      </c>
      <c r="AW85" s="35" t="s">
        <v>52</v>
      </c>
      <c r="AX85" s="35" t="s">
        <v>2092</v>
      </c>
      <c r="AY85" s="35" t="s">
        <v>98</v>
      </c>
      <c r="AZ85" s="35" t="s">
        <v>99</v>
      </c>
      <c r="BA85" s="35" t="s">
        <v>42</v>
      </c>
      <c r="BB85" s="38"/>
      <c r="BC85" s="38">
        <v>5.7859999999999996</v>
      </c>
      <c r="BD85" s="35" t="s">
        <v>124</v>
      </c>
      <c r="BE85" s="35" t="s">
        <v>1178</v>
      </c>
      <c r="BF85" s="35">
        <v>0</v>
      </c>
      <c r="BG85" s="38"/>
      <c r="BH85" s="35" t="s">
        <v>1319</v>
      </c>
    </row>
    <row r="86" spans="1:60" x14ac:dyDescent="0.3">
      <c r="A86" s="6" t="str">
        <f t="shared" si="1"/>
        <v>000133</v>
      </c>
      <c r="B86" s="35" t="s">
        <v>43</v>
      </c>
      <c r="C86" s="35" t="s">
        <v>424</v>
      </c>
      <c r="D86" s="35" t="s">
        <v>204</v>
      </c>
      <c r="E86" s="35" t="s">
        <v>39</v>
      </c>
      <c r="F86" s="35" t="s">
        <v>40</v>
      </c>
      <c r="G86" s="35" t="s">
        <v>39</v>
      </c>
      <c r="H86" s="35" t="s">
        <v>40</v>
      </c>
      <c r="I86" s="35" t="s">
        <v>1478</v>
      </c>
      <c r="J86" s="35" t="s">
        <v>47</v>
      </c>
      <c r="K86" s="35" t="s">
        <v>1445</v>
      </c>
      <c r="L86" s="35" t="s">
        <v>205</v>
      </c>
      <c r="M86" s="126">
        <v>6</v>
      </c>
      <c r="N86" s="123">
        <v>45932</v>
      </c>
      <c r="O86" s="123">
        <v>46044</v>
      </c>
      <c r="P86" s="38">
        <v>73022</v>
      </c>
      <c r="Q86" s="38">
        <v>83000</v>
      </c>
      <c r="R86" s="126">
        <v>0</v>
      </c>
      <c r="S86" s="126">
        <v>16</v>
      </c>
      <c r="T86" s="35" t="s">
        <v>95</v>
      </c>
      <c r="U86" s="38">
        <v>6308.06</v>
      </c>
      <c r="V86" s="38">
        <v>0</v>
      </c>
      <c r="W86" s="38">
        <v>0</v>
      </c>
      <c r="X86" s="38">
        <v>4</v>
      </c>
      <c r="Y86" s="38">
        <v>0</v>
      </c>
      <c r="Z86" s="38">
        <v>62250</v>
      </c>
      <c r="AA86" s="38">
        <v>0</v>
      </c>
      <c r="AB86" s="38">
        <v>0</v>
      </c>
      <c r="AC86" s="38">
        <v>0</v>
      </c>
      <c r="AD86" s="38">
        <v>0</v>
      </c>
      <c r="AE86" s="38">
        <v>6308.06</v>
      </c>
      <c r="AF86" s="123">
        <v>45959</v>
      </c>
      <c r="AG86" s="35" t="s">
        <v>96</v>
      </c>
      <c r="AH86" s="35"/>
      <c r="AI86" s="35"/>
      <c r="AJ86" s="35"/>
      <c r="AK86" s="35"/>
      <c r="AL86" s="35"/>
      <c r="AM86" s="35"/>
      <c r="AN86" s="35"/>
      <c r="AO86" s="35"/>
      <c r="AQ86" s="35"/>
      <c r="AR86" s="38">
        <v>75696.650000000009</v>
      </c>
      <c r="AS86" s="38">
        <v>1.8666666666667001E-2</v>
      </c>
      <c r="AT86" s="35">
        <v>0</v>
      </c>
      <c r="AU86" s="35">
        <v>0</v>
      </c>
      <c r="AV86" s="35" t="s">
        <v>47</v>
      </c>
      <c r="AW86" s="35" t="s">
        <v>52</v>
      </c>
      <c r="AX86" s="35" t="s">
        <v>1495</v>
      </c>
      <c r="AY86" s="35" t="s">
        <v>98</v>
      </c>
      <c r="AZ86" s="35" t="s">
        <v>99</v>
      </c>
      <c r="BA86" s="35" t="s">
        <v>42</v>
      </c>
      <c r="BB86" s="38"/>
      <c r="BC86" s="38">
        <v>5.7859999999999996</v>
      </c>
      <c r="BD86" s="35" t="s">
        <v>197</v>
      </c>
      <c r="BE86" s="35" t="s">
        <v>198</v>
      </c>
      <c r="BF86" s="35">
        <v>0</v>
      </c>
      <c r="BG86" s="38">
        <v>0</v>
      </c>
      <c r="BH86" s="35" t="s">
        <v>1319</v>
      </c>
    </row>
    <row r="87" spans="1:60" x14ac:dyDescent="0.3">
      <c r="A87" s="6" t="str">
        <f t="shared" si="1"/>
        <v>000033</v>
      </c>
      <c r="B87" s="35" t="s">
        <v>43</v>
      </c>
      <c r="C87" s="35" t="s">
        <v>396</v>
      </c>
      <c r="D87" s="35" t="s">
        <v>206</v>
      </c>
      <c r="E87" s="35" t="s">
        <v>501</v>
      </c>
      <c r="F87" s="35" t="s">
        <v>502</v>
      </c>
      <c r="G87" s="35" t="s">
        <v>501</v>
      </c>
      <c r="H87" s="35" t="s">
        <v>502</v>
      </c>
      <c r="I87" s="35" t="s">
        <v>503</v>
      </c>
      <c r="J87" s="35" t="s">
        <v>47</v>
      </c>
      <c r="K87" s="35" t="s">
        <v>429</v>
      </c>
      <c r="L87" s="35" t="s">
        <v>205</v>
      </c>
      <c r="M87" s="126">
        <v>5</v>
      </c>
      <c r="N87" s="123">
        <v>45894</v>
      </c>
      <c r="O87" s="123">
        <v>46006</v>
      </c>
      <c r="P87" s="38">
        <v>61653</v>
      </c>
      <c r="Q87" s="38">
        <v>70000</v>
      </c>
      <c r="R87" s="126">
        <v>0</v>
      </c>
      <c r="S87" s="126">
        <v>16</v>
      </c>
      <c r="T87" s="35" t="s">
        <v>95</v>
      </c>
      <c r="U87" s="38">
        <v>5320.05</v>
      </c>
      <c r="V87" s="38">
        <v>0</v>
      </c>
      <c r="W87" s="38">
        <v>0</v>
      </c>
      <c r="X87" s="38">
        <v>9</v>
      </c>
      <c r="Y87" s="38">
        <v>0</v>
      </c>
      <c r="Z87" s="38">
        <v>24375</v>
      </c>
      <c r="AA87" s="38">
        <v>0</v>
      </c>
      <c r="AB87" s="38">
        <v>0</v>
      </c>
      <c r="AC87" s="38">
        <v>0</v>
      </c>
      <c r="AD87" s="38">
        <v>0</v>
      </c>
      <c r="AE87" s="38">
        <v>5324</v>
      </c>
      <c r="AF87" s="123">
        <v>45954</v>
      </c>
      <c r="AG87" s="35" t="s">
        <v>96</v>
      </c>
      <c r="AH87" s="35"/>
      <c r="AI87" s="35"/>
      <c r="AJ87" s="35"/>
      <c r="AK87" s="35"/>
      <c r="AL87" s="35"/>
      <c r="AM87" s="35"/>
      <c r="AN87" s="35"/>
      <c r="AO87" s="35"/>
      <c r="AQ87" s="35"/>
      <c r="AR87" s="38">
        <v>28850.639999999999</v>
      </c>
      <c r="AS87" s="38">
        <v>8389.69</v>
      </c>
      <c r="AT87" s="35">
        <v>0</v>
      </c>
      <c r="AU87" s="35">
        <v>0</v>
      </c>
      <c r="AV87" s="35" t="s">
        <v>47</v>
      </c>
      <c r="AW87" s="35" t="s">
        <v>52</v>
      </c>
      <c r="AX87" s="35" t="s">
        <v>504</v>
      </c>
      <c r="AY87" s="35" t="s">
        <v>98</v>
      </c>
      <c r="AZ87" s="35" t="s">
        <v>99</v>
      </c>
      <c r="BA87" s="35" t="s">
        <v>42</v>
      </c>
      <c r="BB87" s="38"/>
      <c r="BC87" s="38">
        <v>5.7859999999999996</v>
      </c>
      <c r="BD87" s="35" t="s">
        <v>126</v>
      </c>
      <c r="BE87" s="35" t="s">
        <v>505</v>
      </c>
      <c r="BF87" s="35">
        <v>0</v>
      </c>
      <c r="BG87" s="38">
        <v>0</v>
      </c>
      <c r="BH87" s="35" t="s">
        <v>1319</v>
      </c>
    </row>
    <row r="88" spans="1:60" x14ac:dyDescent="0.3">
      <c r="A88" s="6" t="str">
        <f t="shared" si="1"/>
        <v>000050</v>
      </c>
      <c r="B88" s="35" t="s">
        <v>43</v>
      </c>
      <c r="C88" s="35" t="s">
        <v>424</v>
      </c>
      <c r="D88" s="35" t="s">
        <v>204</v>
      </c>
      <c r="E88" s="35" t="s">
        <v>189</v>
      </c>
      <c r="F88" s="35" t="s">
        <v>191</v>
      </c>
      <c r="G88" s="35" t="s">
        <v>189</v>
      </c>
      <c r="H88" s="35" t="s">
        <v>191</v>
      </c>
      <c r="I88" s="35" t="s">
        <v>680</v>
      </c>
      <c r="J88" s="35" t="s">
        <v>47</v>
      </c>
      <c r="K88" s="35" t="s">
        <v>681</v>
      </c>
      <c r="L88" s="35" t="s">
        <v>205</v>
      </c>
      <c r="M88" s="126">
        <v>7</v>
      </c>
      <c r="N88" s="123">
        <v>45898</v>
      </c>
      <c r="O88" s="123">
        <v>46010</v>
      </c>
      <c r="P88" s="38">
        <v>69245</v>
      </c>
      <c r="Q88" s="38">
        <v>79000</v>
      </c>
      <c r="R88" s="126">
        <v>0</v>
      </c>
      <c r="S88" s="126">
        <v>16</v>
      </c>
      <c r="T88" s="35" t="s">
        <v>95</v>
      </c>
      <c r="U88" s="38">
        <v>6004.05</v>
      </c>
      <c r="V88" s="38">
        <v>0</v>
      </c>
      <c r="W88" s="38">
        <v>0</v>
      </c>
      <c r="X88" s="38">
        <v>9</v>
      </c>
      <c r="Y88" s="38">
        <v>0</v>
      </c>
      <c r="Z88" s="38">
        <v>34562.53</v>
      </c>
      <c r="AA88" s="38">
        <v>2.4E-2</v>
      </c>
      <c r="AB88" s="38">
        <v>0</v>
      </c>
      <c r="AC88" s="38">
        <v>0</v>
      </c>
      <c r="AD88" s="38">
        <v>0</v>
      </c>
      <c r="AE88" s="38">
        <v>6004.05</v>
      </c>
      <c r="AF88" s="123">
        <v>45960</v>
      </c>
      <c r="AG88" s="35" t="s">
        <v>96</v>
      </c>
      <c r="AH88" s="35"/>
      <c r="AI88" s="35"/>
      <c r="AJ88" s="35"/>
      <c r="AK88" s="35"/>
      <c r="AL88" s="35"/>
      <c r="AM88" s="35"/>
      <c r="AN88" s="35"/>
      <c r="AO88" s="35"/>
      <c r="AQ88" s="35"/>
      <c r="AR88" s="38">
        <v>42028.39</v>
      </c>
      <c r="AS88" s="38">
        <v>0</v>
      </c>
      <c r="AT88" s="35">
        <v>0</v>
      </c>
      <c r="AU88" s="35">
        <v>0</v>
      </c>
      <c r="AV88" s="35" t="s">
        <v>47</v>
      </c>
      <c r="AW88" s="35" t="s">
        <v>52</v>
      </c>
      <c r="AX88" s="35" t="s">
        <v>682</v>
      </c>
      <c r="AY88" s="35" t="s">
        <v>98</v>
      </c>
      <c r="AZ88" s="35" t="s">
        <v>99</v>
      </c>
      <c r="BA88" s="35" t="s">
        <v>42</v>
      </c>
      <c r="BB88" s="38"/>
      <c r="BC88" s="38">
        <v>5.7859999999999996</v>
      </c>
      <c r="BD88" s="35" t="s">
        <v>168</v>
      </c>
      <c r="BE88" s="35" t="s">
        <v>147</v>
      </c>
      <c r="BF88" s="35">
        <v>0</v>
      </c>
      <c r="BG88" s="38">
        <v>0</v>
      </c>
      <c r="BH88" s="35" t="s">
        <v>1319</v>
      </c>
    </row>
    <row r="89" spans="1:60" x14ac:dyDescent="0.3">
      <c r="A89" s="6" t="str">
        <f t="shared" si="1"/>
        <v>000159</v>
      </c>
      <c r="B89" s="35" t="s">
        <v>43</v>
      </c>
      <c r="C89" s="35" t="s">
        <v>396</v>
      </c>
      <c r="D89" s="35" t="s">
        <v>206</v>
      </c>
      <c r="E89" s="35" t="s">
        <v>154</v>
      </c>
      <c r="F89" s="35" t="s">
        <v>155</v>
      </c>
      <c r="G89" s="35" t="s">
        <v>154</v>
      </c>
      <c r="H89" s="35" t="s">
        <v>155</v>
      </c>
      <c r="I89" s="35" t="s">
        <v>1688</v>
      </c>
      <c r="J89" s="35" t="s">
        <v>47</v>
      </c>
      <c r="K89" s="35" t="s">
        <v>1601</v>
      </c>
      <c r="L89" s="35" t="s">
        <v>205</v>
      </c>
      <c r="M89" s="126">
        <v>6</v>
      </c>
      <c r="N89" s="123">
        <v>45945</v>
      </c>
      <c r="O89" s="123">
        <v>46057</v>
      </c>
      <c r="P89" s="38">
        <v>47076</v>
      </c>
      <c r="Q89" s="38">
        <v>54000</v>
      </c>
      <c r="R89" s="126">
        <v>0</v>
      </c>
      <c r="S89" s="126">
        <v>16</v>
      </c>
      <c r="T89" s="35" t="s">
        <v>95</v>
      </c>
      <c r="U89" s="38">
        <v>4104.04</v>
      </c>
      <c r="V89" s="38">
        <v>0</v>
      </c>
      <c r="W89" s="38">
        <v>0</v>
      </c>
      <c r="X89" s="38">
        <v>2</v>
      </c>
      <c r="Y89" s="38">
        <v>0</v>
      </c>
      <c r="Z89" s="38">
        <v>47250</v>
      </c>
      <c r="AA89" s="38">
        <v>0</v>
      </c>
      <c r="AB89" s="38">
        <v>0</v>
      </c>
      <c r="AC89" s="38">
        <v>0</v>
      </c>
      <c r="AD89" s="38">
        <v>0</v>
      </c>
      <c r="AE89" s="38">
        <v>4110</v>
      </c>
      <c r="AF89" s="123">
        <v>45958</v>
      </c>
      <c r="AG89" s="35" t="s">
        <v>96</v>
      </c>
      <c r="AH89" s="35"/>
      <c r="AI89" s="35"/>
      <c r="AJ89" s="35"/>
      <c r="AK89" s="35"/>
      <c r="AL89" s="35"/>
      <c r="AM89" s="35"/>
      <c r="AN89" s="35"/>
      <c r="AO89" s="35"/>
      <c r="AQ89" s="35"/>
      <c r="AR89" s="38">
        <v>57444.58</v>
      </c>
      <c r="AS89" s="38">
        <v>11.928000000000001</v>
      </c>
      <c r="AT89" s="35">
        <v>0</v>
      </c>
      <c r="AU89" s="35">
        <v>0</v>
      </c>
      <c r="AV89" s="35" t="s">
        <v>47</v>
      </c>
      <c r="AW89" s="35" t="s">
        <v>52</v>
      </c>
      <c r="AX89" s="35" t="s">
        <v>1693</v>
      </c>
      <c r="AY89" s="35" t="s">
        <v>98</v>
      </c>
      <c r="AZ89" s="35" t="s">
        <v>99</v>
      </c>
      <c r="BA89" s="35" t="s">
        <v>42</v>
      </c>
      <c r="BB89" s="38"/>
      <c r="BC89" s="38">
        <v>5.7859999999999996</v>
      </c>
      <c r="BD89" s="35" t="s">
        <v>124</v>
      </c>
      <c r="BE89" s="35" t="s">
        <v>1178</v>
      </c>
      <c r="BF89" s="35">
        <v>0</v>
      </c>
      <c r="BG89" s="38">
        <v>0</v>
      </c>
      <c r="BH89" s="35" t="s">
        <v>1319</v>
      </c>
    </row>
    <row r="90" spans="1:60" x14ac:dyDescent="0.3">
      <c r="A90" s="6" t="str">
        <f t="shared" si="1"/>
        <v>000160</v>
      </c>
      <c r="B90" s="35" t="s">
        <v>43</v>
      </c>
      <c r="C90" s="35" t="s">
        <v>424</v>
      </c>
      <c r="D90" s="35" t="s">
        <v>204</v>
      </c>
      <c r="E90" s="35" t="s">
        <v>39</v>
      </c>
      <c r="F90" s="35" t="s">
        <v>40</v>
      </c>
      <c r="G90" s="35" t="s">
        <v>39</v>
      </c>
      <c r="H90" s="35" t="s">
        <v>40</v>
      </c>
      <c r="I90" s="35" t="s">
        <v>1695</v>
      </c>
      <c r="J90" s="35" t="s">
        <v>47</v>
      </c>
      <c r="K90" s="35" t="s">
        <v>1696</v>
      </c>
      <c r="L90" s="35" t="s">
        <v>205</v>
      </c>
      <c r="M90" s="126">
        <v>8</v>
      </c>
      <c r="N90" s="123">
        <v>45945</v>
      </c>
      <c r="O90" s="123">
        <v>46057</v>
      </c>
      <c r="P90" s="38">
        <v>132529</v>
      </c>
      <c r="Q90" s="38">
        <v>150000</v>
      </c>
      <c r="R90" s="126">
        <v>0</v>
      </c>
      <c r="S90" s="126">
        <v>16</v>
      </c>
      <c r="T90" s="35" t="s">
        <v>95</v>
      </c>
      <c r="U90" s="38">
        <v>11400.1</v>
      </c>
      <c r="V90" s="38">
        <v>0</v>
      </c>
      <c r="W90" s="38">
        <v>0</v>
      </c>
      <c r="X90" s="38">
        <v>2</v>
      </c>
      <c r="Y90" s="38">
        <v>0</v>
      </c>
      <c r="Z90" s="38">
        <v>131250</v>
      </c>
      <c r="AA90" s="38">
        <v>0</v>
      </c>
      <c r="AB90" s="38">
        <v>0</v>
      </c>
      <c r="AC90" s="38">
        <v>0</v>
      </c>
      <c r="AD90" s="38">
        <v>0</v>
      </c>
      <c r="AE90" s="38">
        <v>11400.1</v>
      </c>
      <c r="AF90" s="123">
        <v>45958</v>
      </c>
      <c r="AG90" s="35" t="s">
        <v>96</v>
      </c>
      <c r="AH90" s="35"/>
      <c r="AI90" s="35"/>
      <c r="AJ90" s="35"/>
      <c r="AK90" s="35"/>
      <c r="AL90" s="35"/>
      <c r="AM90" s="35"/>
      <c r="AN90" s="35"/>
      <c r="AO90" s="35"/>
      <c r="AQ90" s="35"/>
      <c r="AR90" s="38">
        <v>159601.4</v>
      </c>
      <c r="AS90" s="38">
        <v>0</v>
      </c>
      <c r="AT90" s="35">
        <v>0</v>
      </c>
      <c r="AU90" s="35">
        <v>0</v>
      </c>
      <c r="AV90" s="35" t="s">
        <v>47</v>
      </c>
      <c r="AW90" s="35" t="s">
        <v>52</v>
      </c>
      <c r="AX90" s="35" t="s">
        <v>1697</v>
      </c>
      <c r="AY90" s="35" t="s">
        <v>98</v>
      </c>
      <c r="AZ90" s="35" t="s">
        <v>99</v>
      </c>
      <c r="BA90" s="35" t="s">
        <v>42</v>
      </c>
      <c r="BB90" s="38"/>
      <c r="BC90" s="38">
        <v>5.7859999999999996</v>
      </c>
      <c r="BD90" s="35" t="s">
        <v>124</v>
      </c>
      <c r="BE90" s="35" t="s">
        <v>125</v>
      </c>
      <c r="BF90" s="35">
        <v>0</v>
      </c>
      <c r="BG90" s="38">
        <v>0</v>
      </c>
      <c r="BH90" s="35" t="s">
        <v>1319</v>
      </c>
    </row>
    <row r="91" spans="1:60" x14ac:dyDescent="0.3">
      <c r="A91" s="6" t="str">
        <f t="shared" si="1"/>
        <v>000183</v>
      </c>
      <c r="B91" s="35" t="s">
        <v>43</v>
      </c>
      <c r="C91" s="35" t="s">
        <v>424</v>
      </c>
      <c r="D91" s="35" t="s">
        <v>204</v>
      </c>
      <c r="E91" s="35" t="s">
        <v>189</v>
      </c>
      <c r="F91" s="35" t="s">
        <v>191</v>
      </c>
      <c r="G91" s="35" t="s">
        <v>189</v>
      </c>
      <c r="H91" s="35" t="s">
        <v>191</v>
      </c>
      <c r="I91" s="35" t="s">
        <v>1913</v>
      </c>
      <c r="J91" s="35" t="s">
        <v>47</v>
      </c>
      <c r="K91" s="35" t="s">
        <v>1914</v>
      </c>
      <c r="L91" s="35" t="s">
        <v>205</v>
      </c>
      <c r="M91" s="126">
        <v>5</v>
      </c>
      <c r="N91" s="123">
        <v>45954</v>
      </c>
      <c r="O91" s="123">
        <v>46066</v>
      </c>
      <c r="P91" s="38">
        <v>88499</v>
      </c>
      <c r="Q91" s="38">
        <v>100000</v>
      </c>
      <c r="R91" s="126">
        <v>0</v>
      </c>
      <c r="S91" s="126">
        <v>16</v>
      </c>
      <c r="T91" s="35" t="s">
        <v>95</v>
      </c>
      <c r="U91" s="38">
        <v>7600.07</v>
      </c>
      <c r="V91" s="38">
        <v>0</v>
      </c>
      <c r="W91" s="38">
        <v>0</v>
      </c>
      <c r="X91" s="38">
        <v>1</v>
      </c>
      <c r="Y91" s="38">
        <v>0</v>
      </c>
      <c r="Z91" s="38">
        <v>93750</v>
      </c>
      <c r="AA91" s="38">
        <v>0</v>
      </c>
      <c r="AB91" s="38">
        <v>0</v>
      </c>
      <c r="AC91" s="38">
        <v>0</v>
      </c>
      <c r="AD91" s="38">
        <v>0</v>
      </c>
      <c r="AE91" s="38">
        <v>7600.07</v>
      </c>
      <c r="AF91" s="123">
        <v>45960</v>
      </c>
      <c r="AG91" s="35" t="s">
        <v>96</v>
      </c>
      <c r="AH91" s="35"/>
      <c r="AI91" s="35"/>
      <c r="AJ91" s="35"/>
      <c r="AK91" s="35"/>
      <c r="AL91" s="35"/>
      <c r="AM91" s="35"/>
      <c r="AN91" s="35"/>
      <c r="AO91" s="35"/>
      <c r="AQ91" s="35"/>
      <c r="AR91" s="38">
        <v>114001</v>
      </c>
      <c r="AS91" s="38">
        <v>3.333333333333E-3</v>
      </c>
      <c r="AT91" s="35">
        <v>0</v>
      </c>
      <c r="AU91" s="35">
        <v>0</v>
      </c>
      <c r="AV91" s="35" t="s">
        <v>47</v>
      </c>
      <c r="AW91" s="35" t="s">
        <v>52</v>
      </c>
      <c r="AX91" s="35" t="s">
        <v>1917</v>
      </c>
      <c r="AY91" s="35" t="s">
        <v>98</v>
      </c>
      <c r="AZ91" s="35" t="s">
        <v>99</v>
      </c>
      <c r="BA91" s="35" t="s">
        <v>42</v>
      </c>
      <c r="BB91" s="38"/>
      <c r="BC91" s="38">
        <v>5.7859999999999996</v>
      </c>
      <c r="BD91" s="35" t="s">
        <v>168</v>
      </c>
      <c r="BE91" s="35" t="s">
        <v>1918</v>
      </c>
      <c r="BF91" s="35">
        <v>0</v>
      </c>
      <c r="BG91" s="38">
        <v>0</v>
      </c>
      <c r="BH91" s="35" t="s">
        <v>1319</v>
      </c>
    </row>
    <row r="92" spans="1:60" x14ac:dyDescent="0.3">
      <c r="A92" s="6" t="str">
        <f t="shared" si="1"/>
        <v>000189</v>
      </c>
      <c r="B92" s="35" t="s">
        <v>43</v>
      </c>
      <c r="C92" s="35" t="s">
        <v>42</v>
      </c>
      <c r="D92" s="35" t="s">
        <v>1526</v>
      </c>
      <c r="E92" s="35" t="s">
        <v>1274</v>
      </c>
      <c r="F92" s="35" t="s">
        <v>1999</v>
      </c>
      <c r="G92" s="35" t="s">
        <v>1274</v>
      </c>
      <c r="H92" s="35" t="s">
        <v>1999</v>
      </c>
      <c r="I92" s="35" t="s">
        <v>2000</v>
      </c>
      <c r="J92" s="35" t="s">
        <v>47</v>
      </c>
      <c r="K92" s="35" t="s">
        <v>2001</v>
      </c>
      <c r="L92" s="35" t="s">
        <v>205</v>
      </c>
      <c r="M92" s="126">
        <v>6</v>
      </c>
      <c r="N92" s="123">
        <v>45958</v>
      </c>
      <c r="O92" s="123">
        <v>46070</v>
      </c>
      <c r="P92" s="38">
        <v>455151</v>
      </c>
      <c r="Q92" s="38">
        <v>510000</v>
      </c>
      <c r="R92" s="126">
        <v>0</v>
      </c>
      <c r="S92" s="126">
        <v>16</v>
      </c>
      <c r="T92" s="35" t="s">
        <v>95</v>
      </c>
      <c r="U92" s="38">
        <v>38760.340000000004</v>
      </c>
      <c r="V92" s="38">
        <v>0</v>
      </c>
      <c r="W92" s="38">
        <v>0</v>
      </c>
      <c r="X92" s="38">
        <v>0</v>
      </c>
      <c r="Y92" s="38">
        <v>0</v>
      </c>
      <c r="Z92" s="38">
        <v>510000</v>
      </c>
      <c r="AA92" s="38">
        <v>0</v>
      </c>
      <c r="AB92" s="38">
        <v>0</v>
      </c>
      <c r="AC92" s="38">
        <v>0</v>
      </c>
      <c r="AD92" s="38">
        <v>0</v>
      </c>
      <c r="AE92" s="38"/>
      <c r="AF92" s="123"/>
      <c r="AG92" s="35" t="s">
        <v>96</v>
      </c>
      <c r="AH92" s="35"/>
      <c r="AI92" s="35"/>
      <c r="AJ92" s="35"/>
      <c r="AK92" s="35"/>
      <c r="AL92" s="35"/>
      <c r="AM92" s="35"/>
      <c r="AN92" s="35"/>
      <c r="AO92" s="35"/>
      <c r="AQ92" s="35"/>
      <c r="AR92" s="38">
        <v>620165.44000000006</v>
      </c>
      <c r="AS92" s="38">
        <v>0</v>
      </c>
      <c r="AT92" s="35">
        <v>0</v>
      </c>
      <c r="AU92" s="35">
        <v>0</v>
      </c>
      <c r="AV92" s="35" t="s">
        <v>47</v>
      </c>
      <c r="AW92" s="35" t="s">
        <v>52</v>
      </c>
      <c r="AX92" s="35"/>
      <c r="AY92" s="35" t="s">
        <v>98</v>
      </c>
      <c r="AZ92" s="35" t="s">
        <v>99</v>
      </c>
      <c r="BA92" s="35" t="s">
        <v>42</v>
      </c>
      <c r="BB92" s="38"/>
      <c r="BC92" s="38">
        <v>5.7859999999999996</v>
      </c>
      <c r="BD92" s="35" t="s">
        <v>146</v>
      </c>
      <c r="BE92" s="35" t="s">
        <v>185</v>
      </c>
      <c r="BF92" s="35">
        <v>0</v>
      </c>
      <c r="BG92" s="38"/>
      <c r="BH92" s="35" t="s">
        <v>1319</v>
      </c>
    </row>
    <row r="93" spans="1:60" x14ac:dyDescent="0.3">
      <c r="A93" s="6" t="str">
        <f t="shared" si="1"/>
        <v>000013</v>
      </c>
      <c r="B93" s="35" t="s">
        <v>49</v>
      </c>
      <c r="C93" s="35" t="s">
        <v>388</v>
      </c>
      <c r="D93" s="35" t="s">
        <v>207</v>
      </c>
      <c r="E93" s="35" t="s">
        <v>188</v>
      </c>
      <c r="F93" s="35" t="s">
        <v>190</v>
      </c>
      <c r="G93" s="35" t="s">
        <v>188</v>
      </c>
      <c r="H93" s="35" t="s">
        <v>190</v>
      </c>
      <c r="I93" s="35" t="s">
        <v>192</v>
      </c>
      <c r="J93" s="35" t="s">
        <v>47</v>
      </c>
      <c r="K93" s="35" t="s">
        <v>179</v>
      </c>
      <c r="L93" s="35" t="s">
        <v>205</v>
      </c>
      <c r="M93" s="126">
        <v>6</v>
      </c>
      <c r="N93" s="123">
        <v>45883</v>
      </c>
      <c r="O93" s="123">
        <v>45995</v>
      </c>
      <c r="P93" s="38">
        <v>150883</v>
      </c>
      <c r="Q93" s="38">
        <v>170000</v>
      </c>
      <c r="R93" s="126">
        <v>0</v>
      </c>
      <c r="S93" s="126">
        <v>16</v>
      </c>
      <c r="T93" s="35" t="s">
        <v>95</v>
      </c>
      <c r="U93" s="38">
        <v>12920.11</v>
      </c>
      <c r="V93" s="38">
        <v>0</v>
      </c>
      <c r="W93" s="38">
        <v>0</v>
      </c>
      <c r="X93" s="38">
        <v>11</v>
      </c>
      <c r="Y93" s="38">
        <v>0</v>
      </c>
      <c r="Z93" s="38">
        <v>53125.04</v>
      </c>
      <c r="AA93" s="38">
        <v>2.6666666666667001E-2</v>
      </c>
      <c r="AB93" s="38">
        <v>0</v>
      </c>
      <c r="AC93" s="38">
        <v>0</v>
      </c>
      <c r="AD93" s="38">
        <v>0</v>
      </c>
      <c r="AE93" s="38">
        <v>12921</v>
      </c>
      <c r="AF93" s="123">
        <v>45959</v>
      </c>
      <c r="AG93" s="35" t="s">
        <v>96</v>
      </c>
      <c r="AH93" s="35"/>
      <c r="AI93" s="35"/>
      <c r="AJ93" s="35"/>
      <c r="AK93" s="35"/>
      <c r="AL93" s="35"/>
      <c r="AM93" s="35"/>
      <c r="AN93" s="35"/>
      <c r="AO93" s="35"/>
      <c r="AQ93" s="35"/>
      <c r="AR93" s="38">
        <v>64600.590000000004</v>
      </c>
      <c r="AS93" s="38">
        <v>0</v>
      </c>
      <c r="AT93" s="35">
        <v>0</v>
      </c>
      <c r="AU93" s="35">
        <v>0</v>
      </c>
      <c r="AV93" s="35" t="s">
        <v>47</v>
      </c>
      <c r="AW93" s="35" t="s">
        <v>52</v>
      </c>
      <c r="AX93" s="35" t="s">
        <v>196</v>
      </c>
      <c r="AY93" s="35" t="s">
        <v>98</v>
      </c>
      <c r="AZ93" s="35" t="s">
        <v>99</v>
      </c>
      <c r="BA93" s="35" t="s">
        <v>42</v>
      </c>
      <c r="BB93" s="38"/>
      <c r="BC93" s="38">
        <v>5.7859999999999996</v>
      </c>
      <c r="BD93" s="35" t="s">
        <v>197</v>
      </c>
      <c r="BE93" s="35" t="s">
        <v>198</v>
      </c>
      <c r="BF93" s="35">
        <v>0</v>
      </c>
      <c r="BG93" s="38">
        <v>0</v>
      </c>
      <c r="BH93" s="35" t="s">
        <v>1319</v>
      </c>
    </row>
    <row r="94" spans="1:60" x14ac:dyDescent="0.3">
      <c r="A94" s="6" t="str">
        <f t="shared" si="1"/>
        <v>000011</v>
      </c>
      <c r="B94" s="35" t="s">
        <v>43</v>
      </c>
      <c r="C94" s="35" t="s">
        <v>424</v>
      </c>
      <c r="D94" s="35" t="s">
        <v>204</v>
      </c>
      <c r="E94" s="35" t="s">
        <v>189</v>
      </c>
      <c r="F94" s="35" t="s">
        <v>191</v>
      </c>
      <c r="G94" s="35" t="s">
        <v>189</v>
      </c>
      <c r="H94" s="35" t="s">
        <v>191</v>
      </c>
      <c r="I94" s="35" t="s">
        <v>193</v>
      </c>
      <c r="J94" s="35" t="s">
        <v>47</v>
      </c>
      <c r="K94" s="35" t="s">
        <v>180</v>
      </c>
      <c r="L94" s="35" t="s">
        <v>205</v>
      </c>
      <c r="M94" s="126">
        <v>5</v>
      </c>
      <c r="N94" s="123">
        <v>45883</v>
      </c>
      <c r="O94" s="123">
        <v>45995</v>
      </c>
      <c r="P94" s="38">
        <v>54376</v>
      </c>
      <c r="Q94" s="38">
        <v>62000</v>
      </c>
      <c r="R94" s="126">
        <v>0</v>
      </c>
      <c r="S94" s="126">
        <v>16</v>
      </c>
      <c r="T94" s="35" t="s">
        <v>95</v>
      </c>
      <c r="U94" s="38">
        <v>4712.04</v>
      </c>
      <c r="V94" s="38">
        <v>0</v>
      </c>
      <c r="W94" s="38">
        <v>0</v>
      </c>
      <c r="X94" s="38">
        <v>11</v>
      </c>
      <c r="Y94" s="38">
        <v>0</v>
      </c>
      <c r="Z94" s="38">
        <v>19375</v>
      </c>
      <c r="AA94" s="38">
        <v>0</v>
      </c>
      <c r="AB94" s="38">
        <v>0</v>
      </c>
      <c r="AC94" s="38">
        <v>0</v>
      </c>
      <c r="AD94" s="38">
        <v>0</v>
      </c>
      <c r="AE94" s="38">
        <v>4714.04</v>
      </c>
      <c r="AF94" s="123">
        <v>45959</v>
      </c>
      <c r="AG94" s="35" t="s">
        <v>96</v>
      </c>
      <c r="AH94" s="35"/>
      <c r="AI94" s="35"/>
      <c r="AJ94" s="35"/>
      <c r="AK94" s="35"/>
      <c r="AL94" s="35"/>
      <c r="AM94" s="35"/>
      <c r="AN94" s="35"/>
      <c r="AO94" s="35"/>
      <c r="AQ94" s="35"/>
      <c r="AR94" s="38">
        <v>23552.22</v>
      </c>
      <c r="AS94" s="38">
        <v>7.9853333333333296</v>
      </c>
      <c r="AT94" s="35">
        <v>0</v>
      </c>
      <c r="AU94" s="35">
        <v>0</v>
      </c>
      <c r="AV94" s="35" t="s">
        <v>47</v>
      </c>
      <c r="AW94" s="35" t="s">
        <v>52</v>
      </c>
      <c r="AX94" s="35" t="s">
        <v>199</v>
      </c>
      <c r="AY94" s="35" t="s">
        <v>98</v>
      </c>
      <c r="AZ94" s="35" t="s">
        <v>99</v>
      </c>
      <c r="BA94" s="35" t="s">
        <v>42</v>
      </c>
      <c r="BB94" s="38"/>
      <c r="BC94" s="38">
        <v>5.7859999999999996</v>
      </c>
      <c r="BD94" s="35" t="s">
        <v>197</v>
      </c>
      <c r="BE94" s="35" t="s">
        <v>185</v>
      </c>
      <c r="BF94" s="35">
        <v>0</v>
      </c>
      <c r="BG94" s="38">
        <v>0</v>
      </c>
      <c r="BH94" s="35" t="s">
        <v>1319</v>
      </c>
    </row>
    <row r="95" spans="1:60" x14ac:dyDescent="0.3">
      <c r="A95" s="6" t="str">
        <f t="shared" si="1"/>
        <v>000175</v>
      </c>
      <c r="B95" s="35" t="s">
        <v>43</v>
      </c>
      <c r="C95" s="35" t="s">
        <v>42</v>
      </c>
      <c r="D95" s="35" t="s">
        <v>1526</v>
      </c>
      <c r="E95" s="35" t="s">
        <v>148</v>
      </c>
      <c r="F95" s="35" t="s">
        <v>149</v>
      </c>
      <c r="G95" s="35" t="s">
        <v>148</v>
      </c>
      <c r="H95" s="35" t="s">
        <v>149</v>
      </c>
      <c r="I95" s="35" t="s">
        <v>1907</v>
      </c>
      <c r="J95" s="35" t="s">
        <v>47</v>
      </c>
      <c r="K95" s="35" t="s">
        <v>1908</v>
      </c>
      <c r="L95" s="35" t="s">
        <v>205</v>
      </c>
      <c r="M95" s="126">
        <v>5</v>
      </c>
      <c r="N95" s="123">
        <v>45954</v>
      </c>
      <c r="O95" s="123">
        <v>46066</v>
      </c>
      <c r="P95" s="38">
        <v>52653</v>
      </c>
      <c r="Q95" s="38">
        <v>60000</v>
      </c>
      <c r="R95" s="126">
        <v>0</v>
      </c>
      <c r="S95" s="126">
        <v>16</v>
      </c>
      <c r="T95" s="35" t="s">
        <v>95</v>
      </c>
      <c r="U95" s="38">
        <v>4560.04</v>
      </c>
      <c r="V95" s="38">
        <v>0</v>
      </c>
      <c r="W95" s="38">
        <v>0</v>
      </c>
      <c r="X95" s="38">
        <v>1</v>
      </c>
      <c r="Y95" s="38">
        <v>1</v>
      </c>
      <c r="Z95" s="38">
        <v>60000</v>
      </c>
      <c r="AA95" s="38">
        <v>4560.04</v>
      </c>
      <c r="AB95" s="38">
        <v>111.73</v>
      </c>
      <c r="AC95" s="38">
        <v>0</v>
      </c>
      <c r="AD95" s="38">
        <v>0</v>
      </c>
      <c r="AE95" s="38"/>
      <c r="AF95" s="123"/>
      <c r="AG95" s="35" t="s">
        <v>96</v>
      </c>
      <c r="AH95" s="35"/>
      <c r="AI95" s="35"/>
      <c r="AJ95" s="35"/>
      <c r="AK95" s="35"/>
      <c r="AL95" s="35"/>
      <c r="AM95" s="35"/>
      <c r="AN95" s="35"/>
      <c r="AO95" s="35"/>
      <c r="AQ95" s="35"/>
      <c r="AR95" s="38">
        <v>72960.639999999999</v>
      </c>
      <c r="AS95" s="38">
        <v>0</v>
      </c>
      <c r="AT95" s="35">
        <v>1</v>
      </c>
      <c r="AU95" s="35">
        <v>1</v>
      </c>
      <c r="AV95" s="35" t="s">
        <v>47</v>
      </c>
      <c r="AW95" s="35" t="s">
        <v>52</v>
      </c>
      <c r="AX95" s="35"/>
      <c r="AY95" s="35" t="s">
        <v>98</v>
      </c>
      <c r="AZ95" s="35" t="s">
        <v>99</v>
      </c>
      <c r="BA95" s="35" t="s">
        <v>42</v>
      </c>
      <c r="BB95" s="38"/>
      <c r="BC95" s="38">
        <v>5.7859999999999996</v>
      </c>
      <c r="BD95" s="35" t="s">
        <v>168</v>
      </c>
      <c r="BE95" s="35" t="s">
        <v>1919</v>
      </c>
      <c r="BF95" s="35">
        <v>0</v>
      </c>
      <c r="BG95" s="38"/>
      <c r="BH95" s="35" t="s">
        <v>1319</v>
      </c>
    </row>
    <row r="96" spans="1:60" x14ac:dyDescent="0.3">
      <c r="A96" s="6" t="str">
        <f t="shared" si="1"/>
        <v>000213</v>
      </c>
      <c r="B96" s="35" t="s">
        <v>43</v>
      </c>
      <c r="C96" s="35" t="s">
        <v>42</v>
      </c>
      <c r="D96" s="35" t="s">
        <v>1526</v>
      </c>
      <c r="E96" s="35" t="s">
        <v>883</v>
      </c>
      <c r="F96" s="35" t="s">
        <v>884</v>
      </c>
      <c r="G96" s="35" t="s">
        <v>883</v>
      </c>
      <c r="H96" s="35" t="s">
        <v>884</v>
      </c>
      <c r="I96" s="35" t="s">
        <v>2135</v>
      </c>
      <c r="J96" s="35" t="s">
        <v>47</v>
      </c>
      <c r="K96" s="35" t="s">
        <v>2136</v>
      </c>
      <c r="L96" s="35" t="s">
        <v>205</v>
      </c>
      <c r="M96" s="126">
        <v>6</v>
      </c>
      <c r="N96" s="123">
        <v>45961</v>
      </c>
      <c r="O96" s="123">
        <v>46073</v>
      </c>
      <c r="P96" s="38">
        <v>56076</v>
      </c>
      <c r="Q96" s="38">
        <v>64000</v>
      </c>
      <c r="R96" s="126">
        <v>0</v>
      </c>
      <c r="S96" s="126">
        <v>16</v>
      </c>
      <c r="T96" s="35" t="s">
        <v>95</v>
      </c>
      <c r="U96" s="38">
        <v>4864.04</v>
      </c>
      <c r="V96" s="38">
        <v>0</v>
      </c>
      <c r="W96" s="38">
        <v>0</v>
      </c>
      <c r="X96" s="38">
        <v>0</v>
      </c>
      <c r="Y96" s="38">
        <v>0</v>
      </c>
      <c r="Z96" s="38">
        <v>64000</v>
      </c>
      <c r="AA96" s="38">
        <v>0</v>
      </c>
      <c r="AB96" s="38">
        <v>0</v>
      </c>
      <c r="AC96" s="38">
        <v>0</v>
      </c>
      <c r="AD96" s="38">
        <v>0</v>
      </c>
      <c r="AE96" s="38"/>
      <c r="AF96" s="123"/>
      <c r="AG96" s="35" t="s">
        <v>96</v>
      </c>
      <c r="AH96" s="35"/>
      <c r="AI96" s="35"/>
      <c r="AJ96" s="35"/>
      <c r="AK96" s="35"/>
      <c r="AL96" s="35"/>
      <c r="AM96" s="35"/>
      <c r="AN96" s="35"/>
      <c r="AO96" s="35"/>
      <c r="AQ96" s="35"/>
      <c r="AR96" s="38">
        <v>77824.680000000008</v>
      </c>
      <c r="AS96" s="38">
        <v>0</v>
      </c>
      <c r="AT96" s="35">
        <v>0</v>
      </c>
      <c r="AU96" s="35">
        <v>0</v>
      </c>
      <c r="AV96" s="35" t="s">
        <v>47</v>
      </c>
      <c r="AW96" s="35" t="s">
        <v>52</v>
      </c>
      <c r="AX96" s="35"/>
      <c r="AY96" s="35" t="s">
        <v>98</v>
      </c>
      <c r="AZ96" s="35" t="s">
        <v>99</v>
      </c>
      <c r="BA96" s="35" t="s">
        <v>42</v>
      </c>
      <c r="BB96" s="38"/>
      <c r="BC96" s="38">
        <v>5.7859999999999996</v>
      </c>
      <c r="BD96" s="35" t="s">
        <v>168</v>
      </c>
      <c r="BE96" s="35" t="s">
        <v>185</v>
      </c>
      <c r="BF96" s="35">
        <v>0</v>
      </c>
      <c r="BG96" s="38"/>
      <c r="BH96" s="35" t="s">
        <v>1319</v>
      </c>
    </row>
    <row r="97" spans="1:60" x14ac:dyDescent="0.3">
      <c r="A97" s="6" t="str">
        <f t="shared" si="1"/>
        <v>000103</v>
      </c>
      <c r="B97" s="35" t="s">
        <v>43</v>
      </c>
      <c r="C97" s="35" t="s">
        <v>42</v>
      </c>
      <c r="D97" s="35" t="s">
        <v>1526</v>
      </c>
      <c r="E97" s="35" t="s">
        <v>148</v>
      </c>
      <c r="F97" s="35" t="s">
        <v>149</v>
      </c>
      <c r="G97" s="35" t="s">
        <v>148</v>
      </c>
      <c r="H97" s="35" t="s">
        <v>149</v>
      </c>
      <c r="I97" s="35" t="s">
        <v>1208</v>
      </c>
      <c r="J97" s="35" t="s">
        <v>47</v>
      </c>
      <c r="K97" s="35" t="s">
        <v>1200</v>
      </c>
      <c r="L97" s="35" t="s">
        <v>205</v>
      </c>
      <c r="M97" s="126">
        <v>5</v>
      </c>
      <c r="N97" s="123">
        <v>45924</v>
      </c>
      <c r="O97" s="123">
        <v>46036</v>
      </c>
      <c r="P97" s="38">
        <v>44630</v>
      </c>
      <c r="Q97" s="38">
        <v>51000</v>
      </c>
      <c r="R97" s="126">
        <v>0</v>
      </c>
      <c r="S97" s="126">
        <v>16</v>
      </c>
      <c r="T97" s="35" t="s">
        <v>95</v>
      </c>
      <c r="U97" s="38">
        <v>3876.03</v>
      </c>
      <c r="V97" s="38">
        <v>0</v>
      </c>
      <c r="W97" s="38">
        <v>0</v>
      </c>
      <c r="X97" s="38">
        <v>5</v>
      </c>
      <c r="Y97" s="38">
        <v>0</v>
      </c>
      <c r="Z97" s="38">
        <v>35062.5</v>
      </c>
      <c r="AA97" s="38">
        <v>0</v>
      </c>
      <c r="AB97" s="38">
        <v>0</v>
      </c>
      <c r="AC97" s="38">
        <v>0</v>
      </c>
      <c r="AD97" s="38">
        <v>0</v>
      </c>
      <c r="AE97" s="38">
        <v>3877</v>
      </c>
      <c r="AF97" s="123">
        <v>45958</v>
      </c>
      <c r="AG97" s="35" t="s">
        <v>96</v>
      </c>
      <c r="AH97" s="35"/>
      <c r="AI97" s="35"/>
      <c r="AJ97" s="35"/>
      <c r="AK97" s="35"/>
      <c r="AL97" s="35"/>
      <c r="AM97" s="35"/>
      <c r="AN97" s="35"/>
      <c r="AO97" s="35"/>
      <c r="AQ97" s="35"/>
      <c r="AR97" s="38">
        <v>42635.42</v>
      </c>
      <c r="AS97" s="38">
        <v>0.95</v>
      </c>
      <c r="AT97" s="35">
        <v>0</v>
      </c>
      <c r="AU97" s="35">
        <v>0</v>
      </c>
      <c r="AV97" s="35" t="s">
        <v>47</v>
      </c>
      <c r="AW97" s="35" t="s">
        <v>52</v>
      </c>
      <c r="AX97" s="35"/>
      <c r="AY97" s="35" t="s">
        <v>1266</v>
      </c>
      <c r="AZ97" s="35" t="s">
        <v>99</v>
      </c>
      <c r="BA97" s="35" t="s">
        <v>42</v>
      </c>
      <c r="BB97" s="38"/>
      <c r="BC97" s="38">
        <v>5.7859999999999996</v>
      </c>
      <c r="BD97" s="35" t="s">
        <v>124</v>
      </c>
      <c r="BE97" s="35" t="s">
        <v>198</v>
      </c>
      <c r="BF97" s="35">
        <v>0</v>
      </c>
      <c r="BG97" s="38">
        <v>0</v>
      </c>
      <c r="BH97" s="35" t="s">
        <v>1320</v>
      </c>
    </row>
    <row r="98" spans="1:60" x14ac:dyDescent="0.3">
      <c r="A98" s="6" t="str">
        <f t="shared" si="1"/>
        <v>000115</v>
      </c>
      <c r="B98" s="35" t="s">
        <v>43</v>
      </c>
      <c r="C98" s="35" t="s">
        <v>424</v>
      </c>
      <c r="D98" s="35" t="s">
        <v>204</v>
      </c>
      <c r="E98" s="35" t="s">
        <v>189</v>
      </c>
      <c r="F98" s="35" t="s">
        <v>191</v>
      </c>
      <c r="G98" s="35" t="s">
        <v>189</v>
      </c>
      <c r="H98" s="35" t="s">
        <v>191</v>
      </c>
      <c r="I98" s="35" t="s">
        <v>1321</v>
      </c>
      <c r="J98" s="35" t="s">
        <v>47</v>
      </c>
      <c r="K98" s="35" t="s">
        <v>439</v>
      </c>
      <c r="L98" s="35" t="s">
        <v>205</v>
      </c>
      <c r="M98" s="126">
        <v>5</v>
      </c>
      <c r="N98" s="123">
        <v>45926</v>
      </c>
      <c r="O98" s="123">
        <v>46038</v>
      </c>
      <c r="P98" s="38">
        <v>48230</v>
      </c>
      <c r="Q98" s="38">
        <v>55000</v>
      </c>
      <c r="R98" s="126">
        <v>0</v>
      </c>
      <c r="S98" s="126">
        <v>16</v>
      </c>
      <c r="T98" s="35" t="s">
        <v>95</v>
      </c>
      <c r="U98" s="38">
        <v>4180.04</v>
      </c>
      <c r="V98" s="38">
        <v>0</v>
      </c>
      <c r="W98" s="38">
        <v>0</v>
      </c>
      <c r="X98" s="38">
        <v>5</v>
      </c>
      <c r="Y98" s="38">
        <v>0</v>
      </c>
      <c r="Z98" s="38">
        <v>37812.5</v>
      </c>
      <c r="AA98" s="38">
        <v>0</v>
      </c>
      <c r="AB98" s="38">
        <v>0</v>
      </c>
      <c r="AC98" s="38">
        <v>0</v>
      </c>
      <c r="AD98" s="38">
        <v>0</v>
      </c>
      <c r="AE98" s="38">
        <v>4180.04</v>
      </c>
      <c r="AF98" s="123">
        <v>45960</v>
      </c>
      <c r="AG98" s="35" t="s">
        <v>96</v>
      </c>
      <c r="AH98" s="35"/>
      <c r="AI98" s="35"/>
      <c r="AJ98" s="35"/>
      <c r="AK98" s="35"/>
      <c r="AL98" s="35"/>
      <c r="AM98" s="35"/>
      <c r="AN98" s="35"/>
      <c r="AO98" s="35"/>
      <c r="AQ98" s="35"/>
      <c r="AR98" s="38">
        <v>45980.39</v>
      </c>
      <c r="AS98" s="38">
        <v>1.6666666666667E-2</v>
      </c>
      <c r="AT98" s="35">
        <v>0</v>
      </c>
      <c r="AU98" s="35">
        <v>0</v>
      </c>
      <c r="AV98" s="35" t="s">
        <v>47</v>
      </c>
      <c r="AW98" s="35" t="s">
        <v>52</v>
      </c>
      <c r="AX98" s="35" t="s">
        <v>1322</v>
      </c>
      <c r="AY98" s="35" t="s">
        <v>98</v>
      </c>
      <c r="AZ98" s="35" t="s">
        <v>99</v>
      </c>
      <c r="BA98" s="35" t="s">
        <v>42</v>
      </c>
      <c r="BB98" s="38"/>
      <c r="BC98" s="38">
        <v>5.7859999999999996</v>
      </c>
      <c r="BD98" s="35" t="s">
        <v>168</v>
      </c>
      <c r="BE98" s="35" t="s">
        <v>965</v>
      </c>
      <c r="BF98" s="35">
        <v>0</v>
      </c>
      <c r="BG98" s="38">
        <v>0</v>
      </c>
      <c r="BH98" s="35" t="s">
        <v>1319</v>
      </c>
    </row>
    <row r="99" spans="1:60" x14ac:dyDescent="0.3">
      <c r="A99" s="6" t="str">
        <f t="shared" si="1"/>
        <v>000090</v>
      </c>
      <c r="B99" s="35" t="s">
        <v>43</v>
      </c>
      <c r="C99" s="35" t="s">
        <v>42</v>
      </c>
      <c r="D99" s="35" t="s">
        <v>1526</v>
      </c>
      <c r="E99" s="35" t="s">
        <v>148</v>
      </c>
      <c r="F99" s="35" t="s">
        <v>149</v>
      </c>
      <c r="G99" s="35" t="s">
        <v>148</v>
      </c>
      <c r="H99" s="35" t="s">
        <v>149</v>
      </c>
      <c r="I99" s="35" t="s">
        <v>1163</v>
      </c>
      <c r="J99" s="35" t="s">
        <v>47</v>
      </c>
      <c r="K99" s="35" t="s">
        <v>1104</v>
      </c>
      <c r="L99" s="35" t="s">
        <v>205</v>
      </c>
      <c r="M99" s="126">
        <v>6</v>
      </c>
      <c r="N99" s="123">
        <v>45922</v>
      </c>
      <c r="O99" s="123">
        <v>46034</v>
      </c>
      <c r="P99" s="38">
        <v>52399</v>
      </c>
      <c r="Q99" s="38">
        <v>60000</v>
      </c>
      <c r="R99" s="126">
        <v>0</v>
      </c>
      <c r="S99" s="126">
        <v>16</v>
      </c>
      <c r="T99" s="35" t="s">
        <v>95</v>
      </c>
      <c r="U99" s="38">
        <v>4560.04</v>
      </c>
      <c r="V99" s="38">
        <v>0</v>
      </c>
      <c r="W99" s="38">
        <v>0</v>
      </c>
      <c r="X99" s="38">
        <v>5</v>
      </c>
      <c r="Y99" s="38">
        <v>0</v>
      </c>
      <c r="Z99" s="38">
        <v>41250</v>
      </c>
      <c r="AA99" s="38">
        <v>0</v>
      </c>
      <c r="AB99" s="38">
        <v>0</v>
      </c>
      <c r="AC99" s="38">
        <v>0</v>
      </c>
      <c r="AD99" s="38">
        <v>0</v>
      </c>
      <c r="AE99" s="38">
        <v>4561</v>
      </c>
      <c r="AF99" s="123">
        <v>45954</v>
      </c>
      <c r="AG99" s="35" t="s">
        <v>96</v>
      </c>
      <c r="AH99" s="35"/>
      <c r="AI99" s="35"/>
      <c r="AJ99" s="35"/>
      <c r="AK99" s="35"/>
      <c r="AL99" s="35"/>
      <c r="AM99" s="35"/>
      <c r="AN99" s="35"/>
      <c r="AO99" s="35"/>
      <c r="AQ99" s="35"/>
      <c r="AR99" s="38">
        <v>50157.56</v>
      </c>
      <c r="AS99" s="38">
        <v>2.88</v>
      </c>
      <c r="AT99" s="35">
        <v>1</v>
      </c>
      <c r="AU99" s="35">
        <v>1</v>
      </c>
      <c r="AV99" s="35" t="s">
        <v>47</v>
      </c>
      <c r="AW99" s="35" t="s">
        <v>52</v>
      </c>
      <c r="AX99" s="35"/>
      <c r="AY99" s="35" t="s">
        <v>98</v>
      </c>
      <c r="AZ99" s="35" t="s">
        <v>99</v>
      </c>
      <c r="BA99" s="35" t="s">
        <v>42</v>
      </c>
      <c r="BB99" s="38"/>
      <c r="BC99" s="38">
        <v>5.7859999999999996</v>
      </c>
      <c r="BD99" s="35" t="s">
        <v>126</v>
      </c>
      <c r="BE99" s="35" t="s">
        <v>198</v>
      </c>
      <c r="BF99" s="35">
        <v>0</v>
      </c>
      <c r="BG99" s="38">
        <v>0</v>
      </c>
      <c r="BH99" s="35" t="s">
        <v>1319</v>
      </c>
    </row>
    <row r="100" spans="1:60" x14ac:dyDescent="0.3">
      <c r="A100" s="6" t="str">
        <f t="shared" si="1"/>
        <v>000202</v>
      </c>
      <c r="B100" s="35" t="s">
        <v>43</v>
      </c>
      <c r="C100" s="35" t="s">
        <v>424</v>
      </c>
      <c r="D100" s="35" t="s">
        <v>204</v>
      </c>
      <c r="E100" s="35" t="s">
        <v>189</v>
      </c>
      <c r="F100" s="35" t="s">
        <v>191</v>
      </c>
      <c r="G100" s="35" t="s">
        <v>189</v>
      </c>
      <c r="H100" s="35" t="s">
        <v>191</v>
      </c>
      <c r="I100" s="35" t="s">
        <v>2146</v>
      </c>
      <c r="J100" s="35" t="s">
        <v>47</v>
      </c>
      <c r="K100" s="35" t="s">
        <v>1103</v>
      </c>
      <c r="L100" s="35" t="s">
        <v>205</v>
      </c>
      <c r="M100" s="126">
        <v>6</v>
      </c>
      <c r="N100" s="123">
        <v>45961</v>
      </c>
      <c r="O100" s="123">
        <v>46073</v>
      </c>
      <c r="P100" s="38">
        <v>62222</v>
      </c>
      <c r="Q100" s="38">
        <v>71000</v>
      </c>
      <c r="R100" s="126">
        <v>0</v>
      </c>
      <c r="S100" s="126">
        <v>16</v>
      </c>
      <c r="T100" s="35" t="s">
        <v>95</v>
      </c>
      <c r="U100" s="38">
        <v>5396.05</v>
      </c>
      <c r="V100" s="38">
        <v>0</v>
      </c>
      <c r="W100" s="38">
        <v>0</v>
      </c>
      <c r="X100" s="38">
        <v>0</v>
      </c>
      <c r="Y100" s="38">
        <v>0</v>
      </c>
      <c r="Z100" s="38">
        <v>71000</v>
      </c>
      <c r="AA100" s="38">
        <v>0</v>
      </c>
      <c r="AB100" s="38">
        <v>0</v>
      </c>
      <c r="AC100" s="38">
        <v>0</v>
      </c>
      <c r="AD100" s="38">
        <v>0</v>
      </c>
      <c r="AE100" s="38"/>
      <c r="AF100" s="123"/>
      <c r="AG100" s="35" t="s">
        <v>96</v>
      </c>
      <c r="AH100" s="35"/>
      <c r="AI100" s="35"/>
      <c r="AJ100" s="35"/>
      <c r="AK100" s="35"/>
      <c r="AL100" s="35"/>
      <c r="AM100" s="35"/>
      <c r="AN100" s="35"/>
      <c r="AO100" s="35"/>
      <c r="AQ100" s="35"/>
      <c r="AR100" s="38">
        <v>86336.76</v>
      </c>
      <c r="AS100" s="38">
        <v>0</v>
      </c>
      <c r="AT100" s="35">
        <v>0</v>
      </c>
      <c r="AU100" s="35">
        <v>0</v>
      </c>
      <c r="AV100" s="35" t="s">
        <v>47</v>
      </c>
      <c r="AW100" s="35" t="s">
        <v>52</v>
      </c>
      <c r="AX100" s="35" t="s">
        <v>2149</v>
      </c>
      <c r="AY100" s="35" t="s">
        <v>98</v>
      </c>
      <c r="AZ100" s="35" t="s">
        <v>99</v>
      </c>
      <c r="BA100" s="35" t="s">
        <v>42</v>
      </c>
      <c r="BB100" s="38"/>
      <c r="BC100" s="38">
        <v>5.7859999999999996</v>
      </c>
      <c r="BD100" s="35" t="s">
        <v>168</v>
      </c>
      <c r="BE100" s="35" t="s">
        <v>1173</v>
      </c>
      <c r="BF100" s="35">
        <v>0</v>
      </c>
      <c r="BG100" s="38"/>
      <c r="BH100" s="35" t="s">
        <v>1319</v>
      </c>
    </row>
    <row r="101" spans="1:60" x14ac:dyDescent="0.3">
      <c r="A101" s="6" t="str">
        <f t="shared" si="1"/>
        <v>000161</v>
      </c>
      <c r="B101" s="35" t="s">
        <v>43</v>
      </c>
      <c r="C101" s="35" t="s">
        <v>396</v>
      </c>
      <c r="D101" s="35" t="s">
        <v>206</v>
      </c>
      <c r="E101" s="35" t="s">
        <v>501</v>
      </c>
      <c r="F101" s="35" t="s">
        <v>502</v>
      </c>
      <c r="G101" s="35" t="s">
        <v>501</v>
      </c>
      <c r="H101" s="35" t="s">
        <v>502</v>
      </c>
      <c r="I101" s="35" t="s">
        <v>1736</v>
      </c>
      <c r="J101" s="35" t="s">
        <v>47</v>
      </c>
      <c r="K101" s="35" t="s">
        <v>1573</v>
      </c>
      <c r="L101" s="35" t="s">
        <v>205</v>
      </c>
      <c r="M101" s="126">
        <v>8</v>
      </c>
      <c r="N101" s="123">
        <v>45946</v>
      </c>
      <c r="O101" s="123">
        <v>46058</v>
      </c>
      <c r="P101" s="38">
        <v>111110</v>
      </c>
      <c r="Q101" s="38">
        <v>126000</v>
      </c>
      <c r="R101" s="126">
        <v>0</v>
      </c>
      <c r="S101" s="126">
        <v>16</v>
      </c>
      <c r="T101" s="35" t="s">
        <v>95</v>
      </c>
      <c r="U101" s="38">
        <v>9576.08</v>
      </c>
      <c r="V101" s="38">
        <v>0</v>
      </c>
      <c r="W101" s="38">
        <v>0</v>
      </c>
      <c r="X101" s="38">
        <v>2</v>
      </c>
      <c r="Y101" s="38">
        <v>0</v>
      </c>
      <c r="Z101" s="38">
        <v>110250</v>
      </c>
      <c r="AA101" s="38">
        <v>0</v>
      </c>
      <c r="AB101" s="38">
        <v>0</v>
      </c>
      <c r="AC101" s="38">
        <v>0</v>
      </c>
      <c r="AD101" s="38">
        <v>0</v>
      </c>
      <c r="AE101" s="38">
        <v>9584</v>
      </c>
      <c r="AF101" s="123">
        <v>45959</v>
      </c>
      <c r="AG101" s="35" t="s">
        <v>96</v>
      </c>
      <c r="AH101" s="35"/>
      <c r="AI101" s="35"/>
      <c r="AJ101" s="35"/>
      <c r="AK101" s="35"/>
      <c r="AL101" s="35"/>
      <c r="AM101" s="35"/>
      <c r="AN101" s="35"/>
      <c r="AO101" s="35"/>
      <c r="AQ101" s="35"/>
      <c r="AR101" s="38">
        <v>134056.34</v>
      </c>
      <c r="AS101" s="38">
        <v>8.8320000000000007</v>
      </c>
      <c r="AT101" s="35">
        <v>0</v>
      </c>
      <c r="AU101" s="35">
        <v>0</v>
      </c>
      <c r="AV101" s="35" t="s">
        <v>47</v>
      </c>
      <c r="AW101" s="35" t="s">
        <v>52</v>
      </c>
      <c r="AX101" s="35" t="s">
        <v>1747</v>
      </c>
      <c r="AY101" s="35" t="s">
        <v>98</v>
      </c>
      <c r="AZ101" s="35" t="s">
        <v>99</v>
      </c>
      <c r="BA101" s="35" t="s">
        <v>42</v>
      </c>
      <c r="BB101" s="38"/>
      <c r="BC101" s="38">
        <v>5.7859999999999996</v>
      </c>
      <c r="BD101" s="35" t="s">
        <v>197</v>
      </c>
      <c r="BE101" s="35" t="s">
        <v>1178</v>
      </c>
      <c r="BF101" s="35">
        <v>0</v>
      </c>
      <c r="BG101" s="38">
        <v>0</v>
      </c>
      <c r="BH101" s="35" t="s">
        <v>1319</v>
      </c>
    </row>
    <row r="102" spans="1:60" x14ac:dyDescent="0.3">
      <c r="A102" s="6" t="str">
        <f t="shared" si="1"/>
        <v>000062</v>
      </c>
      <c r="B102" s="35" t="s">
        <v>49</v>
      </c>
      <c r="C102" s="35" t="s">
        <v>388</v>
      </c>
      <c r="D102" s="35" t="s">
        <v>207</v>
      </c>
      <c r="E102" s="35" t="s">
        <v>188</v>
      </c>
      <c r="F102" s="35" t="s">
        <v>190</v>
      </c>
      <c r="G102" s="35" t="s">
        <v>188</v>
      </c>
      <c r="H102" s="35" t="s">
        <v>190</v>
      </c>
      <c r="I102" s="35" t="s">
        <v>852</v>
      </c>
      <c r="J102" s="35" t="s">
        <v>47</v>
      </c>
      <c r="K102" s="35" t="s">
        <v>830</v>
      </c>
      <c r="L102" s="35" t="s">
        <v>205</v>
      </c>
      <c r="M102" s="126">
        <v>6</v>
      </c>
      <c r="N102" s="123">
        <v>45908</v>
      </c>
      <c r="O102" s="123">
        <v>46020</v>
      </c>
      <c r="P102" s="38">
        <v>74899</v>
      </c>
      <c r="Q102" s="38">
        <v>85000</v>
      </c>
      <c r="R102" s="126">
        <v>0</v>
      </c>
      <c r="S102" s="126">
        <v>16</v>
      </c>
      <c r="T102" s="35" t="s">
        <v>95</v>
      </c>
      <c r="U102" s="38">
        <v>6460.06</v>
      </c>
      <c r="V102" s="38">
        <v>0</v>
      </c>
      <c r="W102" s="38">
        <v>0</v>
      </c>
      <c r="X102" s="38">
        <v>7</v>
      </c>
      <c r="Y102" s="38">
        <v>0</v>
      </c>
      <c r="Z102" s="38">
        <v>47812.91</v>
      </c>
      <c r="AA102" s="38">
        <v>0.396666666666667</v>
      </c>
      <c r="AB102" s="38">
        <v>0</v>
      </c>
      <c r="AC102" s="38">
        <v>0</v>
      </c>
      <c r="AD102" s="38">
        <v>0</v>
      </c>
      <c r="AE102" s="38">
        <v>6460</v>
      </c>
      <c r="AF102" s="123">
        <v>45955</v>
      </c>
      <c r="AG102" s="35" t="s">
        <v>96</v>
      </c>
      <c r="AH102" s="35"/>
      <c r="AI102" s="35"/>
      <c r="AJ102" s="35"/>
      <c r="AK102" s="35"/>
      <c r="AL102" s="35"/>
      <c r="AM102" s="35"/>
      <c r="AN102" s="35"/>
      <c r="AO102" s="35"/>
      <c r="AQ102" s="35"/>
      <c r="AR102" s="38">
        <v>58140.91</v>
      </c>
      <c r="AS102" s="38">
        <v>0</v>
      </c>
      <c r="AT102" s="35">
        <v>1</v>
      </c>
      <c r="AU102" s="35">
        <v>1</v>
      </c>
      <c r="AV102" s="35" t="s">
        <v>47</v>
      </c>
      <c r="AW102" s="35" t="s">
        <v>52</v>
      </c>
      <c r="AX102" s="35" t="s">
        <v>853</v>
      </c>
      <c r="AY102" s="35" t="s">
        <v>98</v>
      </c>
      <c r="AZ102" s="35" t="s">
        <v>99</v>
      </c>
      <c r="BA102" s="35" t="s">
        <v>42</v>
      </c>
      <c r="BB102" s="38"/>
      <c r="BC102" s="38">
        <v>5.7859999999999996</v>
      </c>
      <c r="BD102" s="35" t="s">
        <v>126</v>
      </c>
      <c r="BE102" s="35" t="s">
        <v>198</v>
      </c>
      <c r="BF102" s="35">
        <v>0</v>
      </c>
      <c r="BG102" s="38">
        <v>0</v>
      </c>
      <c r="BH102" s="35" t="s">
        <v>1319</v>
      </c>
    </row>
    <row r="103" spans="1:60" x14ac:dyDescent="0.3">
      <c r="A103" s="6" t="str">
        <f t="shared" si="1"/>
        <v>000088</v>
      </c>
      <c r="B103" s="35" t="s">
        <v>43</v>
      </c>
      <c r="C103" s="35" t="s">
        <v>396</v>
      </c>
      <c r="D103" s="35" t="s">
        <v>206</v>
      </c>
      <c r="E103" s="35" t="s">
        <v>154</v>
      </c>
      <c r="F103" s="35" t="s">
        <v>155</v>
      </c>
      <c r="G103" s="35" t="s">
        <v>154</v>
      </c>
      <c r="H103" s="35" t="s">
        <v>155</v>
      </c>
      <c r="I103" s="35" t="s">
        <v>1102</v>
      </c>
      <c r="J103" s="35" t="s">
        <v>47</v>
      </c>
      <c r="K103" s="35" t="s">
        <v>689</v>
      </c>
      <c r="L103" s="35" t="s">
        <v>205</v>
      </c>
      <c r="M103" s="126">
        <v>7</v>
      </c>
      <c r="N103" s="123">
        <v>45917</v>
      </c>
      <c r="O103" s="123">
        <v>46029</v>
      </c>
      <c r="P103" s="38">
        <v>60322</v>
      </c>
      <c r="Q103" s="38">
        <v>69000</v>
      </c>
      <c r="R103" s="126">
        <v>0</v>
      </c>
      <c r="S103" s="126">
        <v>16</v>
      </c>
      <c r="T103" s="35" t="s">
        <v>95</v>
      </c>
      <c r="U103" s="38">
        <v>5244.05</v>
      </c>
      <c r="V103" s="38">
        <v>0</v>
      </c>
      <c r="W103" s="38">
        <v>0</v>
      </c>
      <c r="X103" s="38">
        <v>6</v>
      </c>
      <c r="Y103" s="38">
        <v>0</v>
      </c>
      <c r="Z103" s="38">
        <v>43125</v>
      </c>
      <c r="AA103" s="38">
        <v>0</v>
      </c>
      <c r="AB103" s="38">
        <v>0</v>
      </c>
      <c r="AC103" s="38">
        <v>0</v>
      </c>
      <c r="AD103" s="38">
        <v>0</v>
      </c>
      <c r="AE103" s="38">
        <v>5245</v>
      </c>
      <c r="AF103" s="123">
        <v>45958</v>
      </c>
      <c r="AG103" s="35" t="s">
        <v>96</v>
      </c>
      <c r="AH103" s="35"/>
      <c r="AI103" s="35"/>
      <c r="AJ103" s="35"/>
      <c r="AK103" s="35"/>
      <c r="AL103" s="35"/>
      <c r="AM103" s="35"/>
      <c r="AN103" s="35"/>
      <c r="AO103" s="35"/>
      <c r="AQ103" s="35"/>
      <c r="AR103" s="38">
        <v>52434.74</v>
      </c>
      <c r="AS103" s="38">
        <v>5.7240000000000002</v>
      </c>
      <c r="AT103" s="35">
        <v>0</v>
      </c>
      <c r="AU103" s="35">
        <v>0</v>
      </c>
      <c r="AV103" s="35" t="s">
        <v>47</v>
      </c>
      <c r="AW103" s="35" t="s">
        <v>52</v>
      </c>
      <c r="AX103" s="35" t="s">
        <v>1117</v>
      </c>
      <c r="AY103" s="35" t="s">
        <v>98</v>
      </c>
      <c r="AZ103" s="35" t="s">
        <v>99</v>
      </c>
      <c r="BA103" s="35" t="s">
        <v>42</v>
      </c>
      <c r="BB103" s="38"/>
      <c r="BC103" s="38">
        <v>5.7859999999999996</v>
      </c>
      <c r="BD103" s="35" t="s">
        <v>124</v>
      </c>
      <c r="BE103" s="35" t="s">
        <v>198</v>
      </c>
      <c r="BF103" s="35">
        <v>0</v>
      </c>
      <c r="BG103" s="38">
        <v>0</v>
      </c>
      <c r="BH103" s="35" t="s">
        <v>1319</v>
      </c>
    </row>
    <row r="104" spans="1:60" x14ac:dyDescent="0.3">
      <c r="A104" s="6" t="str">
        <f t="shared" si="1"/>
        <v>000168</v>
      </c>
      <c r="B104" s="35" t="s">
        <v>49</v>
      </c>
      <c r="C104" s="35" t="s">
        <v>388</v>
      </c>
      <c r="D104" s="35" t="s">
        <v>207</v>
      </c>
      <c r="E104" s="35" t="s">
        <v>170</v>
      </c>
      <c r="F104" s="35" t="s">
        <v>171</v>
      </c>
      <c r="G104" s="35" t="s">
        <v>170</v>
      </c>
      <c r="H104" s="35" t="s">
        <v>171</v>
      </c>
      <c r="I104" s="35" t="s">
        <v>1837</v>
      </c>
      <c r="J104" s="35" t="s">
        <v>47</v>
      </c>
      <c r="K104" s="35" t="s">
        <v>186</v>
      </c>
      <c r="L104" s="35" t="s">
        <v>205</v>
      </c>
      <c r="M104" s="126">
        <v>6</v>
      </c>
      <c r="N104" s="123">
        <v>45950</v>
      </c>
      <c r="O104" s="123">
        <v>46062</v>
      </c>
      <c r="P104" s="38">
        <v>61476</v>
      </c>
      <c r="Q104" s="38">
        <v>70000</v>
      </c>
      <c r="R104" s="126">
        <v>0</v>
      </c>
      <c r="S104" s="126">
        <v>16</v>
      </c>
      <c r="T104" s="35" t="s">
        <v>95</v>
      </c>
      <c r="U104" s="38">
        <v>5320.05</v>
      </c>
      <c r="V104" s="38">
        <v>0</v>
      </c>
      <c r="W104" s="38">
        <v>0</v>
      </c>
      <c r="X104" s="38">
        <v>1</v>
      </c>
      <c r="Y104" s="38">
        <v>0</v>
      </c>
      <c r="Z104" s="38">
        <v>65625.05</v>
      </c>
      <c r="AA104" s="38">
        <v>4.6666666666667002E-2</v>
      </c>
      <c r="AB104" s="38">
        <v>0</v>
      </c>
      <c r="AC104" s="38">
        <v>0</v>
      </c>
      <c r="AD104" s="38">
        <v>0</v>
      </c>
      <c r="AE104" s="38">
        <v>5320</v>
      </c>
      <c r="AF104" s="123">
        <v>45954</v>
      </c>
      <c r="AG104" s="35" t="s">
        <v>96</v>
      </c>
      <c r="AH104" s="35"/>
      <c r="AI104" s="35"/>
      <c r="AJ104" s="35"/>
      <c r="AK104" s="35"/>
      <c r="AL104" s="35"/>
      <c r="AM104" s="35"/>
      <c r="AN104" s="35"/>
      <c r="AO104" s="35"/>
      <c r="AQ104" s="35"/>
      <c r="AR104" s="38">
        <v>79800.75</v>
      </c>
      <c r="AS104" s="38">
        <v>0</v>
      </c>
      <c r="AT104" s="35">
        <v>1</v>
      </c>
      <c r="AU104" s="35">
        <v>1</v>
      </c>
      <c r="AV104" s="35" t="s">
        <v>47</v>
      </c>
      <c r="AW104" s="35" t="s">
        <v>52</v>
      </c>
      <c r="AX104" s="35" t="s">
        <v>1850</v>
      </c>
      <c r="AY104" s="35" t="s">
        <v>98</v>
      </c>
      <c r="AZ104" s="35" t="s">
        <v>99</v>
      </c>
      <c r="BA104" s="35" t="s">
        <v>42</v>
      </c>
      <c r="BB104" s="38"/>
      <c r="BC104" s="38">
        <v>5.7859999999999996</v>
      </c>
      <c r="BD104" s="35" t="s">
        <v>126</v>
      </c>
      <c r="BE104" s="35" t="s">
        <v>1178</v>
      </c>
      <c r="BF104" s="35">
        <v>0</v>
      </c>
      <c r="BG104" s="38">
        <v>0</v>
      </c>
      <c r="BH104" s="35" t="s">
        <v>1319</v>
      </c>
    </row>
    <row r="105" spans="1:60" x14ac:dyDescent="0.3">
      <c r="A105" s="6" t="str">
        <f t="shared" si="1"/>
        <v>000008</v>
      </c>
      <c r="B105" s="35" t="s">
        <v>43</v>
      </c>
      <c r="C105" s="35" t="s">
        <v>42</v>
      </c>
      <c r="D105" s="35" t="s">
        <v>1526</v>
      </c>
      <c r="E105" s="35" t="s">
        <v>148</v>
      </c>
      <c r="F105" s="35" t="s">
        <v>149</v>
      </c>
      <c r="G105" s="35" t="s">
        <v>148</v>
      </c>
      <c r="H105" s="35" t="s">
        <v>149</v>
      </c>
      <c r="I105" s="35" t="s">
        <v>158</v>
      </c>
      <c r="J105" s="35" t="s">
        <v>47</v>
      </c>
      <c r="K105" s="35" t="s">
        <v>105</v>
      </c>
      <c r="L105" s="35" t="s">
        <v>205</v>
      </c>
      <c r="M105" s="126">
        <v>12</v>
      </c>
      <c r="N105" s="123">
        <v>45880</v>
      </c>
      <c r="O105" s="123">
        <v>45992</v>
      </c>
      <c r="P105" s="38">
        <v>108300</v>
      </c>
      <c r="Q105" s="38">
        <v>125000</v>
      </c>
      <c r="R105" s="126">
        <v>0</v>
      </c>
      <c r="S105" s="126">
        <v>16</v>
      </c>
      <c r="T105" s="35" t="s">
        <v>95</v>
      </c>
      <c r="U105" s="38">
        <v>9500.08</v>
      </c>
      <c r="V105" s="38">
        <v>0</v>
      </c>
      <c r="W105" s="38">
        <v>0</v>
      </c>
      <c r="X105" s="38">
        <v>11</v>
      </c>
      <c r="Y105" s="38">
        <v>0</v>
      </c>
      <c r="Z105" s="38">
        <v>39063.26</v>
      </c>
      <c r="AA105" s="38">
        <v>0.75666666666666704</v>
      </c>
      <c r="AB105" s="38">
        <v>0</v>
      </c>
      <c r="AC105" s="38">
        <v>0</v>
      </c>
      <c r="AD105" s="38">
        <v>0</v>
      </c>
      <c r="AE105" s="38">
        <v>9500</v>
      </c>
      <c r="AF105" s="123">
        <v>45957</v>
      </c>
      <c r="AG105" s="35" t="s">
        <v>96</v>
      </c>
      <c r="AH105" s="35"/>
      <c r="AI105" s="35"/>
      <c r="AJ105" s="35"/>
      <c r="AK105" s="35"/>
      <c r="AL105" s="35"/>
      <c r="AM105" s="35"/>
      <c r="AN105" s="35"/>
      <c r="AO105" s="35"/>
      <c r="AQ105" s="35"/>
      <c r="AR105" s="38">
        <v>47501.17</v>
      </c>
      <c r="AS105" s="38">
        <v>0</v>
      </c>
      <c r="AT105" s="35">
        <v>1</v>
      </c>
      <c r="AU105" s="35">
        <v>1</v>
      </c>
      <c r="AV105" s="35" t="s">
        <v>47</v>
      </c>
      <c r="AW105" s="35" t="s">
        <v>52</v>
      </c>
      <c r="AX105" s="35" t="s">
        <v>159</v>
      </c>
      <c r="AY105" s="35" t="s">
        <v>98</v>
      </c>
      <c r="AZ105" s="35" t="s">
        <v>99</v>
      </c>
      <c r="BA105" s="35" t="s">
        <v>42</v>
      </c>
      <c r="BB105" s="38"/>
      <c r="BC105" s="38">
        <v>5.7859999999999996</v>
      </c>
      <c r="BD105" s="35" t="s">
        <v>126</v>
      </c>
      <c r="BE105" s="35" t="s">
        <v>160</v>
      </c>
      <c r="BF105" s="35">
        <v>0</v>
      </c>
      <c r="BG105" s="38">
        <v>0</v>
      </c>
      <c r="BH105" s="35" t="s">
        <v>1319</v>
      </c>
    </row>
    <row r="106" spans="1:60" x14ac:dyDescent="0.3">
      <c r="A106" s="6" t="str">
        <f t="shared" si="1"/>
        <v>000075</v>
      </c>
      <c r="B106" s="35" t="s">
        <v>43</v>
      </c>
      <c r="C106" s="35" t="s">
        <v>396</v>
      </c>
      <c r="D106" s="35" t="s">
        <v>1267</v>
      </c>
      <c r="E106" s="35" t="s">
        <v>154</v>
      </c>
      <c r="F106" s="35" t="s">
        <v>155</v>
      </c>
      <c r="G106" s="35" t="s">
        <v>154</v>
      </c>
      <c r="H106" s="35" t="s">
        <v>155</v>
      </c>
      <c r="I106" s="35" t="s">
        <v>934</v>
      </c>
      <c r="J106" s="35" t="s">
        <v>47</v>
      </c>
      <c r="K106" s="35" t="s">
        <v>880</v>
      </c>
      <c r="L106" s="35" t="s">
        <v>205</v>
      </c>
      <c r="M106" s="126">
        <v>7</v>
      </c>
      <c r="N106" s="123">
        <v>45911</v>
      </c>
      <c r="O106" s="123">
        <v>46027</v>
      </c>
      <c r="P106" s="38">
        <v>132706</v>
      </c>
      <c r="Q106" s="38">
        <v>150000</v>
      </c>
      <c r="R106" s="126">
        <v>0</v>
      </c>
      <c r="S106" s="126">
        <v>16</v>
      </c>
      <c r="T106" s="35" t="s">
        <v>95</v>
      </c>
      <c r="U106" s="38">
        <v>11400.1</v>
      </c>
      <c r="V106" s="38">
        <v>0</v>
      </c>
      <c r="W106" s="38">
        <v>0</v>
      </c>
      <c r="X106" s="38">
        <v>6</v>
      </c>
      <c r="Y106" s="38">
        <v>0</v>
      </c>
      <c r="Z106" s="38">
        <v>84375</v>
      </c>
      <c r="AA106" s="38">
        <v>0</v>
      </c>
      <c r="AB106" s="38">
        <v>0</v>
      </c>
      <c r="AC106" s="38">
        <v>0</v>
      </c>
      <c r="AD106" s="38">
        <v>0</v>
      </c>
      <c r="AE106" s="38">
        <v>11407</v>
      </c>
      <c r="AF106" s="123">
        <v>45960</v>
      </c>
      <c r="AG106" s="35" t="s">
        <v>96</v>
      </c>
      <c r="AH106" s="35"/>
      <c r="AI106" s="35"/>
      <c r="AJ106" s="35"/>
      <c r="AK106" s="35"/>
      <c r="AL106" s="35"/>
      <c r="AM106" s="35"/>
      <c r="AN106" s="35"/>
      <c r="AO106" s="35"/>
      <c r="AQ106" s="35"/>
      <c r="AR106" s="38">
        <v>102552.6</v>
      </c>
      <c r="AS106" s="38">
        <v>11448.4</v>
      </c>
      <c r="AT106" s="35">
        <v>0</v>
      </c>
      <c r="AU106" s="35">
        <v>0</v>
      </c>
      <c r="AV106" s="35" t="s">
        <v>47</v>
      </c>
      <c r="AW106" s="35" t="s">
        <v>52</v>
      </c>
      <c r="AX106" s="35" t="s">
        <v>935</v>
      </c>
      <c r="AY106" s="35" t="s">
        <v>98</v>
      </c>
      <c r="AZ106" s="35" t="s">
        <v>99</v>
      </c>
      <c r="BA106" s="35" t="s">
        <v>42</v>
      </c>
      <c r="BB106" s="38"/>
      <c r="BC106" s="38">
        <v>5.7859999999999996</v>
      </c>
      <c r="BD106" s="35" t="s">
        <v>126</v>
      </c>
      <c r="BE106" s="35" t="s">
        <v>125</v>
      </c>
      <c r="BF106" s="35">
        <v>0</v>
      </c>
      <c r="BG106" s="38">
        <v>0</v>
      </c>
      <c r="BH106" s="35" t="s">
        <v>1319</v>
      </c>
    </row>
    <row r="107" spans="1:60" x14ac:dyDescent="0.3">
      <c r="A107" s="6" t="str">
        <f t="shared" si="1"/>
        <v>000073</v>
      </c>
      <c r="B107" s="35" t="s">
        <v>43</v>
      </c>
      <c r="C107" s="35" t="s">
        <v>396</v>
      </c>
      <c r="D107" s="35" t="s">
        <v>206</v>
      </c>
      <c r="E107" s="35" t="s">
        <v>164</v>
      </c>
      <c r="F107" s="35" t="s">
        <v>165</v>
      </c>
      <c r="G107" s="35" t="s">
        <v>164</v>
      </c>
      <c r="H107" s="35" t="s">
        <v>165</v>
      </c>
      <c r="I107" s="35" t="s">
        <v>977</v>
      </c>
      <c r="J107" s="35" t="s">
        <v>47</v>
      </c>
      <c r="K107" s="35" t="s">
        <v>940</v>
      </c>
      <c r="L107" s="35" t="s">
        <v>205</v>
      </c>
      <c r="M107" s="126">
        <v>10</v>
      </c>
      <c r="N107" s="123">
        <v>45912</v>
      </c>
      <c r="O107" s="123">
        <v>46024</v>
      </c>
      <c r="P107" s="38">
        <v>124925</v>
      </c>
      <c r="Q107" s="38">
        <v>142000</v>
      </c>
      <c r="R107" s="126">
        <v>0</v>
      </c>
      <c r="S107" s="126">
        <v>16</v>
      </c>
      <c r="T107" s="35" t="s">
        <v>95</v>
      </c>
      <c r="U107" s="38">
        <v>10792.09</v>
      </c>
      <c r="V107" s="38">
        <v>0</v>
      </c>
      <c r="W107" s="38">
        <v>0</v>
      </c>
      <c r="X107" s="38">
        <v>7</v>
      </c>
      <c r="Y107" s="38">
        <v>0</v>
      </c>
      <c r="Z107" s="38">
        <v>79875</v>
      </c>
      <c r="AA107" s="38">
        <v>0</v>
      </c>
      <c r="AB107" s="38">
        <v>0</v>
      </c>
      <c r="AC107" s="38">
        <v>0</v>
      </c>
      <c r="AD107" s="38">
        <v>0</v>
      </c>
      <c r="AE107" s="38">
        <v>10805</v>
      </c>
      <c r="AF107" s="123">
        <v>45961</v>
      </c>
      <c r="AG107" s="35" t="s">
        <v>96</v>
      </c>
      <c r="AH107" s="35"/>
      <c r="AI107" s="35"/>
      <c r="AJ107" s="35"/>
      <c r="AK107" s="35"/>
      <c r="AL107" s="35"/>
      <c r="AM107" s="35"/>
      <c r="AN107" s="35"/>
      <c r="AO107" s="35"/>
      <c r="AQ107" s="35"/>
      <c r="AR107" s="38">
        <v>97059.51</v>
      </c>
      <c r="AS107" s="38">
        <v>69.337333333333333</v>
      </c>
      <c r="AT107" s="35">
        <v>0</v>
      </c>
      <c r="AU107" s="35">
        <v>0</v>
      </c>
      <c r="AV107" s="35" t="s">
        <v>47</v>
      </c>
      <c r="AW107" s="35" t="s">
        <v>52</v>
      </c>
      <c r="AX107" s="35"/>
      <c r="AY107" s="35" t="s">
        <v>98</v>
      </c>
      <c r="AZ107" s="35" t="s">
        <v>99</v>
      </c>
      <c r="BA107" s="35" t="s">
        <v>42</v>
      </c>
      <c r="BB107" s="38"/>
      <c r="BC107" s="38">
        <v>5.7859999999999996</v>
      </c>
      <c r="BD107" s="35" t="s">
        <v>168</v>
      </c>
      <c r="BE107" s="35" t="s">
        <v>147</v>
      </c>
      <c r="BF107" s="35">
        <v>0</v>
      </c>
      <c r="BG107" s="38">
        <v>0</v>
      </c>
      <c r="BH107" s="35" t="s">
        <v>1319</v>
      </c>
    </row>
    <row r="108" spans="1:60" x14ac:dyDescent="0.3">
      <c r="A108" s="6" t="str">
        <f t="shared" si="1"/>
        <v>000102</v>
      </c>
      <c r="B108" s="35" t="s">
        <v>43</v>
      </c>
      <c r="C108" s="35" t="s">
        <v>396</v>
      </c>
      <c r="D108" s="35" t="s">
        <v>206</v>
      </c>
      <c r="E108" s="35" t="s">
        <v>143</v>
      </c>
      <c r="F108" s="35" t="s">
        <v>144</v>
      </c>
      <c r="G108" s="35" t="s">
        <v>143</v>
      </c>
      <c r="H108" s="35" t="s">
        <v>144</v>
      </c>
      <c r="I108" s="35" t="s">
        <v>1176</v>
      </c>
      <c r="J108" s="35" t="s">
        <v>47</v>
      </c>
      <c r="K108" s="35" t="s">
        <v>1129</v>
      </c>
      <c r="L108" s="35" t="s">
        <v>205</v>
      </c>
      <c r="M108" s="126">
        <v>9</v>
      </c>
      <c r="N108" s="123">
        <v>45923</v>
      </c>
      <c r="O108" s="123">
        <v>46035</v>
      </c>
      <c r="P108" s="38">
        <v>100160</v>
      </c>
      <c r="Q108" s="38">
        <v>114000</v>
      </c>
      <c r="R108" s="126">
        <v>0</v>
      </c>
      <c r="S108" s="126">
        <v>16</v>
      </c>
      <c r="T108" s="35" t="s">
        <v>95</v>
      </c>
      <c r="U108" s="38">
        <v>8664.08</v>
      </c>
      <c r="V108" s="38">
        <v>0</v>
      </c>
      <c r="W108" s="38">
        <v>0</v>
      </c>
      <c r="X108" s="38">
        <v>5</v>
      </c>
      <c r="Y108" s="38">
        <v>0</v>
      </c>
      <c r="Z108" s="38">
        <v>78375</v>
      </c>
      <c r="AA108" s="38">
        <v>0</v>
      </c>
      <c r="AB108" s="38">
        <v>0</v>
      </c>
      <c r="AC108" s="38">
        <v>0</v>
      </c>
      <c r="AD108" s="38">
        <v>0</v>
      </c>
      <c r="AE108" s="38">
        <v>8672.1</v>
      </c>
      <c r="AF108" s="123">
        <v>45956</v>
      </c>
      <c r="AG108" s="35" t="s">
        <v>96</v>
      </c>
      <c r="AH108" s="35"/>
      <c r="AI108" s="35"/>
      <c r="AJ108" s="35"/>
      <c r="AK108" s="35"/>
      <c r="AL108" s="35"/>
      <c r="AM108" s="35"/>
      <c r="AN108" s="35"/>
      <c r="AO108" s="35"/>
      <c r="AQ108" s="35"/>
      <c r="AR108" s="38">
        <v>95072.74</v>
      </c>
      <c r="AS108" s="38">
        <v>232.1</v>
      </c>
      <c r="AT108" s="35">
        <v>0</v>
      </c>
      <c r="AU108" s="35">
        <v>0</v>
      </c>
      <c r="AV108" s="35" t="s">
        <v>47</v>
      </c>
      <c r="AW108" s="35" t="s">
        <v>52</v>
      </c>
      <c r="AX108" s="35" t="s">
        <v>1177</v>
      </c>
      <c r="AY108" s="35" t="s">
        <v>98</v>
      </c>
      <c r="AZ108" s="35" t="s">
        <v>99</v>
      </c>
      <c r="BA108" s="35" t="s">
        <v>42</v>
      </c>
      <c r="BB108" s="38"/>
      <c r="BC108" s="38">
        <v>5.7859999999999996</v>
      </c>
      <c r="BD108" s="35" t="s">
        <v>146</v>
      </c>
      <c r="BE108" s="35" t="s">
        <v>1178</v>
      </c>
      <c r="BF108" s="35">
        <v>0</v>
      </c>
      <c r="BG108" s="38">
        <v>0</v>
      </c>
      <c r="BH108" s="35" t="s">
        <v>1319</v>
      </c>
    </row>
    <row r="109" spans="1:60" x14ac:dyDescent="0.3">
      <c r="A109" s="6" t="str">
        <f t="shared" si="1"/>
        <v>000198</v>
      </c>
      <c r="B109" s="35" t="s">
        <v>49</v>
      </c>
      <c r="C109" s="35" t="s">
        <v>388</v>
      </c>
      <c r="D109" s="35" t="s">
        <v>207</v>
      </c>
      <c r="E109" s="35" t="s">
        <v>1145</v>
      </c>
      <c r="F109" s="35" t="s">
        <v>1840</v>
      </c>
      <c r="G109" s="35" t="s">
        <v>1145</v>
      </c>
      <c r="H109" s="35" t="s">
        <v>1840</v>
      </c>
      <c r="I109" s="35" t="s">
        <v>2033</v>
      </c>
      <c r="J109" s="35" t="s">
        <v>47</v>
      </c>
      <c r="K109" s="35" t="s">
        <v>2034</v>
      </c>
      <c r="L109" s="35" t="s">
        <v>205</v>
      </c>
      <c r="M109" s="126">
        <v>6</v>
      </c>
      <c r="N109" s="123">
        <v>45959</v>
      </c>
      <c r="O109" s="123">
        <v>46071</v>
      </c>
      <c r="P109" s="38">
        <v>170346</v>
      </c>
      <c r="Q109" s="38">
        <v>192000</v>
      </c>
      <c r="R109" s="126">
        <v>0</v>
      </c>
      <c r="S109" s="126">
        <v>16</v>
      </c>
      <c r="T109" s="35" t="s">
        <v>95</v>
      </c>
      <c r="U109" s="38">
        <v>14592.130000000001</v>
      </c>
      <c r="V109" s="38">
        <v>0</v>
      </c>
      <c r="W109" s="38">
        <v>0</v>
      </c>
      <c r="X109" s="38">
        <v>0</v>
      </c>
      <c r="Y109" s="38">
        <v>0</v>
      </c>
      <c r="Z109" s="38">
        <v>192000</v>
      </c>
      <c r="AA109" s="38">
        <v>0</v>
      </c>
      <c r="AB109" s="38">
        <v>0</v>
      </c>
      <c r="AC109" s="38">
        <v>0</v>
      </c>
      <c r="AD109" s="38">
        <v>0</v>
      </c>
      <c r="AE109" s="38"/>
      <c r="AF109" s="123"/>
      <c r="AG109" s="35" t="s">
        <v>96</v>
      </c>
      <c r="AH109" s="35"/>
      <c r="AI109" s="35"/>
      <c r="AJ109" s="35"/>
      <c r="AK109" s="35"/>
      <c r="AL109" s="35"/>
      <c r="AM109" s="35"/>
      <c r="AN109" s="35"/>
      <c r="AO109" s="35"/>
      <c r="AQ109" s="35"/>
      <c r="AR109" s="38">
        <v>233474.05000000002</v>
      </c>
      <c r="AS109" s="38">
        <v>0</v>
      </c>
      <c r="AT109" s="35">
        <v>0</v>
      </c>
      <c r="AU109" s="35">
        <v>0</v>
      </c>
      <c r="AV109" s="35" t="s">
        <v>47</v>
      </c>
      <c r="AW109" s="35" t="s">
        <v>52</v>
      </c>
      <c r="AX109" s="35" t="s">
        <v>2035</v>
      </c>
      <c r="AY109" s="35" t="s">
        <v>98</v>
      </c>
      <c r="AZ109" s="35" t="s">
        <v>99</v>
      </c>
      <c r="BA109" s="35" t="s">
        <v>42</v>
      </c>
      <c r="BB109" s="38"/>
      <c r="BC109" s="38">
        <v>5.7859999999999996</v>
      </c>
      <c r="BD109" s="35" t="s">
        <v>124</v>
      </c>
      <c r="BE109" s="35" t="s">
        <v>160</v>
      </c>
      <c r="BF109" s="35">
        <v>0</v>
      </c>
      <c r="BG109" s="38"/>
      <c r="BH109" s="35" t="s">
        <v>1320</v>
      </c>
    </row>
    <row r="110" spans="1:60" x14ac:dyDescent="0.3">
      <c r="A110" s="6" t="str">
        <f t="shared" si="1"/>
        <v>000057</v>
      </c>
      <c r="B110" s="35" t="s">
        <v>43</v>
      </c>
      <c r="C110" s="35" t="s">
        <v>42</v>
      </c>
      <c r="D110" s="35" t="s">
        <v>1526</v>
      </c>
      <c r="E110" s="35" t="s">
        <v>883</v>
      </c>
      <c r="F110" s="35" t="s">
        <v>884</v>
      </c>
      <c r="G110" s="35" t="s">
        <v>883</v>
      </c>
      <c r="H110" s="35" t="s">
        <v>884</v>
      </c>
      <c r="I110" s="35" t="s">
        <v>809</v>
      </c>
      <c r="J110" s="35" t="s">
        <v>47</v>
      </c>
      <c r="K110" s="35" t="s">
        <v>804</v>
      </c>
      <c r="L110" s="35" t="s">
        <v>205</v>
      </c>
      <c r="M110" s="126">
        <v>7</v>
      </c>
      <c r="N110" s="123">
        <v>45903</v>
      </c>
      <c r="O110" s="123">
        <v>46015</v>
      </c>
      <c r="P110" s="38">
        <v>186421</v>
      </c>
      <c r="Q110" s="38">
        <v>210000</v>
      </c>
      <c r="R110" s="126">
        <v>0</v>
      </c>
      <c r="S110" s="126">
        <v>16</v>
      </c>
      <c r="T110" s="35" t="s">
        <v>95</v>
      </c>
      <c r="U110" s="38">
        <v>15960.140000000001</v>
      </c>
      <c r="V110" s="38">
        <v>0</v>
      </c>
      <c r="W110" s="38">
        <v>0</v>
      </c>
      <c r="X110" s="38">
        <v>8</v>
      </c>
      <c r="Y110" s="38">
        <v>0</v>
      </c>
      <c r="Z110" s="38">
        <v>105000</v>
      </c>
      <c r="AA110" s="38">
        <v>0</v>
      </c>
      <c r="AB110" s="38">
        <v>0</v>
      </c>
      <c r="AC110" s="38">
        <v>0</v>
      </c>
      <c r="AD110" s="38">
        <v>0</v>
      </c>
      <c r="AE110" s="38">
        <v>15960</v>
      </c>
      <c r="AF110" s="123">
        <v>45959</v>
      </c>
      <c r="AG110" s="35" t="s">
        <v>96</v>
      </c>
      <c r="AH110" s="35"/>
      <c r="AI110" s="35"/>
      <c r="AJ110" s="35"/>
      <c r="AK110" s="35"/>
      <c r="AL110" s="35"/>
      <c r="AM110" s="35"/>
      <c r="AN110" s="35"/>
      <c r="AO110" s="35"/>
      <c r="AQ110" s="35"/>
      <c r="AR110" s="38">
        <v>127677.24</v>
      </c>
      <c r="AS110" s="38">
        <v>3.88</v>
      </c>
      <c r="AT110" s="35">
        <v>0</v>
      </c>
      <c r="AU110" s="35">
        <v>0</v>
      </c>
      <c r="AV110" s="35" t="s">
        <v>47</v>
      </c>
      <c r="AW110" s="35" t="s">
        <v>52</v>
      </c>
      <c r="AX110" s="35"/>
      <c r="AY110" s="35" t="s">
        <v>98</v>
      </c>
      <c r="AZ110" s="35" t="s">
        <v>99</v>
      </c>
      <c r="BA110" s="35" t="s">
        <v>42</v>
      </c>
      <c r="BB110" s="38"/>
      <c r="BC110" s="38">
        <v>5.7859999999999996</v>
      </c>
      <c r="BD110" s="35" t="s">
        <v>124</v>
      </c>
      <c r="BE110" s="35" t="s">
        <v>198</v>
      </c>
      <c r="BF110" s="35">
        <v>0</v>
      </c>
      <c r="BG110" s="38">
        <v>0</v>
      </c>
      <c r="BH110" s="35" t="s">
        <v>1319</v>
      </c>
    </row>
    <row r="111" spans="1:60" x14ac:dyDescent="0.3">
      <c r="A111" s="6" t="str">
        <f t="shared" si="1"/>
        <v>000122</v>
      </c>
      <c r="B111" s="35" t="s">
        <v>43</v>
      </c>
      <c r="C111" s="35" t="s">
        <v>424</v>
      </c>
      <c r="D111" s="35" t="s">
        <v>204</v>
      </c>
      <c r="E111" s="35" t="s">
        <v>189</v>
      </c>
      <c r="F111" s="35" t="s">
        <v>191</v>
      </c>
      <c r="G111" s="35" t="s">
        <v>189</v>
      </c>
      <c r="H111" s="35" t="s">
        <v>191</v>
      </c>
      <c r="I111" s="35" t="s">
        <v>1417</v>
      </c>
      <c r="J111" s="35" t="s">
        <v>47</v>
      </c>
      <c r="K111" s="35" t="s">
        <v>1375</v>
      </c>
      <c r="L111" s="35" t="s">
        <v>205</v>
      </c>
      <c r="M111" s="126">
        <v>5</v>
      </c>
      <c r="N111" s="123">
        <v>45930</v>
      </c>
      <c r="O111" s="123">
        <v>46042</v>
      </c>
      <c r="P111" s="38">
        <v>57076</v>
      </c>
      <c r="Q111" s="38">
        <v>65000</v>
      </c>
      <c r="R111" s="126">
        <v>3</v>
      </c>
      <c r="S111" s="126">
        <v>16</v>
      </c>
      <c r="T111" s="35" t="s">
        <v>95</v>
      </c>
      <c r="U111" s="38">
        <v>4940.04</v>
      </c>
      <c r="V111" s="38">
        <v>0</v>
      </c>
      <c r="W111" s="38">
        <v>0</v>
      </c>
      <c r="X111" s="38">
        <v>4</v>
      </c>
      <c r="Y111" s="38">
        <v>0.7</v>
      </c>
      <c r="Z111" s="38">
        <v>52330.130000000005</v>
      </c>
      <c r="AA111" s="38">
        <v>3580.1333333333328</v>
      </c>
      <c r="AB111" s="38">
        <v>0</v>
      </c>
      <c r="AC111" s="38">
        <v>0</v>
      </c>
      <c r="AD111" s="38">
        <v>0</v>
      </c>
      <c r="AE111" s="38">
        <v>1305</v>
      </c>
      <c r="AF111" s="123">
        <v>45956</v>
      </c>
      <c r="AG111" s="35" t="s">
        <v>96</v>
      </c>
      <c r="AH111" s="35"/>
      <c r="AI111" s="35"/>
      <c r="AJ111" s="35"/>
      <c r="AK111" s="35"/>
      <c r="AL111" s="35"/>
      <c r="AM111" s="35"/>
      <c r="AN111" s="35"/>
      <c r="AO111" s="35"/>
      <c r="AQ111" s="35"/>
      <c r="AR111" s="38">
        <v>62860.65</v>
      </c>
      <c r="AS111" s="38">
        <v>0</v>
      </c>
      <c r="AT111" s="35">
        <v>1</v>
      </c>
      <c r="AU111" s="35">
        <v>2</v>
      </c>
      <c r="AV111" s="35" t="s">
        <v>47</v>
      </c>
      <c r="AW111" s="35" t="s">
        <v>52</v>
      </c>
      <c r="AX111" s="35" t="s">
        <v>1421</v>
      </c>
      <c r="AY111" s="35" t="s">
        <v>98</v>
      </c>
      <c r="AZ111" s="35" t="s">
        <v>99</v>
      </c>
      <c r="BA111" s="35" t="s">
        <v>42</v>
      </c>
      <c r="BB111" s="38"/>
      <c r="BC111" s="38">
        <v>5.7859999999999996</v>
      </c>
      <c r="BD111" s="35" t="s">
        <v>146</v>
      </c>
      <c r="BE111" s="35" t="s">
        <v>147</v>
      </c>
      <c r="BF111" s="35">
        <v>0</v>
      </c>
      <c r="BG111" s="38">
        <v>0</v>
      </c>
      <c r="BH111" s="35" t="s">
        <v>1319</v>
      </c>
    </row>
    <row r="112" spans="1:60" x14ac:dyDescent="0.3">
      <c r="A112" s="6" t="str">
        <f t="shared" si="1"/>
        <v>000121</v>
      </c>
      <c r="B112" s="35" t="s">
        <v>43</v>
      </c>
      <c r="C112" s="35" t="s">
        <v>42</v>
      </c>
      <c r="D112" s="35" t="s">
        <v>1526</v>
      </c>
      <c r="E112" s="35" t="s">
        <v>148</v>
      </c>
      <c r="F112" s="35" t="s">
        <v>149</v>
      </c>
      <c r="G112" s="35" t="s">
        <v>148</v>
      </c>
      <c r="H112" s="35" t="s">
        <v>149</v>
      </c>
      <c r="I112" s="35" t="s">
        <v>1423</v>
      </c>
      <c r="J112" s="35" t="s">
        <v>47</v>
      </c>
      <c r="K112" s="35" t="s">
        <v>103</v>
      </c>
      <c r="L112" s="35" t="s">
        <v>205</v>
      </c>
      <c r="M112" s="126">
        <v>5</v>
      </c>
      <c r="N112" s="123">
        <v>45930</v>
      </c>
      <c r="O112" s="123">
        <v>46042</v>
      </c>
      <c r="P112" s="38">
        <v>49953</v>
      </c>
      <c r="Q112" s="38">
        <v>57000</v>
      </c>
      <c r="R112" s="126">
        <v>0</v>
      </c>
      <c r="S112" s="126">
        <v>16</v>
      </c>
      <c r="T112" s="35" t="s">
        <v>95</v>
      </c>
      <c r="U112" s="38">
        <v>4332.04</v>
      </c>
      <c r="V112" s="38">
        <v>0</v>
      </c>
      <c r="W112" s="38">
        <v>0</v>
      </c>
      <c r="X112" s="38">
        <v>4</v>
      </c>
      <c r="Y112" s="38">
        <v>0</v>
      </c>
      <c r="Z112" s="38">
        <v>42750</v>
      </c>
      <c r="AA112" s="38">
        <v>0</v>
      </c>
      <c r="AB112" s="38">
        <v>0</v>
      </c>
      <c r="AC112" s="38">
        <v>0</v>
      </c>
      <c r="AD112" s="38">
        <v>0</v>
      </c>
      <c r="AE112" s="38">
        <v>4333</v>
      </c>
      <c r="AF112" s="123">
        <v>45957</v>
      </c>
      <c r="AG112" s="35" t="s">
        <v>96</v>
      </c>
      <c r="AH112" s="35"/>
      <c r="AI112" s="35"/>
      <c r="AJ112" s="35"/>
      <c r="AK112" s="35"/>
      <c r="AL112" s="35"/>
      <c r="AM112" s="35"/>
      <c r="AN112" s="35"/>
      <c r="AO112" s="35"/>
      <c r="AQ112" s="35"/>
      <c r="AR112" s="38">
        <v>51982.57</v>
      </c>
      <c r="AS112" s="38">
        <v>1.8879999999999999</v>
      </c>
      <c r="AT112" s="35">
        <v>0</v>
      </c>
      <c r="AU112" s="35">
        <v>0</v>
      </c>
      <c r="AV112" s="35" t="s">
        <v>47</v>
      </c>
      <c r="AW112" s="35" t="s">
        <v>52</v>
      </c>
      <c r="AX112" s="35"/>
      <c r="AY112" s="35" t="s">
        <v>98</v>
      </c>
      <c r="AZ112" s="35" t="s">
        <v>99</v>
      </c>
      <c r="BA112" s="35" t="s">
        <v>42</v>
      </c>
      <c r="BB112" s="38"/>
      <c r="BC112" s="38">
        <v>5.7859999999999996</v>
      </c>
      <c r="BD112" s="35" t="s">
        <v>146</v>
      </c>
      <c r="BE112" s="35" t="s">
        <v>185</v>
      </c>
      <c r="BF112" s="35">
        <v>0</v>
      </c>
      <c r="BG112" s="38">
        <v>0</v>
      </c>
      <c r="BH112" s="35" t="s">
        <v>1320</v>
      </c>
    </row>
    <row r="113" spans="1:60" x14ac:dyDescent="0.3">
      <c r="A113" s="6" t="str">
        <f t="shared" si="1"/>
        <v>000047</v>
      </c>
      <c r="B113" s="35" t="s">
        <v>49</v>
      </c>
      <c r="C113" s="35" t="s">
        <v>388</v>
      </c>
      <c r="D113" s="35" t="s">
        <v>207</v>
      </c>
      <c r="E113" s="35" t="s">
        <v>188</v>
      </c>
      <c r="F113" s="35" t="s">
        <v>190</v>
      </c>
      <c r="G113" s="35" t="s">
        <v>188</v>
      </c>
      <c r="H113" s="35" t="s">
        <v>190</v>
      </c>
      <c r="I113" s="35" t="s">
        <v>657</v>
      </c>
      <c r="J113" s="35" t="s">
        <v>47</v>
      </c>
      <c r="K113" s="35" t="s">
        <v>658</v>
      </c>
      <c r="L113" s="35" t="s">
        <v>205</v>
      </c>
      <c r="M113" s="126">
        <v>8</v>
      </c>
      <c r="N113" s="123">
        <v>45897</v>
      </c>
      <c r="O113" s="123">
        <v>46009</v>
      </c>
      <c r="P113" s="38">
        <v>74468</v>
      </c>
      <c r="Q113" s="38">
        <v>85000</v>
      </c>
      <c r="R113" s="126">
        <v>0</v>
      </c>
      <c r="S113" s="126">
        <v>16</v>
      </c>
      <c r="T113" s="35" t="s">
        <v>95</v>
      </c>
      <c r="U113" s="38">
        <v>6460.06</v>
      </c>
      <c r="V113" s="38">
        <v>0</v>
      </c>
      <c r="W113" s="38">
        <v>0</v>
      </c>
      <c r="X113" s="38">
        <v>9</v>
      </c>
      <c r="Y113" s="38">
        <v>0</v>
      </c>
      <c r="Z113" s="38">
        <v>32812.980000000003</v>
      </c>
      <c r="AA113" s="38">
        <v>0</v>
      </c>
      <c r="AB113" s="38">
        <v>0</v>
      </c>
      <c r="AC113" s="38">
        <v>0</v>
      </c>
      <c r="AD113" s="38">
        <v>0</v>
      </c>
      <c r="AE113" s="38">
        <v>5700</v>
      </c>
      <c r="AF113" s="123">
        <v>45959</v>
      </c>
      <c r="AG113" s="35" t="s">
        <v>96</v>
      </c>
      <c r="AH113" s="35"/>
      <c r="AI113" s="35"/>
      <c r="AJ113" s="35"/>
      <c r="AK113" s="35"/>
      <c r="AL113" s="35"/>
      <c r="AM113" s="35"/>
      <c r="AN113" s="35"/>
      <c r="AO113" s="35"/>
      <c r="AQ113" s="35"/>
      <c r="AR113" s="38">
        <v>39900.800000000003</v>
      </c>
      <c r="AS113" s="38">
        <v>5319.6</v>
      </c>
      <c r="AT113" s="35">
        <v>0</v>
      </c>
      <c r="AU113" s="35">
        <v>0</v>
      </c>
      <c r="AV113" s="35" t="s">
        <v>47</v>
      </c>
      <c r="AW113" s="35" t="s">
        <v>52</v>
      </c>
      <c r="AX113" s="35" t="s">
        <v>659</v>
      </c>
      <c r="AY113" s="35" t="s">
        <v>98</v>
      </c>
      <c r="AZ113" s="35" t="s">
        <v>99</v>
      </c>
      <c r="BA113" s="35" t="s">
        <v>42</v>
      </c>
      <c r="BB113" s="38"/>
      <c r="BC113" s="38">
        <v>5.7859999999999996</v>
      </c>
      <c r="BD113" s="35" t="s">
        <v>197</v>
      </c>
      <c r="BE113" s="35" t="s">
        <v>185</v>
      </c>
      <c r="BF113" s="35">
        <v>0</v>
      </c>
      <c r="BG113" s="38">
        <v>0</v>
      </c>
      <c r="BH113" s="35" t="s">
        <v>1319</v>
      </c>
    </row>
    <row r="114" spans="1:60" x14ac:dyDescent="0.3">
      <c r="A114" s="6" t="str">
        <f t="shared" si="1"/>
        <v>000049</v>
      </c>
      <c r="B114" s="35" t="s">
        <v>43</v>
      </c>
      <c r="C114" s="35" t="s">
        <v>42</v>
      </c>
      <c r="D114" s="35" t="s">
        <v>1526</v>
      </c>
      <c r="E114" s="35" t="s">
        <v>663</v>
      </c>
      <c r="F114" s="35" t="s">
        <v>664</v>
      </c>
      <c r="G114" s="35" t="s">
        <v>663</v>
      </c>
      <c r="H114" s="35" t="s">
        <v>664</v>
      </c>
      <c r="I114" s="35" t="s">
        <v>683</v>
      </c>
      <c r="J114" s="35" t="s">
        <v>47</v>
      </c>
      <c r="K114" s="35" t="s">
        <v>684</v>
      </c>
      <c r="L114" s="35" t="s">
        <v>205</v>
      </c>
      <c r="M114" s="126">
        <v>6</v>
      </c>
      <c r="N114" s="123">
        <v>45898</v>
      </c>
      <c r="O114" s="123">
        <v>46010</v>
      </c>
      <c r="P114" s="38">
        <v>88245</v>
      </c>
      <c r="Q114" s="38">
        <v>100000</v>
      </c>
      <c r="R114" s="126">
        <v>0</v>
      </c>
      <c r="S114" s="126">
        <v>16</v>
      </c>
      <c r="T114" s="35" t="s">
        <v>95</v>
      </c>
      <c r="U114" s="38">
        <v>7600.07</v>
      </c>
      <c r="V114" s="38">
        <v>0</v>
      </c>
      <c r="W114" s="38">
        <v>0</v>
      </c>
      <c r="X114" s="38">
        <v>9</v>
      </c>
      <c r="Y114" s="38">
        <v>0</v>
      </c>
      <c r="Z114" s="38">
        <v>43750.61</v>
      </c>
      <c r="AA114" s="38">
        <v>0.6</v>
      </c>
      <c r="AB114" s="38">
        <v>0</v>
      </c>
      <c r="AC114" s="38">
        <v>0</v>
      </c>
      <c r="AD114" s="38">
        <v>0</v>
      </c>
      <c r="AE114" s="38">
        <v>7600</v>
      </c>
      <c r="AF114" s="123">
        <v>45960</v>
      </c>
      <c r="AG114" s="35" t="s">
        <v>96</v>
      </c>
      <c r="AH114" s="35"/>
      <c r="AI114" s="35"/>
      <c r="AJ114" s="35"/>
      <c r="AK114" s="35"/>
      <c r="AL114" s="35"/>
      <c r="AM114" s="35"/>
      <c r="AN114" s="35"/>
      <c r="AO114" s="35"/>
      <c r="AQ114" s="35"/>
      <c r="AR114" s="38">
        <v>53201.07</v>
      </c>
      <c r="AS114" s="38">
        <v>0</v>
      </c>
      <c r="AT114" s="35">
        <v>0</v>
      </c>
      <c r="AU114" s="35">
        <v>0</v>
      </c>
      <c r="AV114" s="35" t="s">
        <v>47</v>
      </c>
      <c r="AW114" s="35" t="s">
        <v>52</v>
      </c>
      <c r="AX114" s="35"/>
      <c r="AY114" s="35" t="s">
        <v>98</v>
      </c>
      <c r="AZ114" s="35" t="s">
        <v>99</v>
      </c>
      <c r="BA114" s="35" t="s">
        <v>42</v>
      </c>
      <c r="BB114" s="38"/>
      <c r="BC114" s="38">
        <v>5.7859999999999996</v>
      </c>
      <c r="BD114" s="35" t="s">
        <v>168</v>
      </c>
      <c r="BE114" s="35" t="s">
        <v>147</v>
      </c>
      <c r="BF114" s="35">
        <v>0</v>
      </c>
      <c r="BG114" s="38">
        <v>0</v>
      </c>
      <c r="BH114" s="35" t="s">
        <v>1319</v>
      </c>
    </row>
    <row r="115" spans="1:60" x14ac:dyDescent="0.3">
      <c r="A115" s="6" t="str">
        <f t="shared" si="1"/>
        <v>000179</v>
      </c>
      <c r="B115" s="35" t="s">
        <v>43</v>
      </c>
      <c r="C115" s="35" t="s">
        <v>396</v>
      </c>
      <c r="D115" s="35" t="s">
        <v>206</v>
      </c>
      <c r="E115" s="35" t="s">
        <v>154</v>
      </c>
      <c r="F115" s="35" t="s">
        <v>155</v>
      </c>
      <c r="G115" s="35" t="s">
        <v>154</v>
      </c>
      <c r="H115" s="35" t="s">
        <v>155</v>
      </c>
      <c r="I115" s="35" t="s">
        <v>1895</v>
      </c>
      <c r="J115" s="35" t="s">
        <v>47</v>
      </c>
      <c r="K115" s="35" t="s">
        <v>1896</v>
      </c>
      <c r="L115" s="35" t="s">
        <v>205</v>
      </c>
      <c r="M115" s="126">
        <v>5</v>
      </c>
      <c r="N115" s="123">
        <v>45953</v>
      </c>
      <c r="O115" s="123">
        <v>46065</v>
      </c>
      <c r="P115" s="38">
        <v>43730</v>
      </c>
      <c r="Q115" s="38">
        <v>50000</v>
      </c>
      <c r="R115" s="126">
        <v>0</v>
      </c>
      <c r="S115" s="126">
        <v>16</v>
      </c>
      <c r="T115" s="35" t="s">
        <v>95</v>
      </c>
      <c r="U115" s="38">
        <v>3800.03</v>
      </c>
      <c r="V115" s="38">
        <v>0</v>
      </c>
      <c r="W115" s="38">
        <v>0</v>
      </c>
      <c r="X115" s="38">
        <v>1</v>
      </c>
      <c r="Y115" s="38">
        <v>0</v>
      </c>
      <c r="Z115" s="38">
        <v>46875</v>
      </c>
      <c r="AA115" s="38">
        <v>0</v>
      </c>
      <c r="AB115" s="38">
        <v>0</v>
      </c>
      <c r="AC115" s="38">
        <v>0</v>
      </c>
      <c r="AD115" s="38">
        <v>0</v>
      </c>
      <c r="AE115" s="38">
        <v>3805</v>
      </c>
      <c r="AF115" s="123">
        <v>45959</v>
      </c>
      <c r="AG115" s="35" t="s">
        <v>96</v>
      </c>
      <c r="AH115" s="35"/>
      <c r="AI115" s="35"/>
      <c r="AJ115" s="35"/>
      <c r="AK115" s="35"/>
      <c r="AL115" s="35"/>
      <c r="AM115" s="35"/>
      <c r="AN115" s="35"/>
      <c r="AO115" s="35"/>
      <c r="AQ115" s="35"/>
      <c r="AR115" s="38">
        <v>56995.53</v>
      </c>
      <c r="AS115" s="38">
        <v>4.9666666666666686</v>
      </c>
      <c r="AT115" s="35">
        <v>0</v>
      </c>
      <c r="AU115" s="35">
        <v>0</v>
      </c>
      <c r="AV115" s="35" t="s">
        <v>47</v>
      </c>
      <c r="AW115" s="35" t="s">
        <v>52</v>
      </c>
      <c r="AX115" s="35" t="s">
        <v>1897</v>
      </c>
      <c r="AY115" s="35" t="s">
        <v>98</v>
      </c>
      <c r="AZ115" s="35" t="s">
        <v>99</v>
      </c>
      <c r="BA115" s="35" t="s">
        <v>42</v>
      </c>
      <c r="BB115" s="38"/>
      <c r="BC115" s="38">
        <v>5.7859999999999996</v>
      </c>
      <c r="BD115" s="35" t="s">
        <v>197</v>
      </c>
      <c r="BE115" s="35" t="s">
        <v>1178</v>
      </c>
      <c r="BF115" s="35">
        <v>0</v>
      </c>
      <c r="BG115" s="38">
        <v>0</v>
      </c>
      <c r="BH115" s="35" t="s">
        <v>1319</v>
      </c>
    </row>
    <row r="116" spans="1:60" x14ac:dyDescent="0.3">
      <c r="A116" s="6" t="str">
        <f t="shared" si="1"/>
        <v>000180</v>
      </c>
      <c r="B116" s="35" t="s">
        <v>43</v>
      </c>
      <c r="C116" s="35" t="s">
        <v>424</v>
      </c>
      <c r="D116" s="35" t="s">
        <v>204</v>
      </c>
      <c r="E116" s="35" t="s">
        <v>189</v>
      </c>
      <c r="F116" s="35" t="s">
        <v>191</v>
      </c>
      <c r="G116" s="35" t="s">
        <v>189</v>
      </c>
      <c r="H116" s="35" t="s">
        <v>191</v>
      </c>
      <c r="I116" s="35" t="s">
        <v>1911</v>
      </c>
      <c r="J116" s="35" t="s">
        <v>47</v>
      </c>
      <c r="K116" s="35" t="s">
        <v>1912</v>
      </c>
      <c r="L116" s="35" t="s">
        <v>205</v>
      </c>
      <c r="M116" s="126">
        <v>5</v>
      </c>
      <c r="N116" s="123">
        <v>45954</v>
      </c>
      <c r="O116" s="123">
        <v>46066</v>
      </c>
      <c r="P116" s="38">
        <v>27530</v>
      </c>
      <c r="Q116" s="38">
        <v>32000</v>
      </c>
      <c r="R116" s="126">
        <v>0</v>
      </c>
      <c r="S116" s="126">
        <v>16</v>
      </c>
      <c r="T116" s="35" t="s">
        <v>95</v>
      </c>
      <c r="U116" s="38">
        <v>2432.02</v>
      </c>
      <c r="V116" s="38">
        <v>0</v>
      </c>
      <c r="W116" s="38">
        <v>0</v>
      </c>
      <c r="X116" s="38">
        <v>1</v>
      </c>
      <c r="Y116" s="38">
        <v>0</v>
      </c>
      <c r="Z116" s="38">
        <v>30000</v>
      </c>
      <c r="AA116" s="38">
        <v>1.333333333333E-3</v>
      </c>
      <c r="AB116" s="38">
        <v>0</v>
      </c>
      <c r="AC116" s="38">
        <v>0</v>
      </c>
      <c r="AD116" s="38">
        <v>0</v>
      </c>
      <c r="AE116" s="38">
        <v>2432.02</v>
      </c>
      <c r="AF116" s="123">
        <v>45961</v>
      </c>
      <c r="AG116" s="35" t="s">
        <v>96</v>
      </c>
      <c r="AH116" s="35"/>
      <c r="AI116" s="35"/>
      <c r="AJ116" s="35"/>
      <c r="AK116" s="35"/>
      <c r="AL116" s="35"/>
      <c r="AM116" s="35"/>
      <c r="AN116" s="35"/>
      <c r="AO116" s="35"/>
      <c r="AQ116" s="35"/>
      <c r="AR116" s="38">
        <v>36480.32</v>
      </c>
      <c r="AS116" s="38">
        <v>0</v>
      </c>
      <c r="AT116" s="35">
        <v>0</v>
      </c>
      <c r="AU116" s="35">
        <v>0</v>
      </c>
      <c r="AV116" s="35" t="s">
        <v>47</v>
      </c>
      <c r="AW116" s="35" t="s">
        <v>52</v>
      </c>
      <c r="AX116" s="35" t="s">
        <v>1920</v>
      </c>
      <c r="AY116" s="35" t="s">
        <v>98</v>
      </c>
      <c r="AZ116" s="35" t="s">
        <v>99</v>
      </c>
      <c r="BA116" s="35" t="s">
        <v>42</v>
      </c>
      <c r="BB116" s="38"/>
      <c r="BC116" s="38">
        <v>5.7859999999999996</v>
      </c>
      <c r="BD116" s="35" t="s">
        <v>168</v>
      </c>
      <c r="BE116" s="35" t="s">
        <v>198</v>
      </c>
      <c r="BF116" s="35">
        <v>0</v>
      </c>
      <c r="BG116" s="38">
        <v>0</v>
      </c>
      <c r="BH116" s="35" t="s">
        <v>1319</v>
      </c>
    </row>
    <row r="117" spans="1:60" x14ac:dyDescent="0.3">
      <c r="A117" s="6" t="str">
        <f t="shared" si="1"/>
        <v>000181</v>
      </c>
      <c r="B117" s="35" t="s">
        <v>43</v>
      </c>
      <c r="C117" s="35" t="s">
        <v>396</v>
      </c>
      <c r="D117" s="35" t="s">
        <v>206</v>
      </c>
      <c r="E117" s="35" t="s">
        <v>501</v>
      </c>
      <c r="F117" s="35" t="s">
        <v>502</v>
      </c>
      <c r="G117" s="35" t="s">
        <v>501</v>
      </c>
      <c r="H117" s="35" t="s">
        <v>502</v>
      </c>
      <c r="I117" s="35" t="s">
        <v>1956</v>
      </c>
      <c r="J117" s="35" t="s">
        <v>47</v>
      </c>
      <c r="K117" s="35" t="s">
        <v>1957</v>
      </c>
      <c r="L117" s="35" t="s">
        <v>205</v>
      </c>
      <c r="M117" s="126">
        <v>6</v>
      </c>
      <c r="N117" s="123">
        <v>45953</v>
      </c>
      <c r="O117" s="123">
        <v>46065</v>
      </c>
      <c r="P117" s="38">
        <v>61399</v>
      </c>
      <c r="Q117" s="38">
        <v>70000</v>
      </c>
      <c r="R117" s="126">
        <v>0</v>
      </c>
      <c r="S117" s="126">
        <v>16</v>
      </c>
      <c r="T117" s="35" t="s">
        <v>95</v>
      </c>
      <c r="U117" s="38">
        <v>5320.05</v>
      </c>
      <c r="V117" s="38">
        <v>0</v>
      </c>
      <c r="W117" s="38">
        <v>0</v>
      </c>
      <c r="X117" s="38">
        <v>1</v>
      </c>
      <c r="Y117" s="38">
        <v>0</v>
      </c>
      <c r="Z117" s="38">
        <v>65625</v>
      </c>
      <c r="AA117" s="38">
        <v>0</v>
      </c>
      <c r="AB117" s="38">
        <v>0</v>
      </c>
      <c r="AC117" s="38">
        <v>0</v>
      </c>
      <c r="AD117" s="38">
        <v>0</v>
      </c>
      <c r="AE117" s="38">
        <v>5326</v>
      </c>
      <c r="AF117" s="123">
        <v>45959</v>
      </c>
      <c r="AG117" s="35" t="s">
        <v>96</v>
      </c>
      <c r="AH117" s="35"/>
      <c r="AI117" s="35"/>
      <c r="AJ117" s="35"/>
      <c r="AK117" s="35"/>
      <c r="AL117" s="35"/>
      <c r="AM117" s="35"/>
      <c r="AN117" s="35"/>
      <c r="AO117" s="35"/>
      <c r="AQ117" s="35"/>
      <c r="AR117" s="38">
        <v>79794.75</v>
      </c>
      <c r="AS117" s="38">
        <v>5.9533333333333296</v>
      </c>
      <c r="AT117" s="35">
        <v>0</v>
      </c>
      <c r="AU117" s="35">
        <v>0</v>
      </c>
      <c r="AV117" s="35" t="s">
        <v>47</v>
      </c>
      <c r="AW117" s="35" t="s">
        <v>52</v>
      </c>
      <c r="AX117" s="35" t="s">
        <v>1302</v>
      </c>
      <c r="AY117" s="35" t="s">
        <v>98</v>
      </c>
      <c r="AZ117" s="35" t="s">
        <v>99</v>
      </c>
      <c r="BA117" s="35" t="s">
        <v>42</v>
      </c>
      <c r="BB117" s="38"/>
      <c r="BC117" s="38">
        <v>5.7859999999999996</v>
      </c>
      <c r="BD117" s="35" t="s">
        <v>197</v>
      </c>
      <c r="BE117" s="35" t="s">
        <v>125</v>
      </c>
      <c r="BF117" s="35">
        <v>0</v>
      </c>
      <c r="BG117" s="38">
        <v>0</v>
      </c>
      <c r="BH117" s="35" t="s">
        <v>1319</v>
      </c>
    </row>
    <row r="118" spans="1:60" x14ac:dyDescent="0.3">
      <c r="A118" s="6" t="str">
        <f t="shared" si="1"/>
        <v>000106</v>
      </c>
      <c r="B118" s="35" t="s">
        <v>43</v>
      </c>
      <c r="C118" s="35" t="s">
        <v>424</v>
      </c>
      <c r="D118" s="35" t="s">
        <v>204</v>
      </c>
      <c r="E118" s="35" t="s">
        <v>39</v>
      </c>
      <c r="F118" s="35" t="s">
        <v>40</v>
      </c>
      <c r="G118" s="35" t="s">
        <v>39</v>
      </c>
      <c r="H118" s="35" t="s">
        <v>40</v>
      </c>
      <c r="I118" s="35" t="s">
        <v>1272</v>
      </c>
      <c r="J118" s="35" t="s">
        <v>47</v>
      </c>
      <c r="K118" s="35" t="s">
        <v>1198</v>
      </c>
      <c r="L118" s="35" t="s">
        <v>205</v>
      </c>
      <c r="M118" s="126">
        <v>7</v>
      </c>
      <c r="N118" s="123">
        <v>45925</v>
      </c>
      <c r="O118" s="123">
        <v>46037</v>
      </c>
      <c r="P118" s="38">
        <v>70145</v>
      </c>
      <c r="Q118" s="38">
        <v>80000</v>
      </c>
      <c r="R118" s="126">
        <v>0</v>
      </c>
      <c r="S118" s="126">
        <v>16</v>
      </c>
      <c r="T118" s="35" t="s">
        <v>95</v>
      </c>
      <c r="U118" s="38">
        <v>6080.05</v>
      </c>
      <c r="V118" s="38">
        <v>0</v>
      </c>
      <c r="W118" s="38">
        <v>0</v>
      </c>
      <c r="X118" s="38">
        <v>5</v>
      </c>
      <c r="Y118" s="38">
        <v>0</v>
      </c>
      <c r="Z118" s="38">
        <v>55000</v>
      </c>
      <c r="AA118" s="38">
        <v>1.6666666666667E-2</v>
      </c>
      <c r="AB118" s="38">
        <v>0</v>
      </c>
      <c r="AC118" s="38">
        <v>0</v>
      </c>
      <c r="AD118" s="38">
        <v>0</v>
      </c>
      <c r="AE118" s="38">
        <v>6080.05</v>
      </c>
      <c r="AF118" s="123">
        <v>45959</v>
      </c>
      <c r="AG118" s="35" t="s">
        <v>96</v>
      </c>
      <c r="AH118" s="35"/>
      <c r="AI118" s="35"/>
      <c r="AJ118" s="35"/>
      <c r="AK118" s="35"/>
      <c r="AL118" s="35"/>
      <c r="AM118" s="35"/>
      <c r="AN118" s="35"/>
      <c r="AO118" s="35"/>
      <c r="AQ118" s="35"/>
      <c r="AR118" s="38">
        <v>66880.600000000006</v>
      </c>
      <c r="AS118" s="38">
        <v>0</v>
      </c>
      <c r="AT118" s="35">
        <v>0</v>
      </c>
      <c r="AU118" s="35">
        <v>0</v>
      </c>
      <c r="AV118" s="35" t="s">
        <v>47</v>
      </c>
      <c r="AW118" s="35" t="s">
        <v>52</v>
      </c>
      <c r="AX118" s="35" t="s">
        <v>1309</v>
      </c>
      <c r="AY118" s="35" t="s">
        <v>98</v>
      </c>
      <c r="AZ118" s="35" t="s">
        <v>99</v>
      </c>
      <c r="BA118" s="35" t="s">
        <v>42</v>
      </c>
      <c r="BB118" s="38"/>
      <c r="BC118" s="38">
        <v>5.7859999999999996</v>
      </c>
      <c r="BD118" s="35" t="s">
        <v>197</v>
      </c>
      <c r="BE118" s="35" t="s">
        <v>886</v>
      </c>
      <c r="BF118" s="35">
        <v>0</v>
      </c>
      <c r="BG118" s="38">
        <v>0</v>
      </c>
      <c r="BH118" s="35" t="s">
        <v>1319</v>
      </c>
    </row>
    <row r="119" spans="1:60" x14ac:dyDescent="0.3">
      <c r="A119" s="6" t="str">
        <f t="shared" si="1"/>
        <v>000010</v>
      </c>
      <c r="B119" s="35" t="s">
        <v>43</v>
      </c>
      <c r="C119" s="35" t="s">
        <v>424</v>
      </c>
      <c r="D119" s="35" t="s">
        <v>204</v>
      </c>
      <c r="E119" s="35" t="s">
        <v>39</v>
      </c>
      <c r="F119" s="35" t="s">
        <v>40</v>
      </c>
      <c r="G119" s="35" t="s">
        <v>39</v>
      </c>
      <c r="H119" s="35" t="s">
        <v>40</v>
      </c>
      <c r="I119" s="35" t="s">
        <v>183</v>
      </c>
      <c r="J119" s="35" t="s">
        <v>47</v>
      </c>
      <c r="K119" s="35" t="s">
        <v>162</v>
      </c>
      <c r="L119" s="35" t="s">
        <v>205</v>
      </c>
      <c r="M119" s="126">
        <v>7</v>
      </c>
      <c r="N119" s="123">
        <v>45882</v>
      </c>
      <c r="O119" s="123">
        <v>45994</v>
      </c>
      <c r="P119" s="38">
        <v>86345</v>
      </c>
      <c r="Q119" s="38">
        <v>98000</v>
      </c>
      <c r="R119" s="126">
        <v>0</v>
      </c>
      <c r="S119" s="126">
        <v>16</v>
      </c>
      <c r="T119" s="35" t="s">
        <v>95</v>
      </c>
      <c r="U119" s="38">
        <v>7448.07</v>
      </c>
      <c r="V119" s="38">
        <v>0</v>
      </c>
      <c r="W119" s="38">
        <v>0</v>
      </c>
      <c r="X119" s="38">
        <v>11</v>
      </c>
      <c r="Y119" s="38">
        <v>0</v>
      </c>
      <c r="Z119" s="38">
        <v>30625.49</v>
      </c>
      <c r="AA119" s="38">
        <v>0.48866666666666703</v>
      </c>
      <c r="AB119" s="38">
        <v>0</v>
      </c>
      <c r="AC119" s="38">
        <v>0</v>
      </c>
      <c r="AD119" s="38">
        <v>0</v>
      </c>
      <c r="AE119" s="38">
        <v>7448.01</v>
      </c>
      <c r="AF119" s="123">
        <v>45958</v>
      </c>
      <c r="AG119" s="35" t="s">
        <v>96</v>
      </c>
      <c r="AH119" s="35"/>
      <c r="AI119" s="35"/>
      <c r="AJ119" s="35"/>
      <c r="AK119" s="35"/>
      <c r="AL119" s="35"/>
      <c r="AM119" s="35"/>
      <c r="AN119" s="35"/>
      <c r="AO119" s="35"/>
      <c r="AQ119" s="35"/>
      <c r="AR119" s="38">
        <v>37240.82</v>
      </c>
      <c r="AS119" s="38">
        <v>0</v>
      </c>
      <c r="AT119" s="35">
        <v>0</v>
      </c>
      <c r="AU119" s="35">
        <v>0</v>
      </c>
      <c r="AV119" s="35" t="s">
        <v>47</v>
      </c>
      <c r="AW119" s="35" t="s">
        <v>52</v>
      </c>
      <c r="AX119" s="35" t="s">
        <v>184</v>
      </c>
      <c r="AY119" s="35" t="s">
        <v>98</v>
      </c>
      <c r="AZ119" s="35" t="s">
        <v>99</v>
      </c>
      <c r="BA119" s="35" t="s">
        <v>42</v>
      </c>
      <c r="BB119" s="38"/>
      <c r="BC119" s="38">
        <v>5.7859999999999996</v>
      </c>
      <c r="BD119" s="35" t="s">
        <v>124</v>
      </c>
      <c r="BE119" s="35" t="s">
        <v>185</v>
      </c>
      <c r="BF119" s="35">
        <v>0</v>
      </c>
      <c r="BG119" s="38">
        <v>0</v>
      </c>
      <c r="BH119" s="35" t="s">
        <v>1319</v>
      </c>
    </row>
    <row r="120" spans="1:60" x14ac:dyDescent="0.3">
      <c r="A120" s="6" t="str">
        <f t="shared" si="1"/>
        <v>000072</v>
      </c>
      <c r="B120" s="35" t="s">
        <v>43</v>
      </c>
      <c r="C120" s="35" t="s">
        <v>42</v>
      </c>
      <c r="D120" s="35" t="s">
        <v>1526</v>
      </c>
      <c r="E120" s="35" t="s">
        <v>663</v>
      </c>
      <c r="F120" s="35" t="s">
        <v>664</v>
      </c>
      <c r="G120" s="35" t="s">
        <v>663</v>
      </c>
      <c r="H120" s="35" t="s">
        <v>664</v>
      </c>
      <c r="I120" s="35" t="s">
        <v>487</v>
      </c>
      <c r="J120" s="35" t="s">
        <v>47</v>
      </c>
      <c r="K120" s="35" t="s">
        <v>938</v>
      </c>
      <c r="L120" s="35" t="s">
        <v>205</v>
      </c>
      <c r="M120" s="126">
        <v>6</v>
      </c>
      <c r="N120" s="123">
        <v>45911</v>
      </c>
      <c r="O120" s="123">
        <v>46023</v>
      </c>
      <c r="P120" s="38">
        <v>38076</v>
      </c>
      <c r="Q120" s="38">
        <v>44000</v>
      </c>
      <c r="R120" s="126">
        <v>0</v>
      </c>
      <c r="S120" s="126">
        <v>16</v>
      </c>
      <c r="T120" s="35" t="s">
        <v>95</v>
      </c>
      <c r="U120" s="38">
        <v>3344.03</v>
      </c>
      <c r="V120" s="38">
        <v>0</v>
      </c>
      <c r="W120" s="38">
        <v>0</v>
      </c>
      <c r="X120" s="38">
        <v>7</v>
      </c>
      <c r="Y120" s="38">
        <v>0</v>
      </c>
      <c r="Z120" s="38">
        <v>24750.2</v>
      </c>
      <c r="AA120" s="38">
        <v>0.20533333333333301</v>
      </c>
      <c r="AB120" s="38">
        <v>0</v>
      </c>
      <c r="AC120" s="38">
        <v>0</v>
      </c>
      <c r="AD120" s="38">
        <v>0</v>
      </c>
      <c r="AE120" s="38">
        <v>3344</v>
      </c>
      <c r="AF120" s="123">
        <v>45959</v>
      </c>
      <c r="AG120" s="35" t="s">
        <v>96</v>
      </c>
      <c r="AH120" s="35"/>
      <c r="AI120" s="35"/>
      <c r="AJ120" s="35"/>
      <c r="AK120" s="35"/>
      <c r="AL120" s="35"/>
      <c r="AM120" s="35"/>
      <c r="AN120" s="35"/>
      <c r="AO120" s="35"/>
      <c r="AQ120" s="35"/>
      <c r="AR120" s="38">
        <v>30096.47</v>
      </c>
      <c r="AS120" s="38">
        <v>0</v>
      </c>
      <c r="AT120" s="35">
        <v>0</v>
      </c>
      <c r="AU120" s="35">
        <v>0</v>
      </c>
      <c r="AV120" s="35" t="s">
        <v>47</v>
      </c>
      <c r="AW120" s="35" t="s">
        <v>52</v>
      </c>
      <c r="AX120" s="35"/>
      <c r="AY120" s="35" t="s">
        <v>98</v>
      </c>
      <c r="AZ120" s="35" t="s">
        <v>99</v>
      </c>
      <c r="BA120" s="35" t="s">
        <v>42</v>
      </c>
      <c r="BB120" s="38"/>
      <c r="BC120" s="38">
        <v>5.7859999999999996</v>
      </c>
      <c r="BD120" s="35" t="s">
        <v>197</v>
      </c>
      <c r="BE120" s="35" t="s">
        <v>125</v>
      </c>
      <c r="BF120" s="35">
        <v>0</v>
      </c>
      <c r="BG120" s="38">
        <v>0</v>
      </c>
      <c r="BH120" s="35" t="s">
        <v>1319</v>
      </c>
    </row>
    <row r="121" spans="1:60" x14ac:dyDescent="0.3">
      <c r="A121" s="6" t="str">
        <f t="shared" si="1"/>
        <v>000129</v>
      </c>
      <c r="B121" s="35" t="s">
        <v>43</v>
      </c>
      <c r="C121" s="35" t="s">
        <v>42</v>
      </c>
      <c r="D121" s="35" t="s">
        <v>1526</v>
      </c>
      <c r="E121" s="35" t="s">
        <v>663</v>
      </c>
      <c r="F121" s="35" t="s">
        <v>664</v>
      </c>
      <c r="G121" s="35" t="s">
        <v>663</v>
      </c>
      <c r="H121" s="35" t="s">
        <v>664</v>
      </c>
      <c r="I121" s="35" t="s">
        <v>1475</v>
      </c>
      <c r="J121" s="35" t="s">
        <v>47</v>
      </c>
      <c r="K121" s="35" t="s">
        <v>1378</v>
      </c>
      <c r="L121" s="35" t="s">
        <v>205</v>
      </c>
      <c r="M121" s="126">
        <v>6</v>
      </c>
      <c r="N121" s="123">
        <v>45932</v>
      </c>
      <c r="O121" s="123">
        <v>46044</v>
      </c>
      <c r="P121" s="38">
        <v>54276</v>
      </c>
      <c r="Q121" s="38">
        <v>62000</v>
      </c>
      <c r="R121" s="126">
        <v>0</v>
      </c>
      <c r="S121" s="126">
        <v>16</v>
      </c>
      <c r="T121" s="35" t="s">
        <v>95</v>
      </c>
      <c r="U121" s="38">
        <v>4712.04</v>
      </c>
      <c r="V121" s="38">
        <v>0</v>
      </c>
      <c r="W121" s="38">
        <v>0</v>
      </c>
      <c r="X121" s="38">
        <v>4</v>
      </c>
      <c r="Y121" s="38">
        <v>0</v>
      </c>
      <c r="Z121" s="38">
        <v>46500.18</v>
      </c>
      <c r="AA121" s="38">
        <v>0.165333333333333</v>
      </c>
      <c r="AB121" s="38">
        <v>0</v>
      </c>
      <c r="AC121" s="38">
        <v>0</v>
      </c>
      <c r="AD121" s="38">
        <v>0</v>
      </c>
      <c r="AE121" s="38">
        <v>4712</v>
      </c>
      <c r="AF121" s="123">
        <v>45959</v>
      </c>
      <c r="AG121" s="35" t="s">
        <v>96</v>
      </c>
      <c r="AH121" s="35"/>
      <c r="AI121" s="35"/>
      <c r="AJ121" s="35"/>
      <c r="AK121" s="35"/>
      <c r="AL121" s="35"/>
      <c r="AM121" s="35"/>
      <c r="AN121" s="35"/>
      <c r="AO121" s="35"/>
      <c r="AQ121" s="35"/>
      <c r="AR121" s="38">
        <v>56544.66</v>
      </c>
      <c r="AS121" s="38">
        <v>0</v>
      </c>
      <c r="AT121" s="35">
        <v>0</v>
      </c>
      <c r="AU121" s="35">
        <v>0</v>
      </c>
      <c r="AV121" s="35" t="s">
        <v>47</v>
      </c>
      <c r="AW121" s="35" t="s">
        <v>52</v>
      </c>
      <c r="AX121" s="35"/>
      <c r="AY121" s="35" t="s">
        <v>98</v>
      </c>
      <c r="AZ121" s="35" t="s">
        <v>99</v>
      </c>
      <c r="BA121" s="35" t="s">
        <v>42</v>
      </c>
      <c r="BB121" s="38"/>
      <c r="BC121" s="38">
        <v>5.7859999999999996</v>
      </c>
      <c r="BD121" s="35" t="s">
        <v>197</v>
      </c>
      <c r="BE121" s="35" t="s">
        <v>125</v>
      </c>
      <c r="BF121" s="35">
        <v>0</v>
      </c>
      <c r="BG121" s="38">
        <v>0</v>
      </c>
      <c r="BH121" s="35" t="s">
        <v>1319</v>
      </c>
    </row>
    <row r="122" spans="1:60" x14ac:dyDescent="0.3">
      <c r="A122" s="6" t="str">
        <f t="shared" si="1"/>
        <v>000109</v>
      </c>
      <c r="B122" s="35" t="s">
        <v>43</v>
      </c>
      <c r="C122" s="35" t="s">
        <v>42</v>
      </c>
      <c r="D122" s="35" t="s">
        <v>1526</v>
      </c>
      <c r="E122" s="35" t="s">
        <v>883</v>
      </c>
      <c r="F122" s="35" t="s">
        <v>884</v>
      </c>
      <c r="G122" s="35" t="s">
        <v>883</v>
      </c>
      <c r="H122" s="35" t="s">
        <v>884</v>
      </c>
      <c r="I122" s="35" t="s">
        <v>1268</v>
      </c>
      <c r="J122" s="35" t="s">
        <v>47</v>
      </c>
      <c r="K122" s="35" t="s">
        <v>1269</v>
      </c>
      <c r="L122" s="35" t="s">
        <v>205</v>
      </c>
      <c r="M122" s="126">
        <v>5</v>
      </c>
      <c r="N122" s="123">
        <v>45924</v>
      </c>
      <c r="O122" s="123">
        <v>46036</v>
      </c>
      <c r="P122" s="38">
        <v>95595</v>
      </c>
      <c r="Q122" s="38">
        <v>108000</v>
      </c>
      <c r="R122" s="126">
        <v>0</v>
      </c>
      <c r="S122" s="126">
        <v>16</v>
      </c>
      <c r="T122" s="35" t="s">
        <v>95</v>
      </c>
      <c r="U122" s="38">
        <v>8208.07</v>
      </c>
      <c r="V122" s="38">
        <v>0</v>
      </c>
      <c r="W122" s="38">
        <v>0</v>
      </c>
      <c r="X122" s="38">
        <v>5</v>
      </c>
      <c r="Y122" s="38">
        <v>0</v>
      </c>
      <c r="Z122" s="38">
        <v>74250.210000000006</v>
      </c>
      <c r="AA122" s="38">
        <v>0.22</v>
      </c>
      <c r="AB122" s="38">
        <v>0</v>
      </c>
      <c r="AC122" s="38">
        <v>0</v>
      </c>
      <c r="AD122" s="38">
        <v>0</v>
      </c>
      <c r="AE122" s="38">
        <v>8208</v>
      </c>
      <c r="AF122" s="123">
        <v>45958</v>
      </c>
      <c r="AG122" s="35" t="s">
        <v>96</v>
      </c>
      <c r="AH122" s="35"/>
      <c r="AI122" s="35"/>
      <c r="AJ122" s="35"/>
      <c r="AK122" s="35"/>
      <c r="AL122" s="35"/>
      <c r="AM122" s="35"/>
      <c r="AN122" s="35"/>
      <c r="AO122" s="35"/>
      <c r="AQ122" s="35"/>
      <c r="AR122" s="38">
        <v>90289.01</v>
      </c>
      <c r="AS122" s="38">
        <v>0</v>
      </c>
      <c r="AT122" s="35">
        <v>0</v>
      </c>
      <c r="AU122" s="35">
        <v>0</v>
      </c>
      <c r="AV122" s="35" t="s">
        <v>47</v>
      </c>
      <c r="AW122" s="35" t="s">
        <v>52</v>
      </c>
      <c r="AX122" s="35"/>
      <c r="AY122" s="35" t="s">
        <v>1059</v>
      </c>
      <c r="AZ122" s="35" t="s">
        <v>99</v>
      </c>
      <c r="BA122" s="35" t="s">
        <v>1264</v>
      </c>
      <c r="BB122" s="38"/>
      <c r="BC122" s="38">
        <v>5.7859999999999996</v>
      </c>
      <c r="BD122" s="35" t="s">
        <v>124</v>
      </c>
      <c r="BE122" s="35" t="s">
        <v>198</v>
      </c>
      <c r="BF122" s="35">
        <v>0</v>
      </c>
      <c r="BG122" s="38">
        <v>0</v>
      </c>
      <c r="BH122" s="35" t="s">
        <v>1319</v>
      </c>
    </row>
    <row r="123" spans="1:60" x14ac:dyDescent="0.3">
      <c r="A123" s="6" t="str">
        <f t="shared" si="1"/>
        <v>000094</v>
      </c>
      <c r="B123" s="35" t="s">
        <v>43</v>
      </c>
      <c r="C123" s="35" t="s">
        <v>42</v>
      </c>
      <c r="D123" s="35" t="s">
        <v>1526</v>
      </c>
      <c r="E123" s="35" t="s">
        <v>148</v>
      </c>
      <c r="F123" s="35" t="s">
        <v>149</v>
      </c>
      <c r="G123" s="35" t="s">
        <v>148</v>
      </c>
      <c r="H123" s="35" t="s">
        <v>149</v>
      </c>
      <c r="I123" s="35" t="s">
        <v>1144</v>
      </c>
      <c r="J123" s="35" t="s">
        <v>47</v>
      </c>
      <c r="K123" s="35" t="s">
        <v>1127</v>
      </c>
      <c r="L123" s="35" t="s">
        <v>205</v>
      </c>
      <c r="M123" s="126">
        <v>5</v>
      </c>
      <c r="N123" s="123">
        <v>45919</v>
      </c>
      <c r="O123" s="123">
        <v>46031</v>
      </c>
      <c r="P123" s="38">
        <v>151137</v>
      </c>
      <c r="Q123" s="38">
        <v>170000</v>
      </c>
      <c r="R123" s="126">
        <v>0</v>
      </c>
      <c r="S123" s="126">
        <v>16</v>
      </c>
      <c r="T123" s="35" t="s">
        <v>95</v>
      </c>
      <c r="U123" s="38">
        <v>12920.11</v>
      </c>
      <c r="V123" s="38">
        <v>0</v>
      </c>
      <c r="W123" s="38">
        <v>0</v>
      </c>
      <c r="X123" s="38">
        <v>6</v>
      </c>
      <c r="Y123" s="38">
        <v>0</v>
      </c>
      <c r="Z123" s="38">
        <v>106250</v>
      </c>
      <c r="AA123" s="38">
        <v>0</v>
      </c>
      <c r="AB123" s="38">
        <v>0</v>
      </c>
      <c r="AC123" s="38">
        <v>0</v>
      </c>
      <c r="AD123" s="38">
        <v>0</v>
      </c>
      <c r="AE123" s="38">
        <v>12921</v>
      </c>
      <c r="AF123" s="123">
        <v>45960</v>
      </c>
      <c r="AG123" s="35" t="s">
        <v>96</v>
      </c>
      <c r="AH123" s="35"/>
      <c r="AI123" s="35"/>
      <c r="AJ123" s="35"/>
      <c r="AK123" s="35"/>
      <c r="AL123" s="35"/>
      <c r="AM123" s="35"/>
      <c r="AN123" s="35"/>
      <c r="AO123" s="35"/>
      <c r="AQ123" s="35"/>
      <c r="AR123" s="38">
        <v>129199.37000000001</v>
      </c>
      <c r="AS123" s="38">
        <v>1.76</v>
      </c>
      <c r="AT123" s="35">
        <v>0</v>
      </c>
      <c r="AU123" s="35">
        <v>0</v>
      </c>
      <c r="AV123" s="35" t="s">
        <v>47</v>
      </c>
      <c r="AW123" s="35" t="s">
        <v>52</v>
      </c>
      <c r="AX123" s="35"/>
      <c r="AY123" s="35" t="s">
        <v>98</v>
      </c>
      <c r="AZ123" s="35" t="s">
        <v>99</v>
      </c>
      <c r="BA123" s="35" t="s">
        <v>42</v>
      </c>
      <c r="BB123" s="38"/>
      <c r="BC123" s="38">
        <v>5.7859999999999996</v>
      </c>
      <c r="BD123" s="35" t="s">
        <v>168</v>
      </c>
      <c r="BE123" s="35" t="s">
        <v>198</v>
      </c>
      <c r="BF123" s="35">
        <v>0</v>
      </c>
      <c r="BG123" s="38">
        <v>0</v>
      </c>
      <c r="BH123" s="35" t="s">
        <v>1319</v>
      </c>
    </row>
    <row r="124" spans="1:60" x14ac:dyDescent="0.3">
      <c r="A124" s="6" t="str">
        <f t="shared" si="1"/>
        <v>000022</v>
      </c>
      <c r="B124" s="35" t="s">
        <v>43</v>
      </c>
      <c r="C124" s="35" t="s">
        <v>396</v>
      </c>
      <c r="D124" s="35" t="s">
        <v>206</v>
      </c>
      <c r="E124" s="35" t="s">
        <v>164</v>
      </c>
      <c r="F124" s="35" t="s">
        <v>165</v>
      </c>
      <c r="G124" s="35" t="s">
        <v>164</v>
      </c>
      <c r="H124" s="35" t="s">
        <v>165</v>
      </c>
      <c r="I124" s="35" t="s">
        <v>397</v>
      </c>
      <c r="J124" s="35" t="s">
        <v>47</v>
      </c>
      <c r="K124" s="35" t="s">
        <v>187</v>
      </c>
      <c r="L124" s="35" t="s">
        <v>205</v>
      </c>
      <c r="M124" s="126">
        <v>10</v>
      </c>
      <c r="N124" s="123">
        <v>45888</v>
      </c>
      <c r="O124" s="123">
        <v>46000</v>
      </c>
      <c r="P124" s="38">
        <v>107029</v>
      </c>
      <c r="Q124" s="38">
        <v>122000</v>
      </c>
      <c r="R124" s="126">
        <v>17</v>
      </c>
      <c r="S124" s="126">
        <v>16</v>
      </c>
      <c r="T124" s="35" t="s">
        <v>95</v>
      </c>
      <c r="U124" s="38">
        <v>9272.08</v>
      </c>
      <c r="V124" s="38">
        <v>0</v>
      </c>
      <c r="W124" s="38">
        <v>0</v>
      </c>
      <c r="X124" s="38">
        <v>10</v>
      </c>
      <c r="Y124" s="38">
        <v>2.6</v>
      </c>
      <c r="Z124" s="38">
        <v>66461.540000000008</v>
      </c>
      <c r="AA124" s="38">
        <v>24005.733333333301</v>
      </c>
      <c r="AB124" s="38">
        <v>454.37</v>
      </c>
      <c r="AC124" s="38">
        <v>0</v>
      </c>
      <c r="AD124" s="38">
        <v>0</v>
      </c>
      <c r="AE124" s="38">
        <v>1360</v>
      </c>
      <c r="AF124" s="123">
        <v>45958</v>
      </c>
      <c r="AG124" s="35" t="s">
        <v>96</v>
      </c>
      <c r="AH124" s="35"/>
      <c r="AI124" s="35"/>
      <c r="AJ124" s="35"/>
      <c r="AK124" s="35"/>
      <c r="AL124" s="35"/>
      <c r="AM124" s="35"/>
      <c r="AN124" s="35"/>
      <c r="AO124" s="35"/>
      <c r="AQ124" s="35"/>
      <c r="AR124" s="38">
        <v>79638.22</v>
      </c>
      <c r="AS124" s="38">
        <v>0</v>
      </c>
      <c r="AT124" s="35">
        <v>7</v>
      </c>
      <c r="AU124" s="35">
        <v>7</v>
      </c>
      <c r="AV124" s="35" t="s">
        <v>47</v>
      </c>
      <c r="AW124" s="35" t="s">
        <v>52</v>
      </c>
      <c r="AX124" s="35" t="s">
        <v>739</v>
      </c>
      <c r="AY124" s="35" t="s">
        <v>98</v>
      </c>
      <c r="AZ124" s="35" t="s">
        <v>99</v>
      </c>
      <c r="BA124" s="35" t="s">
        <v>42</v>
      </c>
      <c r="BB124" s="38"/>
      <c r="BC124" s="38">
        <v>5.7859999999999996</v>
      </c>
      <c r="BD124" s="35" t="s">
        <v>146</v>
      </c>
      <c r="BE124" s="35" t="s">
        <v>147</v>
      </c>
      <c r="BF124" s="35">
        <v>0</v>
      </c>
      <c r="BG124" s="38">
        <v>0</v>
      </c>
      <c r="BH124" s="35" t="s">
        <v>1319</v>
      </c>
    </row>
    <row r="125" spans="1:60" x14ac:dyDescent="0.3">
      <c r="A125" s="6" t="str">
        <f t="shared" si="1"/>
        <v>000093</v>
      </c>
      <c r="B125" s="35" t="s">
        <v>43</v>
      </c>
      <c r="C125" s="35" t="s">
        <v>424</v>
      </c>
      <c r="D125" s="35" t="s">
        <v>204</v>
      </c>
      <c r="E125" s="35" t="s">
        <v>189</v>
      </c>
      <c r="F125" s="35" t="s">
        <v>191</v>
      </c>
      <c r="G125" s="35" t="s">
        <v>189</v>
      </c>
      <c r="H125" s="35" t="s">
        <v>191</v>
      </c>
      <c r="I125" s="35" t="s">
        <v>1142</v>
      </c>
      <c r="J125" s="35" t="s">
        <v>47</v>
      </c>
      <c r="K125" s="35" t="s">
        <v>1106</v>
      </c>
      <c r="L125" s="35" t="s">
        <v>205</v>
      </c>
      <c r="M125" s="126">
        <v>5</v>
      </c>
      <c r="N125" s="123">
        <v>45919</v>
      </c>
      <c r="O125" s="123">
        <v>46031</v>
      </c>
      <c r="P125" s="38">
        <v>44630</v>
      </c>
      <c r="Q125" s="38">
        <v>51000</v>
      </c>
      <c r="R125" s="126">
        <v>0</v>
      </c>
      <c r="S125" s="126">
        <v>16</v>
      </c>
      <c r="T125" s="35" t="s">
        <v>95</v>
      </c>
      <c r="U125" s="38">
        <v>3876.03</v>
      </c>
      <c r="V125" s="38">
        <v>0</v>
      </c>
      <c r="W125" s="38">
        <v>0</v>
      </c>
      <c r="X125" s="38">
        <v>6</v>
      </c>
      <c r="Y125" s="38">
        <v>0</v>
      </c>
      <c r="Z125" s="38">
        <v>31875.02</v>
      </c>
      <c r="AA125" s="38">
        <v>2.4E-2</v>
      </c>
      <c r="AB125" s="38">
        <v>0</v>
      </c>
      <c r="AC125" s="38">
        <v>0</v>
      </c>
      <c r="AD125" s="38">
        <v>0</v>
      </c>
      <c r="AE125" s="38">
        <v>3876.03</v>
      </c>
      <c r="AF125" s="123">
        <v>45960</v>
      </c>
      <c r="AG125" s="35" t="s">
        <v>96</v>
      </c>
      <c r="AH125" s="35"/>
      <c r="AI125" s="35"/>
      <c r="AJ125" s="35"/>
      <c r="AK125" s="35"/>
      <c r="AL125" s="35"/>
      <c r="AM125" s="35"/>
      <c r="AN125" s="35"/>
      <c r="AO125" s="35"/>
      <c r="AQ125" s="35"/>
      <c r="AR125" s="38">
        <v>38760.36</v>
      </c>
      <c r="AS125" s="38">
        <v>0</v>
      </c>
      <c r="AT125" s="35">
        <v>0</v>
      </c>
      <c r="AU125" s="35">
        <v>0</v>
      </c>
      <c r="AV125" s="35" t="s">
        <v>47</v>
      </c>
      <c r="AW125" s="35" t="s">
        <v>52</v>
      </c>
      <c r="AX125" s="35" t="s">
        <v>1143</v>
      </c>
      <c r="AY125" s="35" t="s">
        <v>98</v>
      </c>
      <c r="AZ125" s="35" t="s">
        <v>99</v>
      </c>
      <c r="BA125" s="35" t="s">
        <v>42</v>
      </c>
      <c r="BB125" s="38"/>
      <c r="BC125" s="38">
        <v>5.7859999999999996</v>
      </c>
      <c r="BD125" s="35" t="s">
        <v>168</v>
      </c>
      <c r="BE125" s="35" t="s">
        <v>127</v>
      </c>
      <c r="BF125" s="35">
        <v>0</v>
      </c>
      <c r="BG125" s="38">
        <v>0</v>
      </c>
      <c r="BH125" s="35" t="s">
        <v>1319</v>
      </c>
    </row>
    <row r="126" spans="1:60" x14ac:dyDescent="0.3">
      <c r="A126" s="6" t="str">
        <f t="shared" si="1"/>
        <v>000067</v>
      </c>
      <c r="B126" s="35" t="s">
        <v>43</v>
      </c>
      <c r="C126" s="35" t="s">
        <v>396</v>
      </c>
      <c r="D126" s="35" t="s">
        <v>206</v>
      </c>
      <c r="E126" s="35" t="s">
        <v>164</v>
      </c>
      <c r="F126" s="35" t="s">
        <v>165</v>
      </c>
      <c r="G126" s="35" t="s">
        <v>164</v>
      </c>
      <c r="H126" s="35" t="s">
        <v>165</v>
      </c>
      <c r="I126" s="35" t="s">
        <v>39</v>
      </c>
      <c r="J126" s="35" t="s">
        <v>47</v>
      </c>
      <c r="K126" s="35" t="s">
        <v>812</v>
      </c>
      <c r="L126" s="35" t="s">
        <v>205</v>
      </c>
      <c r="M126" s="126">
        <v>6</v>
      </c>
      <c r="N126" s="123">
        <v>45908</v>
      </c>
      <c r="O126" s="123">
        <v>46020</v>
      </c>
      <c r="P126" s="38">
        <v>61399</v>
      </c>
      <c r="Q126" s="38">
        <v>70000</v>
      </c>
      <c r="R126" s="126">
        <v>0</v>
      </c>
      <c r="S126" s="126">
        <v>16</v>
      </c>
      <c r="T126" s="35" t="s">
        <v>95</v>
      </c>
      <c r="U126" s="38">
        <v>5320.05</v>
      </c>
      <c r="V126" s="38">
        <v>0</v>
      </c>
      <c r="W126" s="38">
        <v>0</v>
      </c>
      <c r="X126" s="38">
        <v>7</v>
      </c>
      <c r="Y126" s="38">
        <v>0</v>
      </c>
      <c r="Z126" s="38">
        <v>35000</v>
      </c>
      <c r="AA126" s="38">
        <v>0</v>
      </c>
      <c r="AB126" s="38">
        <v>0</v>
      </c>
      <c r="AC126" s="38">
        <v>0</v>
      </c>
      <c r="AD126" s="38">
        <v>0</v>
      </c>
      <c r="AE126" s="38">
        <v>5326</v>
      </c>
      <c r="AF126" s="123">
        <v>45960</v>
      </c>
      <c r="AG126" s="35" t="s">
        <v>96</v>
      </c>
      <c r="AH126" s="35"/>
      <c r="AI126" s="35"/>
      <c r="AJ126" s="35"/>
      <c r="AK126" s="35"/>
      <c r="AL126" s="35"/>
      <c r="AM126" s="35"/>
      <c r="AN126" s="35"/>
      <c r="AO126" s="35"/>
      <c r="AQ126" s="35"/>
      <c r="AR126" s="38">
        <v>42517.75</v>
      </c>
      <c r="AS126" s="38">
        <v>5362.6733333333332</v>
      </c>
      <c r="AT126" s="35">
        <v>0</v>
      </c>
      <c r="AU126" s="35">
        <v>0</v>
      </c>
      <c r="AV126" s="35" t="s">
        <v>47</v>
      </c>
      <c r="AW126" s="35" t="s">
        <v>52</v>
      </c>
      <c r="AX126" s="35" t="s">
        <v>889</v>
      </c>
      <c r="AY126" s="35" t="s">
        <v>98</v>
      </c>
      <c r="AZ126" s="35" t="s">
        <v>99</v>
      </c>
      <c r="BA126" s="35" t="s">
        <v>42</v>
      </c>
      <c r="BB126" s="38"/>
      <c r="BC126" s="38">
        <v>5.7859999999999996</v>
      </c>
      <c r="BD126" s="35" t="s">
        <v>126</v>
      </c>
      <c r="BE126" s="35" t="s">
        <v>198</v>
      </c>
      <c r="BF126" s="35">
        <v>0</v>
      </c>
      <c r="BG126" s="38">
        <v>0</v>
      </c>
      <c r="BH126" s="35" t="s">
        <v>1319</v>
      </c>
    </row>
    <row r="127" spans="1:60" x14ac:dyDescent="0.3">
      <c r="A127" s="6" t="str">
        <f t="shared" si="1"/>
        <v>000034</v>
      </c>
      <c r="B127" s="35" t="s">
        <v>43</v>
      </c>
      <c r="C127" s="35" t="s">
        <v>396</v>
      </c>
      <c r="D127" s="35" t="s">
        <v>206</v>
      </c>
      <c r="E127" s="35" t="s">
        <v>501</v>
      </c>
      <c r="F127" s="35" t="s">
        <v>502</v>
      </c>
      <c r="G127" s="35" t="s">
        <v>501</v>
      </c>
      <c r="H127" s="35" t="s">
        <v>502</v>
      </c>
      <c r="I127" s="35" t="s">
        <v>652</v>
      </c>
      <c r="J127" s="35" t="s">
        <v>47</v>
      </c>
      <c r="K127" s="35" t="s">
        <v>506</v>
      </c>
      <c r="L127" s="35" t="s">
        <v>205</v>
      </c>
      <c r="M127" s="126">
        <v>9</v>
      </c>
      <c r="N127" s="123">
        <v>45897</v>
      </c>
      <c r="O127" s="123">
        <v>46009</v>
      </c>
      <c r="P127" s="38">
        <v>81414</v>
      </c>
      <c r="Q127" s="38">
        <v>93000</v>
      </c>
      <c r="R127" s="126">
        <v>0</v>
      </c>
      <c r="S127" s="126">
        <v>16</v>
      </c>
      <c r="T127" s="35" t="s">
        <v>95</v>
      </c>
      <c r="U127" s="38">
        <v>7068.06</v>
      </c>
      <c r="V127" s="38">
        <v>0</v>
      </c>
      <c r="W127" s="38">
        <v>0</v>
      </c>
      <c r="X127" s="38">
        <v>9</v>
      </c>
      <c r="Y127" s="38">
        <v>0</v>
      </c>
      <c r="Z127" s="38">
        <v>40687.5</v>
      </c>
      <c r="AA127" s="38">
        <v>0</v>
      </c>
      <c r="AB127" s="38">
        <v>0</v>
      </c>
      <c r="AC127" s="38">
        <v>0</v>
      </c>
      <c r="AD127" s="38">
        <v>0</v>
      </c>
      <c r="AE127" s="38">
        <v>7077</v>
      </c>
      <c r="AF127" s="123">
        <v>45959</v>
      </c>
      <c r="AG127" s="35" t="s">
        <v>96</v>
      </c>
      <c r="AH127" s="35"/>
      <c r="AI127" s="35"/>
      <c r="AJ127" s="35"/>
      <c r="AK127" s="35"/>
      <c r="AL127" s="35"/>
      <c r="AM127" s="35"/>
      <c r="AN127" s="35"/>
      <c r="AO127" s="35"/>
      <c r="AQ127" s="35"/>
      <c r="AR127" s="38">
        <v>49425.99</v>
      </c>
      <c r="AS127" s="38">
        <v>50.442</v>
      </c>
      <c r="AT127" s="35">
        <v>1</v>
      </c>
      <c r="AU127" s="35">
        <v>1</v>
      </c>
      <c r="AV127" s="35" t="s">
        <v>47</v>
      </c>
      <c r="AW127" s="35" t="s">
        <v>52</v>
      </c>
      <c r="AX127" s="35" t="s">
        <v>724</v>
      </c>
      <c r="AY127" s="35" t="s">
        <v>98</v>
      </c>
      <c r="AZ127" s="35" t="s">
        <v>99</v>
      </c>
      <c r="BA127" s="35" t="s">
        <v>42</v>
      </c>
      <c r="BB127" s="38"/>
      <c r="BC127" s="38">
        <v>5.7859999999999996</v>
      </c>
      <c r="BD127" s="35" t="s">
        <v>197</v>
      </c>
      <c r="BE127" s="35" t="s">
        <v>198</v>
      </c>
      <c r="BF127" s="35">
        <v>0</v>
      </c>
      <c r="BG127" s="38">
        <v>0</v>
      </c>
      <c r="BH127" s="35" t="s">
        <v>1319</v>
      </c>
    </row>
    <row r="128" spans="1:60" x14ac:dyDescent="0.3">
      <c r="A128" s="6" t="str">
        <f t="shared" si="1"/>
        <v>000148</v>
      </c>
      <c r="B128" s="35" t="s">
        <v>43</v>
      </c>
      <c r="C128" s="35" t="s">
        <v>42</v>
      </c>
      <c r="D128" s="35" t="s">
        <v>1526</v>
      </c>
      <c r="E128" s="35" t="s">
        <v>148</v>
      </c>
      <c r="F128" s="35" t="s">
        <v>149</v>
      </c>
      <c r="G128" s="35" t="s">
        <v>148</v>
      </c>
      <c r="H128" s="35" t="s">
        <v>149</v>
      </c>
      <c r="I128" s="35" t="s">
        <v>1634</v>
      </c>
      <c r="J128" s="35" t="s">
        <v>47</v>
      </c>
      <c r="K128" s="35" t="s">
        <v>1563</v>
      </c>
      <c r="L128" s="35" t="s">
        <v>205</v>
      </c>
      <c r="M128" s="126">
        <v>6</v>
      </c>
      <c r="N128" s="123">
        <v>45943</v>
      </c>
      <c r="O128" s="123">
        <v>46055</v>
      </c>
      <c r="P128" s="38">
        <v>50676</v>
      </c>
      <c r="Q128" s="38">
        <v>58000</v>
      </c>
      <c r="R128" s="126">
        <v>0</v>
      </c>
      <c r="S128" s="126">
        <v>16</v>
      </c>
      <c r="T128" s="35" t="s">
        <v>95</v>
      </c>
      <c r="U128" s="38">
        <v>4408.04</v>
      </c>
      <c r="V128" s="38">
        <v>0</v>
      </c>
      <c r="W128" s="38">
        <v>0</v>
      </c>
      <c r="X128" s="38">
        <v>2</v>
      </c>
      <c r="Y128" s="38">
        <v>0</v>
      </c>
      <c r="Z128" s="38">
        <v>50731.12</v>
      </c>
      <c r="AA128" s="38">
        <v>0</v>
      </c>
      <c r="AB128" s="38">
        <v>0</v>
      </c>
      <c r="AC128" s="38">
        <v>0</v>
      </c>
      <c r="AD128" s="38">
        <v>0</v>
      </c>
      <c r="AE128" s="38">
        <v>4809</v>
      </c>
      <c r="AF128" s="123">
        <v>45954</v>
      </c>
      <c r="AG128" s="35" t="s">
        <v>96</v>
      </c>
      <c r="AH128" s="35"/>
      <c r="AI128" s="35"/>
      <c r="AJ128" s="35"/>
      <c r="AK128" s="35"/>
      <c r="AL128" s="35"/>
      <c r="AM128" s="35"/>
      <c r="AN128" s="35"/>
      <c r="AO128" s="35"/>
      <c r="AQ128" s="35"/>
      <c r="AR128" s="38">
        <v>60910.62</v>
      </c>
      <c r="AS128" s="38">
        <v>801.92266666666706</v>
      </c>
      <c r="AT128" s="35">
        <v>1</v>
      </c>
      <c r="AU128" s="35">
        <v>1</v>
      </c>
      <c r="AV128" s="35" t="s">
        <v>47</v>
      </c>
      <c r="AW128" s="35" t="s">
        <v>52</v>
      </c>
      <c r="AX128" s="35"/>
      <c r="AY128" s="35" t="s">
        <v>98</v>
      </c>
      <c r="AZ128" s="35" t="s">
        <v>99</v>
      </c>
      <c r="BA128" s="35" t="s">
        <v>42</v>
      </c>
      <c r="BB128" s="38"/>
      <c r="BC128" s="38">
        <v>5.7859999999999996</v>
      </c>
      <c r="BD128" s="35" t="s">
        <v>126</v>
      </c>
      <c r="BE128" s="35" t="s">
        <v>198</v>
      </c>
      <c r="BF128" s="35">
        <v>0</v>
      </c>
      <c r="BG128" s="38">
        <v>0</v>
      </c>
      <c r="BH128" s="35" t="s">
        <v>1319</v>
      </c>
    </row>
    <row r="129" spans="1:60" x14ac:dyDescent="0.3">
      <c r="A129" s="6" t="str">
        <f t="shared" si="1"/>
        <v>000044</v>
      </c>
      <c r="B129" s="35" t="s">
        <v>49</v>
      </c>
      <c r="C129" s="35" t="s">
        <v>388</v>
      </c>
      <c r="D129" s="35" t="s">
        <v>207</v>
      </c>
      <c r="E129" s="35" t="s">
        <v>188</v>
      </c>
      <c r="F129" s="35" t="s">
        <v>190</v>
      </c>
      <c r="G129" s="35" t="s">
        <v>188</v>
      </c>
      <c r="H129" s="35" t="s">
        <v>190</v>
      </c>
      <c r="I129" s="35" t="s">
        <v>653</v>
      </c>
      <c r="J129" s="35" t="s">
        <v>47</v>
      </c>
      <c r="K129" s="35" t="s">
        <v>654</v>
      </c>
      <c r="L129" s="35" t="s">
        <v>205</v>
      </c>
      <c r="M129" s="126">
        <v>5</v>
      </c>
      <c r="N129" s="123">
        <v>45897</v>
      </c>
      <c r="O129" s="123">
        <v>46009</v>
      </c>
      <c r="P129" s="38">
        <v>88368</v>
      </c>
      <c r="Q129" s="38">
        <v>100000</v>
      </c>
      <c r="R129" s="126">
        <v>0</v>
      </c>
      <c r="S129" s="126">
        <v>16</v>
      </c>
      <c r="T129" s="35" t="s">
        <v>95</v>
      </c>
      <c r="U129" s="38">
        <v>7600.07</v>
      </c>
      <c r="V129" s="38">
        <v>0</v>
      </c>
      <c r="W129" s="38">
        <v>0</v>
      </c>
      <c r="X129" s="38">
        <v>9</v>
      </c>
      <c r="Y129" s="38">
        <v>0</v>
      </c>
      <c r="Z129" s="38">
        <v>42449.66</v>
      </c>
      <c r="AA129" s="38">
        <v>0</v>
      </c>
      <c r="AB129" s="38">
        <v>0</v>
      </c>
      <c r="AC129" s="38">
        <v>0</v>
      </c>
      <c r="AD129" s="38">
        <v>0</v>
      </c>
      <c r="AE129" s="38">
        <v>7969</v>
      </c>
      <c r="AF129" s="123">
        <v>45960</v>
      </c>
      <c r="AG129" s="35" t="s">
        <v>96</v>
      </c>
      <c r="AH129" s="35"/>
      <c r="AI129" s="35"/>
      <c r="AJ129" s="35"/>
      <c r="AK129" s="35"/>
      <c r="AL129" s="35"/>
      <c r="AM129" s="35"/>
      <c r="AN129" s="35"/>
      <c r="AO129" s="35"/>
      <c r="AQ129" s="35"/>
      <c r="AR129" s="38">
        <v>50550.07</v>
      </c>
      <c r="AS129" s="38">
        <v>2650.4</v>
      </c>
      <c r="AT129" s="35">
        <v>0</v>
      </c>
      <c r="AU129" s="35">
        <v>0</v>
      </c>
      <c r="AV129" s="35" t="s">
        <v>47</v>
      </c>
      <c r="AW129" s="35" t="s">
        <v>52</v>
      </c>
      <c r="AX129" s="35" t="s">
        <v>655</v>
      </c>
      <c r="AY129" s="35" t="s">
        <v>98</v>
      </c>
      <c r="AZ129" s="35" t="s">
        <v>99</v>
      </c>
      <c r="BA129" s="35" t="s">
        <v>42</v>
      </c>
      <c r="BB129" s="38"/>
      <c r="BC129" s="38">
        <v>5.7859999999999996</v>
      </c>
      <c r="BD129" s="35" t="s">
        <v>197</v>
      </c>
      <c r="BE129" s="35" t="s">
        <v>656</v>
      </c>
      <c r="BF129" s="35">
        <v>0</v>
      </c>
      <c r="BG129" s="38">
        <v>0</v>
      </c>
      <c r="BH129" s="35" t="s">
        <v>1319</v>
      </c>
    </row>
    <row r="130" spans="1:60" x14ac:dyDescent="0.3">
      <c r="A130" s="6" t="str">
        <f t="shared" si="1"/>
        <v>000191</v>
      </c>
      <c r="B130" s="35" t="s">
        <v>49</v>
      </c>
      <c r="C130" s="35" t="s">
        <v>388</v>
      </c>
      <c r="D130" s="35" t="s">
        <v>207</v>
      </c>
      <c r="E130" s="35" t="s">
        <v>487</v>
      </c>
      <c r="F130" s="35" t="s">
        <v>488</v>
      </c>
      <c r="G130" s="35" t="s">
        <v>487</v>
      </c>
      <c r="H130" s="35" t="s">
        <v>488</v>
      </c>
      <c r="I130" s="35" t="s">
        <v>2085</v>
      </c>
      <c r="J130" s="35" t="s">
        <v>47</v>
      </c>
      <c r="K130" s="35" t="s">
        <v>2086</v>
      </c>
      <c r="L130" s="35" t="s">
        <v>205</v>
      </c>
      <c r="M130" s="126">
        <v>6</v>
      </c>
      <c r="N130" s="123">
        <v>45959</v>
      </c>
      <c r="O130" s="123">
        <v>46071</v>
      </c>
      <c r="P130" s="38">
        <v>43476</v>
      </c>
      <c r="Q130" s="38">
        <v>50000</v>
      </c>
      <c r="R130" s="126">
        <v>0</v>
      </c>
      <c r="S130" s="126">
        <v>16</v>
      </c>
      <c r="T130" s="35" t="s">
        <v>95</v>
      </c>
      <c r="U130" s="38">
        <v>3800.03</v>
      </c>
      <c r="V130" s="38">
        <v>0</v>
      </c>
      <c r="W130" s="38">
        <v>0</v>
      </c>
      <c r="X130" s="38">
        <v>0</v>
      </c>
      <c r="Y130" s="38">
        <v>0</v>
      </c>
      <c r="Z130" s="38">
        <v>50000</v>
      </c>
      <c r="AA130" s="38">
        <v>0</v>
      </c>
      <c r="AB130" s="38">
        <v>0</v>
      </c>
      <c r="AC130" s="38">
        <v>0</v>
      </c>
      <c r="AD130" s="38">
        <v>0</v>
      </c>
      <c r="AE130" s="38"/>
      <c r="AF130" s="123"/>
      <c r="AG130" s="35" t="s">
        <v>96</v>
      </c>
      <c r="AH130" s="35"/>
      <c r="AI130" s="35"/>
      <c r="AJ130" s="35"/>
      <c r="AK130" s="35"/>
      <c r="AL130" s="35"/>
      <c r="AM130" s="35"/>
      <c r="AN130" s="35"/>
      <c r="AO130" s="35"/>
      <c r="AQ130" s="35"/>
      <c r="AR130" s="38">
        <v>60800.53</v>
      </c>
      <c r="AS130" s="38">
        <v>0</v>
      </c>
      <c r="AT130" s="35">
        <v>0</v>
      </c>
      <c r="AU130" s="35">
        <v>0</v>
      </c>
      <c r="AV130" s="35" t="s">
        <v>47</v>
      </c>
      <c r="AW130" s="35" t="s">
        <v>52</v>
      </c>
      <c r="AX130" s="35" t="s">
        <v>2093</v>
      </c>
      <c r="AY130" s="35" t="s">
        <v>98</v>
      </c>
      <c r="AZ130" s="35" t="s">
        <v>99</v>
      </c>
      <c r="BA130" s="35" t="s">
        <v>42</v>
      </c>
      <c r="BB130" s="38"/>
      <c r="BC130" s="38">
        <v>5.7859999999999996</v>
      </c>
      <c r="BD130" s="35" t="s">
        <v>124</v>
      </c>
      <c r="BE130" s="35" t="s">
        <v>160</v>
      </c>
      <c r="BF130" s="35">
        <v>0</v>
      </c>
      <c r="BG130" s="38"/>
      <c r="BH130" s="35" t="s">
        <v>1320</v>
      </c>
    </row>
    <row r="131" spans="1:60" x14ac:dyDescent="0.3">
      <c r="A131" s="6" t="str">
        <f t="shared" si="1"/>
        <v>000186</v>
      </c>
      <c r="B131" s="35" t="s">
        <v>49</v>
      </c>
      <c r="C131" s="35" t="s">
        <v>388</v>
      </c>
      <c r="D131" s="35" t="s">
        <v>207</v>
      </c>
      <c r="E131" s="35" t="s">
        <v>188</v>
      </c>
      <c r="F131" s="35" t="s">
        <v>190</v>
      </c>
      <c r="G131" s="35" t="s">
        <v>188</v>
      </c>
      <c r="H131" s="35" t="s">
        <v>190</v>
      </c>
      <c r="I131" s="35" t="s">
        <v>1958</v>
      </c>
      <c r="J131" s="35" t="s">
        <v>47</v>
      </c>
      <c r="K131" s="35" t="s">
        <v>1959</v>
      </c>
      <c r="L131" s="35" t="s">
        <v>205</v>
      </c>
      <c r="M131" s="126">
        <v>7</v>
      </c>
      <c r="N131" s="123">
        <v>45957</v>
      </c>
      <c r="O131" s="123">
        <v>46069</v>
      </c>
      <c r="P131" s="38">
        <v>104564</v>
      </c>
      <c r="Q131" s="38">
        <v>118500</v>
      </c>
      <c r="R131" s="126">
        <v>0</v>
      </c>
      <c r="S131" s="126">
        <v>16</v>
      </c>
      <c r="T131" s="35" t="s">
        <v>95</v>
      </c>
      <c r="U131" s="38">
        <v>9006.08</v>
      </c>
      <c r="V131" s="38">
        <v>0</v>
      </c>
      <c r="W131" s="38">
        <v>0</v>
      </c>
      <c r="X131" s="38">
        <v>0</v>
      </c>
      <c r="Y131" s="38">
        <v>0</v>
      </c>
      <c r="Z131" s="38">
        <v>111093.75</v>
      </c>
      <c r="AA131" s="38">
        <v>0</v>
      </c>
      <c r="AB131" s="38">
        <v>0</v>
      </c>
      <c r="AC131" s="38">
        <v>0</v>
      </c>
      <c r="AD131" s="38">
        <v>0</v>
      </c>
      <c r="AE131" s="38">
        <v>9007</v>
      </c>
      <c r="AF131" s="123">
        <v>45961</v>
      </c>
      <c r="AG131" s="35" t="s">
        <v>96</v>
      </c>
      <c r="AH131" s="35"/>
      <c r="AI131" s="35"/>
      <c r="AJ131" s="35"/>
      <c r="AK131" s="35"/>
      <c r="AL131" s="35"/>
      <c r="AM131" s="35"/>
      <c r="AN131" s="35"/>
      <c r="AO131" s="35"/>
      <c r="AQ131" s="35"/>
      <c r="AR131" s="38">
        <v>135090.26</v>
      </c>
      <c r="AS131" s="38">
        <v>9007</v>
      </c>
      <c r="AT131" s="35">
        <v>0</v>
      </c>
      <c r="AU131" s="35">
        <v>0</v>
      </c>
      <c r="AV131" s="35" t="s">
        <v>47</v>
      </c>
      <c r="AW131" s="35" t="s">
        <v>52</v>
      </c>
      <c r="AX131" s="35" t="s">
        <v>1982</v>
      </c>
      <c r="AY131" s="35" t="s">
        <v>98</v>
      </c>
      <c r="AZ131" s="35" t="s">
        <v>99</v>
      </c>
      <c r="BA131" s="35" t="s">
        <v>42</v>
      </c>
      <c r="BB131" s="38"/>
      <c r="BC131" s="38">
        <v>5.7859999999999996</v>
      </c>
      <c r="BD131" s="35" t="s">
        <v>126</v>
      </c>
      <c r="BE131" s="35" t="s">
        <v>1178</v>
      </c>
      <c r="BF131" s="35">
        <v>0</v>
      </c>
      <c r="BG131" s="38">
        <v>0</v>
      </c>
      <c r="BH131" s="35" t="s">
        <v>1319</v>
      </c>
    </row>
    <row r="132" spans="1:60" x14ac:dyDescent="0.3">
      <c r="A132" s="6" t="str">
        <f t="shared" si="1"/>
        <v>000149</v>
      </c>
      <c r="B132" s="35" t="s">
        <v>49</v>
      </c>
      <c r="C132" s="35" t="s">
        <v>388</v>
      </c>
      <c r="D132" s="35" t="s">
        <v>207</v>
      </c>
      <c r="E132" s="35" t="s">
        <v>188</v>
      </c>
      <c r="F132" s="35" t="s">
        <v>190</v>
      </c>
      <c r="G132" s="35" t="s">
        <v>188</v>
      </c>
      <c r="H132" s="35" t="s">
        <v>190</v>
      </c>
      <c r="I132" s="35" t="s">
        <v>1638</v>
      </c>
      <c r="J132" s="35" t="s">
        <v>47</v>
      </c>
      <c r="K132" s="35" t="s">
        <v>1598</v>
      </c>
      <c r="L132" s="35" t="s">
        <v>205</v>
      </c>
      <c r="M132" s="126">
        <v>6</v>
      </c>
      <c r="N132" s="123">
        <v>45943</v>
      </c>
      <c r="O132" s="123">
        <v>46055</v>
      </c>
      <c r="P132" s="38">
        <v>140056</v>
      </c>
      <c r="Q132" s="38">
        <v>158000</v>
      </c>
      <c r="R132" s="126">
        <v>0</v>
      </c>
      <c r="S132" s="126">
        <v>16</v>
      </c>
      <c r="T132" s="35" t="s">
        <v>95</v>
      </c>
      <c r="U132" s="38">
        <v>12008.11</v>
      </c>
      <c r="V132" s="38">
        <v>0</v>
      </c>
      <c r="W132" s="38">
        <v>0</v>
      </c>
      <c r="X132" s="38">
        <v>2</v>
      </c>
      <c r="Y132" s="38">
        <v>0</v>
      </c>
      <c r="Z132" s="38">
        <v>138250.21</v>
      </c>
      <c r="AA132" s="38">
        <v>0.210666666666667</v>
      </c>
      <c r="AB132" s="38">
        <v>0</v>
      </c>
      <c r="AC132" s="38">
        <v>0</v>
      </c>
      <c r="AD132" s="38">
        <v>0</v>
      </c>
      <c r="AE132" s="38">
        <v>12008</v>
      </c>
      <c r="AF132" s="123">
        <v>45954</v>
      </c>
      <c r="AG132" s="35" t="s">
        <v>96</v>
      </c>
      <c r="AH132" s="35"/>
      <c r="AI132" s="35"/>
      <c r="AJ132" s="35"/>
      <c r="AK132" s="35"/>
      <c r="AL132" s="35"/>
      <c r="AM132" s="35"/>
      <c r="AN132" s="35"/>
      <c r="AO132" s="35"/>
      <c r="AQ132" s="35"/>
      <c r="AR132" s="38">
        <v>168113.69</v>
      </c>
      <c r="AS132" s="38">
        <v>0</v>
      </c>
      <c r="AT132" s="35">
        <v>1</v>
      </c>
      <c r="AU132" s="35">
        <v>1</v>
      </c>
      <c r="AV132" s="35" t="s">
        <v>47</v>
      </c>
      <c r="AW132" s="35" t="s">
        <v>52</v>
      </c>
      <c r="AX132" s="35" t="s">
        <v>1639</v>
      </c>
      <c r="AY132" s="35" t="s">
        <v>98</v>
      </c>
      <c r="AZ132" s="35" t="s">
        <v>99</v>
      </c>
      <c r="BA132" s="35" t="s">
        <v>42</v>
      </c>
      <c r="BB132" s="38"/>
      <c r="BC132" s="38">
        <v>5.7859999999999996</v>
      </c>
      <c r="BD132" s="35" t="s">
        <v>126</v>
      </c>
      <c r="BE132" s="35" t="s">
        <v>160</v>
      </c>
      <c r="BF132" s="35">
        <v>0</v>
      </c>
      <c r="BG132" s="38">
        <v>0</v>
      </c>
      <c r="BH132" s="35" t="s">
        <v>1319</v>
      </c>
    </row>
    <row r="133" spans="1:60" x14ac:dyDescent="0.3">
      <c r="A133" s="6" t="str">
        <f t="shared" si="1"/>
        <v>000065</v>
      </c>
      <c r="B133" s="35" t="s">
        <v>43</v>
      </c>
      <c r="C133" s="35" t="s">
        <v>396</v>
      </c>
      <c r="D133" s="35" t="s">
        <v>206</v>
      </c>
      <c r="E133" s="35" t="s">
        <v>143</v>
      </c>
      <c r="F133" s="35" t="s">
        <v>144</v>
      </c>
      <c r="G133" s="35" t="s">
        <v>143</v>
      </c>
      <c r="H133" s="35" t="s">
        <v>144</v>
      </c>
      <c r="I133" s="35" t="s">
        <v>154</v>
      </c>
      <c r="J133" s="35" t="s">
        <v>47</v>
      </c>
      <c r="K133" s="35" t="s">
        <v>827</v>
      </c>
      <c r="L133" s="35" t="s">
        <v>205</v>
      </c>
      <c r="M133" s="126">
        <v>6</v>
      </c>
      <c r="N133" s="123">
        <v>45909</v>
      </c>
      <c r="O133" s="123">
        <v>46021</v>
      </c>
      <c r="P133" s="38">
        <v>85518</v>
      </c>
      <c r="Q133" s="38">
        <v>97000</v>
      </c>
      <c r="R133" s="126">
        <v>0</v>
      </c>
      <c r="S133" s="126">
        <v>16</v>
      </c>
      <c r="T133" s="35" t="s">
        <v>95</v>
      </c>
      <c r="U133" s="38">
        <v>7372.06</v>
      </c>
      <c r="V133" s="38">
        <v>0</v>
      </c>
      <c r="W133" s="38">
        <v>0</v>
      </c>
      <c r="X133" s="38">
        <v>7</v>
      </c>
      <c r="Y133" s="38">
        <v>0</v>
      </c>
      <c r="Z133" s="38">
        <v>54562.5</v>
      </c>
      <c r="AA133" s="38">
        <v>0</v>
      </c>
      <c r="AB133" s="38">
        <v>0</v>
      </c>
      <c r="AC133" s="38">
        <v>0</v>
      </c>
      <c r="AD133" s="38">
        <v>0</v>
      </c>
      <c r="AE133" s="38">
        <v>7376</v>
      </c>
      <c r="AF133" s="123">
        <v>45957</v>
      </c>
      <c r="AG133" s="35" t="s">
        <v>96</v>
      </c>
      <c r="AH133" s="35"/>
      <c r="AI133" s="35"/>
      <c r="AJ133" s="35"/>
      <c r="AK133" s="35"/>
      <c r="AL133" s="35"/>
      <c r="AM133" s="35"/>
      <c r="AN133" s="35"/>
      <c r="AO133" s="35"/>
      <c r="AQ133" s="35"/>
      <c r="AR133" s="38">
        <v>66324.03</v>
      </c>
      <c r="AS133" s="38">
        <v>24.547333333333327</v>
      </c>
      <c r="AT133" s="35">
        <v>0</v>
      </c>
      <c r="AU133" s="35">
        <v>0</v>
      </c>
      <c r="AV133" s="35" t="s">
        <v>47</v>
      </c>
      <c r="AW133" s="35" t="s">
        <v>52</v>
      </c>
      <c r="AX133" s="35" t="s">
        <v>890</v>
      </c>
      <c r="AY133" s="35" t="s">
        <v>98</v>
      </c>
      <c r="AZ133" s="35" t="s">
        <v>99</v>
      </c>
      <c r="BA133" s="35" t="s">
        <v>42</v>
      </c>
      <c r="BB133" s="38"/>
      <c r="BC133" s="38">
        <v>5.7859999999999996</v>
      </c>
      <c r="BD133" s="35" t="s">
        <v>146</v>
      </c>
      <c r="BE133" s="35" t="s">
        <v>160</v>
      </c>
      <c r="BF133" s="35">
        <v>0</v>
      </c>
      <c r="BG133" s="38">
        <v>0</v>
      </c>
      <c r="BH133" s="35" t="s">
        <v>1319</v>
      </c>
    </row>
    <row r="134" spans="1:60" x14ac:dyDescent="0.3">
      <c r="A134" s="6" t="str">
        <f t="shared" si="1"/>
        <v>000142</v>
      </c>
      <c r="B134" s="35" t="s">
        <v>43</v>
      </c>
      <c r="C134" s="35" t="s">
        <v>396</v>
      </c>
      <c r="D134" s="35" t="s">
        <v>206</v>
      </c>
      <c r="E134" s="35" t="s">
        <v>143</v>
      </c>
      <c r="F134" s="35" t="s">
        <v>144</v>
      </c>
      <c r="G134" s="35" t="s">
        <v>143</v>
      </c>
      <c r="H134" s="35" t="s">
        <v>144</v>
      </c>
      <c r="I134" s="35" t="s">
        <v>1593</v>
      </c>
      <c r="J134" s="35" t="s">
        <v>47</v>
      </c>
      <c r="K134" s="35" t="s">
        <v>1594</v>
      </c>
      <c r="L134" s="35" t="s">
        <v>205</v>
      </c>
      <c r="M134" s="126">
        <v>6</v>
      </c>
      <c r="N134" s="123">
        <v>45939</v>
      </c>
      <c r="O134" s="123">
        <v>46051</v>
      </c>
      <c r="P134" s="38">
        <v>43399</v>
      </c>
      <c r="Q134" s="38">
        <v>50000</v>
      </c>
      <c r="R134" s="126">
        <v>0</v>
      </c>
      <c r="S134" s="126">
        <v>16</v>
      </c>
      <c r="T134" s="35" t="s">
        <v>95</v>
      </c>
      <c r="U134" s="38">
        <v>3800.03</v>
      </c>
      <c r="V134" s="38">
        <v>0</v>
      </c>
      <c r="W134" s="38">
        <v>0</v>
      </c>
      <c r="X134" s="38">
        <v>3</v>
      </c>
      <c r="Y134" s="38">
        <v>0</v>
      </c>
      <c r="Z134" s="38">
        <v>40625</v>
      </c>
      <c r="AA134" s="38">
        <v>0</v>
      </c>
      <c r="AB134" s="38">
        <v>0</v>
      </c>
      <c r="AC134" s="38">
        <v>0</v>
      </c>
      <c r="AD134" s="38">
        <v>0</v>
      </c>
      <c r="AE134" s="38">
        <v>3801</v>
      </c>
      <c r="AF134" s="123">
        <v>45958</v>
      </c>
      <c r="AG134" s="35" t="s">
        <v>96</v>
      </c>
      <c r="AH134" s="35"/>
      <c r="AI134" s="35"/>
      <c r="AJ134" s="35"/>
      <c r="AK134" s="35"/>
      <c r="AL134" s="35"/>
      <c r="AM134" s="35"/>
      <c r="AN134" s="35"/>
      <c r="AO134" s="35"/>
      <c r="AQ134" s="35"/>
      <c r="AR134" s="38">
        <v>49397.53</v>
      </c>
      <c r="AS134" s="38">
        <v>2.9</v>
      </c>
      <c r="AT134" s="35">
        <v>0</v>
      </c>
      <c r="AU134" s="35">
        <v>0</v>
      </c>
      <c r="AV134" s="35" t="s">
        <v>47</v>
      </c>
      <c r="AW134" s="35" t="s">
        <v>52</v>
      </c>
      <c r="AX134" s="35" t="s">
        <v>1595</v>
      </c>
      <c r="AY134" s="35" t="s">
        <v>98</v>
      </c>
      <c r="AZ134" s="35" t="s">
        <v>99</v>
      </c>
      <c r="BA134" s="35" t="s">
        <v>42</v>
      </c>
      <c r="BB134" s="38"/>
      <c r="BC134" s="38">
        <v>5.7859999999999996</v>
      </c>
      <c r="BD134" s="35" t="s">
        <v>197</v>
      </c>
      <c r="BE134" s="35" t="s">
        <v>198</v>
      </c>
      <c r="BF134" s="35">
        <v>0</v>
      </c>
      <c r="BG134" s="38">
        <v>0</v>
      </c>
      <c r="BH134" s="35" t="s">
        <v>1319</v>
      </c>
    </row>
    <row r="135" spans="1:60" x14ac:dyDescent="0.3">
      <c r="A135" s="6" t="str">
        <f t="shared" si="1"/>
        <v>000165</v>
      </c>
      <c r="B135" s="35" t="s">
        <v>43</v>
      </c>
      <c r="C135" s="35" t="s">
        <v>42</v>
      </c>
      <c r="D135" s="35" t="s">
        <v>1526</v>
      </c>
      <c r="E135" s="35" t="s">
        <v>148</v>
      </c>
      <c r="F135" s="35" t="s">
        <v>149</v>
      </c>
      <c r="G135" s="35" t="s">
        <v>148</v>
      </c>
      <c r="H135" s="35" t="s">
        <v>149</v>
      </c>
      <c r="I135" s="35" t="s">
        <v>1820</v>
      </c>
      <c r="J135" s="35" t="s">
        <v>47</v>
      </c>
      <c r="K135" s="35" t="s">
        <v>1821</v>
      </c>
      <c r="L135" s="35" t="s">
        <v>205</v>
      </c>
      <c r="M135" s="126">
        <v>5</v>
      </c>
      <c r="N135" s="123">
        <v>45947</v>
      </c>
      <c r="O135" s="123">
        <v>46059</v>
      </c>
      <c r="P135" s="38">
        <v>40130</v>
      </c>
      <c r="Q135" s="38">
        <v>46000</v>
      </c>
      <c r="R135" s="126">
        <v>0</v>
      </c>
      <c r="S135" s="126">
        <v>16</v>
      </c>
      <c r="T135" s="35" t="s">
        <v>95</v>
      </c>
      <c r="U135" s="38">
        <v>3496.03</v>
      </c>
      <c r="V135" s="38">
        <v>0</v>
      </c>
      <c r="W135" s="38">
        <v>0</v>
      </c>
      <c r="X135" s="38">
        <v>2</v>
      </c>
      <c r="Y135" s="38">
        <v>0</v>
      </c>
      <c r="Z135" s="38">
        <v>40250</v>
      </c>
      <c r="AA135" s="38">
        <v>0</v>
      </c>
      <c r="AB135" s="38">
        <v>0</v>
      </c>
      <c r="AC135" s="38">
        <v>0</v>
      </c>
      <c r="AD135" s="38">
        <v>0</v>
      </c>
      <c r="AE135" s="38">
        <v>3497</v>
      </c>
      <c r="AF135" s="123">
        <v>45960</v>
      </c>
      <c r="AG135" s="35" t="s">
        <v>96</v>
      </c>
      <c r="AH135" s="35"/>
      <c r="AI135" s="35"/>
      <c r="AJ135" s="35"/>
      <c r="AK135" s="35"/>
      <c r="AL135" s="35"/>
      <c r="AM135" s="35"/>
      <c r="AN135" s="35"/>
      <c r="AO135" s="35"/>
      <c r="AQ135" s="35"/>
      <c r="AR135" s="38">
        <v>48942.49</v>
      </c>
      <c r="AS135" s="38">
        <v>1.9386666666666701</v>
      </c>
      <c r="AT135" s="35">
        <v>0</v>
      </c>
      <c r="AU135" s="35">
        <v>0</v>
      </c>
      <c r="AV135" s="35" t="s">
        <v>47</v>
      </c>
      <c r="AW135" s="35" t="s">
        <v>52</v>
      </c>
      <c r="AX135" s="35"/>
      <c r="AY135" s="35" t="s">
        <v>98</v>
      </c>
      <c r="AZ135" s="35" t="s">
        <v>99</v>
      </c>
      <c r="BA135" s="35" t="s">
        <v>42</v>
      </c>
      <c r="BB135" s="38"/>
      <c r="BC135" s="38">
        <v>5.7859999999999996</v>
      </c>
      <c r="BD135" s="35" t="s">
        <v>168</v>
      </c>
      <c r="BE135" s="35" t="s">
        <v>185</v>
      </c>
      <c r="BF135" s="35">
        <v>0</v>
      </c>
      <c r="BG135" s="38">
        <v>0</v>
      </c>
      <c r="BH135" s="35" t="s">
        <v>1319</v>
      </c>
    </row>
    <row r="136" spans="1:60" x14ac:dyDescent="0.3">
      <c r="A136" s="6" t="str">
        <f t="shared" si="1"/>
        <v>000055</v>
      </c>
      <c r="B136" s="35" t="s">
        <v>49</v>
      </c>
      <c r="C136" s="35" t="s">
        <v>388</v>
      </c>
      <c r="D136" s="35" t="s">
        <v>207</v>
      </c>
      <c r="E136" s="35" t="s">
        <v>188</v>
      </c>
      <c r="F136" s="35" t="s">
        <v>190</v>
      </c>
      <c r="G136" s="35" t="s">
        <v>188</v>
      </c>
      <c r="H136" s="35" t="s">
        <v>190</v>
      </c>
      <c r="I136" s="35" t="s">
        <v>685</v>
      </c>
      <c r="J136" s="35" t="s">
        <v>47</v>
      </c>
      <c r="K136" s="35" t="s">
        <v>686</v>
      </c>
      <c r="L136" s="35" t="s">
        <v>205</v>
      </c>
      <c r="M136" s="126">
        <v>6</v>
      </c>
      <c r="N136" s="123">
        <v>45898</v>
      </c>
      <c r="O136" s="123">
        <v>46010</v>
      </c>
      <c r="P136" s="38">
        <v>105241</v>
      </c>
      <c r="Q136" s="38">
        <v>119000</v>
      </c>
      <c r="R136" s="126">
        <v>0</v>
      </c>
      <c r="S136" s="126">
        <v>16</v>
      </c>
      <c r="T136" s="35" t="s">
        <v>95</v>
      </c>
      <c r="U136" s="38">
        <v>9044.08</v>
      </c>
      <c r="V136" s="38">
        <v>0</v>
      </c>
      <c r="W136" s="38">
        <v>0</v>
      </c>
      <c r="X136" s="38">
        <v>9</v>
      </c>
      <c r="Y136" s="38">
        <v>0</v>
      </c>
      <c r="Z136" s="38">
        <v>52062.5</v>
      </c>
      <c r="AA136" s="38">
        <v>0</v>
      </c>
      <c r="AB136" s="38">
        <v>0</v>
      </c>
      <c r="AC136" s="38">
        <v>0</v>
      </c>
      <c r="AD136" s="38">
        <v>0</v>
      </c>
      <c r="AE136" s="38">
        <v>9045</v>
      </c>
      <c r="AF136" s="123">
        <v>45961</v>
      </c>
      <c r="AG136" s="35" t="s">
        <v>96</v>
      </c>
      <c r="AH136" s="35"/>
      <c r="AI136" s="35"/>
      <c r="AJ136" s="35"/>
      <c r="AK136" s="35"/>
      <c r="AL136" s="35"/>
      <c r="AM136" s="35"/>
      <c r="AN136" s="35"/>
      <c r="AO136" s="35"/>
      <c r="AQ136" s="35"/>
      <c r="AR136" s="38">
        <v>63300.270000000004</v>
      </c>
      <c r="AS136" s="38">
        <v>8.2859999999999996</v>
      </c>
      <c r="AT136" s="35">
        <v>0</v>
      </c>
      <c r="AU136" s="35">
        <v>0</v>
      </c>
      <c r="AV136" s="35" t="s">
        <v>47</v>
      </c>
      <c r="AW136" s="35" t="s">
        <v>52</v>
      </c>
      <c r="AX136" s="35" t="s">
        <v>687</v>
      </c>
      <c r="AY136" s="35" t="s">
        <v>98</v>
      </c>
      <c r="AZ136" s="35" t="s">
        <v>99</v>
      </c>
      <c r="BA136" s="35" t="s">
        <v>42</v>
      </c>
      <c r="BB136" s="38"/>
      <c r="BC136" s="38">
        <v>5.7859999999999996</v>
      </c>
      <c r="BD136" s="35" t="s">
        <v>168</v>
      </c>
      <c r="BE136" s="35" t="s">
        <v>125</v>
      </c>
      <c r="BF136" s="35">
        <v>0</v>
      </c>
      <c r="BG136" s="38">
        <v>0</v>
      </c>
      <c r="BH136" s="35" t="s">
        <v>1319</v>
      </c>
    </row>
    <row r="137" spans="1:60" x14ac:dyDescent="0.3">
      <c r="A137" s="6" t="str">
        <f t="shared" ref="A137" si="2">I137</f>
        <v>000200</v>
      </c>
      <c r="B137" s="35" t="s">
        <v>49</v>
      </c>
      <c r="C137" s="35" t="s">
        <v>388</v>
      </c>
      <c r="D137" s="35" t="s">
        <v>207</v>
      </c>
      <c r="E137" s="35" t="s">
        <v>487</v>
      </c>
      <c r="F137" s="35" t="s">
        <v>488</v>
      </c>
      <c r="G137" s="35" t="s">
        <v>487</v>
      </c>
      <c r="H137" s="35" t="s">
        <v>488</v>
      </c>
      <c r="I137" s="35" t="s">
        <v>2087</v>
      </c>
      <c r="J137" s="35" t="s">
        <v>47</v>
      </c>
      <c r="K137" s="35" t="s">
        <v>2088</v>
      </c>
      <c r="L137" s="35" t="s">
        <v>205</v>
      </c>
      <c r="M137" s="126">
        <v>5</v>
      </c>
      <c r="N137" s="123">
        <v>45960</v>
      </c>
      <c r="O137" s="123">
        <v>46072</v>
      </c>
      <c r="P137" s="38">
        <v>24830</v>
      </c>
      <c r="Q137" s="38">
        <v>29000</v>
      </c>
      <c r="R137" s="126">
        <v>0</v>
      </c>
      <c r="S137" s="126">
        <v>16</v>
      </c>
      <c r="T137" s="35" t="s">
        <v>95</v>
      </c>
      <c r="U137" s="38">
        <v>2204.02</v>
      </c>
      <c r="V137" s="38">
        <v>0</v>
      </c>
      <c r="W137" s="38">
        <v>0</v>
      </c>
      <c r="X137" s="38">
        <v>0</v>
      </c>
      <c r="Y137" s="38">
        <v>0</v>
      </c>
      <c r="Z137" s="38">
        <v>29000</v>
      </c>
      <c r="AA137" s="38">
        <v>0</v>
      </c>
      <c r="AB137" s="38">
        <v>0</v>
      </c>
      <c r="AC137" s="38">
        <v>0</v>
      </c>
      <c r="AD137" s="38">
        <v>0</v>
      </c>
      <c r="AE137" s="38"/>
      <c r="AF137" s="123"/>
      <c r="AG137" s="35" t="s">
        <v>96</v>
      </c>
      <c r="AH137" s="35"/>
      <c r="AI137" s="35"/>
      <c r="AJ137" s="35"/>
      <c r="AK137" s="35"/>
      <c r="AL137" s="35"/>
      <c r="AM137" s="35"/>
      <c r="AN137" s="35"/>
      <c r="AO137" s="35"/>
      <c r="AQ137" s="35"/>
      <c r="AR137" s="38">
        <v>35264.31</v>
      </c>
      <c r="AS137" s="38">
        <v>0</v>
      </c>
      <c r="AT137" s="35">
        <v>0</v>
      </c>
      <c r="AU137" s="35">
        <v>0</v>
      </c>
      <c r="AV137" s="35" t="s">
        <v>47</v>
      </c>
      <c r="AW137" s="35" t="s">
        <v>52</v>
      </c>
      <c r="AX137" s="35" t="s">
        <v>2094</v>
      </c>
      <c r="AY137" s="35" t="s">
        <v>98</v>
      </c>
      <c r="AZ137" s="35" t="s">
        <v>99</v>
      </c>
      <c r="BA137" s="35" t="s">
        <v>42</v>
      </c>
      <c r="BB137" s="38"/>
      <c r="BC137" s="38">
        <v>5.7859999999999996</v>
      </c>
      <c r="BD137" s="35" t="s">
        <v>197</v>
      </c>
      <c r="BE137" s="35" t="s">
        <v>127</v>
      </c>
      <c r="BF137" s="35">
        <v>0</v>
      </c>
      <c r="BG137" s="38"/>
      <c r="BH137" s="35" t="s">
        <v>1320</v>
      </c>
    </row>
    <row r="138" spans="1:60" x14ac:dyDescent="0.3">
      <c r="A138" s="6" t="str">
        <f t="shared" si="1"/>
        <v>000117</v>
      </c>
      <c r="B138" s="35" t="s">
        <v>43</v>
      </c>
      <c r="C138" s="35" t="s">
        <v>42</v>
      </c>
      <c r="D138" s="35" t="s">
        <v>1526</v>
      </c>
      <c r="E138" s="35" t="s">
        <v>663</v>
      </c>
      <c r="F138" s="35" t="s">
        <v>664</v>
      </c>
      <c r="G138" s="35" t="s">
        <v>663</v>
      </c>
      <c r="H138" s="35" t="s">
        <v>664</v>
      </c>
      <c r="I138" s="35" t="s">
        <v>1386</v>
      </c>
      <c r="J138" s="35" t="s">
        <v>47</v>
      </c>
      <c r="K138" s="35" t="s">
        <v>1355</v>
      </c>
      <c r="L138" s="35" t="s">
        <v>205</v>
      </c>
      <c r="M138" s="126">
        <v>7</v>
      </c>
      <c r="N138" s="123">
        <v>45930</v>
      </c>
      <c r="O138" s="123">
        <v>46042</v>
      </c>
      <c r="P138" s="38">
        <v>100591</v>
      </c>
      <c r="Q138" s="38">
        <v>114000</v>
      </c>
      <c r="R138" s="126">
        <v>0</v>
      </c>
      <c r="S138" s="126">
        <v>16</v>
      </c>
      <c r="T138" s="35" t="s">
        <v>95</v>
      </c>
      <c r="U138" s="38">
        <v>8664.08</v>
      </c>
      <c r="V138" s="38">
        <v>0</v>
      </c>
      <c r="W138" s="38">
        <v>0</v>
      </c>
      <c r="X138" s="38">
        <v>4</v>
      </c>
      <c r="Y138" s="38">
        <v>0</v>
      </c>
      <c r="Z138" s="38">
        <v>85500.32</v>
      </c>
      <c r="AA138" s="38">
        <v>0.30399999999999999</v>
      </c>
      <c r="AB138" s="38">
        <v>0</v>
      </c>
      <c r="AC138" s="38">
        <v>0</v>
      </c>
      <c r="AD138" s="38">
        <v>0</v>
      </c>
      <c r="AE138" s="38">
        <v>8664</v>
      </c>
      <c r="AF138" s="123">
        <v>45957</v>
      </c>
      <c r="AG138" s="35" t="s">
        <v>96</v>
      </c>
      <c r="AH138" s="35"/>
      <c r="AI138" s="35"/>
      <c r="AJ138" s="35"/>
      <c r="AK138" s="35"/>
      <c r="AL138" s="35"/>
      <c r="AM138" s="35"/>
      <c r="AN138" s="35"/>
      <c r="AO138" s="35"/>
      <c r="AQ138" s="35"/>
      <c r="AR138" s="38">
        <v>103969.22</v>
      </c>
      <c r="AS138" s="38">
        <v>0</v>
      </c>
      <c r="AT138" s="35">
        <v>0</v>
      </c>
      <c r="AU138" s="35">
        <v>0</v>
      </c>
      <c r="AV138" s="35" t="s">
        <v>47</v>
      </c>
      <c r="AW138" s="35" t="s">
        <v>52</v>
      </c>
      <c r="AX138" s="35"/>
      <c r="AY138" s="35" t="s">
        <v>1059</v>
      </c>
      <c r="AZ138" s="35" t="s">
        <v>99</v>
      </c>
      <c r="BA138" s="35" t="s">
        <v>1264</v>
      </c>
      <c r="BB138" s="38"/>
      <c r="BC138" s="38">
        <v>5.7859999999999996</v>
      </c>
      <c r="BD138" s="35" t="s">
        <v>146</v>
      </c>
      <c r="BE138" s="35" t="s">
        <v>160</v>
      </c>
      <c r="BF138" s="35">
        <v>0</v>
      </c>
      <c r="BG138" s="38">
        <v>0</v>
      </c>
      <c r="BH138" s="35" t="s">
        <v>1319</v>
      </c>
    </row>
    <row r="139" spans="1:60" x14ac:dyDescent="0.3">
      <c r="A139" s="6" t="str">
        <f t="shared" ref="A139:A199" si="3">I139</f>
        <v>000139</v>
      </c>
      <c r="B139" s="35" t="s">
        <v>49</v>
      </c>
      <c r="C139" s="35" t="s">
        <v>388</v>
      </c>
      <c r="D139" s="35" t="s">
        <v>207</v>
      </c>
      <c r="E139" s="35" t="s">
        <v>487</v>
      </c>
      <c r="F139" s="35" t="s">
        <v>488</v>
      </c>
      <c r="G139" s="35" t="s">
        <v>487</v>
      </c>
      <c r="H139" s="35" t="s">
        <v>488</v>
      </c>
      <c r="I139" s="35" t="s">
        <v>1565</v>
      </c>
      <c r="J139" s="35" t="s">
        <v>47</v>
      </c>
      <c r="K139" s="35" t="s">
        <v>1528</v>
      </c>
      <c r="L139" s="35" t="s">
        <v>205</v>
      </c>
      <c r="M139" s="126">
        <v>7</v>
      </c>
      <c r="N139" s="123">
        <v>45938</v>
      </c>
      <c r="O139" s="123">
        <v>46050</v>
      </c>
      <c r="P139" s="38">
        <v>65722</v>
      </c>
      <c r="Q139" s="38">
        <v>75000</v>
      </c>
      <c r="R139" s="126">
        <v>0</v>
      </c>
      <c r="S139" s="126">
        <v>16</v>
      </c>
      <c r="T139" s="35" t="s">
        <v>95</v>
      </c>
      <c r="U139" s="38">
        <v>5700.05</v>
      </c>
      <c r="V139" s="38">
        <v>0</v>
      </c>
      <c r="W139" s="38">
        <v>0</v>
      </c>
      <c r="X139" s="38">
        <v>3</v>
      </c>
      <c r="Y139" s="38">
        <v>0</v>
      </c>
      <c r="Z139" s="38">
        <v>60937.65</v>
      </c>
      <c r="AA139" s="38">
        <v>0.15</v>
      </c>
      <c r="AB139" s="38">
        <v>0</v>
      </c>
      <c r="AC139" s="38">
        <v>0</v>
      </c>
      <c r="AD139" s="38">
        <v>0</v>
      </c>
      <c r="AE139" s="38">
        <v>5700</v>
      </c>
      <c r="AF139" s="123">
        <v>45958</v>
      </c>
      <c r="AG139" s="35" t="s">
        <v>96</v>
      </c>
      <c r="AH139" s="35"/>
      <c r="AI139" s="35"/>
      <c r="AJ139" s="35"/>
      <c r="AK139" s="35"/>
      <c r="AL139" s="35"/>
      <c r="AM139" s="35"/>
      <c r="AN139" s="35"/>
      <c r="AO139" s="35"/>
      <c r="AQ139" s="35"/>
      <c r="AR139" s="38">
        <v>74100.800000000003</v>
      </c>
      <c r="AS139" s="38">
        <v>0</v>
      </c>
      <c r="AT139" s="35">
        <v>0</v>
      </c>
      <c r="AU139" s="35">
        <v>0</v>
      </c>
      <c r="AV139" s="35" t="s">
        <v>47</v>
      </c>
      <c r="AW139" s="35" t="s">
        <v>52</v>
      </c>
      <c r="AX139" s="35" t="s">
        <v>1569</v>
      </c>
      <c r="AY139" s="35" t="s">
        <v>98</v>
      </c>
      <c r="AZ139" s="35" t="s">
        <v>99</v>
      </c>
      <c r="BA139" s="35" t="s">
        <v>42</v>
      </c>
      <c r="BB139" s="38"/>
      <c r="BC139" s="38">
        <v>5.7859999999999996</v>
      </c>
      <c r="BD139" s="35" t="s">
        <v>124</v>
      </c>
      <c r="BE139" s="35" t="s">
        <v>160</v>
      </c>
      <c r="BF139" s="35">
        <v>0</v>
      </c>
      <c r="BG139" s="38">
        <v>0</v>
      </c>
      <c r="BH139" s="35" t="s">
        <v>1319</v>
      </c>
    </row>
    <row r="140" spans="1:60" x14ac:dyDescent="0.3">
      <c r="A140" s="6" t="str">
        <f t="shared" si="3"/>
        <v>000209</v>
      </c>
      <c r="B140" s="35" t="s">
        <v>43</v>
      </c>
      <c r="C140" s="35" t="s">
        <v>396</v>
      </c>
      <c r="D140" s="35" t="s">
        <v>206</v>
      </c>
      <c r="E140" s="35" t="s">
        <v>1210</v>
      </c>
      <c r="F140" s="35" t="s">
        <v>2141</v>
      </c>
      <c r="G140" s="35" t="s">
        <v>1210</v>
      </c>
      <c r="H140" s="35" t="s">
        <v>2141</v>
      </c>
      <c r="I140" s="35" t="s">
        <v>2142</v>
      </c>
      <c r="J140" s="35" t="s">
        <v>47</v>
      </c>
      <c r="K140" s="35" t="s">
        <v>2143</v>
      </c>
      <c r="L140" s="35" t="s">
        <v>205</v>
      </c>
      <c r="M140" s="126">
        <v>5</v>
      </c>
      <c r="N140" s="123">
        <v>45961</v>
      </c>
      <c r="O140" s="123">
        <v>46073</v>
      </c>
      <c r="P140" s="38">
        <v>97395</v>
      </c>
      <c r="Q140" s="38">
        <v>110000</v>
      </c>
      <c r="R140" s="126">
        <v>0</v>
      </c>
      <c r="S140" s="126">
        <v>16</v>
      </c>
      <c r="T140" s="35" t="s">
        <v>95</v>
      </c>
      <c r="U140" s="38">
        <v>8360.07</v>
      </c>
      <c r="V140" s="38">
        <v>0</v>
      </c>
      <c r="W140" s="38">
        <v>0</v>
      </c>
      <c r="X140" s="38">
        <v>0</v>
      </c>
      <c r="Y140" s="38">
        <v>0</v>
      </c>
      <c r="Z140" s="38">
        <v>110000</v>
      </c>
      <c r="AA140" s="38">
        <v>0</v>
      </c>
      <c r="AB140" s="38">
        <v>0</v>
      </c>
      <c r="AC140" s="38">
        <v>0</v>
      </c>
      <c r="AD140" s="38">
        <v>0</v>
      </c>
      <c r="AE140" s="38"/>
      <c r="AF140" s="123"/>
      <c r="AG140" s="35" t="s">
        <v>96</v>
      </c>
      <c r="AH140" s="35"/>
      <c r="AI140" s="35"/>
      <c r="AJ140" s="35"/>
      <c r="AK140" s="35"/>
      <c r="AL140" s="35"/>
      <c r="AM140" s="35"/>
      <c r="AN140" s="35"/>
      <c r="AO140" s="35"/>
      <c r="AQ140" s="35"/>
      <c r="AR140" s="38">
        <v>133761.17000000001</v>
      </c>
      <c r="AS140" s="38">
        <v>0</v>
      </c>
      <c r="AT140" s="35">
        <v>0</v>
      </c>
      <c r="AU140" s="35">
        <v>0</v>
      </c>
      <c r="AV140" s="35" t="s">
        <v>47</v>
      </c>
      <c r="AW140" s="35" t="s">
        <v>52</v>
      </c>
      <c r="AX140" s="35" t="s">
        <v>2150</v>
      </c>
      <c r="AY140" s="35" t="s">
        <v>98</v>
      </c>
      <c r="AZ140" s="35" t="s">
        <v>99</v>
      </c>
      <c r="BA140" s="35" t="s">
        <v>42</v>
      </c>
      <c r="BB140" s="38"/>
      <c r="BC140" s="38">
        <v>5.7859999999999996</v>
      </c>
      <c r="BD140" s="35" t="s">
        <v>168</v>
      </c>
      <c r="BE140" s="35" t="s">
        <v>147</v>
      </c>
      <c r="BF140" s="35">
        <v>0</v>
      </c>
      <c r="BG140" s="38"/>
      <c r="BH140" s="35" t="s">
        <v>1319</v>
      </c>
    </row>
    <row r="141" spans="1:60" x14ac:dyDescent="0.3">
      <c r="A141" s="6" t="str">
        <f t="shared" si="3"/>
        <v>000214</v>
      </c>
      <c r="B141" s="35" t="s">
        <v>43</v>
      </c>
      <c r="C141" s="35" t="s">
        <v>424</v>
      </c>
      <c r="D141" s="35" t="s">
        <v>204</v>
      </c>
      <c r="E141" s="35" t="s">
        <v>39</v>
      </c>
      <c r="F141" s="35" t="s">
        <v>40</v>
      </c>
      <c r="G141" s="35" t="s">
        <v>39</v>
      </c>
      <c r="H141" s="35" t="s">
        <v>40</v>
      </c>
      <c r="I141" s="35" t="s">
        <v>2144</v>
      </c>
      <c r="J141" s="35" t="s">
        <v>47</v>
      </c>
      <c r="K141" s="35" t="s">
        <v>2145</v>
      </c>
      <c r="L141" s="35" t="s">
        <v>205</v>
      </c>
      <c r="M141" s="126">
        <v>6</v>
      </c>
      <c r="N141" s="123">
        <v>45961</v>
      </c>
      <c r="O141" s="123">
        <v>46073</v>
      </c>
      <c r="P141" s="38">
        <v>65899</v>
      </c>
      <c r="Q141" s="38">
        <v>75000</v>
      </c>
      <c r="R141" s="126">
        <v>0</v>
      </c>
      <c r="S141" s="126">
        <v>16</v>
      </c>
      <c r="T141" s="35" t="s">
        <v>95</v>
      </c>
      <c r="U141" s="38">
        <v>5700.05</v>
      </c>
      <c r="V141" s="38">
        <v>0</v>
      </c>
      <c r="W141" s="38">
        <v>0</v>
      </c>
      <c r="X141" s="38">
        <v>0</v>
      </c>
      <c r="Y141" s="38">
        <v>0</v>
      </c>
      <c r="Z141" s="38">
        <v>75000</v>
      </c>
      <c r="AA141" s="38">
        <v>0</v>
      </c>
      <c r="AB141" s="38">
        <v>0</v>
      </c>
      <c r="AC141" s="38">
        <v>0</v>
      </c>
      <c r="AD141" s="38">
        <v>0</v>
      </c>
      <c r="AE141" s="38"/>
      <c r="AF141" s="123"/>
      <c r="AG141" s="35" t="s">
        <v>96</v>
      </c>
      <c r="AH141" s="35"/>
      <c r="AI141" s="35"/>
      <c r="AJ141" s="35"/>
      <c r="AK141" s="35"/>
      <c r="AL141" s="35"/>
      <c r="AM141" s="35"/>
      <c r="AN141" s="35"/>
      <c r="AO141" s="35"/>
      <c r="AQ141" s="35"/>
      <c r="AR141" s="38">
        <v>91200.8</v>
      </c>
      <c r="AS141" s="38">
        <v>0</v>
      </c>
      <c r="AT141" s="35">
        <v>0</v>
      </c>
      <c r="AU141" s="35">
        <v>0</v>
      </c>
      <c r="AV141" s="35" t="s">
        <v>47</v>
      </c>
      <c r="AW141" s="35" t="s">
        <v>52</v>
      </c>
      <c r="AX141" s="35" t="s">
        <v>2151</v>
      </c>
      <c r="AY141" s="35" t="s">
        <v>98</v>
      </c>
      <c r="AZ141" s="35" t="s">
        <v>99</v>
      </c>
      <c r="BA141" s="35" t="s">
        <v>42</v>
      </c>
      <c r="BB141" s="38"/>
      <c r="BC141" s="38">
        <v>5.7859999999999996</v>
      </c>
      <c r="BD141" s="35" t="s">
        <v>168</v>
      </c>
      <c r="BE141" s="35" t="s">
        <v>2152</v>
      </c>
      <c r="BF141" s="35">
        <v>0</v>
      </c>
      <c r="BG141" s="38"/>
      <c r="BH141" s="35" t="s">
        <v>1319</v>
      </c>
    </row>
    <row r="142" spans="1:60" x14ac:dyDescent="0.3">
      <c r="A142" s="6" t="str">
        <f t="shared" si="3"/>
        <v>000025</v>
      </c>
      <c r="B142" s="35" t="s">
        <v>43</v>
      </c>
      <c r="C142" s="35" t="s">
        <v>424</v>
      </c>
      <c r="D142" s="35" t="s">
        <v>204</v>
      </c>
      <c r="E142" s="35" t="s">
        <v>189</v>
      </c>
      <c r="F142" s="35" t="s">
        <v>191</v>
      </c>
      <c r="G142" s="35" t="s">
        <v>189</v>
      </c>
      <c r="H142" s="35" t="s">
        <v>191</v>
      </c>
      <c r="I142" s="35" t="s">
        <v>492</v>
      </c>
      <c r="J142" s="35" t="s">
        <v>47</v>
      </c>
      <c r="K142" s="35" t="s">
        <v>435</v>
      </c>
      <c r="L142" s="35" t="s">
        <v>205</v>
      </c>
      <c r="M142" s="126">
        <v>5</v>
      </c>
      <c r="N142" s="123">
        <v>45891</v>
      </c>
      <c r="O142" s="123">
        <v>46003</v>
      </c>
      <c r="P142" s="38">
        <v>44553</v>
      </c>
      <c r="Q142" s="38">
        <v>51000</v>
      </c>
      <c r="R142" s="126">
        <v>0</v>
      </c>
      <c r="S142" s="126">
        <v>16</v>
      </c>
      <c r="T142" s="35" t="s">
        <v>95</v>
      </c>
      <c r="U142" s="38">
        <v>3876.03</v>
      </c>
      <c r="V142" s="38">
        <v>0</v>
      </c>
      <c r="W142" s="38">
        <v>0</v>
      </c>
      <c r="X142" s="38">
        <v>10</v>
      </c>
      <c r="Y142" s="38">
        <v>0</v>
      </c>
      <c r="Z142" s="38">
        <v>19125.03</v>
      </c>
      <c r="AA142" s="38">
        <v>0.04</v>
      </c>
      <c r="AB142" s="38">
        <v>0</v>
      </c>
      <c r="AC142" s="38">
        <v>0</v>
      </c>
      <c r="AD142" s="38">
        <v>0</v>
      </c>
      <c r="AE142" s="38">
        <v>3876.03</v>
      </c>
      <c r="AF142" s="123">
        <v>45960</v>
      </c>
      <c r="AG142" s="35" t="s">
        <v>96</v>
      </c>
      <c r="AH142" s="35"/>
      <c r="AI142" s="35"/>
      <c r="AJ142" s="35"/>
      <c r="AK142" s="35"/>
      <c r="AL142" s="35"/>
      <c r="AM142" s="35"/>
      <c r="AN142" s="35"/>
      <c r="AO142" s="35"/>
      <c r="AQ142" s="35"/>
      <c r="AR142" s="38">
        <v>23256.240000000002</v>
      </c>
      <c r="AS142" s="38">
        <v>0</v>
      </c>
      <c r="AT142" s="35">
        <v>0</v>
      </c>
      <c r="AU142" s="35">
        <v>0</v>
      </c>
      <c r="AV142" s="35" t="s">
        <v>47</v>
      </c>
      <c r="AW142" s="35" t="s">
        <v>52</v>
      </c>
      <c r="AX142" s="35" t="s">
        <v>493</v>
      </c>
      <c r="AY142" s="35" t="s">
        <v>98</v>
      </c>
      <c r="AZ142" s="35" t="s">
        <v>99</v>
      </c>
      <c r="BA142" s="35" t="s">
        <v>42</v>
      </c>
      <c r="BB142" s="38"/>
      <c r="BC142" s="38">
        <v>5.7859999999999996</v>
      </c>
      <c r="BD142" s="35" t="s">
        <v>168</v>
      </c>
      <c r="BE142" s="35" t="s">
        <v>185</v>
      </c>
      <c r="BF142" s="35">
        <v>0</v>
      </c>
      <c r="BG142" s="38">
        <v>0</v>
      </c>
      <c r="BH142" s="35" t="s">
        <v>1319</v>
      </c>
    </row>
    <row r="143" spans="1:60" x14ac:dyDescent="0.3">
      <c r="A143" s="6" t="str">
        <f t="shared" si="3"/>
        <v>000012</v>
      </c>
      <c r="B143" s="35" t="s">
        <v>43</v>
      </c>
      <c r="C143" s="35" t="s">
        <v>42</v>
      </c>
      <c r="D143" s="35" t="s">
        <v>1526</v>
      </c>
      <c r="E143" s="35" t="s">
        <v>148</v>
      </c>
      <c r="F143" s="35" t="s">
        <v>149</v>
      </c>
      <c r="G143" s="35" t="s">
        <v>148</v>
      </c>
      <c r="H143" s="35" t="s">
        <v>149</v>
      </c>
      <c r="I143" s="35" t="s">
        <v>398</v>
      </c>
      <c r="J143" s="35" t="s">
        <v>47</v>
      </c>
      <c r="K143" s="35" t="s">
        <v>174</v>
      </c>
      <c r="L143" s="35" t="s">
        <v>205</v>
      </c>
      <c r="M143" s="126">
        <v>5</v>
      </c>
      <c r="N143" s="123">
        <v>45888</v>
      </c>
      <c r="O143" s="123">
        <v>46001</v>
      </c>
      <c r="P143" s="38">
        <v>44630</v>
      </c>
      <c r="Q143" s="38">
        <v>51000</v>
      </c>
      <c r="R143" s="126">
        <v>0</v>
      </c>
      <c r="S143" s="126">
        <v>16</v>
      </c>
      <c r="T143" s="35" t="s">
        <v>95</v>
      </c>
      <c r="U143" s="38">
        <v>3882.1800000000003</v>
      </c>
      <c r="V143" s="38">
        <v>0</v>
      </c>
      <c r="W143" s="38">
        <v>0</v>
      </c>
      <c r="X143" s="38">
        <v>10</v>
      </c>
      <c r="Y143" s="38">
        <v>0</v>
      </c>
      <c r="Z143" s="38">
        <v>19126.64</v>
      </c>
      <c r="AA143" s="38">
        <v>1.635</v>
      </c>
      <c r="AB143" s="38">
        <v>0</v>
      </c>
      <c r="AC143" s="38">
        <v>0</v>
      </c>
      <c r="AD143" s="38">
        <v>0</v>
      </c>
      <c r="AE143" s="38">
        <v>3882</v>
      </c>
      <c r="AF143" s="123">
        <v>45957</v>
      </c>
      <c r="AG143" s="35" t="s">
        <v>96</v>
      </c>
      <c r="AH143" s="35"/>
      <c r="AI143" s="35"/>
      <c r="AJ143" s="35"/>
      <c r="AK143" s="35"/>
      <c r="AL143" s="35"/>
      <c r="AM143" s="35"/>
      <c r="AN143" s="35"/>
      <c r="AO143" s="35"/>
      <c r="AQ143" s="35"/>
      <c r="AR143" s="38">
        <v>23294.720000000001</v>
      </c>
      <c r="AS143" s="38">
        <v>0</v>
      </c>
      <c r="AT143" s="35">
        <v>0</v>
      </c>
      <c r="AU143" s="35">
        <v>0</v>
      </c>
      <c r="AV143" s="35" t="s">
        <v>47</v>
      </c>
      <c r="AW143" s="35" t="s">
        <v>52</v>
      </c>
      <c r="AX143" s="35" t="s">
        <v>736</v>
      </c>
      <c r="AY143" s="35" t="s">
        <v>98</v>
      </c>
      <c r="AZ143" s="35" t="s">
        <v>99</v>
      </c>
      <c r="BA143" s="35" t="s">
        <v>42</v>
      </c>
      <c r="BB143" s="38"/>
      <c r="BC143" s="38">
        <v>5.7859999999999996</v>
      </c>
      <c r="BD143" s="35" t="s">
        <v>124</v>
      </c>
      <c r="BE143" s="35" t="s">
        <v>125</v>
      </c>
      <c r="BF143" s="35">
        <v>0</v>
      </c>
      <c r="BG143" s="38">
        <v>0</v>
      </c>
      <c r="BH143" s="35" t="s">
        <v>1319</v>
      </c>
    </row>
    <row r="144" spans="1:60" x14ac:dyDescent="0.3">
      <c r="A144" s="6" t="str">
        <f t="shared" si="3"/>
        <v>000105</v>
      </c>
      <c r="B144" s="35" t="s">
        <v>43</v>
      </c>
      <c r="C144" s="35" t="s">
        <v>42</v>
      </c>
      <c r="D144" s="35" t="s">
        <v>1526</v>
      </c>
      <c r="E144" s="35" t="s">
        <v>663</v>
      </c>
      <c r="F144" s="35" t="s">
        <v>664</v>
      </c>
      <c r="G144" s="35" t="s">
        <v>663</v>
      </c>
      <c r="H144" s="35" t="s">
        <v>664</v>
      </c>
      <c r="I144" s="35" t="s">
        <v>1270</v>
      </c>
      <c r="J144" s="35" t="s">
        <v>47</v>
      </c>
      <c r="K144" s="35" t="s">
        <v>1204</v>
      </c>
      <c r="L144" s="35" t="s">
        <v>205</v>
      </c>
      <c r="M144" s="126">
        <v>6</v>
      </c>
      <c r="N144" s="123">
        <v>45924</v>
      </c>
      <c r="O144" s="123">
        <v>46036</v>
      </c>
      <c r="P144" s="38">
        <v>90122</v>
      </c>
      <c r="Q144" s="38">
        <v>102000</v>
      </c>
      <c r="R144" s="126">
        <v>0</v>
      </c>
      <c r="S144" s="126">
        <v>16</v>
      </c>
      <c r="T144" s="35" t="s">
        <v>95</v>
      </c>
      <c r="U144" s="38">
        <v>7752.07</v>
      </c>
      <c r="V144" s="38">
        <v>0</v>
      </c>
      <c r="W144" s="38">
        <v>0</v>
      </c>
      <c r="X144" s="38">
        <v>5</v>
      </c>
      <c r="Y144" s="38">
        <v>0</v>
      </c>
      <c r="Z144" s="38">
        <v>70125</v>
      </c>
      <c r="AA144" s="38">
        <v>0</v>
      </c>
      <c r="AB144" s="38">
        <v>0</v>
      </c>
      <c r="AC144" s="38">
        <v>0</v>
      </c>
      <c r="AD144" s="38">
        <v>0</v>
      </c>
      <c r="AE144" s="38">
        <v>7752</v>
      </c>
      <c r="AF144" s="123">
        <v>45958</v>
      </c>
      <c r="AG144" s="35" t="s">
        <v>96</v>
      </c>
      <c r="AH144" s="35"/>
      <c r="AI144" s="35"/>
      <c r="AJ144" s="35"/>
      <c r="AK144" s="35"/>
      <c r="AL144" s="35"/>
      <c r="AM144" s="35"/>
      <c r="AN144" s="35"/>
      <c r="AO144" s="35"/>
      <c r="AQ144" s="35"/>
      <c r="AR144" s="38">
        <v>85263.09</v>
      </c>
      <c r="AS144" s="38">
        <v>9.66</v>
      </c>
      <c r="AT144" s="35">
        <v>0</v>
      </c>
      <c r="AU144" s="35">
        <v>0</v>
      </c>
      <c r="AV144" s="35" t="s">
        <v>47</v>
      </c>
      <c r="AW144" s="35" t="s">
        <v>52</v>
      </c>
      <c r="AX144" s="35"/>
      <c r="AY144" s="35" t="s">
        <v>98</v>
      </c>
      <c r="AZ144" s="35" t="s">
        <v>99</v>
      </c>
      <c r="BA144" s="35" t="s">
        <v>42</v>
      </c>
      <c r="BB144" s="38"/>
      <c r="BC144" s="38">
        <v>5.7859999999999996</v>
      </c>
      <c r="BD144" s="35" t="s">
        <v>124</v>
      </c>
      <c r="BE144" s="35" t="s">
        <v>185</v>
      </c>
      <c r="BF144" s="35">
        <v>0</v>
      </c>
      <c r="BG144" s="38">
        <v>0</v>
      </c>
      <c r="BH144" s="35" t="s">
        <v>1319</v>
      </c>
    </row>
    <row r="145" spans="1:60" x14ac:dyDescent="0.3">
      <c r="A145" s="6" t="str">
        <f t="shared" si="3"/>
        <v>000097</v>
      </c>
      <c r="B145" s="35" t="s">
        <v>43</v>
      </c>
      <c r="C145" s="35" t="s">
        <v>42</v>
      </c>
      <c r="D145" s="35" t="s">
        <v>1526</v>
      </c>
      <c r="E145" s="35" t="s">
        <v>148</v>
      </c>
      <c r="F145" s="35" t="s">
        <v>149</v>
      </c>
      <c r="G145" s="35" t="s">
        <v>148</v>
      </c>
      <c r="H145" s="35" t="s">
        <v>149</v>
      </c>
      <c r="I145" s="35" t="s">
        <v>1316</v>
      </c>
      <c r="J145" s="35" t="s">
        <v>47</v>
      </c>
      <c r="K145" s="35" t="s">
        <v>1158</v>
      </c>
      <c r="L145" s="35" t="s">
        <v>205</v>
      </c>
      <c r="M145" s="126">
        <v>5</v>
      </c>
      <c r="N145" s="123">
        <v>45929</v>
      </c>
      <c r="O145" s="123">
        <v>46041</v>
      </c>
      <c r="P145" s="38">
        <v>44553</v>
      </c>
      <c r="Q145" s="38">
        <v>51000</v>
      </c>
      <c r="R145" s="126">
        <v>0</v>
      </c>
      <c r="S145" s="126">
        <v>16</v>
      </c>
      <c r="T145" s="35" t="s">
        <v>95</v>
      </c>
      <c r="U145" s="38">
        <v>3876.03</v>
      </c>
      <c r="V145" s="38">
        <v>0</v>
      </c>
      <c r="W145" s="38">
        <v>0</v>
      </c>
      <c r="X145" s="38">
        <v>4</v>
      </c>
      <c r="Y145" s="38">
        <v>0</v>
      </c>
      <c r="Z145" s="38">
        <v>35066.67</v>
      </c>
      <c r="AA145" s="38">
        <v>0</v>
      </c>
      <c r="AB145" s="38">
        <v>0</v>
      </c>
      <c r="AC145" s="38">
        <v>0</v>
      </c>
      <c r="AD145" s="38">
        <v>0</v>
      </c>
      <c r="AE145" s="38">
        <v>3874</v>
      </c>
      <c r="AF145" s="123">
        <v>45954</v>
      </c>
      <c r="AG145" s="35" t="s">
        <v>96</v>
      </c>
      <c r="AH145" s="35"/>
      <c r="AI145" s="35"/>
      <c r="AJ145" s="35"/>
      <c r="AK145" s="35"/>
      <c r="AL145" s="35"/>
      <c r="AM145" s="35"/>
      <c r="AN145" s="35"/>
      <c r="AO145" s="35"/>
      <c r="AQ145" s="35"/>
      <c r="AR145" s="38">
        <v>42640.54</v>
      </c>
      <c r="AS145" s="38">
        <v>3871.864</v>
      </c>
      <c r="AT145" s="35">
        <v>0</v>
      </c>
      <c r="AU145" s="35">
        <v>0</v>
      </c>
      <c r="AV145" s="35" t="s">
        <v>47</v>
      </c>
      <c r="AW145" s="35" t="s">
        <v>52</v>
      </c>
      <c r="AX145" s="35"/>
      <c r="AY145" s="35" t="s">
        <v>98</v>
      </c>
      <c r="AZ145" s="35" t="s">
        <v>99</v>
      </c>
      <c r="BA145" s="35" t="s">
        <v>42</v>
      </c>
      <c r="BB145" s="38"/>
      <c r="BC145" s="38">
        <v>5.7859999999999996</v>
      </c>
      <c r="BD145" s="35" t="s">
        <v>126</v>
      </c>
      <c r="BE145" s="35" t="s">
        <v>198</v>
      </c>
      <c r="BF145" s="35">
        <v>0</v>
      </c>
      <c r="BG145" s="38">
        <v>0</v>
      </c>
      <c r="BH145" s="35" t="s">
        <v>1319</v>
      </c>
    </row>
    <row r="146" spans="1:60" x14ac:dyDescent="0.3">
      <c r="A146" s="6" t="str">
        <f t="shared" si="3"/>
        <v>000150</v>
      </c>
      <c r="B146" s="35" t="s">
        <v>43</v>
      </c>
      <c r="C146" s="35" t="s">
        <v>424</v>
      </c>
      <c r="D146" s="35" t="s">
        <v>204</v>
      </c>
      <c r="E146" s="35" t="s">
        <v>39</v>
      </c>
      <c r="F146" s="35" t="s">
        <v>40</v>
      </c>
      <c r="G146" s="35" t="s">
        <v>39</v>
      </c>
      <c r="H146" s="35" t="s">
        <v>40</v>
      </c>
      <c r="I146" s="35" t="s">
        <v>1666</v>
      </c>
      <c r="J146" s="35" t="s">
        <v>47</v>
      </c>
      <c r="K146" s="35" t="s">
        <v>1597</v>
      </c>
      <c r="L146" s="35" t="s">
        <v>205</v>
      </c>
      <c r="M146" s="126">
        <v>6</v>
      </c>
      <c r="N146" s="123">
        <v>45944</v>
      </c>
      <c r="O146" s="123">
        <v>46056</v>
      </c>
      <c r="P146" s="38">
        <v>132856</v>
      </c>
      <c r="Q146" s="38">
        <v>150000</v>
      </c>
      <c r="R146" s="126">
        <v>0</v>
      </c>
      <c r="S146" s="126">
        <v>16</v>
      </c>
      <c r="T146" s="35" t="s">
        <v>95</v>
      </c>
      <c r="U146" s="38">
        <v>11400.1</v>
      </c>
      <c r="V146" s="38">
        <v>0</v>
      </c>
      <c r="W146" s="38">
        <v>0</v>
      </c>
      <c r="X146" s="38">
        <v>2</v>
      </c>
      <c r="Y146" s="38">
        <v>0</v>
      </c>
      <c r="Z146" s="38">
        <v>131250</v>
      </c>
      <c r="AA146" s="38">
        <v>0</v>
      </c>
      <c r="AB146" s="38">
        <v>0</v>
      </c>
      <c r="AC146" s="38">
        <v>0</v>
      </c>
      <c r="AD146" s="38">
        <v>0</v>
      </c>
      <c r="AE146" s="38">
        <v>11400.1</v>
      </c>
      <c r="AF146" s="123">
        <v>45957</v>
      </c>
      <c r="AG146" s="35" t="s">
        <v>96</v>
      </c>
      <c r="AH146" s="35"/>
      <c r="AI146" s="35"/>
      <c r="AJ146" s="35"/>
      <c r="AK146" s="35"/>
      <c r="AL146" s="35"/>
      <c r="AM146" s="35"/>
      <c r="AN146" s="35"/>
      <c r="AO146" s="35"/>
      <c r="AQ146" s="35"/>
      <c r="AR146" s="38">
        <v>159601.4</v>
      </c>
      <c r="AS146" s="38">
        <v>0</v>
      </c>
      <c r="AT146" s="35">
        <v>0</v>
      </c>
      <c r="AU146" s="35">
        <v>0</v>
      </c>
      <c r="AV146" s="35" t="s">
        <v>47</v>
      </c>
      <c r="AW146" s="35" t="s">
        <v>52</v>
      </c>
      <c r="AX146" s="35" t="s">
        <v>1679</v>
      </c>
      <c r="AY146" s="35" t="s">
        <v>98</v>
      </c>
      <c r="AZ146" s="35" t="s">
        <v>99</v>
      </c>
      <c r="BA146" s="35" t="s">
        <v>42</v>
      </c>
      <c r="BB146" s="38"/>
      <c r="BC146" s="38">
        <v>5.7859999999999996</v>
      </c>
      <c r="BD146" s="35" t="s">
        <v>146</v>
      </c>
      <c r="BE146" s="35" t="s">
        <v>1178</v>
      </c>
      <c r="BF146" s="35">
        <v>0</v>
      </c>
      <c r="BG146" s="38">
        <v>0</v>
      </c>
      <c r="BH146" s="35" t="s">
        <v>1319</v>
      </c>
    </row>
    <row r="147" spans="1:60" x14ac:dyDescent="0.3">
      <c r="A147" s="6" t="str">
        <f t="shared" si="3"/>
        <v>000147</v>
      </c>
      <c r="B147" s="35" t="s">
        <v>43</v>
      </c>
      <c r="C147" s="35" t="s">
        <v>42</v>
      </c>
      <c r="D147" s="35" t="s">
        <v>1526</v>
      </c>
      <c r="E147" s="35" t="s">
        <v>883</v>
      </c>
      <c r="F147" s="35" t="s">
        <v>884</v>
      </c>
      <c r="G147" s="35" t="s">
        <v>883</v>
      </c>
      <c r="H147" s="35" t="s">
        <v>884</v>
      </c>
      <c r="I147" s="35" t="s">
        <v>1635</v>
      </c>
      <c r="J147" s="35" t="s">
        <v>47</v>
      </c>
      <c r="K147" s="35" t="s">
        <v>1599</v>
      </c>
      <c r="L147" s="35" t="s">
        <v>205</v>
      </c>
      <c r="M147" s="126">
        <v>5</v>
      </c>
      <c r="N147" s="123">
        <v>45943</v>
      </c>
      <c r="O147" s="123">
        <v>46055</v>
      </c>
      <c r="P147" s="38">
        <v>45530</v>
      </c>
      <c r="Q147" s="38">
        <v>52000</v>
      </c>
      <c r="R147" s="126">
        <v>0</v>
      </c>
      <c r="S147" s="126">
        <v>16</v>
      </c>
      <c r="T147" s="35" t="s">
        <v>95</v>
      </c>
      <c r="U147" s="38">
        <v>3952.03</v>
      </c>
      <c r="V147" s="38">
        <v>0</v>
      </c>
      <c r="W147" s="38">
        <v>0</v>
      </c>
      <c r="X147" s="38">
        <v>2</v>
      </c>
      <c r="Y147" s="38">
        <v>0</v>
      </c>
      <c r="Z147" s="38">
        <v>45500.05</v>
      </c>
      <c r="AA147" s="38">
        <v>6.9333333333332997E-2</v>
      </c>
      <c r="AB147" s="38">
        <v>0</v>
      </c>
      <c r="AC147" s="38">
        <v>0</v>
      </c>
      <c r="AD147" s="38">
        <v>0</v>
      </c>
      <c r="AE147" s="38">
        <v>3952</v>
      </c>
      <c r="AF147" s="123">
        <v>45954</v>
      </c>
      <c r="AG147" s="35" t="s">
        <v>96</v>
      </c>
      <c r="AH147" s="35"/>
      <c r="AI147" s="35"/>
      <c r="AJ147" s="35"/>
      <c r="AK147" s="35"/>
      <c r="AL147" s="35"/>
      <c r="AM147" s="35"/>
      <c r="AN147" s="35"/>
      <c r="AO147" s="35"/>
      <c r="AQ147" s="35"/>
      <c r="AR147" s="38">
        <v>55328.55</v>
      </c>
      <c r="AS147" s="38">
        <v>0</v>
      </c>
      <c r="AT147" s="35">
        <v>1</v>
      </c>
      <c r="AU147" s="35">
        <v>1</v>
      </c>
      <c r="AV147" s="35" t="s">
        <v>47</v>
      </c>
      <c r="AW147" s="35" t="s">
        <v>52</v>
      </c>
      <c r="AX147" s="35"/>
      <c r="AY147" s="35" t="s">
        <v>98</v>
      </c>
      <c r="AZ147" s="35" t="s">
        <v>99</v>
      </c>
      <c r="BA147" s="35" t="s">
        <v>42</v>
      </c>
      <c r="BB147" s="38"/>
      <c r="BC147" s="38">
        <v>5.7859999999999996</v>
      </c>
      <c r="BD147" s="35" t="s">
        <v>126</v>
      </c>
      <c r="BE147" s="35" t="s">
        <v>198</v>
      </c>
      <c r="BF147" s="35">
        <v>0</v>
      </c>
      <c r="BG147" s="38">
        <v>0</v>
      </c>
      <c r="BH147" s="35" t="s">
        <v>1319</v>
      </c>
    </row>
    <row r="148" spans="1:60" x14ac:dyDescent="0.3">
      <c r="A148" s="6" t="str">
        <f t="shared" si="3"/>
        <v>000085</v>
      </c>
      <c r="B148" s="35" t="s">
        <v>43</v>
      </c>
      <c r="C148" s="35" t="s">
        <v>42</v>
      </c>
      <c r="D148" s="35" t="s">
        <v>1526</v>
      </c>
      <c r="E148" s="35" t="s">
        <v>148</v>
      </c>
      <c r="F148" s="35" t="s">
        <v>149</v>
      </c>
      <c r="G148" s="35" t="s">
        <v>148</v>
      </c>
      <c r="H148" s="35" t="s">
        <v>149</v>
      </c>
      <c r="I148" s="35" t="s">
        <v>1006</v>
      </c>
      <c r="J148" s="35" t="s">
        <v>47</v>
      </c>
      <c r="K148" s="35" t="s">
        <v>983</v>
      </c>
      <c r="L148" s="35" t="s">
        <v>205</v>
      </c>
      <c r="M148" s="126">
        <v>5</v>
      </c>
      <c r="N148" s="123">
        <v>45912</v>
      </c>
      <c r="O148" s="123">
        <v>46024</v>
      </c>
      <c r="P148" s="38">
        <v>106291</v>
      </c>
      <c r="Q148" s="38">
        <v>120000</v>
      </c>
      <c r="R148" s="126">
        <v>0</v>
      </c>
      <c r="S148" s="126">
        <v>16</v>
      </c>
      <c r="T148" s="35" t="s">
        <v>95</v>
      </c>
      <c r="U148" s="38">
        <v>9120.08</v>
      </c>
      <c r="V148" s="38">
        <v>0</v>
      </c>
      <c r="W148" s="38">
        <v>0</v>
      </c>
      <c r="X148" s="38">
        <v>7</v>
      </c>
      <c r="Y148" s="38">
        <v>0</v>
      </c>
      <c r="Z148" s="38">
        <v>67500</v>
      </c>
      <c r="AA148" s="38">
        <v>0</v>
      </c>
      <c r="AB148" s="38">
        <v>0</v>
      </c>
      <c r="AC148" s="38">
        <v>0</v>
      </c>
      <c r="AD148" s="38">
        <v>0</v>
      </c>
      <c r="AE148" s="38">
        <v>9121</v>
      </c>
      <c r="AF148" s="123">
        <v>45960</v>
      </c>
      <c r="AG148" s="35" t="s">
        <v>96</v>
      </c>
      <c r="AH148" s="35"/>
      <c r="AI148" s="35"/>
      <c r="AJ148" s="35"/>
      <c r="AK148" s="35"/>
      <c r="AL148" s="35"/>
      <c r="AM148" s="35"/>
      <c r="AN148" s="35"/>
      <c r="AO148" s="35"/>
      <c r="AQ148" s="35"/>
      <c r="AR148" s="38">
        <v>82077.040000000008</v>
      </c>
      <c r="AS148" s="38">
        <v>3.68</v>
      </c>
      <c r="AT148" s="35">
        <v>0</v>
      </c>
      <c r="AU148" s="35">
        <v>0</v>
      </c>
      <c r="AV148" s="35" t="s">
        <v>47</v>
      </c>
      <c r="AW148" s="35" t="s">
        <v>52</v>
      </c>
      <c r="AX148" s="35"/>
      <c r="AY148" s="35" t="s">
        <v>98</v>
      </c>
      <c r="AZ148" s="35" t="s">
        <v>99</v>
      </c>
      <c r="BA148" s="35" t="s">
        <v>42</v>
      </c>
      <c r="BB148" s="38"/>
      <c r="BC148" s="38">
        <v>5.7859999999999996</v>
      </c>
      <c r="BD148" s="35" t="s">
        <v>168</v>
      </c>
      <c r="BE148" s="35" t="s">
        <v>185</v>
      </c>
      <c r="BF148" s="35">
        <v>0</v>
      </c>
      <c r="BG148" s="38">
        <v>0</v>
      </c>
      <c r="BH148" s="35" t="s">
        <v>1319</v>
      </c>
    </row>
    <row r="149" spans="1:60" x14ac:dyDescent="0.3">
      <c r="A149" s="6" t="str">
        <f t="shared" si="3"/>
        <v>000087</v>
      </c>
      <c r="B149" s="35" t="s">
        <v>43</v>
      </c>
      <c r="C149" s="35" t="s">
        <v>424</v>
      </c>
      <c r="D149" s="35" t="s">
        <v>204</v>
      </c>
      <c r="E149" s="35" t="s">
        <v>39</v>
      </c>
      <c r="F149" s="35" t="s">
        <v>40</v>
      </c>
      <c r="G149" s="35" t="s">
        <v>39</v>
      </c>
      <c r="H149" s="35" t="s">
        <v>40</v>
      </c>
      <c r="I149" s="35" t="s">
        <v>1083</v>
      </c>
      <c r="J149" s="35" t="s">
        <v>47</v>
      </c>
      <c r="K149" s="35" t="s">
        <v>984</v>
      </c>
      <c r="L149" s="35" t="s">
        <v>205</v>
      </c>
      <c r="M149" s="126">
        <v>6</v>
      </c>
      <c r="N149" s="123">
        <v>45915</v>
      </c>
      <c r="O149" s="123">
        <v>46027</v>
      </c>
      <c r="P149" s="38">
        <v>137460</v>
      </c>
      <c r="Q149" s="38">
        <v>155000</v>
      </c>
      <c r="R149" s="126">
        <v>0</v>
      </c>
      <c r="S149" s="126">
        <v>16</v>
      </c>
      <c r="T149" s="35" t="s">
        <v>95</v>
      </c>
      <c r="U149" s="38">
        <v>11780.1</v>
      </c>
      <c r="V149" s="38">
        <v>0</v>
      </c>
      <c r="W149" s="38">
        <v>0</v>
      </c>
      <c r="X149" s="38">
        <v>6</v>
      </c>
      <c r="Y149" s="38">
        <v>0</v>
      </c>
      <c r="Z149" s="38">
        <v>96875.02</v>
      </c>
      <c r="AA149" s="38">
        <v>0.02</v>
      </c>
      <c r="AB149" s="38">
        <v>0</v>
      </c>
      <c r="AC149" s="38">
        <v>0</v>
      </c>
      <c r="AD149" s="38">
        <v>0</v>
      </c>
      <c r="AE149" s="38">
        <v>11780.1</v>
      </c>
      <c r="AF149" s="123">
        <v>45954</v>
      </c>
      <c r="AG149" s="35" t="s">
        <v>96</v>
      </c>
      <c r="AH149" s="35"/>
      <c r="AI149" s="35"/>
      <c r="AJ149" s="35"/>
      <c r="AK149" s="35"/>
      <c r="AL149" s="35"/>
      <c r="AM149" s="35"/>
      <c r="AN149" s="35"/>
      <c r="AO149" s="35"/>
      <c r="AQ149" s="35"/>
      <c r="AR149" s="38">
        <v>117801.05</v>
      </c>
      <c r="AS149" s="38">
        <v>0</v>
      </c>
      <c r="AT149" s="35">
        <v>1</v>
      </c>
      <c r="AU149" s="35">
        <v>1</v>
      </c>
      <c r="AV149" s="35" t="s">
        <v>47</v>
      </c>
      <c r="AW149" s="35" t="s">
        <v>52</v>
      </c>
      <c r="AX149" s="35" t="s">
        <v>1084</v>
      </c>
      <c r="AY149" s="35" t="s">
        <v>98</v>
      </c>
      <c r="AZ149" s="35" t="s">
        <v>99</v>
      </c>
      <c r="BA149" s="35" t="s">
        <v>42</v>
      </c>
      <c r="BB149" s="38"/>
      <c r="BC149" s="38">
        <v>5.7859999999999996</v>
      </c>
      <c r="BD149" s="35" t="s">
        <v>126</v>
      </c>
      <c r="BE149" s="35" t="s">
        <v>185</v>
      </c>
      <c r="BF149" s="35">
        <v>0</v>
      </c>
      <c r="BG149" s="38">
        <v>0</v>
      </c>
      <c r="BH149" s="35" t="s">
        <v>1319</v>
      </c>
    </row>
    <row r="150" spans="1:60" x14ac:dyDescent="0.3">
      <c r="A150" s="6" t="str">
        <f t="shared" si="3"/>
        <v>000197</v>
      </c>
      <c r="B150" s="35" t="s">
        <v>43</v>
      </c>
      <c r="C150" s="35" t="s">
        <v>42</v>
      </c>
      <c r="D150" s="35" t="s">
        <v>1526</v>
      </c>
      <c r="E150" s="35" t="s">
        <v>148</v>
      </c>
      <c r="F150" s="35" t="s">
        <v>149</v>
      </c>
      <c r="G150" s="35" t="s">
        <v>148</v>
      </c>
      <c r="H150" s="35" t="s">
        <v>149</v>
      </c>
      <c r="I150" s="35" t="s">
        <v>2075</v>
      </c>
      <c r="J150" s="35" t="s">
        <v>47</v>
      </c>
      <c r="K150" s="35" t="s">
        <v>2076</v>
      </c>
      <c r="L150" s="35" t="s">
        <v>205</v>
      </c>
      <c r="M150" s="126">
        <v>6</v>
      </c>
      <c r="N150" s="123">
        <v>45960</v>
      </c>
      <c r="O150" s="123">
        <v>46072</v>
      </c>
      <c r="P150" s="38">
        <v>49776</v>
      </c>
      <c r="Q150" s="38">
        <v>57000</v>
      </c>
      <c r="R150" s="126">
        <v>0</v>
      </c>
      <c r="S150" s="126">
        <v>16</v>
      </c>
      <c r="T150" s="35" t="s">
        <v>95</v>
      </c>
      <c r="U150" s="38">
        <v>4332.04</v>
      </c>
      <c r="V150" s="38">
        <v>0</v>
      </c>
      <c r="W150" s="38">
        <v>0</v>
      </c>
      <c r="X150" s="38">
        <v>0</v>
      </c>
      <c r="Y150" s="38">
        <v>0</v>
      </c>
      <c r="Z150" s="38">
        <v>57000</v>
      </c>
      <c r="AA150" s="38">
        <v>0</v>
      </c>
      <c r="AB150" s="38">
        <v>0</v>
      </c>
      <c r="AC150" s="38">
        <v>0</v>
      </c>
      <c r="AD150" s="38">
        <v>0</v>
      </c>
      <c r="AE150" s="38"/>
      <c r="AF150" s="123"/>
      <c r="AG150" s="35" t="s">
        <v>96</v>
      </c>
      <c r="AH150" s="35"/>
      <c r="AI150" s="35"/>
      <c r="AJ150" s="35"/>
      <c r="AK150" s="35"/>
      <c r="AL150" s="35"/>
      <c r="AM150" s="35"/>
      <c r="AN150" s="35"/>
      <c r="AO150" s="35"/>
      <c r="AQ150" s="35"/>
      <c r="AR150" s="38">
        <v>69312.61</v>
      </c>
      <c r="AS150" s="38">
        <v>0</v>
      </c>
      <c r="AT150" s="35">
        <v>0</v>
      </c>
      <c r="AU150" s="35">
        <v>0</v>
      </c>
      <c r="AV150" s="35" t="s">
        <v>47</v>
      </c>
      <c r="AW150" s="35" t="s">
        <v>52</v>
      </c>
      <c r="AX150" s="35"/>
      <c r="AY150" s="35" t="s">
        <v>98</v>
      </c>
      <c r="AZ150" s="35" t="s">
        <v>99</v>
      </c>
      <c r="BA150" s="35" t="s">
        <v>42</v>
      </c>
      <c r="BB150" s="38"/>
      <c r="BC150" s="38">
        <v>5.7859999999999996</v>
      </c>
      <c r="BD150" s="35" t="s">
        <v>197</v>
      </c>
      <c r="BE150" s="35" t="s">
        <v>125</v>
      </c>
      <c r="BF150" s="35">
        <v>0</v>
      </c>
      <c r="BG150" s="38"/>
      <c r="BH150" s="35" t="s">
        <v>1320</v>
      </c>
    </row>
    <row r="151" spans="1:60" x14ac:dyDescent="0.3">
      <c r="A151" s="6" t="str">
        <f t="shared" si="3"/>
        <v>000162</v>
      </c>
      <c r="B151" s="35" t="s">
        <v>43</v>
      </c>
      <c r="C151" s="35" t="s">
        <v>424</v>
      </c>
      <c r="D151" s="35" t="s">
        <v>204</v>
      </c>
      <c r="E151" s="35" t="s">
        <v>189</v>
      </c>
      <c r="F151" s="35" t="s">
        <v>191</v>
      </c>
      <c r="G151" s="35" t="s">
        <v>189</v>
      </c>
      <c r="H151" s="35" t="s">
        <v>191</v>
      </c>
      <c r="I151" s="35" t="s">
        <v>1773</v>
      </c>
      <c r="J151" s="35" t="s">
        <v>47</v>
      </c>
      <c r="K151" s="35" t="s">
        <v>1774</v>
      </c>
      <c r="L151" s="35" t="s">
        <v>205</v>
      </c>
      <c r="M151" s="126">
        <v>6</v>
      </c>
      <c r="N151" s="123">
        <v>45947</v>
      </c>
      <c r="O151" s="123">
        <v>46059</v>
      </c>
      <c r="P151" s="38">
        <v>94441</v>
      </c>
      <c r="Q151" s="38">
        <v>107000</v>
      </c>
      <c r="R151" s="126">
        <v>0</v>
      </c>
      <c r="S151" s="126">
        <v>16</v>
      </c>
      <c r="T151" s="35" t="s">
        <v>95</v>
      </c>
      <c r="U151" s="38">
        <v>8132.0700000000006</v>
      </c>
      <c r="V151" s="38">
        <v>0</v>
      </c>
      <c r="W151" s="38">
        <v>0</v>
      </c>
      <c r="X151" s="38">
        <v>2</v>
      </c>
      <c r="Y151" s="38">
        <v>0</v>
      </c>
      <c r="Z151" s="38">
        <v>93625</v>
      </c>
      <c r="AA151" s="38">
        <v>0</v>
      </c>
      <c r="AB151" s="38">
        <v>0</v>
      </c>
      <c r="AC151" s="38">
        <v>0</v>
      </c>
      <c r="AD151" s="38">
        <v>0</v>
      </c>
      <c r="AE151" s="38">
        <v>8136</v>
      </c>
      <c r="AF151" s="123">
        <v>45960</v>
      </c>
      <c r="AG151" s="35" t="s">
        <v>96</v>
      </c>
      <c r="AH151" s="35"/>
      <c r="AI151" s="35"/>
      <c r="AJ151" s="35"/>
      <c r="AK151" s="35"/>
      <c r="AL151" s="35"/>
      <c r="AM151" s="35"/>
      <c r="AN151" s="35"/>
      <c r="AO151" s="35"/>
      <c r="AQ151" s="35"/>
      <c r="AR151" s="38">
        <v>113841.14</v>
      </c>
      <c r="AS151" s="38">
        <v>7.8573333333333304</v>
      </c>
      <c r="AT151" s="35">
        <v>0</v>
      </c>
      <c r="AU151" s="35">
        <v>0</v>
      </c>
      <c r="AV151" s="35" t="s">
        <v>47</v>
      </c>
      <c r="AW151" s="35" t="s">
        <v>52</v>
      </c>
      <c r="AX151" s="35" t="s">
        <v>1749</v>
      </c>
      <c r="AY151" s="35" t="s">
        <v>98</v>
      </c>
      <c r="AZ151" s="35" t="s">
        <v>99</v>
      </c>
      <c r="BA151" s="35" t="s">
        <v>42</v>
      </c>
      <c r="BB151" s="38"/>
      <c r="BC151" s="38">
        <v>5.7859999999999996</v>
      </c>
      <c r="BD151" s="35" t="s">
        <v>168</v>
      </c>
      <c r="BE151" s="35" t="s">
        <v>160</v>
      </c>
      <c r="BF151" s="35">
        <v>0</v>
      </c>
      <c r="BG151" s="38">
        <v>0</v>
      </c>
      <c r="BH151" s="35" t="s">
        <v>1319</v>
      </c>
    </row>
    <row r="152" spans="1:60" x14ac:dyDescent="0.3">
      <c r="A152" s="6" t="str">
        <f t="shared" si="3"/>
        <v>000059</v>
      </c>
      <c r="B152" s="35" t="s">
        <v>43</v>
      </c>
      <c r="C152" s="35" t="s">
        <v>424</v>
      </c>
      <c r="D152" s="35" t="s">
        <v>204</v>
      </c>
      <c r="E152" s="35" t="s">
        <v>189</v>
      </c>
      <c r="F152" s="35" t="s">
        <v>191</v>
      </c>
      <c r="G152" s="35" t="s">
        <v>189</v>
      </c>
      <c r="H152" s="35" t="s">
        <v>191</v>
      </c>
      <c r="I152" s="35" t="s">
        <v>850</v>
      </c>
      <c r="J152" s="35" t="s">
        <v>47</v>
      </c>
      <c r="K152" s="35" t="s">
        <v>810</v>
      </c>
      <c r="L152" s="35" t="s">
        <v>205</v>
      </c>
      <c r="M152" s="126">
        <v>7</v>
      </c>
      <c r="N152" s="123">
        <v>45904</v>
      </c>
      <c r="O152" s="123">
        <v>46016</v>
      </c>
      <c r="P152" s="38">
        <v>100487</v>
      </c>
      <c r="Q152" s="38">
        <v>114000</v>
      </c>
      <c r="R152" s="126">
        <v>1</v>
      </c>
      <c r="S152" s="126">
        <v>16</v>
      </c>
      <c r="T152" s="35" t="s">
        <v>95</v>
      </c>
      <c r="U152" s="38">
        <v>8664.08</v>
      </c>
      <c r="V152" s="38">
        <v>0</v>
      </c>
      <c r="W152" s="38">
        <v>0</v>
      </c>
      <c r="X152" s="38">
        <v>8</v>
      </c>
      <c r="Y152" s="38">
        <v>1</v>
      </c>
      <c r="Z152" s="38">
        <v>64125</v>
      </c>
      <c r="AA152" s="38">
        <v>8664.0480000000007</v>
      </c>
      <c r="AB152" s="38">
        <v>212.28</v>
      </c>
      <c r="AC152" s="38">
        <v>0</v>
      </c>
      <c r="AD152" s="38">
        <v>0</v>
      </c>
      <c r="AE152" s="38">
        <v>8664.08</v>
      </c>
      <c r="AF152" s="123">
        <v>45952</v>
      </c>
      <c r="AG152" s="35" t="s">
        <v>96</v>
      </c>
      <c r="AH152" s="35"/>
      <c r="AI152" s="35"/>
      <c r="AJ152" s="35"/>
      <c r="AK152" s="35"/>
      <c r="AL152" s="35"/>
      <c r="AM152" s="35"/>
      <c r="AN152" s="35"/>
      <c r="AO152" s="35"/>
      <c r="AQ152" s="35"/>
      <c r="AR152" s="38">
        <v>77976.66</v>
      </c>
      <c r="AS152" s="38">
        <v>0</v>
      </c>
      <c r="AT152" s="35">
        <v>1</v>
      </c>
      <c r="AU152" s="35">
        <v>1</v>
      </c>
      <c r="AV152" s="35" t="s">
        <v>47</v>
      </c>
      <c r="AW152" s="35" t="s">
        <v>52</v>
      </c>
      <c r="AX152" s="35" t="s">
        <v>851</v>
      </c>
      <c r="AY152" s="35" t="s">
        <v>98</v>
      </c>
      <c r="AZ152" s="35" t="s">
        <v>99</v>
      </c>
      <c r="BA152" s="35" t="s">
        <v>42</v>
      </c>
      <c r="BB152" s="38"/>
      <c r="BC152" s="38">
        <v>5.7859999999999996</v>
      </c>
      <c r="BD152" s="35" t="s">
        <v>197</v>
      </c>
      <c r="BE152" s="35" t="s">
        <v>125</v>
      </c>
      <c r="BF152" s="35">
        <v>0</v>
      </c>
      <c r="BG152" s="38">
        <v>0</v>
      </c>
      <c r="BH152" s="35" t="s">
        <v>1319</v>
      </c>
    </row>
    <row r="153" spans="1:60" x14ac:dyDescent="0.3">
      <c r="A153" s="6" t="str">
        <f t="shared" si="3"/>
        <v>000063</v>
      </c>
      <c r="B153" s="35" t="s">
        <v>43</v>
      </c>
      <c r="C153" s="35" t="s">
        <v>396</v>
      </c>
      <c r="D153" s="35" t="s">
        <v>206</v>
      </c>
      <c r="E153" s="35" t="s">
        <v>154</v>
      </c>
      <c r="F153" s="35" t="s">
        <v>155</v>
      </c>
      <c r="G153" s="35" t="s">
        <v>154</v>
      </c>
      <c r="H153" s="35" t="s">
        <v>155</v>
      </c>
      <c r="I153" s="35" t="s">
        <v>148</v>
      </c>
      <c r="J153" s="35" t="s">
        <v>47</v>
      </c>
      <c r="K153" s="35" t="s">
        <v>831</v>
      </c>
      <c r="L153" s="35" t="s">
        <v>205</v>
      </c>
      <c r="M153" s="126">
        <v>6</v>
      </c>
      <c r="N153" s="123">
        <v>45905</v>
      </c>
      <c r="O153" s="123">
        <v>46017</v>
      </c>
      <c r="P153" s="38">
        <v>74822</v>
      </c>
      <c r="Q153" s="38">
        <v>85000</v>
      </c>
      <c r="R153" s="126">
        <v>0</v>
      </c>
      <c r="S153" s="126">
        <v>16</v>
      </c>
      <c r="T153" s="35" t="s">
        <v>95</v>
      </c>
      <c r="U153" s="38">
        <v>6460.06</v>
      </c>
      <c r="V153" s="38">
        <v>0</v>
      </c>
      <c r="W153" s="38">
        <v>0</v>
      </c>
      <c r="X153" s="38">
        <v>8</v>
      </c>
      <c r="Y153" s="38">
        <v>0</v>
      </c>
      <c r="Z153" s="38">
        <v>42500</v>
      </c>
      <c r="AA153" s="38">
        <v>0</v>
      </c>
      <c r="AB153" s="38">
        <v>0</v>
      </c>
      <c r="AC153" s="38">
        <v>0</v>
      </c>
      <c r="AD153" s="38">
        <v>0</v>
      </c>
      <c r="AE153" s="38">
        <v>6465</v>
      </c>
      <c r="AF153" s="123">
        <v>45960</v>
      </c>
      <c r="AG153" s="35" t="s">
        <v>96</v>
      </c>
      <c r="AH153" s="35"/>
      <c r="AI153" s="35"/>
      <c r="AJ153" s="35"/>
      <c r="AK153" s="35"/>
      <c r="AL153" s="35"/>
      <c r="AM153" s="35"/>
      <c r="AN153" s="35"/>
      <c r="AO153" s="35"/>
      <c r="AQ153" s="35"/>
      <c r="AR153" s="38">
        <v>51640.91</v>
      </c>
      <c r="AS153" s="38">
        <v>39.546666666666653</v>
      </c>
      <c r="AT153" s="35">
        <v>0</v>
      </c>
      <c r="AU153" s="35">
        <v>0</v>
      </c>
      <c r="AV153" s="35" t="s">
        <v>47</v>
      </c>
      <c r="AW153" s="35" t="s">
        <v>52</v>
      </c>
      <c r="AX153" s="35" t="s">
        <v>849</v>
      </c>
      <c r="AY153" s="35" t="s">
        <v>98</v>
      </c>
      <c r="AZ153" s="35" t="s">
        <v>99</v>
      </c>
      <c r="BA153" s="35" t="s">
        <v>42</v>
      </c>
      <c r="BB153" s="38"/>
      <c r="BC153" s="38">
        <v>5.7859999999999996</v>
      </c>
      <c r="BD153" s="35" t="s">
        <v>168</v>
      </c>
      <c r="BE153" s="35" t="s">
        <v>198</v>
      </c>
      <c r="BF153" s="35">
        <v>0</v>
      </c>
      <c r="BG153" s="38">
        <v>0</v>
      </c>
      <c r="BH153" s="35" t="s">
        <v>1319</v>
      </c>
    </row>
    <row r="154" spans="1:60" x14ac:dyDescent="0.3">
      <c r="A154" s="6" t="str">
        <f t="shared" si="3"/>
        <v>000187</v>
      </c>
      <c r="B154" s="35" t="s">
        <v>49</v>
      </c>
      <c r="C154" s="35" t="s">
        <v>388</v>
      </c>
      <c r="D154" s="35" t="s">
        <v>207</v>
      </c>
      <c r="E154" s="35" t="s">
        <v>188</v>
      </c>
      <c r="F154" s="35" t="s">
        <v>190</v>
      </c>
      <c r="G154" s="35" t="s">
        <v>188</v>
      </c>
      <c r="H154" s="35" t="s">
        <v>190</v>
      </c>
      <c r="I154" s="35" t="s">
        <v>2002</v>
      </c>
      <c r="J154" s="35" t="s">
        <v>47</v>
      </c>
      <c r="K154" s="35" t="s">
        <v>2003</v>
      </c>
      <c r="L154" s="35" t="s">
        <v>205</v>
      </c>
      <c r="M154" s="126">
        <v>6</v>
      </c>
      <c r="N154" s="123">
        <v>45957</v>
      </c>
      <c r="O154" s="123">
        <v>46069</v>
      </c>
      <c r="P154" s="38">
        <v>50676</v>
      </c>
      <c r="Q154" s="38">
        <v>58000</v>
      </c>
      <c r="R154" s="126">
        <v>0</v>
      </c>
      <c r="S154" s="126">
        <v>16</v>
      </c>
      <c r="T154" s="35" t="s">
        <v>95</v>
      </c>
      <c r="U154" s="38">
        <v>4408.04</v>
      </c>
      <c r="V154" s="38">
        <v>0</v>
      </c>
      <c r="W154" s="38">
        <v>0</v>
      </c>
      <c r="X154" s="38">
        <v>0</v>
      </c>
      <c r="Y154" s="38">
        <v>0</v>
      </c>
      <c r="Z154" s="38">
        <v>54375</v>
      </c>
      <c r="AA154" s="38">
        <v>0</v>
      </c>
      <c r="AB154" s="38">
        <v>0</v>
      </c>
      <c r="AC154" s="38">
        <v>0</v>
      </c>
      <c r="AD154" s="38">
        <v>0</v>
      </c>
      <c r="AE154" s="38">
        <v>4409</v>
      </c>
      <c r="AF154" s="123">
        <v>45960</v>
      </c>
      <c r="AG154" s="35" t="s">
        <v>96</v>
      </c>
      <c r="AH154" s="35"/>
      <c r="AI154" s="35"/>
      <c r="AJ154" s="35"/>
      <c r="AK154" s="35"/>
      <c r="AL154" s="35"/>
      <c r="AM154" s="35"/>
      <c r="AN154" s="35"/>
      <c r="AO154" s="35"/>
      <c r="AQ154" s="35"/>
      <c r="AR154" s="38">
        <v>66119.62</v>
      </c>
      <c r="AS154" s="38">
        <v>4409</v>
      </c>
      <c r="AT154" s="35">
        <v>0</v>
      </c>
      <c r="AU154" s="35">
        <v>0</v>
      </c>
      <c r="AV154" s="35" t="s">
        <v>47</v>
      </c>
      <c r="AW154" s="35" t="s">
        <v>52</v>
      </c>
      <c r="AX154" s="35" t="s">
        <v>1992</v>
      </c>
      <c r="AY154" s="35" t="s">
        <v>98</v>
      </c>
      <c r="AZ154" s="35" t="s">
        <v>99</v>
      </c>
      <c r="BA154" s="35" t="s">
        <v>42</v>
      </c>
      <c r="BB154" s="38"/>
      <c r="BC154" s="38">
        <v>5.7859999999999996</v>
      </c>
      <c r="BD154" s="35" t="s">
        <v>126</v>
      </c>
      <c r="BE154" s="35" t="s">
        <v>127</v>
      </c>
      <c r="BF154" s="35">
        <v>0</v>
      </c>
      <c r="BG154" s="38">
        <v>0</v>
      </c>
      <c r="BH154" s="35" t="s">
        <v>1319</v>
      </c>
    </row>
    <row r="155" spans="1:60" x14ac:dyDescent="0.3">
      <c r="A155" s="6" t="str">
        <f t="shared" si="3"/>
        <v>000153</v>
      </c>
      <c r="B155" s="35" t="s">
        <v>43</v>
      </c>
      <c r="C155" s="35" t="s">
        <v>42</v>
      </c>
      <c r="D155" s="35" t="s">
        <v>1526</v>
      </c>
      <c r="E155" s="35" t="s">
        <v>663</v>
      </c>
      <c r="F155" s="35" t="s">
        <v>664</v>
      </c>
      <c r="G155" s="35" t="s">
        <v>663</v>
      </c>
      <c r="H155" s="35" t="s">
        <v>664</v>
      </c>
      <c r="I155" s="35" t="s">
        <v>1796</v>
      </c>
      <c r="J155" s="35" t="s">
        <v>47</v>
      </c>
      <c r="K155" s="35" t="s">
        <v>572</v>
      </c>
      <c r="L155" s="35" t="s">
        <v>205</v>
      </c>
      <c r="M155" s="126">
        <v>5</v>
      </c>
      <c r="N155" s="123">
        <v>45947</v>
      </c>
      <c r="O155" s="123">
        <v>46059</v>
      </c>
      <c r="P155" s="38">
        <v>36530</v>
      </c>
      <c r="Q155" s="38">
        <v>42000</v>
      </c>
      <c r="R155" s="126">
        <v>0</v>
      </c>
      <c r="S155" s="126">
        <v>16</v>
      </c>
      <c r="T155" s="35" t="s">
        <v>95</v>
      </c>
      <c r="U155" s="38">
        <v>3192.03</v>
      </c>
      <c r="V155" s="38">
        <v>0</v>
      </c>
      <c r="W155" s="38">
        <v>0</v>
      </c>
      <c r="X155" s="38">
        <v>2</v>
      </c>
      <c r="Y155" s="38">
        <v>0</v>
      </c>
      <c r="Z155" s="38">
        <v>36750.050000000003</v>
      </c>
      <c r="AA155" s="38">
        <v>5.6000000000000001E-2</v>
      </c>
      <c r="AB155" s="38">
        <v>0</v>
      </c>
      <c r="AC155" s="38">
        <v>0</v>
      </c>
      <c r="AD155" s="38">
        <v>0</v>
      </c>
      <c r="AE155" s="38">
        <v>3192</v>
      </c>
      <c r="AF155" s="123">
        <v>45960</v>
      </c>
      <c r="AG155" s="35" t="s">
        <v>96</v>
      </c>
      <c r="AH155" s="35"/>
      <c r="AI155" s="35"/>
      <c r="AJ155" s="35"/>
      <c r="AK155" s="35"/>
      <c r="AL155" s="35"/>
      <c r="AM155" s="35"/>
      <c r="AN155" s="35"/>
      <c r="AO155" s="35"/>
      <c r="AQ155" s="35"/>
      <c r="AR155" s="38">
        <v>44688.450000000004</v>
      </c>
      <c r="AS155" s="38">
        <v>0</v>
      </c>
      <c r="AT155" s="35">
        <v>0</v>
      </c>
      <c r="AU155" s="35">
        <v>0</v>
      </c>
      <c r="AV155" s="35" t="s">
        <v>47</v>
      </c>
      <c r="AW155" s="35" t="s">
        <v>52</v>
      </c>
      <c r="AX155" s="35"/>
      <c r="AY155" s="35" t="s">
        <v>98</v>
      </c>
      <c r="AZ155" s="35" t="s">
        <v>99</v>
      </c>
      <c r="BA155" s="35" t="s">
        <v>42</v>
      </c>
      <c r="BB155" s="38"/>
      <c r="BC155" s="38">
        <v>5.7859999999999996</v>
      </c>
      <c r="BD155" s="35" t="s">
        <v>168</v>
      </c>
      <c r="BE155" s="35" t="s">
        <v>127</v>
      </c>
      <c r="BF155" s="35">
        <v>0</v>
      </c>
      <c r="BG155" s="38">
        <v>0</v>
      </c>
      <c r="BH155" s="35" t="s">
        <v>1319</v>
      </c>
    </row>
    <row r="156" spans="1:60" x14ac:dyDescent="0.3">
      <c r="A156" s="6" t="str">
        <f t="shared" si="3"/>
        <v>000182</v>
      </c>
      <c r="B156" s="35" t="s">
        <v>43</v>
      </c>
      <c r="C156" s="35" t="s">
        <v>42</v>
      </c>
      <c r="D156" s="35" t="s">
        <v>1526</v>
      </c>
      <c r="E156" s="35" t="s">
        <v>148</v>
      </c>
      <c r="F156" s="35" t="s">
        <v>149</v>
      </c>
      <c r="G156" s="35" t="s">
        <v>148</v>
      </c>
      <c r="H156" s="35" t="s">
        <v>149</v>
      </c>
      <c r="I156" s="35" t="s">
        <v>1909</v>
      </c>
      <c r="J156" s="35" t="s">
        <v>47</v>
      </c>
      <c r="K156" s="35" t="s">
        <v>1910</v>
      </c>
      <c r="L156" s="35" t="s">
        <v>205</v>
      </c>
      <c r="M156" s="126">
        <v>5</v>
      </c>
      <c r="N156" s="123">
        <v>45954</v>
      </c>
      <c r="O156" s="123">
        <v>46066</v>
      </c>
      <c r="P156" s="38">
        <v>50030</v>
      </c>
      <c r="Q156" s="38">
        <v>57000</v>
      </c>
      <c r="R156" s="126">
        <v>0</v>
      </c>
      <c r="S156" s="126">
        <v>16</v>
      </c>
      <c r="T156" s="35" t="s">
        <v>95</v>
      </c>
      <c r="U156" s="38">
        <v>4332.04</v>
      </c>
      <c r="V156" s="38">
        <v>0</v>
      </c>
      <c r="W156" s="38">
        <v>0</v>
      </c>
      <c r="X156" s="38">
        <v>1</v>
      </c>
      <c r="Y156" s="38">
        <v>0</v>
      </c>
      <c r="Z156" s="38">
        <v>53437.5</v>
      </c>
      <c r="AA156" s="38">
        <v>0</v>
      </c>
      <c r="AB156" s="38">
        <v>0</v>
      </c>
      <c r="AC156" s="38">
        <v>0</v>
      </c>
      <c r="AD156" s="38">
        <v>0</v>
      </c>
      <c r="AE156" s="38">
        <v>4333</v>
      </c>
      <c r="AF156" s="123">
        <v>45960</v>
      </c>
      <c r="AG156" s="35" t="s">
        <v>96</v>
      </c>
      <c r="AH156" s="35"/>
      <c r="AI156" s="35"/>
      <c r="AJ156" s="35"/>
      <c r="AK156" s="35"/>
      <c r="AL156" s="35"/>
      <c r="AM156" s="35"/>
      <c r="AN156" s="35"/>
      <c r="AO156" s="35"/>
      <c r="AQ156" s="35"/>
      <c r="AR156" s="38">
        <v>64979.61</v>
      </c>
      <c r="AS156" s="38">
        <v>0.96199999999999997</v>
      </c>
      <c r="AT156" s="35">
        <v>0</v>
      </c>
      <c r="AU156" s="35">
        <v>0</v>
      </c>
      <c r="AV156" s="35" t="s">
        <v>47</v>
      </c>
      <c r="AW156" s="35" t="s">
        <v>52</v>
      </c>
      <c r="AX156" s="35"/>
      <c r="AY156" s="35" t="s">
        <v>98</v>
      </c>
      <c r="AZ156" s="35" t="s">
        <v>99</v>
      </c>
      <c r="BA156" s="35" t="s">
        <v>42</v>
      </c>
      <c r="BB156" s="38"/>
      <c r="BC156" s="38">
        <v>5.7859999999999996</v>
      </c>
      <c r="BD156" s="35" t="s">
        <v>168</v>
      </c>
      <c r="BE156" s="35" t="s">
        <v>147</v>
      </c>
      <c r="BF156" s="35">
        <v>0</v>
      </c>
      <c r="BG156" s="38">
        <v>0</v>
      </c>
      <c r="BH156" s="35" t="s">
        <v>1319</v>
      </c>
    </row>
    <row r="157" spans="1:60" x14ac:dyDescent="0.3">
      <c r="A157" s="6" t="str">
        <f t="shared" si="3"/>
        <v>000131</v>
      </c>
      <c r="B157" s="35" t="s">
        <v>43</v>
      </c>
      <c r="C157" s="35" t="s">
        <v>396</v>
      </c>
      <c r="D157" s="35" t="s">
        <v>206</v>
      </c>
      <c r="E157" s="35" t="s">
        <v>154</v>
      </c>
      <c r="F157" s="35" t="s">
        <v>155</v>
      </c>
      <c r="G157" s="35" t="s">
        <v>154</v>
      </c>
      <c r="H157" s="35" t="s">
        <v>155</v>
      </c>
      <c r="I157" s="35" t="s">
        <v>1477</v>
      </c>
      <c r="J157" s="35" t="s">
        <v>47</v>
      </c>
      <c r="K157" s="35" t="s">
        <v>1382</v>
      </c>
      <c r="L157" s="35" t="s">
        <v>205</v>
      </c>
      <c r="M157" s="126">
        <v>6</v>
      </c>
      <c r="N157" s="123">
        <v>45932</v>
      </c>
      <c r="O157" s="123">
        <v>46044</v>
      </c>
      <c r="P157" s="38">
        <v>58776</v>
      </c>
      <c r="Q157" s="38">
        <v>67000</v>
      </c>
      <c r="R157" s="126">
        <v>0</v>
      </c>
      <c r="S157" s="126">
        <v>16</v>
      </c>
      <c r="T157" s="35" t="s">
        <v>95</v>
      </c>
      <c r="U157" s="38">
        <v>5092.04</v>
      </c>
      <c r="V157" s="38">
        <v>0</v>
      </c>
      <c r="W157" s="38">
        <v>0</v>
      </c>
      <c r="X157" s="38">
        <v>4</v>
      </c>
      <c r="Y157" s="38">
        <v>0</v>
      </c>
      <c r="Z157" s="38">
        <v>50250</v>
      </c>
      <c r="AA157" s="38">
        <v>0</v>
      </c>
      <c r="AB157" s="38">
        <v>0</v>
      </c>
      <c r="AC157" s="38">
        <v>0</v>
      </c>
      <c r="AD157" s="38">
        <v>0</v>
      </c>
      <c r="AE157" s="38">
        <v>5098</v>
      </c>
      <c r="AF157" s="123">
        <v>45959</v>
      </c>
      <c r="AG157" s="35" t="s">
        <v>96</v>
      </c>
      <c r="AH157" s="35"/>
      <c r="AI157" s="35"/>
      <c r="AJ157" s="35"/>
      <c r="AK157" s="35"/>
      <c r="AL157" s="35"/>
      <c r="AM157" s="35"/>
      <c r="AN157" s="35"/>
      <c r="AO157" s="35"/>
      <c r="AQ157" s="35"/>
      <c r="AR157" s="38">
        <v>61085.71</v>
      </c>
      <c r="AS157" s="38">
        <v>18.821333333333328</v>
      </c>
      <c r="AT157" s="35">
        <v>0</v>
      </c>
      <c r="AU157" s="35">
        <v>0</v>
      </c>
      <c r="AV157" s="35" t="s">
        <v>47</v>
      </c>
      <c r="AW157" s="35" t="s">
        <v>52</v>
      </c>
      <c r="AX157" s="35" t="s">
        <v>1492</v>
      </c>
      <c r="AY157" s="35" t="s">
        <v>98</v>
      </c>
      <c r="AZ157" s="35" t="s">
        <v>99</v>
      </c>
      <c r="BA157" s="35" t="s">
        <v>42</v>
      </c>
      <c r="BB157" s="38"/>
      <c r="BC157" s="38">
        <v>5.7859999999999996</v>
      </c>
      <c r="BD157" s="35" t="s">
        <v>197</v>
      </c>
      <c r="BE157" s="35" t="s">
        <v>198</v>
      </c>
      <c r="BF157" s="35">
        <v>0</v>
      </c>
      <c r="BG157" s="38">
        <v>0</v>
      </c>
      <c r="BH157" s="35" t="s">
        <v>1320</v>
      </c>
    </row>
    <row r="158" spans="1:60" x14ac:dyDescent="0.3">
      <c r="A158" s="6" t="str">
        <f t="shared" si="3"/>
        <v>000127</v>
      </c>
      <c r="B158" s="35" t="s">
        <v>43</v>
      </c>
      <c r="C158" s="35" t="s">
        <v>396</v>
      </c>
      <c r="D158" s="35" t="s">
        <v>206</v>
      </c>
      <c r="E158" s="35" t="s">
        <v>143</v>
      </c>
      <c r="F158" s="35" t="s">
        <v>144</v>
      </c>
      <c r="G158" s="35" t="s">
        <v>143</v>
      </c>
      <c r="H158" s="35" t="s">
        <v>144</v>
      </c>
      <c r="I158" s="35" t="s">
        <v>1476</v>
      </c>
      <c r="J158" s="35" t="s">
        <v>47</v>
      </c>
      <c r="K158" s="35" t="s">
        <v>1103</v>
      </c>
      <c r="L158" s="35" t="s">
        <v>205</v>
      </c>
      <c r="M158" s="126">
        <v>6</v>
      </c>
      <c r="N158" s="123">
        <v>45932</v>
      </c>
      <c r="O158" s="123">
        <v>46044</v>
      </c>
      <c r="P158" s="38">
        <v>61399</v>
      </c>
      <c r="Q158" s="38">
        <v>70000</v>
      </c>
      <c r="R158" s="126">
        <v>0</v>
      </c>
      <c r="S158" s="126">
        <v>16</v>
      </c>
      <c r="T158" s="35" t="s">
        <v>95</v>
      </c>
      <c r="U158" s="38">
        <v>5320.05</v>
      </c>
      <c r="V158" s="38">
        <v>0</v>
      </c>
      <c r="W158" s="38">
        <v>0</v>
      </c>
      <c r="X158" s="38">
        <v>4</v>
      </c>
      <c r="Y158" s="38">
        <v>0</v>
      </c>
      <c r="Z158" s="38">
        <v>52500</v>
      </c>
      <c r="AA158" s="38">
        <v>0</v>
      </c>
      <c r="AB158" s="38">
        <v>0</v>
      </c>
      <c r="AC158" s="38">
        <v>0</v>
      </c>
      <c r="AD158" s="38">
        <v>0</v>
      </c>
      <c r="AE158" s="38">
        <v>5325</v>
      </c>
      <c r="AF158" s="123">
        <v>45959</v>
      </c>
      <c r="AG158" s="35" t="s">
        <v>96</v>
      </c>
      <c r="AH158" s="35"/>
      <c r="AI158" s="35"/>
      <c r="AJ158" s="35"/>
      <c r="AK158" s="35"/>
      <c r="AL158" s="35"/>
      <c r="AM158" s="35"/>
      <c r="AN158" s="35"/>
      <c r="AO158" s="35"/>
      <c r="AQ158" s="35"/>
      <c r="AR158" s="38">
        <v>63819.75</v>
      </c>
      <c r="AS158" s="38">
        <v>20.813333333333329</v>
      </c>
      <c r="AT158" s="35">
        <v>0</v>
      </c>
      <c r="AU158" s="35">
        <v>0</v>
      </c>
      <c r="AV158" s="35" t="s">
        <v>47</v>
      </c>
      <c r="AW158" s="35" t="s">
        <v>52</v>
      </c>
      <c r="AX158" s="35" t="s">
        <v>1504</v>
      </c>
      <c r="AY158" s="35" t="s">
        <v>98</v>
      </c>
      <c r="AZ158" s="35" t="s">
        <v>99</v>
      </c>
      <c r="BA158" s="35" t="s">
        <v>42</v>
      </c>
      <c r="BB158" s="38"/>
      <c r="BC158" s="38">
        <v>5.7859999999999996</v>
      </c>
      <c r="BD158" s="35" t="s">
        <v>197</v>
      </c>
      <c r="BE158" s="35" t="s">
        <v>127</v>
      </c>
      <c r="BF158" s="35">
        <v>0</v>
      </c>
      <c r="BG158" s="38">
        <v>0</v>
      </c>
      <c r="BH158" s="35" t="s">
        <v>1319</v>
      </c>
    </row>
    <row r="159" spans="1:60" x14ac:dyDescent="0.3">
      <c r="A159" s="6" t="str">
        <f t="shared" si="3"/>
        <v>000006</v>
      </c>
      <c r="B159" s="35" t="s">
        <v>49</v>
      </c>
      <c r="C159" s="35" t="s">
        <v>388</v>
      </c>
      <c r="D159" s="35" t="s">
        <v>207</v>
      </c>
      <c r="E159" s="35" t="s">
        <v>170</v>
      </c>
      <c r="F159" s="35" t="s">
        <v>171</v>
      </c>
      <c r="G159" s="35" t="s">
        <v>170</v>
      </c>
      <c r="H159" s="35" t="s">
        <v>171</v>
      </c>
      <c r="I159" s="35" t="s">
        <v>172</v>
      </c>
      <c r="J159" s="35" t="s">
        <v>47</v>
      </c>
      <c r="K159" s="35" t="s">
        <v>106</v>
      </c>
      <c r="L159" s="35" t="s">
        <v>205</v>
      </c>
      <c r="M159" s="126">
        <v>6</v>
      </c>
      <c r="N159" s="123">
        <v>45881</v>
      </c>
      <c r="O159" s="123">
        <v>45993</v>
      </c>
      <c r="P159" s="38">
        <v>163500</v>
      </c>
      <c r="Q159" s="38">
        <v>184000</v>
      </c>
      <c r="R159" s="126">
        <v>0</v>
      </c>
      <c r="S159" s="126">
        <v>16</v>
      </c>
      <c r="T159" s="35" t="s">
        <v>95</v>
      </c>
      <c r="U159" s="38">
        <v>13984.12</v>
      </c>
      <c r="V159" s="38">
        <v>0</v>
      </c>
      <c r="W159" s="38">
        <v>0</v>
      </c>
      <c r="X159" s="38">
        <v>11</v>
      </c>
      <c r="Y159" s="38">
        <v>0</v>
      </c>
      <c r="Z159" s="38">
        <v>57501.1</v>
      </c>
      <c r="AA159" s="38">
        <v>1.10933333333333</v>
      </c>
      <c r="AB159" s="38">
        <v>0</v>
      </c>
      <c r="AC159" s="38">
        <v>0</v>
      </c>
      <c r="AD159" s="38">
        <v>0</v>
      </c>
      <c r="AE159" s="38">
        <v>13984</v>
      </c>
      <c r="AF159" s="123">
        <v>45957</v>
      </c>
      <c r="AG159" s="35" t="s">
        <v>96</v>
      </c>
      <c r="AH159" s="35"/>
      <c r="AI159" s="35"/>
      <c r="AJ159" s="35"/>
      <c r="AK159" s="35"/>
      <c r="AL159" s="35"/>
      <c r="AM159" s="35"/>
      <c r="AN159" s="35"/>
      <c r="AO159" s="35"/>
      <c r="AQ159" s="35"/>
      <c r="AR159" s="38">
        <v>69921.72</v>
      </c>
      <c r="AS159" s="38">
        <v>0</v>
      </c>
      <c r="AT159" s="35">
        <v>0</v>
      </c>
      <c r="AU159" s="35">
        <v>0</v>
      </c>
      <c r="AV159" s="35" t="s">
        <v>47</v>
      </c>
      <c r="AW159" s="35" t="s">
        <v>52</v>
      </c>
      <c r="AX159" s="35" t="s">
        <v>173</v>
      </c>
      <c r="AY159" s="35" t="s">
        <v>98</v>
      </c>
      <c r="AZ159" s="35" t="s">
        <v>99</v>
      </c>
      <c r="BA159" s="35" t="s">
        <v>42</v>
      </c>
      <c r="BB159" s="38"/>
      <c r="BC159" s="38">
        <v>5.7859999999999996</v>
      </c>
      <c r="BD159" s="35" t="s">
        <v>146</v>
      </c>
      <c r="BE159" s="35" t="s">
        <v>125</v>
      </c>
      <c r="BF159" s="35">
        <v>0</v>
      </c>
      <c r="BG159" s="38">
        <v>0</v>
      </c>
      <c r="BH159" s="35" t="s">
        <v>1319</v>
      </c>
    </row>
    <row r="160" spans="1:60" x14ac:dyDescent="0.3">
      <c r="A160" s="6" t="str">
        <f t="shared" si="3"/>
        <v>000083</v>
      </c>
      <c r="B160" s="35" t="s">
        <v>43</v>
      </c>
      <c r="C160" s="35" t="s">
        <v>424</v>
      </c>
      <c r="D160" s="35" t="s">
        <v>204</v>
      </c>
      <c r="E160" s="35" t="s">
        <v>189</v>
      </c>
      <c r="F160" s="35" t="s">
        <v>191</v>
      </c>
      <c r="G160" s="35" t="s">
        <v>189</v>
      </c>
      <c r="H160" s="35" t="s">
        <v>191</v>
      </c>
      <c r="I160" s="35" t="s">
        <v>979</v>
      </c>
      <c r="J160" s="35" t="s">
        <v>47</v>
      </c>
      <c r="K160" s="35" t="s">
        <v>980</v>
      </c>
      <c r="L160" s="35" t="s">
        <v>205</v>
      </c>
      <c r="M160" s="126">
        <v>5</v>
      </c>
      <c r="N160" s="123">
        <v>45912</v>
      </c>
      <c r="O160" s="123">
        <v>46024</v>
      </c>
      <c r="P160" s="38">
        <v>38330</v>
      </c>
      <c r="Q160" s="38">
        <v>44000</v>
      </c>
      <c r="R160" s="126">
        <v>0</v>
      </c>
      <c r="S160" s="126">
        <v>16</v>
      </c>
      <c r="T160" s="35" t="s">
        <v>95</v>
      </c>
      <c r="U160" s="38">
        <v>3344.03</v>
      </c>
      <c r="V160" s="38">
        <v>0</v>
      </c>
      <c r="W160" s="38">
        <v>0</v>
      </c>
      <c r="X160" s="38">
        <v>7</v>
      </c>
      <c r="Y160" s="38">
        <v>0</v>
      </c>
      <c r="Z160" s="38">
        <v>24750.010000000002</v>
      </c>
      <c r="AA160" s="38">
        <v>0</v>
      </c>
      <c r="AB160" s="38">
        <v>0</v>
      </c>
      <c r="AC160" s="38">
        <v>0</v>
      </c>
      <c r="AD160" s="38">
        <v>0</v>
      </c>
      <c r="AE160" s="38">
        <v>3344.03</v>
      </c>
      <c r="AF160" s="123">
        <v>45960</v>
      </c>
      <c r="AG160" s="35" t="s">
        <v>96</v>
      </c>
      <c r="AH160" s="35"/>
      <c r="AI160" s="35"/>
      <c r="AJ160" s="35"/>
      <c r="AK160" s="35"/>
      <c r="AL160" s="35"/>
      <c r="AM160" s="35"/>
      <c r="AN160" s="35"/>
      <c r="AO160" s="35"/>
      <c r="AQ160" s="35"/>
      <c r="AR160" s="38">
        <v>30096.260000000002</v>
      </c>
      <c r="AS160" s="38">
        <v>4.6666666666670001E-3</v>
      </c>
      <c r="AT160" s="35">
        <v>0</v>
      </c>
      <c r="AU160" s="35">
        <v>0</v>
      </c>
      <c r="AV160" s="35" t="s">
        <v>47</v>
      </c>
      <c r="AW160" s="35" t="s">
        <v>52</v>
      </c>
      <c r="AX160" s="35" t="s">
        <v>981</v>
      </c>
      <c r="AY160" s="35" t="s">
        <v>98</v>
      </c>
      <c r="AZ160" s="35" t="s">
        <v>99</v>
      </c>
      <c r="BA160" s="35" t="s">
        <v>42</v>
      </c>
      <c r="BB160" s="38"/>
      <c r="BC160" s="38">
        <v>5.7859999999999996</v>
      </c>
      <c r="BD160" s="35" t="s">
        <v>168</v>
      </c>
      <c r="BE160" s="35" t="s">
        <v>982</v>
      </c>
      <c r="BF160" s="35">
        <v>0</v>
      </c>
      <c r="BG160" s="38">
        <v>0</v>
      </c>
      <c r="BH160" s="35" t="s">
        <v>1319</v>
      </c>
    </row>
    <row r="161" spans="1:60" x14ac:dyDescent="0.3">
      <c r="A161" s="6" t="str">
        <f t="shared" si="3"/>
        <v>000046</v>
      </c>
      <c r="B161" s="35" t="s">
        <v>43</v>
      </c>
      <c r="C161" s="35" t="s">
        <v>42</v>
      </c>
      <c r="D161" s="35" t="s">
        <v>1526</v>
      </c>
      <c r="E161" s="35" t="s">
        <v>663</v>
      </c>
      <c r="F161" s="35" t="s">
        <v>664</v>
      </c>
      <c r="G161" s="35" t="s">
        <v>663</v>
      </c>
      <c r="H161" s="35" t="s">
        <v>664</v>
      </c>
      <c r="I161" s="35" t="s">
        <v>665</v>
      </c>
      <c r="J161" s="35" t="s">
        <v>47</v>
      </c>
      <c r="K161" s="35" t="s">
        <v>666</v>
      </c>
      <c r="L161" s="35" t="s">
        <v>205</v>
      </c>
      <c r="M161" s="126">
        <v>7</v>
      </c>
      <c r="N161" s="123">
        <v>45897</v>
      </c>
      <c r="O161" s="123">
        <v>46009</v>
      </c>
      <c r="P161" s="38">
        <v>123810</v>
      </c>
      <c r="Q161" s="38">
        <v>140000</v>
      </c>
      <c r="R161" s="126">
        <v>0</v>
      </c>
      <c r="S161" s="126">
        <v>16</v>
      </c>
      <c r="T161" s="35" t="s">
        <v>95</v>
      </c>
      <c r="U161" s="38">
        <v>10640.09</v>
      </c>
      <c r="V161" s="38">
        <v>0</v>
      </c>
      <c r="W161" s="38">
        <v>0</v>
      </c>
      <c r="X161" s="38">
        <v>9</v>
      </c>
      <c r="Y161" s="38">
        <v>0</v>
      </c>
      <c r="Z161" s="38">
        <v>61250.840000000004</v>
      </c>
      <c r="AA161" s="38">
        <v>0.84</v>
      </c>
      <c r="AB161" s="38">
        <v>0</v>
      </c>
      <c r="AC161" s="38">
        <v>0</v>
      </c>
      <c r="AD161" s="38">
        <v>0</v>
      </c>
      <c r="AE161" s="38">
        <v>10640</v>
      </c>
      <c r="AF161" s="123">
        <v>45959</v>
      </c>
      <c r="AG161" s="35" t="s">
        <v>96</v>
      </c>
      <c r="AH161" s="35"/>
      <c r="AI161" s="35"/>
      <c r="AJ161" s="35"/>
      <c r="AK161" s="35"/>
      <c r="AL161" s="35"/>
      <c r="AM161" s="35"/>
      <c r="AN161" s="35"/>
      <c r="AO161" s="35"/>
      <c r="AQ161" s="35"/>
      <c r="AR161" s="38">
        <v>74481.490000000005</v>
      </c>
      <c r="AS161" s="38">
        <v>0</v>
      </c>
      <c r="AT161" s="35">
        <v>0</v>
      </c>
      <c r="AU161" s="35">
        <v>0</v>
      </c>
      <c r="AV161" s="35" t="s">
        <v>47</v>
      </c>
      <c r="AW161" s="35" t="s">
        <v>52</v>
      </c>
      <c r="AX161" s="35" t="s">
        <v>743</v>
      </c>
      <c r="AY161" s="35" t="s">
        <v>98</v>
      </c>
      <c r="AZ161" s="35" t="s">
        <v>99</v>
      </c>
      <c r="BA161" s="35" t="s">
        <v>42</v>
      </c>
      <c r="BB161" s="38"/>
      <c r="BC161" s="38">
        <v>5.7859999999999996</v>
      </c>
      <c r="BD161" s="35" t="s">
        <v>197</v>
      </c>
      <c r="BE161" s="35" t="s">
        <v>127</v>
      </c>
      <c r="BF161" s="35">
        <v>0</v>
      </c>
      <c r="BG161" s="38">
        <v>0</v>
      </c>
      <c r="BH161" s="35" t="s">
        <v>1319</v>
      </c>
    </row>
    <row r="162" spans="1:60" x14ac:dyDescent="0.3">
      <c r="A162" s="6" t="str">
        <f t="shared" si="3"/>
        <v>000037</v>
      </c>
      <c r="B162" s="35" t="s">
        <v>43</v>
      </c>
      <c r="C162" s="35" t="s">
        <v>424</v>
      </c>
      <c r="D162" s="35" t="s">
        <v>204</v>
      </c>
      <c r="E162" s="35" t="s">
        <v>189</v>
      </c>
      <c r="F162" s="35" t="s">
        <v>191</v>
      </c>
      <c r="G162" s="35" t="s">
        <v>189</v>
      </c>
      <c r="H162" s="35" t="s">
        <v>191</v>
      </c>
      <c r="I162" s="35" t="s">
        <v>605</v>
      </c>
      <c r="J162" s="35" t="s">
        <v>47</v>
      </c>
      <c r="K162" s="35" t="s">
        <v>606</v>
      </c>
      <c r="L162" s="35" t="s">
        <v>205</v>
      </c>
      <c r="M162" s="126">
        <v>6</v>
      </c>
      <c r="N162" s="123">
        <v>45896</v>
      </c>
      <c r="O162" s="123">
        <v>46008</v>
      </c>
      <c r="P162" s="38">
        <v>49776</v>
      </c>
      <c r="Q162" s="38">
        <v>57000</v>
      </c>
      <c r="R162" s="126">
        <v>0</v>
      </c>
      <c r="S162" s="126">
        <v>16</v>
      </c>
      <c r="T162" s="35" t="s">
        <v>95</v>
      </c>
      <c r="U162" s="38">
        <v>4332.04</v>
      </c>
      <c r="V162" s="38">
        <v>0</v>
      </c>
      <c r="W162" s="38">
        <v>0</v>
      </c>
      <c r="X162" s="38">
        <v>9</v>
      </c>
      <c r="Y162" s="38">
        <v>0</v>
      </c>
      <c r="Z162" s="38">
        <v>24937.5</v>
      </c>
      <c r="AA162" s="38">
        <v>0</v>
      </c>
      <c r="AB162" s="38">
        <v>0</v>
      </c>
      <c r="AC162" s="38">
        <v>0</v>
      </c>
      <c r="AD162" s="38">
        <v>0</v>
      </c>
      <c r="AE162" s="38">
        <v>4332.04</v>
      </c>
      <c r="AF162" s="123">
        <v>45958</v>
      </c>
      <c r="AG162" s="35" t="s">
        <v>96</v>
      </c>
      <c r="AH162" s="35"/>
      <c r="AI162" s="35"/>
      <c r="AJ162" s="35"/>
      <c r="AK162" s="35"/>
      <c r="AL162" s="35"/>
      <c r="AM162" s="35"/>
      <c r="AN162" s="35"/>
      <c r="AO162" s="35"/>
      <c r="AQ162" s="35"/>
      <c r="AR162" s="38">
        <v>30324.25</v>
      </c>
      <c r="AS162" s="38">
        <v>1.7999999999999999E-2</v>
      </c>
      <c r="AT162" s="35">
        <v>0</v>
      </c>
      <c r="AU162" s="35">
        <v>0</v>
      </c>
      <c r="AV162" s="35" t="s">
        <v>47</v>
      </c>
      <c r="AW162" s="35" t="s">
        <v>52</v>
      </c>
      <c r="AX162" s="35" t="s">
        <v>607</v>
      </c>
      <c r="AY162" s="35" t="s">
        <v>98</v>
      </c>
      <c r="AZ162" s="35" t="s">
        <v>99</v>
      </c>
      <c r="BA162" s="35" t="s">
        <v>42</v>
      </c>
      <c r="BB162" s="38"/>
      <c r="BC162" s="38">
        <v>5.7859999999999996</v>
      </c>
      <c r="BD162" s="35" t="s">
        <v>124</v>
      </c>
      <c r="BE162" s="35" t="s">
        <v>185</v>
      </c>
      <c r="BF162" s="35">
        <v>0</v>
      </c>
      <c r="BG162" s="38">
        <v>0</v>
      </c>
      <c r="BH162" s="35" t="s">
        <v>1319</v>
      </c>
    </row>
    <row r="163" spans="1:60" x14ac:dyDescent="0.3">
      <c r="A163" s="6" t="str">
        <f t="shared" si="3"/>
        <v>000172</v>
      </c>
      <c r="B163" s="35" t="s">
        <v>49</v>
      </c>
      <c r="C163" s="35" t="s">
        <v>388</v>
      </c>
      <c r="D163" s="35" t="s">
        <v>207</v>
      </c>
      <c r="E163" s="35" t="s">
        <v>1145</v>
      </c>
      <c r="F163" s="35" t="s">
        <v>1840</v>
      </c>
      <c r="G163" s="35" t="s">
        <v>1145</v>
      </c>
      <c r="H163" s="35" t="s">
        <v>1840</v>
      </c>
      <c r="I163" s="35" t="s">
        <v>1841</v>
      </c>
      <c r="J163" s="35" t="s">
        <v>47</v>
      </c>
      <c r="K163" s="35" t="s">
        <v>1842</v>
      </c>
      <c r="L163" s="35" t="s">
        <v>205</v>
      </c>
      <c r="M163" s="126">
        <v>5</v>
      </c>
      <c r="N163" s="123">
        <v>45951</v>
      </c>
      <c r="O163" s="123">
        <v>46063</v>
      </c>
      <c r="P163" s="38">
        <v>65253</v>
      </c>
      <c r="Q163" s="38">
        <v>74000</v>
      </c>
      <c r="R163" s="126">
        <v>0</v>
      </c>
      <c r="S163" s="126">
        <v>16</v>
      </c>
      <c r="T163" s="35" t="s">
        <v>95</v>
      </c>
      <c r="U163" s="38">
        <v>5624.05</v>
      </c>
      <c r="V163" s="38">
        <v>0</v>
      </c>
      <c r="W163" s="38">
        <v>0</v>
      </c>
      <c r="X163" s="38">
        <v>1</v>
      </c>
      <c r="Y163" s="38">
        <v>0</v>
      </c>
      <c r="Z163" s="38">
        <v>69375.06</v>
      </c>
      <c r="AA163" s="38">
        <v>4.9333333333333E-2</v>
      </c>
      <c r="AB163" s="38">
        <v>0</v>
      </c>
      <c r="AC163" s="38">
        <v>0</v>
      </c>
      <c r="AD163" s="38">
        <v>0</v>
      </c>
      <c r="AE163" s="38">
        <v>5624</v>
      </c>
      <c r="AF163" s="123">
        <v>45957</v>
      </c>
      <c r="AG163" s="35" t="s">
        <v>96</v>
      </c>
      <c r="AH163" s="35"/>
      <c r="AI163" s="35"/>
      <c r="AJ163" s="35"/>
      <c r="AK163" s="35"/>
      <c r="AL163" s="35"/>
      <c r="AM163" s="35"/>
      <c r="AN163" s="35"/>
      <c r="AO163" s="35"/>
      <c r="AQ163" s="35"/>
      <c r="AR163" s="38">
        <v>84360.790000000008</v>
      </c>
      <c r="AS163" s="38">
        <v>0</v>
      </c>
      <c r="AT163" s="35">
        <v>0</v>
      </c>
      <c r="AU163" s="35">
        <v>0</v>
      </c>
      <c r="AV163" s="35" t="s">
        <v>47</v>
      </c>
      <c r="AW163" s="35" t="s">
        <v>52</v>
      </c>
      <c r="AX163" s="35" t="s">
        <v>1858</v>
      </c>
      <c r="AY163" s="35" t="s">
        <v>98</v>
      </c>
      <c r="AZ163" s="35" t="s">
        <v>99</v>
      </c>
      <c r="BA163" s="35" t="s">
        <v>42</v>
      </c>
      <c r="BB163" s="38"/>
      <c r="BC163" s="38">
        <v>5.7859999999999996</v>
      </c>
      <c r="BD163" s="35" t="s">
        <v>146</v>
      </c>
      <c r="BE163" s="35" t="s">
        <v>160</v>
      </c>
      <c r="BF163" s="35">
        <v>0</v>
      </c>
      <c r="BG163" s="38">
        <v>0</v>
      </c>
      <c r="BH163" s="35" t="s">
        <v>1319</v>
      </c>
    </row>
    <row r="164" spans="1:60" x14ac:dyDescent="0.3">
      <c r="A164" s="6" t="str">
        <f t="shared" si="3"/>
        <v>000174</v>
      </c>
      <c r="B164" s="35" t="s">
        <v>43</v>
      </c>
      <c r="C164" s="35" t="s">
        <v>396</v>
      </c>
      <c r="D164" s="35" t="s">
        <v>206</v>
      </c>
      <c r="E164" s="35" t="s">
        <v>501</v>
      </c>
      <c r="F164" s="35" t="s">
        <v>502</v>
      </c>
      <c r="G164" s="35" t="s">
        <v>501</v>
      </c>
      <c r="H164" s="35" t="s">
        <v>502</v>
      </c>
      <c r="I164" s="35" t="s">
        <v>1882</v>
      </c>
      <c r="J164" s="35" t="s">
        <v>47</v>
      </c>
      <c r="K164" s="35" t="s">
        <v>1883</v>
      </c>
      <c r="L164" s="35" t="s">
        <v>205</v>
      </c>
      <c r="M164" s="126">
        <v>5</v>
      </c>
      <c r="N164" s="123">
        <v>45952</v>
      </c>
      <c r="O164" s="123">
        <v>46064</v>
      </c>
      <c r="P164" s="38">
        <v>45530</v>
      </c>
      <c r="Q164" s="38">
        <v>52000</v>
      </c>
      <c r="R164" s="126">
        <v>0</v>
      </c>
      <c r="S164" s="126">
        <v>16</v>
      </c>
      <c r="T164" s="35" t="s">
        <v>95</v>
      </c>
      <c r="U164" s="38">
        <v>3952.03</v>
      </c>
      <c r="V164" s="38">
        <v>0</v>
      </c>
      <c r="W164" s="38">
        <v>0</v>
      </c>
      <c r="X164" s="38">
        <v>1</v>
      </c>
      <c r="Y164" s="38">
        <v>0</v>
      </c>
      <c r="Z164" s="38">
        <v>48750</v>
      </c>
      <c r="AA164" s="38">
        <v>0</v>
      </c>
      <c r="AB164" s="38">
        <v>0</v>
      </c>
      <c r="AC164" s="38">
        <v>0</v>
      </c>
      <c r="AD164" s="38">
        <v>0</v>
      </c>
      <c r="AE164" s="38">
        <v>3955</v>
      </c>
      <c r="AF164" s="123">
        <v>45957</v>
      </c>
      <c r="AG164" s="35" t="s">
        <v>96</v>
      </c>
      <c r="AH164" s="35"/>
      <c r="AI164" s="35"/>
      <c r="AJ164" s="35"/>
      <c r="AK164" s="35"/>
      <c r="AL164" s="35"/>
      <c r="AM164" s="35"/>
      <c r="AN164" s="35"/>
      <c r="AO164" s="35"/>
      <c r="AQ164" s="35"/>
      <c r="AR164" s="38">
        <v>59277.55</v>
      </c>
      <c r="AS164" s="38">
        <v>2.96533333333333</v>
      </c>
      <c r="AT164" s="35">
        <v>0</v>
      </c>
      <c r="AU164" s="35">
        <v>0</v>
      </c>
      <c r="AV164" s="35" t="s">
        <v>47</v>
      </c>
      <c r="AW164" s="35" t="s">
        <v>52</v>
      </c>
      <c r="AX164" s="35" t="s">
        <v>1893</v>
      </c>
      <c r="AY164" s="35" t="s">
        <v>98</v>
      </c>
      <c r="AZ164" s="35" t="s">
        <v>99</v>
      </c>
      <c r="BA164" s="35" t="s">
        <v>42</v>
      </c>
      <c r="BB164" s="38"/>
      <c r="BC164" s="38">
        <v>5.7859999999999996</v>
      </c>
      <c r="BD164" s="35" t="s">
        <v>124</v>
      </c>
      <c r="BE164" s="35" t="s">
        <v>147</v>
      </c>
      <c r="BF164" s="35">
        <v>0</v>
      </c>
      <c r="BG164" s="38">
        <v>0</v>
      </c>
      <c r="BH164" s="35" t="s">
        <v>1319</v>
      </c>
    </row>
    <row r="165" spans="1:60" x14ac:dyDescent="0.3">
      <c r="A165" s="6" t="str">
        <f t="shared" si="3"/>
        <v>000138</v>
      </c>
      <c r="B165" s="35" t="s">
        <v>43</v>
      </c>
      <c r="C165" s="35" t="s">
        <v>396</v>
      </c>
      <c r="D165" s="35" t="s">
        <v>206</v>
      </c>
      <c r="E165" s="35" t="s">
        <v>154</v>
      </c>
      <c r="F165" s="35" t="s">
        <v>155</v>
      </c>
      <c r="G165" s="35" t="s">
        <v>154</v>
      </c>
      <c r="H165" s="35" t="s">
        <v>155</v>
      </c>
      <c r="I165" s="35" t="s">
        <v>1531</v>
      </c>
      <c r="J165" s="35" t="s">
        <v>47</v>
      </c>
      <c r="K165" s="35" t="s">
        <v>1515</v>
      </c>
      <c r="L165" s="35" t="s">
        <v>205</v>
      </c>
      <c r="M165" s="126">
        <v>5</v>
      </c>
      <c r="N165" s="123">
        <v>45937</v>
      </c>
      <c r="O165" s="123">
        <v>46049</v>
      </c>
      <c r="P165" s="38">
        <v>94722</v>
      </c>
      <c r="Q165" s="38">
        <v>107000</v>
      </c>
      <c r="R165" s="126">
        <v>0</v>
      </c>
      <c r="S165" s="126">
        <v>16</v>
      </c>
      <c r="T165" s="35" t="s">
        <v>95</v>
      </c>
      <c r="U165" s="38">
        <v>8132.0700000000006</v>
      </c>
      <c r="V165" s="38">
        <v>0</v>
      </c>
      <c r="W165" s="38">
        <v>0</v>
      </c>
      <c r="X165" s="38">
        <v>3</v>
      </c>
      <c r="Y165" s="38">
        <v>0</v>
      </c>
      <c r="Z165" s="38">
        <v>86937.5</v>
      </c>
      <c r="AA165" s="38">
        <v>0</v>
      </c>
      <c r="AB165" s="38">
        <v>0</v>
      </c>
      <c r="AC165" s="38">
        <v>0</v>
      </c>
      <c r="AD165" s="38">
        <v>0</v>
      </c>
      <c r="AE165" s="38">
        <v>8137</v>
      </c>
      <c r="AF165" s="123">
        <v>45957</v>
      </c>
      <c r="AG165" s="35" t="s">
        <v>96</v>
      </c>
      <c r="AH165" s="35"/>
      <c r="AI165" s="35"/>
      <c r="AJ165" s="35"/>
      <c r="AK165" s="35"/>
      <c r="AL165" s="35"/>
      <c r="AM165" s="35"/>
      <c r="AN165" s="35"/>
      <c r="AO165" s="35"/>
      <c r="AQ165" s="35"/>
      <c r="AR165" s="38">
        <v>105702.14</v>
      </c>
      <c r="AS165" s="38">
        <v>14.786000000000001</v>
      </c>
      <c r="AT165" s="35">
        <v>0</v>
      </c>
      <c r="AU165" s="35">
        <v>0</v>
      </c>
      <c r="AV165" s="35" t="s">
        <v>47</v>
      </c>
      <c r="AW165" s="35" t="s">
        <v>52</v>
      </c>
      <c r="AX165" s="35" t="s">
        <v>1548</v>
      </c>
      <c r="AY165" s="35" t="s">
        <v>98</v>
      </c>
      <c r="AZ165" s="35" t="s">
        <v>99</v>
      </c>
      <c r="BA165" s="35" t="s">
        <v>42</v>
      </c>
      <c r="BB165" s="38"/>
      <c r="BC165" s="38">
        <v>5.7859999999999996</v>
      </c>
      <c r="BD165" s="35" t="s">
        <v>146</v>
      </c>
      <c r="BE165" s="35" t="s">
        <v>1178</v>
      </c>
      <c r="BF165" s="35">
        <v>0</v>
      </c>
      <c r="BG165" s="38">
        <v>0</v>
      </c>
      <c r="BH165" s="35" t="s">
        <v>1319</v>
      </c>
    </row>
    <row r="166" spans="1:60" x14ac:dyDescent="0.3">
      <c r="A166" s="6" t="str">
        <f t="shared" si="3"/>
        <v>000074</v>
      </c>
      <c r="B166" s="35" t="s">
        <v>43</v>
      </c>
      <c r="C166" s="35" t="s">
        <v>42</v>
      </c>
      <c r="D166" s="35" t="s">
        <v>1526</v>
      </c>
      <c r="E166" s="35" t="s">
        <v>663</v>
      </c>
      <c r="F166" s="35" t="s">
        <v>664</v>
      </c>
      <c r="G166" s="35" t="s">
        <v>663</v>
      </c>
      <c r="H166" s="35" t="s">
        <v>664</v>
      </c>
      <c r="I166" s="35" t="s">
        <v>978</v>
      </c>
      <c r="J166" s="35" t="s">
        <v>47</v>
      </c>
      <c r="K166" s="35" t="s">
        <v>936</v>
      </c>
      <c r="L166" s="35" t="s">
        <v>205</v>
      </c>
      <c r="M166" s="126">
        <v>7</v>
      </c>
      <c r="N166" s="123">
        <v>45911</v>
      </c>
      <c r="O166" s="123">
        <v>46023</v>
      </c>
      <c r="P166" s="38">
        <v>88891</v>
      </c>
      <c r="Q166" s="38">
        <v>101000</v>
      </c>
      <c r="R166" s="126">
        <v>0</v>
      </c>
      <c r="S166" s="126">
        <v>16</v>
      </c>
      <c r="T166" s="35" t="s">
        <v>95</v>
      </c>
      <c r="U166" s="38">
        <v>7676.07</v>
      </c>
      <c r="V166" s="38">
        <v>0</v>
      </c>
      <c r="W166" s="38">
        <v>0</v>
      </c>
      <c r="X166" s="38">
        <v>7</v>
      </c>
      <c r="Y166" s="38">
        <v>0</v>
      </c>
      <c r="Z166" s="38">
        <v>56812.959999999999</v>
      </c>
      <c r="AA166" s="38">
        <v>0.47133333333333299</v>
      </c>
      <c r="AB166" s="38">
        <v>0</v>
      </c>
      <c r="AC166" s="38">
        <v>0</v>
      </c>
      <c r="AD166" s="38">
        <v>0</v>
      </c>
      <c r="AE166" s="38">
        <v>7676</v>
      </c>
      <c r="AF166" s="123">
        <v>45959</v>
      </c>
      <c r="AG166" s="35" t="s">
        <v>96</v>
      </c>
      <c r="AH166" s="35"/>
      <c r="AI166" s="35"/>
      <c r="AJ166" s="35"/>
      <c r="AK166" s="35"/>
      <c r="AL166" s="35"/>
      <c r="AM166" s="35"/>
      <c r="AN166" s="35"/>
      <c r="AO166" s="35"/>
      <c r="AQ166" s="35"/>
      <c r="AR166" s="38">
        <v>69085.08</v>
      </c>
      <c r="AS166" s="38">
        <v>0</v>
      </c>
      <c r="AT166" s="35">
        <v>0</v>
      </c>
      <c r="AU166" s="35">
        <v>0</v>
      </c>
      <c r="AV166" s="35" t="s">
        <v>47</v>
      </c>
      <c r="AW166" s="35" t="s">
        <v>52</v>
      </c>
      <c r="AX166" s="35"/>
      <c r="AY166" s="35" t="s">
        <v>98</v>
      </c>
      <c r="AZ166" s="35" t="s">
        <v>99</v>
      </c>
      <c r="BA166" s="35" t="s">
        <v>42</v>
      </c>
      <c r="BB166" s="38"/>
      <c r="BC166" s="38">
        <v>5.7859999999999996</v>
      </c>
      <c r="BD166" s="35" t="s">
        <v>197</v>
      </c>
      <c r="BE166" s="35" t="s">
        <v>125</v>
      </c>
      <c r="BF166" s="35">
        <v>0</v>
      </c>
      <c r="BG166" s="38">
        <v>0</v>
      </c>
      <c r="BH166" s="35" t="s">
        <v>1319</v>
      </c>
    </row>
    <row r="167" spans="1:60" x14ac:dyDescent="0.3">
      <c r="A167" s="6" t="str">
        <f t="shared" si="3"/>
        <v>000203</v>
      </c>
      <c r="B167" s="35" t="s">
        <v>43</v>
      </c>
      <c r="C167" s="35" t="s">
        <v>42</v>
      </c>
      <c r="D167" s="35" t="s">
        <v>1526</v>
      </c>
      <c r="E167" s="35" t="s">
        <v>148</v>
      </c>
      <c r="F167" s="35" t="s">
        <v>149</v>
      </c>
      <c r="G167" s="35" t="s">
        <v>148</v>
      </c>
      <c r="H167" s="35" t="s">
        <v>149</v>
      </c>
      <c r="I167" s="35" t="s">
        <v>2131</v>
      </c>
      <c r="J167" s="35" t="s">
        <v>47</v>
      </c>
      <c r="K167" s="35" t="s">
        <v>2132</v>
      </c>
      <c r="L167" s="35" t="s">
        <v>205</v>
      </c>
      <c r="M167" s="126">
        <v>5</v>
      </c>
      <c r="N167" s="123">
        <v>45961</v>
      </c>
      <c r="O167" s="123">
        <v>46073</v>
      </c>
      <c r="P167" s="38">
        <v>77699</v>
      </c>
      <c r="Q167" s="38">
        <v>88000</v>
      </c>
      <c r="R167" s="126">
        <v>0</v>
      </c>
      <c r="S167" s="126">
        <v>16</v>
      </c>
      <c r="T167" s="35" t="s">
        <v>95</v>
      </c>
      <c r="U167" s="38">
        <v>6688.06</v>
      </c>
      <c r="V167" s="38">
        <v>0</v>
      </c>
      <c r="W167" s="38">
        <v>0</v>
      </c>
      <c r="X167" s="38">
        <v>0</v>
      </c>
      <c r="Y167" s="38">
        <v>0</v>
      </c>
      <c r="Z167" s="38">
        <v>88000</v>
      </c>
      <c r="AA167" s="38">
        <v>0</v>
      </c>
      <c r="AB167" s="38">
        <v>0</v>
      </c>
      <c r="AC167" s="38">
        <v>0</v>
      </c>
      <c r="AD167" s="38">
        <v>0</v>
      </c>
      <c r="AE167" s="38"/>
      <c r="AF167" s="123"/>
      <c r="AG167" s="35" t="s">
        <v>96</v>
      </c>
      <c r="AH167" s="35"/>
      <c r="AI167" s="35"/>
      <c r="AJ167" s="35"/>
      <c r="AK167" s="35"/>
      <c r="AL167" s="35"/>
      <c r="AM167" s="35"/>
      <c r="AN167" s="35"/>
      <c r="AO167" s="35"/>
      <c r="AQ167" s="35"/>
      <c r="AR167" s="38">
        <v>107008.94</v>
      </c>
      <c r="AS167" s="38">
        <v>0</v>
      </c>
      <c r="AT167" s="35">
        <v>0</v>
      </c>
      <c r="AU167" s="35">
        <v>0</v>
      </c>
      <c r="AV167" s="35" t="s">
        <v>47</v>
      </c>
      <c r="AW167" s="35" t="s">
        <v>52</v>
      </c>
      <c r="AX167" s="35"/>
      <c r="AY167" s="35" t="s">
        <v>98</v>
      </c>
      <c r="AZ167" s="35" t="s">
        <v>99</v>
      </c>
      <c r="BA167" s="35" t="s">
        <v>42</v>
      </c>
      <c r="BB167" s="38"/>
      <c r="BC167" s="38">
        <v>5.7859999999999996</v>
      </c>
      <c r="BD167" s="35" t="s">
        <v>168</v>
      </c>
      <c r="BE167" s="35" t="s">
        <v>198</v>
      </c>
      <c r="BF167" s="35">
        <v>0</v>
      </c>
      <c r="BG167" s="38"/>
      <c r="BH167" s="35" t="s">
        <v>1320</v>
      </c>
    </row>
    <row r="168" spans="1:60" x14ac:dyDescent="0.3">
      <c r="A168" s="6" t="str">
        <f t="shared" si="3"/>
        <v>000206</v>
      </c>
      <c r="B168" s="35" t="s">
        <v>43</v>
      </c>
      <c r="C168" s="35" t="s">
        <v>396</v>
      </c>
      <c r="D168" s="35" t="s">
        <v>206</v>
      </c>
      <c r="E168" s="35" t="s">
        <v>154</v>
      </c>
      <c r="F168" s="35" t="s">
        <v>155</v>
      </c>
      <c r="G168" s="35" t="s">
        <v>154</v>
      </c>
      <c r="H168" s="35" t="s">
        <v>155</v>
      </c>
      <c r="I168" s="35" t="s">
        <v>2139</v>
      </c>
      <c r="J168" s="35" t="s">
        <v>47</v>
      </c>
      <c r="K168" s="35" t="s">
        <v>2140</v>
      </c>
      <c r="L168" s="35" t="s">
        <v>205</v>
      </c>
      <c r="M168" s="126">
        <v>6</v>
      </c>
      <c r="N168" s="123">
        <v>45961</v>
      </c>
      <c r="O168" s="123">
        <v>46073</v>
      </c>
      <c r="P168" s="38">
        <v>44376</v>
      </c>
      <c r="Q168" s="38">
        <v>51000</v>
      </c>
      <c r="R168" s="126">
        <v>0</v>
      </c>
      <c r="S168" s="126">
        <v>16</v>
      </c>
      <c r="T168" s="35" t="s">
        <v>95</v>
      </c>
      <c r="U168" s="38">
        <v>3876.03</v>
      </c>
      <c r="V168" s="38">
        <v>0</v>
      </c>
      <c r="W168" s="38">
        <v>0</v>
      </c>
      <c r="X168" s="38">
        <v>0</v>
      </c>
      <c r="Y168" s="38">
        <v>0</v>
      </c>
      <c r="Z168" s="38">
        <v>51000</v>
      </c>
      <c r="AA168" s="38">
        <v>0</v>
      </c>
      <c r="AB168" s="38">
        <v>0</v>
      </c>
      <c r="AC168" s="38">
        <v>0</v>
      </c>
      <c r="AD168" s="38">
        <v>0</v>
      </c>
      <c r="AE168" s="38"/>
      <c r="AF168" s="123"/>
      <c r="AG168" s="35" t="s">
        <v>96</v>
      </c>
      <c r="AH168" s="35"/>
      <c r="AI168" s="35"/>
      <c r="AJ168" s="35"/>
      <c r="AK168" s="35"/>
      <c r="AL168" s="35"/>
      <c r="AM168" s="35"/>
      <c r="AN168" s="35"/>
      <c r="AO168" s="35"/>
      <c r="AQ168" s="35"/>
      <c r="AR168" s="38">
        <v>62016.54</v>
      </c>
      <c r="AS168" s="38">
        <v>0</v>
      </c>
      <c r="AT168" s="35">
        <v>0</v>
      </c>
      <c r="AU168" s="35">
        <v>0</v>
      </c>
      <c r="AV168" s="35" t="s">
        <v>47</v>
      </c>
      <c r="AW168" s="35" t="s">
        <v>52</v>
      </c>
      <c r="AX168" s="35" t="s">
        <v>2153</v>
      </c>
      <c r="AY168" s="35" t="s">
        <v>98</v>
      </c>
      <c r="AZ168" s="35" t="s">
        <v>99</v>
      </c>
      <c r="BA168" s="35" t="s">
        <v>42</v>
      </c>
      <c r="BB168" s="38"/>
      <c r="BC168" s="38">
        <v>5.7859999999999996</v>
      </c>
      <c r="BD168" s="35" t="s">
        <v>168</v>
      </c>
      <c r="BE168" s="35" t="s">
        <v>198</v>
      </c>
      <c r="BF168" s="35">
        <v>0</v>
      </c>
      <c r="BG168" s="38"/>
      <c r="BH168" s="35" t="s">
        <v>1320</v>
      </c>
    </row>
    <row r="169" spans="1:60" x14ac:dyDescent="0.3">
      <c r="A169" s="6" t="str">
        <f t="shared" si="3"/>
        <v>000112</v>
      </c>
      <c r="B169" s="35" t="s">
        <v>49</v>
      </c>
      <c r="C169" s="35" t="s">
        <v>388</v>
      </c>
      <c r="D169" s="35" t="s">
        <v>207</v>
      </c>
      <c r="E169" s="35" t="s">
        <v>188</v>
      </c>
      <c r="F169" s="35" t="s">
        <v>190</v>
      </c>
      <c r="G169" s="35" t="s">
        <v>188</v>
      </c>
      <c r="H169" s="35" t="s">
        <v>190</v>
      </c>
      <c r="I169" s="35" t="s">
        <v>1312</v>
      </c>
      <c r="J169" s="35" t="s">
        <v>47</v>
      </c>
      <c r="K169" s="35" t="s">
        <v>1201</v>
      </c>
      <c r="L169" s="35" t="s">
        <v>205</v>
      </c>
      <c r="M169" s="126">
        <v>5</v>
      </c>
      <c r="N169" s="123">
        <v>45925</v>
      </c>
      <c r="O169" s="123">
        <v>46038</v>
      </c>
      <c r="P169" s="38">
        <v>37430</v>
      </c>
      <c r="Q169" s="38">
        <v>43000</v>
      </c>
      <c r="R169" s="126">
        <v>0</v>
      </c>
      <c r="S169" s="126">
        <v>16</v>
      </c>
      <c r="T169" s="35" t="s">
        <v>95</v>
      </c>
      <c r="U169" s="38">
        <v>3268.03</v>
      </c>
      <c r="V169" s="38">
        <v>0</v>
      </c>
      <c r="W169" s="38">
        <v>0</v>
      </c>
      <c r="X169" s="38">
        <v>5</v>
      </c>
      <c r="Y169" s="38">
        <v>0</v>
      </c>
      <c r="Z169" s="38">
        <v>29562.5</v>
      </c>
      <c r="AA169" s="38">
        <v>0</v>
      </c>
      <c r="AB169" s="38">
        <v>0</v>
      </c>
      <c r="AC169" s="38">
        <v>0</v>
      </c>
      <c r="AD169" s="38">
        <v>0</v>
      </c>
      <c r="AE169" s="38">
        <v>3269</v>
      </c>
      <c r="AF169" s="123">
        <v>45960</v>
      </c>
      <c r="AG169" s="35" t="s">
        <v>96</v>
      </c>
      <c r="AH169" s="35"/>
      <c r="AI169" s="35"/>
      <c r="AJ169" s="35"/>
      <c r="AK169" s="35"/>
      <c r="AL169" s="35"/>
      <c r="AM169" s="35"/>
      <c r="AN169" s="35"/>
      <c r="AO169" s="35"/>
      <c r="AQ169" s="35"/>
      <c r="AR169" s="38">
        <v>35947.46</v>
      </c>
      <c r="AS169" s="38">
        <v>0.85666666666666702</v>
      </c>
      <c r="AT169" s="35">
        <v>0</v>
      </c>
      <c r="AU169" s="35">
        <v>0</v>
      </c>
      <c r="AV169" s="35" t="s">
        <v>47</v>
      </c>
      <c r="AW169" s="35" t="s">
        <v>52</v>
      </c>
      <c r="AX169" s="35" t="s">
        <v>1313</v>
      </c>
      <c r="AY169" s="35" t="s">
        <v>1314</v>
      </c>
      <c r="AZ169" s="35" t="s">
        <v>99</v>
      </c>
      <c r="BA169" s="35" t="s">
        <v>1315</v>
      </c>
      <c r="BB169" s="38"/>
      <c r="BC169" s="38">
        <v>5.7859999999999996</v>
      </c>
      <c r="BD169" s="35" t="s">
        <v>168</v>
      </c>
      <c r="BE169" s="35" t="s">
        <v>1178</v>
      </c>
      <c r="BF169" s="35">
        <v>0</v>
      </c>
      <c r="BG169" s="38">
        <v>0</v>
      </c>
      <c r="BH169" s="35" t="s">
        <v>1319</v>
      </c>
    </row>
    <row r="170" spans="1:60" x14ac:dyDescent="0.3">
      <c r="A170" s="6" t="str">
        <f t="shared" si="3"/>
        <v>000020</v>
      </c>
      <c r="B170" s="35" t="s">
        <v>43</v>
      </c>
      <c r="C170" s="35" t="s">
        <v>424</v>
      </c>
      <c r="D170" s="35" t="s">
        <v>204</v>
      </c>
      <c r="E170" s="35" t="s">
        <v>39</v>
      </c>
      <c r="F170" s="35" t="s">
        <v>40</v>
      </c>
      <c r="G170" s="35" t="s">
        <v>39</v>
      </c>
      <c r="H170" s="35" t="s">
        <v>40</v>
      </c>
      <c r="I170" s="35" t="s">
        <v>425</v>
      </c>
      <c r="J170" s="35" t="s">
        <v>47</v>
      </c>
      <c r="K170" s="35" t="s">
        <v>394</v>
      </c>
      <c r="L170" s="35" t="s">
        <v>205</v>
      </c>
      <c r="M170" s="126">
        <v>6</v>
      </c>
      <c r="N170" s="123">
        <v>45889</v>
      </c>
      <c r="O170" s="123">
        <v>46001</v>
      </c>
      <c r="P170" s="38">
        <v>159779</v>
      </c>
      <c r="Q170" s="38">
        <v>180000</v>
      </c>
      <c r="R170" s="126">
        <v>0</v>
      </c>
      <c r="S170" s="126">
        <v>16</v>
      </c>
      <c r="T170" s="35" t="s">
        <v>95</v>
      </c>
      <c r="U170" s="38">
        <v>13680.12</v>
      </c>
      <c r="V170" s="38">
        <v>0</v>
      </c>
      <c r="W170" s="38">
        <v>0</v>
      </c>
      <c r="X170" s="38">
        <v>10</v>
      </c>
      <c r="Y170" s="38">
        <v>0</v>
      </c>
      <c r="Z170" s="38">
        <v>67500.009999999995</v>
      </c>
      <c r="AA170" s="38">
        <v>0</v>
      </c>
      <c r="AB170" s="38">
        <v>0</v>
      </c>
      <c r="AC170" s="38">
        <v>0</v>
      </c>
      <c r="AD170" s="38">
        <v>0</v>
      </c>
      <c r="AE170" s="38">
        <v>13680.12</v>
      </c>
      <c r="AF170" s="123">
        <v>45958</v>
      </c>
      <c r="AG170" s="35" t="s">
        <v>96</v>
      </c>
      <c r="AH170" s="35"/>
      <c r="AI170" s="35"/>
      <c r="AJ170" s="35"/>
      <c r="AK170" s="35"/>
      <c r="AL170" s="35"/>
      <c r="AM170" s="35"/>
      <c r="AN170" s="35"/>
      <c r="AO170" s="35"/>
      <c r="AQ170" s="35"/>
      <c r="AR170" s="38">
        <v>82080.72</v>
      </c>
      <c r="AS170" s="38">
        <v>0</v>
      </c>
      <c r="AT170" s="35">
        <v>0</v>
      </c>
      <c r="AU170" s="35">
        <v>0</v>
      </c>
      <c r="AV170" s="35" t="s">
        <v>47</v>
      </c>
      <c r="AW170" s="35" t="s">
        <v>52</v>
      </c>
      <c r="AX170" s="35" t="s">
        <v>426</v>
      </c>
      <c r="AY170" s="35" t="s">
        <v>98</v>
      </c>
      <c r="AZ170" s="35" t="s">
        <v>99</v>
      </c>
      <c r="BA170" s="35" t="s">
        <v>42</v>
      </c>
      <c r="BB170" s="38"/>
      <c r="BC170" s="38">
        <v>5.7859999999999996</v>
      </c>
      <c r="BD170" s="35" t="s">
        <v>124</v>
      </c>
      <c r="BE170" s="35" t="s">
        <v>427</v>
      </c>
      <c r="BF170" s="35">
        <v>0</v>
      </c>
      <c r="BG170" s="38">
        <v>0</v>
      </c>
      <c r="BH170" s="35" t="s">
        <v>1319</v>
      </c>
    </row>
    <row r="171" spans="1:60" x14ac:dyDescent="0.3">
      <c r="A171" s="6" t="str">
        <f t="shared" si="3"/>
        <v>000004</v>
      </c>
      <c r="B171" s="35" t="s">
        <v>43</v>
      </c>
      <c r="C171" s="35" t="s">
        <v>396</v>
      </c>
      <c r="D171" s="35" t="s">
        <v>206</v>
      </c>
      <c r="E171" s="35" t="s">
        <v>143</v>
      </c>
      <c r="F171" s="35" t="s">
        <v>144</v>
      </c>
      <c r="G171" s="35" t="s">
        <v>143</v>
      </c>
      <c r="H171" s="35" t="s">
        <v>144</v>
      </c>
      <c r="I171" s="35" t="s">
        <v>145</v>
      </c>
      <c r="J171" s="35" t="s">
        <v>47</v>
      </c>
      <c r="K171" s="35" t="s">
        <v>108</v>
      </c>
      <c r="L171" s="35" t="s">
        <v>205</v>
      </c>
      <c r="M171" s="126">
        <v>6</v>
      </c>
      <c r="N171" s="123">
        <v>45877</v>
      </c>
      <c r="O171" s="123">
        <v>45993</v>
      </c>
      <c r="P171" s="38">
        <v>130200</v>
      </c>
      <c r="Q171" s="38">
        <v>147000</v>
      </c>
      <c r="R171" s="126">
        <v>0</v>
      </c>
      <c r="S171" s="126">
        <v>16</v>
      </c>
      <c r="T171" s="35" t="s">
        <v>95</v>
      </c>
      <c r="U171" s="38">
        <v>11172.1</v>
      </c>
      <c r="V171" s="38">
        <v>0</v>
      </c>
      <c r="W171" s="38">
        <v>0</v>
      </c>
      <c r="X171" s="38">
        <v>11</v>
      </c>
      <c r="Y171" s="38">
        <v>0</v>
      </c>
      <c r="Z171" s="38">
        <v>0</v>
      </c>
      <c r="AA171" s="38">
        <v>0</v>
      </c>
      <c r="AB171" s="38">
        <v>0</v>
      </c>
      <c r="AC171" s="38">
        <v>0</v>
      </c>
      <c r="AD171" s="38">
        <v>0</v>
      </c>
      <c r="AE171" s="38">
        <v>89381.19</v>
      </c>
      <c r="AF171" s="123">
        <v>45940</v>
      </c>
      <c r="AG171" s="35" t="s">
        <v>1681</v>
      </c>
      <c r="AH171" s="35"/>
      <c r="AI171" s="35"/>
      <c r="AJ171" s="35"/>
      <c r="AK171" s="35"/>
      <c r="AL171" s="35"/>
      <c r="AM171" s="35"/>
      <c r="AN171" s="35"/>
      <c r="AO171" s="35"/>
      <c r="AQ171" s="35"/>
      <c r="AR171" s="38">
        <v>-2726.2400000000002</v>
      </c>
      <c r="AS171" s="38">
        <v>58586.732000000004</v>
      </c>
      <c r="AT171" s="35">
        <v>1</v>
      </c>
      <c r="AU171" s="35">
        <v>1</v>
      </c>
      <c r="AV171" s="35" t="s">
        <v>47</v>
      </c>
      <c r="AW171" s="35" t="s">
        <v>52</v>
      </c>
      <c r="AX171" s="35" t="s">
        <v>1682</v>
      </c>
      <c r="AY171" s="35" t="s">
        <v>98</v>
      </c>
      <c r="AZ171" s="35" t="s">
        <v>99</v>
      </c>
      <c r="BA171" s="35" t="s">
        <v>42</v>
      </c>
      <c r="BB171" s="38"/>
      <c r="BC171" s="38">
        <v>5.7859999999999996</v>
      </c>
      <c r="BD171" s="35" t="s">
        <v>146</v>
      </c>
      <c r="BE171" s="35" t="s">
        <v>147</v>
      </c>
      <c r="BF171" s="35">
        <v>0</v>
      </c>
      <c r="BG171" s="38">
        <v>0</v>
      </c>
      <c r="BH171" s="35" t="s">
        <v>1320</v>
      </c>
    </row>
    <row r="172" spans="1:60" x14ac:dyDescent="0.3">
      <c r="A172" s="6" t="str">
        <f t="shared" si="3"/>
        <v>000015</v>
      </c>
      <c r="B172" s="35" t="s">
        <v>43</v>
      </c>
      <c r="C172" s="35" t="s">
        <v>396</v>
      </c>
      <c r="D172" s="35" t="s">
        <v>206</v>
      </c>
      <c r="E172" s="35" t="s">
        <v>143</v>
      </c>
      <c r="F172" s="35" t="s">
        <v>144</v>
      </c>
      <c r="G172" s="35" t="s">
        <v>143</v>
      </c>
      <c r="H172" s="35" t="s">
        <v>144</v>
      </c>
      <c r="I172" s="35" t="s">
        <v>194</v>
      </c>
      <c r="J172" s="35" t="s">
        <v>47</v>
      </c>
      <c r="K172" s="35" t="s">
        <v>104</v>
      </c>
      <c r="L172" s="35" t="s">
        <v>205</v>
      </c>
      <c r="M172" s="126">
        <v>6</v>
      </c>
      <c r="N172" s="123">
        <v>45883</v>
      </c>
      <c r="O172" s="123">
        <v>45995</v>
      </c>
      <c r="P172" s="38">
        <v>52476</v>
      </c>
      <c r="Q172" s="38">
        <v>60000</v>
      </c>
      <c r="R172" s="126">
        <v>0</v>
      </c>
      <c r="S172" s="126">
        <v>16</v>
      </c>
      <c r="T172" s="35" t="s">
        <v>95</v>
      </c>
      <c r="U172" s="38">
        <v>4560.04</v>
      </c>
      <c r="V172" s="38">
        <v>0</v>
      </c>
      <c r="W172" s="38">
        <v>0</v>
      </c>
      <c r="X172" s="38">
        <v>11</v>
      </c>
      <c r="Y172" s="38">
        <v>0</v>
      </c>
      <c r="Z172" s="38">
        <v>18750</v>
      </c>
      <c r="AA172" s="38">
        <v>0</v>
      </c>
      <c r="AB172" s="38">
        <v>0</v>
      </c>
      <c r="AC172" s="38">
        <v>0</v>
      </c>
      <c r="AD172" s="38">
        <v>0</v>
      </c>
      <c r="AE172" s="38">
        <v>4560</v>
      </c>
      <c r="AF172" s="123">
        <v>45958</v>
      </c>
      <c r="AG172" s="35" t="s">
        <v>96</v>
      </c>
      <c r="AH172" s="35"/>
      <c r="AI172" s="35"/>
      <c r="AJ172" s="35"/>
      <c r="AK172" s="35"/>
      <c r="AL172" s="35"/>
      <c r="AM172" s="35"/>
      <c r="AN172" s="35"/>
      <c r="AO172" s="35"/>
      <c r="AQ172" s="35"/>
      <c r="AR172" s="38">
        <v>22797.600000000002</v>
      </c>
      <c r="AS172" s="38">
        <v>2.6</v>
      </c>
      <c r="AT172" s="35">
        <v>0</v>
      </c>
      <c r="AU172" s="35">
        <v>0</v>
      </c>
      <c r="AV172" s="35" t="s">
        <v>47</v>
      </c>
      <c r="AW172" s="35" t="s">
        <v>52</v>
      </c>
      <c r="AX172" s="35" t="s">
        <v>742</v>
      </c>
      <c r="AY172" s="35" t="s">
        <v>98</v>
      </c>
      <c r="AZ172" s="35" t="s">
        <v>99</v>
      </c>
      <c r="BA172" s="35" t="s">
        <v>42</v>
      </c>
      <c r="BB172" s="38"/>
      <c r="BC172" s="38">
        <v>5.7859999999999996</v>
      </c>
      <c r="BD172" s="35" t="s">
        <v>197</v>
      </c>
      <c r="BE172" s="35" t="s">
        <v>200</v>
      </c>
      <c r="BF172" s="35">
        <v>0</v>
      </c>
      <c r="BG172" s="38">
        <v>0</v>
      </c>
      <c r="BH172" s="35" t="s">
        <v>1319</v>
      </c>
    </row>
    <row r="173" spans="1:60" x14ac:dyDescent="0.3">
      <c r="A173" s="6" t="str">
        <f t="shared" si="3"/>
        <v>000207</v>
      </c>
      <c r="B173" s="35" t="s">
        <v>49</v>
      </c>
      <c r="C173" s="35" t="s">
        <v>388</v>
      </c>
      <c r="D173" s="35" t="s">
        <v>207</v>
      </c>
      <c r="E173" s="35" t="s">
        <v>170</v>
      </c>
      <c r="F173" s="35" t="s">
        <v>171</v>
      </c>
      <c r="G173" s="35" t="s">
        <v>170</v>
      </c>
      <c r="H173" s="35" t="s">
        <v>171</v>
      </c>
      <c r="I173" s="35" t="s">
        <v>2147</v>
      </c>
      <c r="J173" s="35" t="s">
        <v>47</v>
      </c>
      <c r="K173" s="35" t="s">
        <v>1998</v>
      </c>
      <c r="L173" s="35" t="s">
        <v>262</v>
      </c>
      <c r="M173" s="126">
        <v>8</v>
      </c>
      <c r="N173" s="123">
        <v>45961</v>
      </c>
      <c r="O173" s="123">
        <v>46073</v>
      </c>
      <c r="P173" s="38">
        <v>69968</v>
      </c>
      <c r="Q173" s="38">
        <v>80000</v>
      </c>
      <c r="R173" s="126">
        <v>0</v>
      </c>
      <c r="S173" s="126">
        <v>16</v>
      </c>
      <c r="T173" s="35" t="s">
        <v>95</v>
      </c>
      <c r="U173" s="38">
        <v>6400</v>
      </c>
      <c r="V173" s="38">
        <v>0</v>
      </c>
      <c r="W173" s="38">
        <v>0</v>
      </c>
      <c r="X173" s="38">
        <v>0</v>
      </c>
      <c r="Y173" s="38">
        <v>0</v>
      </c>
      <c r="Z173" s="38">
        <v>80000</v>
      </c>
      <c r="AA173" s="38">
        <v>0</v>
      </c>
      <c r="AB173" s="38">
        <v>0</v>
      </c>
      <c r="AC173" s="38">
        <v>0</v>
      </c>
      <c r="AD173" s="38">
        <v>0</v>
      </c>
      <c r="AE173" s="38"/>
      <c r="AF173" s="123"/>
      <c r="AG173" s="35" t="s">
        <v>96</v>
      </c>
      <c r="AH173" s="35"/>
      <c r="AI173" s="35"/>
      <c r="AJ173" s="35"/>
      <c r="AK173" s="35"/>
      <c r="AL173" s="35"/>
      <c r="AM173" s="35"/>
      <c r="AN173" s="35"/>
      <c r="AO173" s="35"/>
      <c r="AQ173" s="35"/>
      <c r="AR173" s="38">
        <v>102400</v>
      </c>
      <c r="AS173" s="38">
        <v>0</v>
      </c>
      <c r="AT173" s="35">
        <v>0</v>
      </c>
      <c r="AU173" s="35">
        <v>0</v>
      </c>
      <c r="AV173" s="35" t="s">
        <v>47</v>
      </c>
      <c r="AW173" s="35" t="s">
        <v>52</v>
      </c>
      <c r="AX173" s="35" t="s">
        <v>2154</v>
      </c>
      <c r="AY173" s="35" t="s">
        <v>98</v>
      </c>
      <c r="AZ173" s="35" t="s">
        <v>99</v>
      </c>
      <c r="BA173" s="35" t="s">
        <v>42</v>
      </c>
      <c r="BB173" s="38"/>
      <c r="BC173" s="38">
        <v>7.5</v>
      </c>
      <c r="BD173" s="35" t="s">
        <v>168</v>
      </c>
      <c r="BE173" s="35" t="s">
        <v>127</v>
      </c>
      <c r="BF173" s="35">
        <v>0</v>
      </c>
      <c r="BG173" s="38"/>
      <c r="BH173" s="35" t="s">
        <v>1319</v>
      </c>
    </row>
    <row r="174" spans="1:60" x14ac:dyDescent="0.3">
      <c r="A174" s="6" t="str">
        <f t="shared" si="3"/>
        <v>000185</v>
      </c>
      <c r="B174" s="35" t="s">
        <v>49</v>
      </c>
      <c r="C174" s="35" t="s">
        <v>388</v>
      </c>
      <c r="D174" s="35" t="s">
        <v>207</v>
      </c>
      <c r="E174" s="35" t="s">
        <v>1145</v>
      </c>
      <c r="F174" s="35" t="s">
        <v>1840</v>
      </c>
      <c r="G174" s="35" t="s">
        <v>1145</v>
      </c>
      <c r="H174" s="35" t="s">
        <v>1840</v>
      </c>
      <c r="I174" s="35" t="s">
        <v>1915</v>
      </c>
      <c r="J174" s="35" t="s">
        <v>47</v>
      </c>
      <c r="K174" s="35" t="s">
        <v>1916</v>
      </c>
      <c r="L174" s="35" t="s">
        <v>205</v>
      </c>
      <c r="M174" s="126">
        <v>5</v>
      </c>
      <c r="N174" s="123">
        <v>45954</v>
      </c>
      <c r="O174" s="123">
        <v>46066</v>
      </c>
      <c r="P174" s="38">
        <v>224523</v>
      </c>
      <c r="Q174" s="38">
        <v>252000</v>
      </c>
      <c r="R174" s="126">
        <v>0</v>
      </c>
      <c r="S174" s="126">
        <v>16</v>
      </c>
      <c r="T174" s="35" t="s">
        <v>95</v>
      </c>
      <c r="U174" s="38">
        <v>19152.170000000002</v>
      </c>
      <c r="V174" s="38">
        <v>0</v>
      </c>
      <c r="W174" s="38">
        <v>0</v>
      </c>
      <c r="X174" s="38">
        <v>1</v>
      </c>
      <c r="Y174" s="38">
        <v>1</v>
      </c>
      <c r="Z174" s="38">
        <v>252000</v>
      </c>
      <c r="AA174" s="38">
        <v>19152.167999999998</v>
      </c>
      <c r="AB174" s="38">
        <v>469.26</v>
      </c>
      <c r="AC174" s="38">
        <v>0</v>
      </c>
      <c r="AD174" s="38">
        <v>0</v>
      </c>
      <c r="AE174" s="38"/>
      <c r="AF174" s="123"/>
      <c r="AG174" s="35" t="s">
        <v>96</v>
      </c>
      <c r="AH174" s="35"/>
      <c r="AI174" s="35"/>
      <c r="AJ174" s="35"/>
      <c r="AK174" s="35"/>
      <c r="AL174" s="35"/>
      <c r="AM174" s="35"/>
      <c r="AN174" s="35"/>
      <c r="AO174" s="35"/>
      <c r="AQ174" s="35"/>
      <c r="AR174" s="38">
        <v>306434.69</v>
      </c>
      <c r="AS174" s="38">
        <v>0</v>
      </c>
      <c r="AT174" s="35">
        <v>1</v>
      </c>
      <c r="AU174" s="35">
        <v>1</v>
      </c>
      <c r="AV174" s="35" t="s">
        <v>47</v>
      </c>
      <c r="AW174" s="35" t="s">
        <v>52</v>
      </c>
      <c r="AX174" s="35" t="s">
        <v>1921</v>
      </c>
      <c r="AY174" s="35" t="s">
        <v>98</v>
      </c>
      <c r="AZ174" s="35" t="s">
        <v>99</v>
      </c>
      <c r="BA174" s="35" t="s">
        <v>42</v>
      </c>
      <c r="BB174" s="38"/>
      <c r="BC174" s="38">
        <v>5.7859999999999996</v>
      </c>
      <c r="BD174" s="35" t="s">
        <v>168</v>
      </c>
      <c r="BE174" s="35" t="s">
        <v>160</v>
      </c>
      <c r="BF174" s="35">
        <v>0</v>
      </c>
      <c r="BG174" s="38"/>
      <c r="BH174" s="35" t="s">
        <v>1319</v>
      </c>
    </row>
    <row r="175" spans="1:60" x14ac:dyDescent="0.3">
      <c r="A175" s="6" t="str">
        <f t="shared" si="3"/>
        <v>000096</v>
      </c>
      <c r="B175" s="35" t="s">
        <v>43</v>
      </c>
      <c r="C175" s="35" t="s">
        <v>42</v>
      </c>
      <c r="D175" s="35" t="s">
        <v>1526</v>
      </c>
      <c r="E175" s="35" t="s">
        <v>663</v>
      </c>
      <c r="F175" s="35" t="s">
        <v>664</v>
      </c>
      <c r="G175" s="35" t="s">
        <v>663</v>
      </c>
      <c r="H175" s="35" t="s">
        <v>664</v>
      </c>
      <c r="I175" s="35" t="s">
        <v>1164</v>
      </c>
      <c r="J175" s="35" t="s">
        <v>47</v>
      </c>
      <c r="K175" s="35" t="s">
        <v>1157</v>
      </c>
      <c r="L175" s="35" t="s">
        <v>205</v>
      </c>
      <c r="M175" s="126">
        <v>6</v>
      </c>
      <c r="N175" s="123">
        <v>45922</v>
      </c>
      <c r="O175" s="123">
        <v>46034</v>
      </c>
      <c r="P175" s="38">
        <v>85518</v>
      </c>
      <c r="Q175" s="38">
        <v>97000</v>
      </c>
      <c r="R175" s="126">
        <v>0</v>
      </c>
      <c r="S175" s="126">
        <v>16</v>
      </c>
      <c r="T175" s="35" t="s">
        <v>95</v>
      </c>
      <c r="U175" s="38">
        <v>7372.06</v>
      </c>
      <c r="V175" s="38">
        <v>0</v>
      </c>
      <c r="W175" s="38">
        <v>0</v>
      </c>
      <c r="X175" s="38">
        <v>5</v>
      </c>
      <c r="Y175" s="38">
        <v>0</v>
      </c>
      <c r="Z175" s="38">
        <v>66687.81</v>
      </c>
      <c r="AA175" s="38">
        <v>0.32333333333333297</v>
      </c>
      <c r="AB175" s="38">
        <v>0</v>
      </c>
      <c r="AC175" s="38">
        <v>0</v>
      </c>
      <c r="AD175" s="38">
        <v>0</v>
      </c>
      <c r="AE175" s="38">
        <v>7372</v>
      </c>
      <c r="AF175" s="123">
        <v>45954</v>
      </c>
      <c r="AG175" s="35" t="s">
        <v>96</v>
      </c>
      <c r="AH175" s="35"/>
      <c r="AI175" s="35"/>
      <c r="AJ175" s="35"/>
      <c r="AK175" s="35"/>
      <c r="AL175" s="35"/>
      <c r="AM175" s="35"/>
      <c r="AN175" s="35"/>
      <c r="AO175" s="35"/>
      <c r="AQ175" s="35"/>
      <c r="AR175" s="38">
        <v>81093.03</v>
      </c>
      <c r="AS175" s="38">
        <v>0</v>
      </c>
      <c r="AT175" s="35">
        <v>1</v>
      </c>
      <c r="AU175" s="35">
        <v>1</v>
      </c>
      <c r="AV175" s="35" t="s">
        <v>47</v>
      </c>
      <c r="AW175" s="35" t="s">
        <v>52</v>
      </c>
      <c r="AX175" s="35"/>
      <c r="AY175" s="35" t="s">
        <v>98</v>
      </c>
      <c r="AZ175" s="35" t="s">
        <v>99</v>
      </c>
      <c r="BA175" s="35" t="s">
        <v>42</v>
      </c>
      <c r="BB175" s="38"/>
      <c r="BC175" s="38">
        <v>5.7859999999999996</v>
      </c>
      <c r="BD175" s="35" t="s">
        <v>126</v>
      </c>
      <c r="BE175" s="35" t="s">
        <v>198</v>
      </c>
      <c r="BF175" s="35">
        <v>0</v>
      </c>
      <c r="BG175" s="38">
        <v>0</v>
      </c>
      <c r="BH175" s="35" t="s">
        <v>1319</v>
      </c>
    </row>
    <row r="176" spans="1:60" x14ac:dyDescent="0.3">
      <c r="A176" s="6" t="str">
        <f t="shared" si="3"/>
        <v>000152</v>
      </c>
      <c r="B176" s="35" t="s">
        <v>43</v>
      </c>
      <c r="C176" s="35" t="s">
        <v>42</v>
      </c>
      <c r="D176" s="35" t="s">
        <v>1526</v>
      </c>
      <c r="E176" s="35" t="s">
        <v>663</v>
      </c>
      <c r="F176" s="35" t="s">
        <v>664</v>
      </c>
      <c r="G176" s="35" t="s">
        <v>663</v>
      </c>
      <c r="H176" s="35" t="s">
        <v>664</v>
      </c>
      <c r="I176" s="35" t="s">
        <v>1780</v>
      </c>
      <c r="J176" s="35" t="s">
        <v>47</v>
      </c>
      <c r="K176" s="35" t="s">
        <v>1633</v>
      </c>
      <c r="L176" s="35" t="s">
        <v>205</v>
      </c>
      <c r="M176" s="126">
        <v>5</v>
      </c>
      <c r="N176" s="123">
        <v>45947</v>
      </c>
      <c r="O176" s="123">
        <v>46059</v>
      </c>
      <c r="P176" s="38">
        <v>50853</v>
      </c>
      <c r="Q176" s="38">
        <v>58000</v>
      </c>
      <c r="R176" s="126">
        <v>0</v>
      </c>
      <c r="S176" s="126">
        <v>16</v>
      </c>
      <c r="T176" s="35" t="s">
        <v>95</v>
      </c>
      <c r="U176" s="38">
        <v>4408.04</v>
      </c>
      <c r="V176" s="38">
        <v>0</v>
      </c>
      <c r="W176" s="38">
        <v>0</v>
      </c>
      <c r="X176" s="38">
        <v>2</v>
      </c>
      <c r="Y176" s="38">
        <v>0</v>
      </c>
      <c r="Z176" s="38">
        <v>50750</v>
      </c>
      <c r="AA176" s="38">
        <v>0</v>
      </c>
      <c r="AB176" s="38">
        <v>0</v>
      </c>
      <c r="AC176" s="38">
        <v>0</v>
      </c>
      <c r="AD176" s="38">
        <v>0</v>
      </c>
      <c r="AE176" s="38">
        <v>4408.05</v>
      </c>
      <c r="AF176" s="123">
        <v>45960</v>
      </c>
      <c r="AG176" s="35" t="s">
        <v>96</v>
      </c>
      <c r="AH176" s="35"/>
      <c r="AI176" s="35"/>
      <c r="AJ176" s="35"/>
      <c r="AK176" s="35"/>
      <c r="AL176" s="35"/>
      <c r="AM176" s="35"/>
      <c r="AN176" s="35"/>
      <c r="AO176" s="35"/>
      <c r="AQ176" s="35"/>
      <c r="AR176" s="38">
        <v>61712.520000000004</v>
      </c>
      <c r="AS176" s="38">
        <v>2.2666666666667001E-2</v>
      </c>
      <c r="AT176" s="35">
        <v>0</v>
      </c>
      <c r="AU176" s="35">
        <v>0</v>
      </c>
      <c r="AV176" s="35" t="s">
        <v>47</v>
      </c>
      <c r="AW176" s="35" t="s">
        <v>52</v>
      </c>
      <c r="AX176" s="35"/>
      <c r="AY176" s="35" t="s">
        <v>98</v>
      </c>
      <c r="AZ176" s="35" t="s">
        <v>99</v>
      </c>
      <c r="BA176" s="35" t="s">
        <v>42</v>
      </c>
      <c r="BB176" s="38"/>
      <c r="BC176" s="38">
        <v>5.7859999999999996</v>
      </c>
      <c r="BD176" s="35" t="s">
        <v>168</v>
      </c>
      <c r="BE176" s="35" t="s">
        <v>125</v>
      </c>
      <c r="BF176" s="35">
        <v>0</v>
      </c>
      <c r="BG176" s="38">
        <v>0</v>
      </c>
      <c r="BH176" s="35" t="s">
        <v>1319</v>
      </c>
    </row>
    <row r="177" spans="1:60" x14ac:dyDescent="0.3">
      <c r="A177" s="6" t="str">
        <f t="shared" si="3"/>
        <v>000171</v>
      </c>
      <c r="B177" s="35" t="s">
        <v>43</v>
      </c>
      <c r="C177" s="35" t="s">
        <v>42</v>
      </c>
      <c r="D177" s="35" t="s">
        <v>1526</v>
      </c>
      <c r="E177" s="35" t="s">
        <v>883</v>
      </c>
      <c r="F177" s="35" t="s">
        <v>884</v>
      </c>
      <c r="G177" s="35" t="s">
        <v>883</v>
      </c>
      <c r="H177" s="35" t="s">
        <v>884</v>
      </c>
      <c r="I177" s="35" t="s">
        <v>1835</v>
      </c>
      <c r="J177" s="35" t="s">
        <v>47</v>
      </c>
      <c r="K177" s="35" t="s">
        <v>1836</v>
      </c>
      <c r="L177" s="35" t="s">
        <v>205</v>
      </c>
      <c r="M177" s="126">
        <v>5</v>
      </c>
      <c r="N177" s="123">
        <v>45951</v>
      </c>
      <c r="O177" s="123">
        <v>46063</v>
      </c>
      <c r="P177" s="38">
        <v>118814</v>
      </c>
      <c r="Q177" s="38">
        <v>134000</v>
      </c>
      <c r="R177" s="126">
        <v>0</v>
      </c>
      <c r="S177" s="126">
        <v>16</v>
      </c>
      <c r="T177" s="35" t="s">
        <v>95</v>
      </c>
      <c r="U177" s="38">
        <v>10184.09</v>
      </c>
      <c r="V177" s="38">
        <v>0</v>
      </c>
      <c r="W177" s="38">
        <v>0</v>
      </c>
      <c r="X177" s="38">
        <v>1</v>
      </c>
      <c r="Y177" s="38">
        <v>0</v>
      </c>
      <c r="Z177" s="38">
        <v>125625.1</v>
      </c>
      <c r="AA177" s="38">
        <v>8.9333333333333001E-2</v>
      </c>
      <c r="AB177" s="38">
        <v>0</v>
      </c>
      <c r="AC177" s="38">
        <v>0</v>
      </c>
      <c r="AD177" s="38">
        <v>0</v>
      </c>
      <c r="AE177" s="38">
        <v>10184</v>
      </c>
      <c r="AF177" s="123">
        <v>45957</v>
      </c>
      <c r="AG177" s="35" t="s">
        <v>96</v>
      </c>
      <c r="AH177" s="35"/>
      <c r="AI177" s="35"/>
      <c r="AJ177" s="35"/>
      <c r="AK177" s="35"/>
      <c r="AL177" s="35"/>
      <c r="AM177" s="35"/>
      <c r="AN177" s="35"/>
      <c r="AO177" s="35"/>
      <c r="AQ177" s="35"/>
      <c r="AR177" s="38">
        <v>152761.43</v>
      </c>
      <c r="AS177" s="38">
        <v>0</v>
      </c>
      <c r="AT177" s="35">
        <v>0</v>
      </c>
      <c r="AU177" s="35">
        <v>0</v>
      </c>
      <c r="AV177" s="35" t="s">
        <v>47</v>
      </c>
      <c r="AW177" s="35" t="s">
        <v>52</v>
      </c>
      <c r="AX177" s="35"/>
      <c r="AY177" s="35" t="s">
        <v>98</v>
      </c>
      <c r="AZ177" s="35" t="s">
        <v>99</v>
      </c>
      <c r="BA177" s="35" t="s">
        <v>42</v>
      </c>
      <c r="BB177" s="38"/>
      <c r="BC177" s="38">
        <v>5.7859999999999996</v>
      </c>
      <c r="BD177" s="35" t="s">
        <v>146</v>
      </c>
      <c r="BE177" s="35" t="s">
        <v>198</v>
      </c>
      <c r="BF177" s="35">
        <v>0</v>
      </c>
      <c r="BG177" s="38">
        <v>0</v>
      </c>
      <c r="BH177" s="35" t="s">
        <v>1319</v>
      </c>
    </row>
    <row r="178" spans="1:60" x14ac:dyDescent="0.3">
      <c r="A178" s="6" t="str">
        <f t="shared" si="3"/>
        <v>000164</v>
      </c>
      <c r="B178" s="35" t="s">
        <v>43</v>
      </c>
      <c r="C178" s="35" t="s">
        <v>42</v>
      </c>
      <c r="D178" s="35" t="s">
        <v>1526</v>
      </c>
      <c r="E178" s="35" t="s">
        <v>663</v>
      </c>
      <c r="F178" s="35" t="s">
        <v>664</v>
      </c>
      <c r="G178" s="35" t="s">
        <v>663</v>
      </c>
      <c r="H178" s="35" t="s">
        <v>664</v>
      </c>
      <c r="I178" s="35" t="s">
        <v>1809</v>
      </c>
      <c r="J178" s="35" t="s">
        <v>47</v>
      </c>
      <c r="K178" s="35" t="s">
        <v>1810</v>
      </c>
      <c r="L178" s="35" t="s">
        <v>205</v>
      </c>
      <c r="M178" s="126">
        <v>8</v>
      </c>
      <c r="N178" s="123">
        <v>45947</v>
      </c>
      <c r="O178" s="123">
        <v>46059</v>
      </c>
      <c r="P178" s="38">
        <v>101468</v>
      </c>
      <c r="Q178" s="38">
        <v>115000</v>
      </c>
      <c r="R178" s="126">
        <v>0</v>
      </c>
      <c r="S178" s="126">
        <v>16</v>
      </c>
      <c r="T178" s="35" t="s">
        <v>95</v>
      </c>
      <c r="U178" s="38">
        <v>8740.08</v>
      </c>
      <c r="V178" s="38">
        <v>0</v>
      </c>
      <c r="W178" s="38">
        <v>0</v>
      </c>
      <c r="X178" s="38">
        <v>2</v>
      </c>
      <c r="Y178" s="38">
        <v>0</v>
      </c>
      <c r="Z178" s="38">
        <v>100625</v>
      </c>
      <c r="AA178" s="38">
        <v>0</v>
      </c>
      <c r="AB178" s="38">
        <v>0</v>
      </c>
      <c r="AC178" s="38">
        <v>0</v>
      </c>
      <c r="AD178" s="38">
        <v>0</v>
      </c>
      <c r="AE178" s="38">
        <v>8741</v>
      </c>
      <c r="AF178" s="123">
        <v>45960</v>
      </c>
      <c r="AG178" s="35" t="s">
        <v>96</v>
      </c>
      <c r="AH178" s="35"/>
      <c r="AI178" s="35"/>
      <c r="AJ178" s="35"/>
      <c r="AK178" s="35"/>
      <c r="AL178" s="35"/>
      <c r="AM178" s="35"/>
      <c r="AN178" s="35"/>
      <c r="AO178" s="35"/>
      <c r="AQ178" s="35"/>
      <c r="AR178" s="38">
        <v>122359.23</v>
      </c>
      <c r="AS178" s="38">
        <v>1.84666666666667</v>
      </c>
      <c r="AT178" s="35">
        <v>0</v>
      </c>
      <c r="AU178" s="35">
        <v>0</v>
      </c>
      <c r="AV178" s="35" t="s">
        <v>47</v>
      </c>
      <c r="AW178" s="35" t="s">
        <v>52</v>
      </c>
      <c r="AX178" s="35"/>
      <c r="AY178" s="35" t="s">
        <v>98</v>
      </c>
      <c r="AZ178" s="35" t="s">
        <v>99</v>
      </c>
      <c r="BA178" s="35" t="s">
        <v>42</v>
      </c>
      <c r="BB178" s="38"/>
      <c r="BC178" s="38">
        <v>5.7859999999999996</v>
      </c>
      <c r="BD178" s="35" t="s">
        <v>168</v>
      </c>
      <c r="BE178" s="35" t="s">
        <v>185</v>
      </c>
      <c r="BF178" s="35">
        <v>0</v>
      </c>
      <c r="BG178" s="38">
        <v>0</v>
      </c>
      <c r="BH178" s="35" t="s">
        <v>1319</v>
      </c>
    </row>
    <row r="179" spans="1:60" x14ac:dyDescent="0.3">
      <c r="A179" s="6" t="str">
        <f t="shared" si="3"/>
        <v>000157</v>
      </c>
      <c r="B179" s="35" t="s">
        <v>43</v>
      </c>
      <c r="C179" s="35" t="s">
        <v>42</v>
      </c>
      <c r="D179" s="35" t="s">
        <v>1526</v>
      </c>
      <c r="E179" s="35" t="s">
        <v>1163</v>
      </c>
      <c r="F179" s="35" t="s">
        <v>1685</v>
      </c>
      <c r="G179" s="35" t="s">
        <v>1163</v>
      </c>
      <c r="H179" s="35" t="s">
        <v>1685</v>
      </c>
      <c r="I179" s="35" t="s">
        <v>1822</v>
      </c>
      <c r="J179" s="35" t="s">
        <v>47</v>
      </c>
      <c r="K179" s="35" t="s">
        <v>1663</v>
      </c>
      <c r="L179" s="35" t="s">
        <v>205</v>
      </c>
      <c r="M179" s="126">
        <v>5</v>
      </c>
      <c r="N179" s="123">
        <v>45950</v>
      </c>
      <c r="O179" s="123">
        <v>46062</v>
      </c>
      <c r="P179" s="38">
        <v>49130</v>
      </c>
      <c r="Q179" s="38">
        <v>56000</v>
      </c>
      <c r="R179" s="126">
        <v>0</v>
      </c>
      <c r="S179" s="126">
        <v>16</v>
      </c>
      <c r="T179" s="35" t="s">
        <v>95</v>
      </c>
      <c r="U179" s="38">
        <v>4256.04</v>
      </c>
      <c r="V179" s="38">
        <v>0</v>
      </c>
      <c r="W179" s="38">
        <v>0</v>
      </c>
      <c r="X179" s="38">
        <v>1</v>
      </c>
      <c r="Y179" s="38">
        <v>0</v>
      </c>
      <c r="Z179" s="38">
        <v>52500</v>
      </c>
      <c r="AA179" s="38">
        <v>0</v>
      </c>
      <c r="AB179" s="38">
        <v>0</v>
      </c>
      <c r="AC179" s="38">
        <v>0</v>
      </c>
      <c r="AD179" s="38">
        <v>0</v>
      </c>
      <c r="AE179" s="38">
        <v>4260</v>
      </c>
      <c r="AF179" s="123">
        <v>45954</v>
      </c>
      <c r="AG179" s="35" t="s">
        <v>96</v>
      </c>
      <c r="AH179" s="35"/>
      <c r="AI179" s="35"/>
      <c r="AJ179" s="35"/>
      <c r="AK179" s="35"/>
      <c r="AL179" s="35"/>
      <c r="AM179" s="35"/>
      <c r="AN179" s="35"/>
      <c r="AO179" s="35"/>
      <c r="AQ179" s="35"/>
      <c r="AR179" s="38">
        <v>63836.6</v>
      </c>
      <c r="AS179" s="38">
        <v>3.9626666666666699</v>
      </c>
      <c r="AT179" s="35">
        <v>1</v>
      </c>
      <c r="AU179" s="35">
        <v>1</v>
      </c>
      <c r="AV179" s="35" t="s">
        <v>47</v>
      </c>
      <c r="AW179" s="35" t="s">
        <v>52</v>
      </c>
      <c r="AX179" s="35"/>
      <c r="AY179" s="35" t="s">
        <v>98</v>
      </c>
      <c r="AZ179" s="35" t="s">
        <v>99</v>
      </c>
      <c r="BA179" s="35" t="s">
        <v>42</v>
      </c>
      <c r="BB179" s="38"/>
      <c r="BC179" s="38">
        <v>5.7859999999999996</v>
      </c>
      <c r="BD179" s="35" t="s">
        <v>126</v>
      </c>
      <c r="BE179" s="35" t="s">
        <v>185</v>
      </c>
      <c r="BF179" s="35">
        <v>0</v>
      </c>
      <c r="BG179" s="38">
        <v>0</v>
      </c>
      <c r="BH179" s="35" t="s">
        <v>1319</v>
      </c>
    </row>
    <row r="180" spans="1:60" x14ac:dyDescent="0.3">
      <c r="A180" s="6" t="str">
        <f t="shared" si="3"/>
        <v>000178</v>
      </c>
      <c r="B180" s="35" t="s">
        <v>43</v>
      </c>
      <c r="C180" s="35" t="s">
        <v>42</v>
      </c>
      <c r="D180" s="35" t="s">
        <v>1526</v>
      </c>
      <c r="E180" s="35" t="s">
        <v>1163</v>
      </c>
      <c r="F180" s="35" t="s">
        <v>1685</v>
      </c>
      <c r="G180" s="35" t="s">
        <v>1163</v>
      </c>
      <c r="H180" s="35" t="s">
        <v>1685</v>
      </c>
      <c r="I180" s="35" t="s">
        <v>1962</v>
      </c>
      <c r="J180" s="35" t="s">
        <v>47</v>
      </c>
      <c r="K180" s="35" t="s">
        <v>1963</v>
      </c>
      <c r="L180" s="35" t="s">
        <v>205</v>
      </c>
      <c r="M180" s="126">
        <v>6</v>
      </c>
      <c r="N180" s="123">
        <v>45957</v>
      </c>
      <c r="O180" s="123">
        <v>46069</v>
      </c>
      <c r="P180" s="38">
        <v>125733</v>
      </c>
      <c r="Q180" s="38">
        <v>142000</v>
      </c>
      <c r="R180" s="126">
        <v>0</v>
      </c>
      <c r="S180" s="126">
        <v>16</v>
      </c>
      <c r="T180" s="35" t="s">
        <v>95</v>
      </c>
      <c r="U180" s="38">
        <v>10792.09</v>
      </c>
      <c r="V180" s="38">
        <v>0</v>
      </c>
      <c r="W180" s="38">
        <v>0</v>
      </c>
      <c r="X180" s="38">
        <v>0</v>
      </c>
      <c r="Y180" s="38">
        <v>0</v>
      </c>
      <c r="Z180" s="38">
        <v>142000</v>
      </c>
      <c r="AA180" s="38">
        <v>0</v>
      </c>
      <c r="AB180" s="38">
        <v>0</v>
      </c>
      <c r="AC180" s="38">
        <v>0</v>
      </c>
      <c r="AD180" s="38">
        <v>0</v>
      </c>
      <c r="AE180" s="38"/>
      <c r="AF180" s="123"/>
      <c r="AG180" s="35" t="s">
        <v>96</v>
      </c>
      <c r="AH180" s="35"/>
      <c r="AI180" s="35"/>
      <c r="AJ180" s="35"/>
      <c r="AK180" s="35"/>
      <c r="AL180" s="35"/>
      <c r="AM180" s="35"/>
      <c r="AN180" s="35"/>
      <c r="AO180" s="35"/>
      <c r="AQ180" s="35"/>
      <c r="AR180" s="38">
        <v>172673.51</v>
      </c>
      <c r="AS180" s="38">
        <v>0</v>
      </c>
      <c r="AT180" s="35">
        <v>1</v>
      </c>
      <c r="AU180" s="35">
        <v>1</v>
      </c>
      <c r="AV180" s="35" t="s">
        <v>47</v>
      </c>
      <c r="AW180" s="35" t="s">
        <v>52</v>
      </c>
      <c r="AX180" s="35"/>
      <c r="AY180" s="35" t="s">
        <v>98</v>
      </c>
      <c r="AZ180" s="35" t="s">
        <v>99</v>
      </c>
      <c r="BA180" s="35" t="s">
        <v>42</v>
      </c>
      <c r="BB180" s="38"/>
      <c r="BC180" s="38">
        <v>5.7859999999999996</v>
      </c>
      <c r="BD180" s="35" t="s">
        <v>126</v>
      </c>
      <c r="BE180" s="35" t="s">
        <v>185</v>
      </c>
      <c r="BF180" s="35">
        <v>0</v>
      </c>
      <c r="BG180" s="38"/>
      <c r="BH180" s="35" t="s">
        <v>1319</v>
      </c>
    </row>
    <row r="181" spans="1:60" x14ac:dyDescent="0.3">
      <c r="A181" s="6" t="str">
        <f t="shared" si="3"/>
        <v>000193</v>
      </c>
      <c r="B181" s="35" t="s">
        <v>49</v>
      </c>
      <c r="C181" s="35" t="s">
        <v>388</v>
      </c>
      <c r="D181" s="35" t="s">
        <v>207</v>
      </c>
      <c r="E181" s="35" t="s">
        <v>170</v>
      </c>
      <c r="F181" s="35" t="s">
        <v>171</v>
      </c>
      <c r="G181" s="35" t="s">
        <v>170</v>
      </c>
      <c r="H181" s="35" t="s">
        <v>171</v>
      </c>
      <c r="I181" s="35" t="s">
        <v>2036</v>
      </c>
      <c r="J181" s="35" t="s">
        <v>47</v>
      </c>
      <c r="K181" s="35" t="s">
        <v>2037</v>
      </c>
      <c r="L181" s="35" t="s">
        <v>205</v>
      </c>
      <c r="M181" s="126">
        <v>8</v>
      </c>
      <c r="N181" s="123">
        <v>45959</v>
      </c>
      <c r="O181" s="123">
        <v>46071</v>
      </c>
      <c r="P181" s="38">
        <v>121833</v>
      </c>
      <c r="Q181" s="38">
        <v>138000</v>
      </c>
      <c r="R181" s="126">
        <v>0</v>
      </c>
      <c r="S181" s="126">
        <v>16</v>
      </c>
      <c r="T181" s="35" t="s">
        <v>95</v>
      </c>
      <c r="U181" s="38">
        <v>10488.09</v>
      </c>
      <c r="V181" s="38">
        <v>0</v>
      </c>
      <c r="W181" s="38">
        <v>0</v>
      </c>
      <c r="X181" s="38">
        <v>0</v>
      </c>
      <c r="Y181" s="38">
        <v>0</v>
      </c>
      <c r="Z181" s="38">
        <v>138000</v>
      </c>
      <c r="AA181" s="38">
        <v>0</v>
      </c>
      <c r="AB181" s="38">
        <v>0</v>
      </c>
      <c r="AC181" s="38">
        <v>0</v>
      </c>
      <c r="AD181" s="38">
        <v>0</v>
      </c>
      <c r="AE181" s="38"/>
      <c r="AF181" s="123"/>
      <c r="AG181" s="35" t="s">
        <v>96</v>
      </c>
      <c r="AH181" s="35"/>
      <c r="AI181" s="35"/>
      <c r="AJ181" s="35"/>
      <c r="AK181" s="35"/>
      <c r="AL181" s="35"/>
      <c r="AM181" s="35"/>
      <c r="AN181" s="35"/>
      <c r="AO181" s="35"/>
      <c r="AQ181" s="35"/>
      <c r="AR181" s="38">
        <v>167809.47</v>
      </c>
      <c r="AS181" s="38">
        <v>0</v>
      </c>
      <c r="AT181" s="35">
        <v>0</v>
      </c>
      <c r="AU181" s="35">
        <v>0</v>
      </c>
      <c r="AV181" s="35" t="s">
        <v>47</v>
      </c>
      <c r="AW181" s="35" t="s">
        <v>52</v>
      </c>
      <c r="AX181" s="35" t="s">
        <v>2038</v>
      </c>
      <c r="AY181" s="35" t="s">
        <v>98</v>
      </c>
      <c r="AZ181" s="35" t="s">
        <v>99</v>
      </c>
      <c r="BA181" s="35" t="s">
        <v>42</v>
      </c>
      <c r="BB181" s="38"/>
      <c r="BC181" s="38">
        <v>5.7859999999999996</v>
      </c>
      <c r="BD181" s="35" t="s">
        <v>124</v>
      </c>
      <c r="BE181" s="35" t="s">
        <v>147</v>
      </c>
      <c r="BF181" s="35">
        <v>0</v>
      </c>
      <c r="BG181" s="38"/>
      <c r="BH181" s="35" t="s">
        <v>1319</v>
      </c>
    </row>
    <row r="182" spans="1:60" x14ac:dyDescent="0.3">
      <c r="A182" s="6" t="str">
        <f t="shared" si="3"/>
        <v>000113</v>
      </c>
      <c r="B182" s="35" t="s">
        <v>43</v>
      </c>
      <c r="C182" s="35" t="s">
        <v>42</v>
      </c>
      <c r="D182" s="35" t="s">
        <v>1526</v>
      </c>
      <c r="E182" s="35" t="s">
        <v>883</v>
      </c>
      <c r="F182" s="35" t="s">
        <v>884</v>
      </c>
      <c r="G182" s="35" t="s">
        <v>883</v>
      </c>
      <c r="H182" s="35" t="s">
        <v>884</v>
      </c>
      <c r="I182" s="35" t="s">
        <v>1411</v>
      </c>
      <c r="J182" s="35" t="s">
        <v>47</v>
      </c>
      <c r="K182" s="35" t="s">
        <v>1353</v>
      </c>
      <c r="L182" s="35" t="s">
        <v>205</v>
      </c>
      <c r="M182" s="126">
        <v>5</v>
      </c>
      <c r="N182" s="123">
        <v>45930</v>
      </c>
      <c r="O182" s="123">
        <v>46042</v>
      </c>
      <c r="P182" s="38">
        <v>48230</v>
      </c>
      <c r="Q182" s="38">
        <v>55000</v>
      </c>
      <c r="R182" s="126">
        <v>0</v>
      </c>
      <c r="S182" s="126">
        <v>16</v>
      </c>
      <c r="T182" s="35" t="s">
        <v>95</v>
      </c>
      <c r="U182" s="38">
        <v>4180.04</v>
      </c>
      <c r="V182" s="38">
        <v>0</v>
      </c>
      <c r="W182" s="38">
        <v>0</v>
      </c>
      <c r="X182" s="38">
        <v>4</v>
      </c>
      <c r="Y182" s="38">
        <v>0</v>
      </c>
      <c r="Z182" s="38">
        <v>41250</v>
      </c>
      <c r="AA182" s="38">
        <v>0</v>
      </c>
      <c r="AB182" s="38">
        <v>0</v>
      </c>
      <c r="AC182" s="38">
        <v>0</v>
      </c>
      <c r="AD182" s="38">
        <v>0</v>
      </c>
      <c r="AE182" s="38">
        <v>4181</v>
      </c>
      <c r="AF182" s="123">
        <v>45961</v>
      </c>
      <c r="AG182" s="35" t="s">
        <v>96</v>
      </c>
      <c r="AH182" s="35"/>
      <c r="AI182" s="35"/>
      <c r="AJ182" s="35"/>
      <c r="AK182" s="35"/>
      <c r="AL182" s="35"/>
      <c r="AM182" s="35"/>
      <c r="AN182" s="35"/>
      <c r="AO182" s="35"/>
      <c r="AQ182" s="35"/>
      <c r="AR182" s="38">
        <v>50158.590000000004</v>
      </c>
      <c r="AS182" s="38">
        <v>1.8533333333333299</v>
      </c>
      <c r="AT182" s="35">
        <v>1</v>
      </c>
      <c r="AU182" s="35">
        <v>1</v>
      </c>
      <c r="AV182" s="35" t="s">
        <v>47</v>
      </c>
      <c r="AW182" s="35" t="s">
        <v>52</v>
      </c>
      <c r="AX182" s="35"/>
      <c r="AY182" s="35" t="s">
        <v>1059</v>
      </c>
      <c r="AZ182" s="35" t="s">
        <v>99</v>
      </c>
      <c r="BA182" s="35" t="s">
        <v>1264</v>
      </c>
      <c r="BB182" s="38"/>
      <c r="BC182" s="38">
        <v>5.7859999999999996</v>
      </c>
      <c r="BD182" s="35" t="s">
        <v>146</v>
      </c>
      <c r="BE182" s="35" t="s">
        <v>160</v>
      </c>
      <c r="BF182" s="35">
        <v>0</v>
      </c>
      <c r="BG182" s="38">
        <v>0</v>
      </c>
      <c r="BH182" s="35" t="s">
        <v>1319</v>
      </c>
    </row>
    <row r="183" spans="1:60" x14ac:dyDescent="0.3">
      <c r="A183" s="6" t="str">
        <f t="shared" si="3"/>
        <v>000054</v>
      </c>
      <c r="B183" s="35" t="s">
        <v>43</v>
      </c>
      <c r="C183" s="35" t="s">
        <v>42</v>
      </c>
      <c r="D183" s="35" t="s">
        <v>1526</v>
      </c>
      <c r="E183" s="35" t="s">
        <v>663</v>
      </c>
      <c r="F183" s="35" t="s">
        <v>664</v>
      </c>
      <c r="G183" s="35" t="s">
        <v>663</v>
      </c>
      <c r="H183" s="35" t="s">
        <v>664</v>
      </c>
      <c r="I183" s="35" t="s">
        <v>688</v>
      </c>
      <c r="J183" s="35" t="s">
        <v>47</v>
      </c>
      <c r="K183" s="35" t="s">
        <v>689</v>
      </c>
      <c r="L183" s="35" t="s">
        <v>205</v>
      </c>
      <c r="M183" s="126">
        <v>5</v>
      </c>
      <c r="N183" s="123">
        <v>45898</v>
      </c>
      <c r="O183" s="123">
        <v>46010</v>
      </c>
      <c r="P183" s="38">
        <v>34730</v>
      </c>
      <c r="Q183" s="38">
        <v>40000</v>
      </c>
      <c r="R183" s="126">
        <v>0</v>
      </c>
      <c r="S183" s="126">
        <v>16</v>
      </c>
      <c r="T183" s="35" t="s">
        <v>95</v>
      </c>
      <c r="U183" s="38">
        <v>3040.03</v>
      </c>
      <c r="V183" s="38">
        <v>0</v>
      </c>
      <c r="W183" s="38">
        <v>0</v>
      </c>
      <c r="X183" s="38">
        <v>9</v>
      </c>
      <c r="Y183" s="38">
        <v>0</v>
      </c>
      <c r="Z183" s="38">
        <v>17500</v>
      </c>
      <c r="AA183" s="38">
        <v>0</v>
      </c>
      <c r="AB183" s="38">
        <v>0</v>
      </c>
      <c r="AC183" s="38">
        <v>0</v>
      </c>
      <c r="AD183" s="38">
        <v>0</v>
      </c>
      <c r="AE183" s="38">
        <v>3040.05</v>
      </c>
      <c r="AF183" s="123">
        <v>45960</v>
      </c>
      <c r="AG183" s="35" t="s">
        <v>96</v>
      </c>
      <c r="AH183" s="35"/>
      <c r="AI183" s="35"/>
      <c r="AJ183" s="35"/>
      <c r="AK183" s="35"/>
      <c r="AL183" s="35"/>
      <c r="AM183" s="35"/>
      <c r="AN183" s="35"/>
      <c r="AO183" s="35"/>
      <c r="AQ183" s="35"/>
      <c r="AR183" s="38">
        <v>21279.98</v>
      </c>
      <c r="AS183" s="38">
        <v>0.21</v>
      </c>
      <c r="AT183" s="35">
        <v>0</v>
      </c>
      <c r="AU183" s="35">
        <v>0</v>
      </c>
      <c r="AV183" s="35" t="s">
        <v>47</v>
      </c>
      <c r="AW183" s="35" t="s">
        <v>52</v>
      </c>
      <c r="AX183" s="35"/>
      <c r="AY183" s="35" t="s">
        <v>98</v>
      </c>
      <c r="AZ183" s="35" t="s">
        <v>99</v>
      </c>
      <c r="BA183" s="35" t="s">
        <v>42</v>
      </c>
      <c r="BB183" s="38"/>
      <c r="BC183" s="38">
        <v>5.7859999999999996</v>
      </c>
      <c r="BD183" s="35" t="s">
        <v>168</v>
      </c>
      <c r="BE183" s="35" t="s">
        <v>125</v>
      </c>
      <c r="BF183" s="35">
        <v>0</v>
      </c>
      <c r="BG183" s="38">
        <v>0</v>
      </c>
      <c r="BH183" s="35" t="s">
        <v>1319</v>
      </c>
    </row>
    <row r="184" spans="1:60" x14ac:dyDescent="0.3">
      <c r="A184" s="6" t="str">
        <f t="shared" si="3"/>
        <v>000135</v>
      </c>
      <c r="B184" s="35" t="s">
        <v>43</v>
      </c>
      <c r="C184" s="35" t="s">
        <v>396</v>
      </c>
      <c r="D184" s="35" t="s">
        <v>206</v>
      </c>
      <c r="E184" s="35" t="s">
        <v>501</v>
      </c>
      <c r="F184" s="35" t="s">
        <v>502</v>
      </c>
      <c r="G184" s="35" t="s">
        <v>501</v>
      </c>
      <c r="H184" s="35" t="s">
        <v>502</v>
      </c>
      <c r="I184" s="35" t="s">
        <v>1532</v>
      </c>
      <c r="J184" s="35" t="s">
        <v>47</v>
      </c>
      <c r="K184" s="35" t="s">
        <v>1376</v>
      </c>
      <c r="L184" s="35" t="s">
        <v>205</v>
      </c>
      <c r="M184" s="126">
        <v>9</v>
      </c>
      <c r="N184" s="123">
        <v>45937</v>
      </c>
      <c r="O184" s="123">
        <v>46049</v>
      </c>
      <c r="P184" s="38">
        <v>95660</v>
      </c>
      <c r="Q184" s="38">
        <v>109000</v>
      </c>
      <c r="R184" s="126">
        <v>0</v>
      </c>
      <c r="S184" s="126">
        <v>16</v>
      </c>
      <c r="T184" s="35" t="s">
        <v>95</v>
      </c>
      <c r="U184" s="38">
        <v>8284.07</v>
      </c>
      <c r="V184" s="38">
        <v>0</v>
      </c>
      <c r="W184" s="38">
        <v>0</v>
      </c>
      <c r="X184" s="38">
        <v>3</v>
      </c>
      <c r="Y184" s="38">
        <v>0</v>
      </c>
      <c r="Z184" s="38">
        <v>88562.5</v>
      </c>
      <c r="AA184" s="38">
        <v>0</v>
      </c>
      <c r="AB184" s="38">
        <v>0</v>
      </c>
      <c r="AC184" s="38">
        <v>0</v>
      </c>
      <c r="AD184" s="38">
        <v>0</v>
      </c>
      <c r="AE184" s="38">
        <v>8293</v>
      </c>
      <c r="AF184" s="123">
        <v>45957</v>
      </c>
      <c r="AG184" s="35" t="s">
        <v>96</v>
      </c>
      <c r="AH184" s="35"/>
      <c r="AI184" s="35"/>
      <c r="AJ184" s="35"/>
      <c r="AK184" s="35"/>
      <c r="AL184" s="35"/>
      <c r="AM184" s="35"/>
      <c r="AN184" s="35"/>
      <c r="AO184" s="35"/>
      <c r="AQ184" s="35"/>
      <c r="AR184" s="38">
        <v>107665.16</v>
      </c>
      <c r="AS184" s="38">
        <v>27.782</v>
      </c>
      <c r="AT184" s="35">
        <v>0</v>
      </c>
      <c r="AU184" s="35">
        <v>0</v>
      </c>
      <c r="AV184" s="35" t="s">
        <v>47</v>
      </c>
      <c r="AW184" s="35" t="s">
        <v>52</v>
      </c>
      <c r="AX184" s="35" t="s">
        <v>1560</v>
      </c>
      <c r="AY184" s="35" t="s">
        <v>98</v>
      </c>
      <c r="AZ184" s="35" t="s">
        <v>99</v>
      </c>
      <c r="BA184" s="35" t="s">
        <v>42</v>
      </c>
      <c r="BB184" s="38"/>
      <c r="BC184" s="38">
        <v>5.7859999999999996</v>
      </c>
      <c r="BD184" s="35" t="s">
        <v>146</v>
      </c>
      <c r="BE184" s="35" t="s">
        <v>185</v>
      </c>
      <c r="BF184" s="35">
        <v>0</v>
      </c>
      <c r="BG184" s="38">
        <v>0</v>
      </c>
      <c r="BH184" s="35" t="s">
        <v>1320</v>
      </c>
    </row>
    <row r="185" spans="1:60" x14ac:dyDescent="0.3">
      <c r="A185" s="6" t="str">
        <f t="shared" si="3"/>
        <v>000188</v>
      </c>
      <c r="B185" s="35" t="s">
        <v>49</v>
      </c>
      <c r="C185" s="35" t="s">
        <v>388</v>
      </c>
      <c r="D185" s="35" t="s">
        <v>207</v>
      </c>
      <c r="E185" s="35" t="s">
        <v>170</v>
      </c>
      <c r="F185" s="35" t="s">
        <v>171</v>
      </c>
      <c r="G185" s="35" t="s">
        <v>170</v>
      </c>
      <c r="H185" s="35" t="s">
        <v>171</v>
      </c>
      <c r="I185" s="35" t="s">
        <v>1960</v>
      </c>
      <c r="J185" s="35" t="s">
        <v>47</v>
      </c>
      <c r="K185" s="35" t="s">
        <v>1961</v>
      </c>
      <c r="L185" s="35" t="s">
        <v>205</v>
      </c>
      <c r="M185" s="126">
        <v>5</v>
      </c>
      <c r="N185" s="123">
        <v>45957</v>
      </c>
      <c r="O185" s="123">
        <v>46069</v>
      </c>
      <c r="P185" s="38">
        <v>59853</v>
      </c>
      <c r="Q185" s="38">
        <v>68000</v>
      </c>
      <c r="R185" s="126">
        <v>0</v>
      </c>
      <c r="S185" s="126">
        <v>16</v>
      </c>
      <c r="T185" s="35" t="s">
        <v>95</v>
      </c>
      <c r="U185" s="38">
        <v>5168.05</v>
      </c>
      <c r="V185" s="38">
        <v>0</v>
      </c>
      <c r="W185" s="38">
        <v>0</v>
      </c>
      <c r="X185" s="38">
        <v>0</v>
      </c>
      <c r="Y185" s="38">
        <v>0</v>
      </c>
      <c r="Z185" s="38">
        <v>68000</v>
      </c>
      <c r="AA185" s="38">
        <v>0</v>
      </c>
      <c r="AB185" s="38">
        <v>0</v>
      </c>
      <c r="AC185" s="38">
        <v>0</v>
      </c>
      <c r="AD185" s="38">
        <v>0</v>
      </c>
      <c r="AE185" s="38"/>
      <c r="AF185" s="123"/>
      <c r="AG185" s="35" t="s">
        <v>96</v>
      </c>
      <c r="AH185" s="35"/>
      <c r="AI185" s="35"/>
      <c r="AJ185" s="35"/>
      <c r="AK185" s="35"/>
      <c r="AL185" s="35"/>
      <c r="AM185" s="35"/>
      <c r="AN185" s="35"/>
      <c r="AO185" s="35"/>
      <c r="AQ185" s="35"/>
      <c r="AR185" s="38">
        <v>82688.73</v>
      </c>
      <c r="AS185" s="38">
        <v>0</v>
      </c>
      <c r="AT185" s="35">
        <v>1</v>
      </c>
      <c r="AU185" s="35">
        <v>1</v>
      </c>
      <c r="AV185" s="35" t="s">
        <v>47</v>
      </c>
      <c r="AW185" s="35" t="s">
        <v>52</v>
      </c>
      <c r="AX185" s="35" t="s">
        <v>1990</v>
      </c>
      <c r="AY185" s="35" t="s">
        <v>98</v>
      </c>
      <c r="AZ185" s="35" t="s">
        <v>99</v>
      </c>
      <c r="BA185" s="35" t="s">
        <v>42</v>
      </c>
      <c r="BB185" s="38"/>
      <c r="BC185" s="38">
        <v>5.7859999999999996</v>
      </c>
      <c r="BD185" s="35" t="s">
        <v>126</v>
      </c>
      <c r="BE185" s="35" t="s">
        <v>1178</v>
      </c>
      <c r="BF185" s="35">
        <v>0</v>
      </c>
      <c r="BG185" s="38"/>
      <c r="BH185" s="35" t="s">
        <v>1319</v>
      </c>
    </row>
    <row r="186" spans="1:60" x14ac:dyDescent="0.3">
      <c r="A186" s="6" t="str">
        <f t="shared" si="3"/>
        <v>000140</v>
      </c>
      <c r="B186" s="35" t="s">
        <v>43</v>
      </c>
      <c r="C186" s="35" t="s">
        <v>396</v>
      </c>
      <c r="D186" s="35" t="s">
        <v>206</v>
      </c>
      <c r="E186" s="35" t="s">
        <v>501</v>
      </c>
      <c r="F186" s="35" t="s">
        <v>502</v>
      </c>
      <c r="G186" s="35" t="s">
        <v>501</v>
      </c>
      <c r="H186" s="35" t="s">
        <v>502</v>
      </c>
      <c r="I186" s="35" t="s">
        <v>1571</v>
      </c>
      <c r="J186" s="35" t="s">
        <v>47</v>
      </c>
      <c r="K186" s="35" t="s">
        <v>1517</v>
      </c>
      <c r="L186" s="35" t="s">
        <v>205</v>
      </c>
      <c r="M186" s="126">
        <v>10</v>
      </c>
      <c r="N186" s="123">
        <v>45938</v>
      </c>
      <c r="O186" s="123">
        <v>46050</v>
      </c>
      <c r="P186" s="38">
        <v>132152</v>
      </c>
      <c r="Q186" s="38">
        <v>150000</v>
      </c>
      <c r="R186" s="126">
        <v>0</v>
      </c>
      <c r="S186" s="126">
        <v>16</v>
      </c>
      <c r="T186" s="35" t="s">
        <v>95</v>
      </c>
      <c r="U186" s="38">
        <v>11400.1</v>
      </c>
      <c r="V186" s="38">
        <v>0</v>
      </c>
      <c r="W186" s="38">
        <v>0</v>
      </c>
      <c r="X186" s="38">
        <v>3</v>
      </c>
      <c r="Y186" s="38">
        <v>0</v>
      </c>
      <c r="Z186" s="38">
        <v>121875</v>
      </c>
      <c r="AA186" s="38">
        <v>0</v>
      </c>
      <c r="AB186" s="38">
        <v>0</v>
      </c>
      <c r="AC186" s="38">
        <v>0</v>
      </c>
      <c r="AD186" s="38">
        <v>0</v>
      </c>
      <c r="AE186" s="38">
        <v>11410</v>
      </c>
      <c r="AF186" s="123">
        <v>45958</v>
      </c>
      <c r="AG186" s="35" t="s">
        <v>96</v>
      </c>
      <c r="AH186" s="35"/>
      <c r="AI186" s="35"/>
      <c r="AJ186" s="35"/>
      <c r="AK186" s="35"/>
      <c r="AL186" s="35"/>
      <c r="AM186" s="35"/>
      <c r="AN186" s="35"/>
      <c r="AO186" s="35"/>
      <c r="AQ186" s="35"/>
      <c r="AR186" s="38">
        <v>148171.6</v>
      </c>
      <c r="AS186" s="38">
        <v>29.7</v>
      </c>
      <c r="AT186" s="35">
        <v>0</v>
      </c>
      <c r="AU186" s="35">
        <v>0</v>
      </c>
      <c r="AV186" s="35" t="s">
        <v>47</v>
      </c>
      <c r="AW186" s="35" t="s">
        <v>52</v>
      </c>
      <c r="AX186" s="35" t="s">
        <v>1572</v>
      </c>
      <c r="AY186" s="35" t="s">
        <v>98</v>
      </c>
      <c r="AZ186" s="35" t="s">
        <v>99</v>
      </c>
      <c r="BA186" s="35" t="s">
        <v>42</v>
      </c>
      <c r="BB186" s="38"/>
      <c r="BC186" s="38">
        <v>5.7859999999999996</v>
      </c>
      <c r="BD186" s="35" t="s">
        <v>124</v>
      </c>
      <c r="BE186" s="35" t="s">
        <v>160</v>
      </c>
      <c r="BF186" s="35">
        <v>0</v>
      </c>
      <c r="BG186" s="38">
        <v>0</v>
      </c>
      <c r="BH186" s="35" t="s">
        <v>1319</v>
      </c>
    </row>
    <row r="187" spans="1:60" x14ac:dyDescent="0.3">
      <c r="A187" s="6" t="str">
        <f t="shared" si="3"/>
        <v>000107</v>
      </c>
      <c r="B187" s="35" t="s">
        <v>43</v>
      </c>
      <c r="C187" s="35" t="s">
        <v>424</v>
      </c>
      <c r="D187" s="35" t="s">
        <v>204</v>
      </c>
      <c r="E187" s="35" t="s">
        <v>189</v>
      </c>
      <c r="F187" s="35" t="s">
        <v>191</v>
      </c>
      <c r="G187" s="35" t="s">
        <v>189</v>
      </c>
      <c r="H187" s="35" t="s">
        <v>191</v>
      </c>
      <c r="I187" s="35" t="s">
        <v>1273</v>
      </c>
      <c r="J187" s="35" t="s">
        <v>47</v>
      </c>
      <c r="K187" s="35" t="s">
        <v>1206</v>
      </c>
      <c r="L187" s="35" t="s">
        <v>205</v>
      </c>
      <c r="M187" s="126">
        <v>5</v>
      </c>
      <c r="N187" s="123">
        <v>45925</v>
      </c>
      <c r="O187" s="123">
        <v>46037</v>
      </c>
      <c r="P187" s="38">
        <v>115318</v>
      </c>
      <c r="Q187" s="38">
        <v>130000</v>
      </c>
      <c r="R187" s="126">
        <v>0</v>
      </c>
      <c r="S187" s="126">
        <v>16</v>
      </c>
      <c r="T187" s="35" t="s">
        <v>95</v>
      </c>
      <c r="U187" s="38">
        <v>9880.09</v>
      </c>
      <c r="V187" s="38">
        <v>0</v>
      </c>
      <c r="W187" s="38">
        <v>0</v>
      </c>
      <c r="X187" s="38">
        <v>5</v>
      </c>
      <c r="Y187" s="38">
        <v>0</v>
      </c>
      <c r="Z187" s="38">
        <v>89375</v>
      </c>
      <c r="AA187" s="38">
        <v>0</v>
      </c>
      <c r="AB187" s="38">
        <v>0</v>
      </c>
      <c r="AC187" s="38">
        <v>0</v>
      </c>
      <c r="AD187" s="38">
        <v>0</v>
      </c>
      <c r="AE187" s="38">
        <v>9880.09</v>
      </c>
      <c r="AF187" s="123">
        <v>45959</v>
      </c>
      <c r="AG187" s="35" t="s">
        <v>96</v>
      </c>
      <c r="AH187" s="35"/>
      <c r="AI187" s="35"/>
      <c r="AJ187" s="35"/>
      <c r="AK187" s="35"/>
      <c r="AL187" s="35"/>
      <c r="AM187" s="35"/>
      <c r="AN187" s="35"/>
      <c r="AO187" s="35"/>
      <c r="AQ187" s="35"/>
      <c r="AR187" s="38">
        <v>108680.94</v>
      </c>
      <c r="AS187" s="38">
        <v>1.6666666666667E-2</v>
      </c>
      <c r="AT187" s="35">
        <v>0</v>
      </c>
      <c r="AU187" s="35">
        <v>0</v>
      </c>
      <c r="AV187" s="35" t="s">
        <v>47</v>
      </c>
      <c r="AW187" s="35" t="s">
        <v>52</v>
      </c>
      <c r="AX187" s="35" t="s">
        <v>1306</v>
      </c>
      <c r="AY187" s="35" t="s">
        <v>98</v>
      </c>
      <c r="AZ187" s="35" t="s">
        <v>99</v>
      </c>
      <c r="BA187" s="35" t="s">
        <v>42</v>
      </c>
      <c r="BB187" s="38"/>
      <c r="BC187" s="38">
        <v>5.7859999999999996</v>
      </c>
      <c r="BD187" s="35" t="s">
        <v>197</v>
      </c>
      <c r="BE187" s="35"/>
      <c r="BF187" s="35">
        <v>0</v>
      </c>
      <c r="BG187" s="38">
        <v>0</v>
      </c>
      <c r="BH187" s="35" t="s">
        <v>1319</v>
      </c>
    </row>
    <row r="188" spans="1:60" x14ac:dyDescent="0.3">
      <c r="A188" s="6" t="str">
        <f t="shared" si="3"/>
        <v>000016</v>
      </c>
      <c r="B188" s="35" t="s">
        <v>43</v>
      </c>
      <c r="C188" s="35" t="s">
        <v>396</v>
      </c>
      <c r="D188" s="35" t="s">
        <v>206</v>
      </c>
      <c r="E188" s="35" t="s">
        <v>143</v>
      </c>
      <c r="F188" s="35" t="s">
        <v>144</v>
      </c>
      <c r="G188" s="35" t="s">
        <v>143</v>
      </c>
      <c r="H188" s="35" t="s">
        <v>144</v>
      </c>
      <c r="I188" s="35" t="s">
        <v>195</v>
      </c>
      <c r="J188" s="35" t="s">
        <v>47</v>
      </c>
      <c r="K188" s="35" t="s">
        <v>181</v>
      </c>
      <c r="L188" s="35" t="s">
        <v>205</v>
      </c>
      <c r="M188" s="126">
        <v>5</v>
      </c>
      <c r="N188" s="123">
        <v>45883</v>
      </c>
      <c r="O188" s="123">
        <v>46001</v>
      </c>
      <c r="P188" s="38">
        <v>91172</v>
      </c>
      <c r="Q188" s="38">
        <v>103000</v>
      </c>
      <c r="R188" s="126">
        <v>0</v>
      </c>
      <c r="S188" s="126">
        <v>16</v>
      </c>
      <c r="T188" s="35" t="s">
        <v>95</v>
      </c>
      <c r="U188" s="38">
        <v>7828.07</v>
      </c>
      <c r="V188" s="38">
        <v>0</v>
      </c>
      <c r="W188" s="38">
        <v>0</v>
      </c>
      <c r="X188" s="38">
        <v>10</v>
      </c>
      <c r="Y188" s="38">
        <v>0</v>
      </c>
      <c r="Z188" s="38">
        <v>38625</v>
      </c>
      <c r="AA188" s="38">
        <v>0</v>
      </c>
      <c r="AB188" s="38">
        <v>0</v>
      </c>
      <c r="AC188" s="38">
        <v>0</v>
      </c>
      <c r="AD188" s="38">
        <v>0</v>
      </c>
      <c r="AE188" s="38">
        <v>7828</v>
      </c>
      <c r="AF188" s="123">
        <v>45957</v>
      </c>
      <c r="AG188" s="35" t="s">
        <v>96</v>
      </c>
      <c r="AH188" s="35"/>
      <c r="AI188" s="35"/>
      <c r="AJ188" s="35"/>
      <c r="AK188" s="35"/>
      <c r="AL188" s="35"/>
      <c r="AM188" s="35"/>
      <c r="AN188" s="35"/>
      <c r="AO188" s="35"/>
      <c r="AQ188" s="35"/>
      <c r="AR188" s="38">
        <v>46881.96</v>
      </c>
      <c r="AS188" s="38">
        <v>86.453333333333333</v>
      </c>
      <c r="AT188" s="35">
        <v>0</v>
      </c>
      <c r="AU188" s="35">
        <v>0</v>
      </c>
      <c r="AV188" s="35" t="s">
        <v>47</v>
      </c>
      <c r="AW188" s="35" t="s">
        <v>52</v>
      </c>
      <c r="AX188" s="35" t="s">
        <v>201</v>
      </c>
      <c r="AY188" s="35" t="s">
        <v>98</v>
      </c>
      <c r="AZ188" s="35" t="s">
        <v>99</v>
      </c>
      <c r="BA188" s="35" t="s">
        <v>42</v>
      </c>
      <c r="BB188" s="38"/>
      <c r="BC188" s="38">
        <v>5.7859999999999996</v>
      </c>
      <c r="BD188" s="35" t="s">
        <v>124</v>
      </c>
      <c r="BE188" s="35" t="s">
        <v>147</v>
      </c>
      <c r="BF188" s="35">
        <v>0</v>
      </c>
      <c r="BG188" s="38">
        <v>0</v>
      </c>
      <c r="BH188" s="35" t="s">
        <v>1319</v>
      </c>
    </row>
    <row r="189" spans="1:60" x14ac:dyDescent="0.3">
      <c r="A189" s="6" t="str">
        <f t="shared" si="3"/>
        <v>000205</v>
      </c>
      <c r="B189" s="35" t="s">
        <v>43</v>
      </c>
      <c r="C189" s="35" t="s">
        <v>42</v>
      </c>
      <c r="D189" s="35" t="s">
        <v>1526</v>
      </c>
      <c r="E189" s="35" t="s">
        <v>663</v>
      </c>
      <c r="F189" s="35" t="s">
        <v>664</v>
      </c>
      <c r="G189" s="35" t="s">
        <v>663</v>
      </c>
      <c r="H189" s="35" t="s">
        <v>664</v>
      </c>
      <c r="I189" s="35" t="s">
        <v>2133</v>
      </c>
      <c r="J189" s="35" t="s">
        <v>47</v>
      </c>
      <c r="K189" s="35" t="s">
        <v>2134</v>
      </c>
      <c r="L189" s="35" t="s">
        <v>205</v>
      </c>
      <c r="M189" s="126">
        <v>5</v>
      </c>
      <c r="N189" s="123">
        <v>45961</v>
      </c>
      <c r="O189" s="123">
        <v>46073</v>
      </c>
      <c r="P189" s="38">
        <v>119765</v>
      </c>
      <c r="Q189" s="38">
        <v>135000</v>
      </c>
      <c r="R189" s="126">
        <v>0</v>
      </c>
      <c r="S189" s="126">
        <v>16</v>
      </c>
      <c r="T189" s="35" t="s">
        <v>95</v>
      </c>
      <c r="U189" s="38">
        <v>10260.09</v>
      </c>
      <c r="V189" s="38">
        <v>0</v>
      </c>
      <c r="W189" s="38">
        <v>0</v>
      </c>
      <c r="X189" s="38">
        <v>0</v>
      </c>
      <c r="Y189" s="38">
        <v>0</v>
      </c>
      <c r="Z189" s="38">
        <v>135000</v>
      </c>
      <c r="AA189" s="38">
        <v>0</v>
      </c>
      <c r="AB189" s="38">
        <v>0</v>
      </c>
      <c r="AC189" s="38">
        <v>0</v>
      </c>
      <c r="AD189" s="38">
        <v>0</v>
      </c>
      <c r="AE189" s="38"/>
      <c r="AF189" s="123"/>
      <c r="AG189" s="35" t="s">
        <v>96</v>
      </c>
      <c r="AH189" s="35"/>
      <c r="AI189" s="35"/>
      <c r="AJ189" s="35"/>
      <c r="AK189" s="35"/>
      <c r="AL189" s="35"/>
      <c r="AM189" s="35"/>
      <c r="AN189" s="35"/>
      <c r="AO189" s="35"/>
      <c r="AQ189" s="35"/>
      <c r="AR189" s="38">
        <v>164161.44</v>
      </c>
      <c r="AS189" s="38">
        <v>0</v>
      </c>
      <c r="AT189" s="35">
        <v>0</v>
      </c>
      <c r="AU189" s="35">
        <v>0</v>
      </c>
      <c r="AV189" s="35" t="s">
        <v>47</v>
      </c>
      <c r="AW189" s="35" t="s">
        <v>52</v>
      </c>
      <c r="AX189" s="35"/>
      <c r="AY189" s="35" t="s">
        <v>98</v>
      </c>
      <c r="AZ189" s="35" t="s">
        <v>99</v>
      </c>
      <c r="BA189" s="35" t="s">
        <v>42</v>
      </c>
      <c r="BB189" s="38"/>
      <c r="BC189" s="38">
        <v>5.7859999999999996</v>
      </c>
      <c r="BD189" s="35" t="s">
        <v>168</v>
      </c>
      <c r="BE189" s="35" t="s">
        <v>1178</v>
      </c>
      <c r="BF189" s="35">
        <v>0</v>
      </c>
      <c r="BG189" s="38"/>
      <c r="BH189" s="35" t="s">
        <v>1319</v>
      </c>
    </row>
    <row r="190" spans="1:60" x14ac:dyDescent="0.3">
      <c r="A190" s="6" t="str">
        <f t="shared" si="3"/>
        <v>000116</v>
      </c>
      <c r="B190" s="35" t="s">
        <v>49</v>
      </c>
      <c r="C190" s="35" t="s">
        <v>388</v>
      </c>
      <c r="D190" s="35" t="s">
        <v>207</v>
      </c>
      <c r="E190" s="35" t="s">
        <v>487</v>
      </c>
      <c r="F190" s="35" t="s">
        <v>488</v>
      </c>
      <c r="G190" s="35" t="s">
        <v>487</v>
      </c>
      <c r="H190" s="35" t="s">
        <v>488</v>
      </c>
      <c r="I190" s="35" t="s">
        <v>1323</v>
      </c>
      <c r="J190" s="35" t="s">
        <v>47</v>
      </c>
      <c r="K190" s="35" t="s">
        <v>1324</v>
      </c>
      <c r="L190" s="35" t="s">
        <v>205</v>
      </c>
      <c r="M190" s="126">
        <v>7</v>
      </c>
      <c r="N190" s="123">
        <v>45926</v>
      </c>
      <c r="O190" s="123">
        <v>46038</v>
      </c>
      <c r="P190" s="38">
        <v>98791</v>
      </c>
      <c r="Q190" s="38">
        <v>112000</v>
      </c>
      <c r="R190" s="126">
        <v>0</v>
      </c>
      <c r="S190" s="126">
        <v>16</v>
      </c>
      <c r="T190" s="35" t="s">
        <v>95</v>
      </c>
      <c r="U190" s="38">
        <v>8512.07</v>
      </c>
      <c r="V190" s="38">
        <v>0</v>
      </c>
      <c r="W190" s="38">
        <v>0</v>
      </c>
      <c r="X190" s="38">
        <v>5</v>
      </c>
      <c r="Y190" s="38">
        <v>0</v>
      </c>
      <c r="Z190" s="38">
        <v>77000.38</v>
      </c>
      <c r="AA190" s="38">
        <v>0.37333333333333302</v>
      </c>
      <c r="AB190" s="38">
        <v>0</v>
      </c>
      <c r="AC190" s="38">
        <v>0</v>
      </c>
      <c r="AD190" s="38">
        <v>0</v>
      </c>
      <c r="AE190" s="38">
        <v>8512</v>
      </c>
      <c r="AF190" s="123">
        <v>45960</v>
      </c>
      <c r="AG190" s="35" t="s">
        <v>96</v>
      </c>
      <c r="AH190" s="35"/>
      <c r="AI190" s="35"/>
      <c r="AJ190" s="35"/>
      <c r="AK190" s="35"/>
      <c r="AL190" s="35"/>
      <c r="AM190" s="35"/>
      <c r="AN190" s="35"/>
      <c r="AO190" s="35"/>
      <c r="AQ190" s="35"/>
      <c r="AR190" s="38">
        <v>93633.19</v>
      </c>
      <c r="AS190" s="38">
        <v>0</v>
      </c>
      <c r="AT190" s="35">
        <v>0</v>
      </c>
      <c r="AU190" s="35">
        <v>0</v>
      </c>
      <c r="AV190" s="35" t="s">
        <v>47</v>
      </c>
      <c r="AW190" s="35" t="s">
        <v>52</v>
      </c>
      <c r="AX190" s="35" t="s">
        <v>1325</v>
      </c>
      <c r="AY190" s="35" t="s">
        <v>98</v>
      </c>
      <c r="AZ190" s="35" t="s">
        <v>99</v>
      </c>
      <c r="BA190" s="35" t="s">
        <v>42</v>
      </c>
      <c r="BB190" s="38"/>
      <c r="BC190" s="38">
        <v>5.7859999999999996</v>
      </c>
      <c r="BD190" s="35" t="s">
        <v>168</v>
      </c>
      <c r="BE190" s="35" t="s">
        <v>1178</v>
      </c>
      <c r="BF190" s="35">
        <v>0</v>
      </c>
      <c r="BG190" s="38">
        <v>0</v>
      </c>
      <c r="BH190" s="35" t="s">
        <v>1320</v>
      </c>
    </row>
    <row r="191" spans="1:60" x14ac:dyDescent="0.3">
      <c r="A191" s="6" t="str">
        <f t="shared" si="3"/>
        <v>000091</v>
      </c>
      <c r="B191" s="35" t="s">
        <v>43</v>
      </c>
      <c r="C191" s="35" t="s">
        <v>42</v>
      </c>
      <c r="D191" s="35" t="s">
        <v>1526</v>
      </c>
      <c r="E191" s="35" t="s">
        <v>663</v>
      </c>
      <c r="F191" s="35" t="s">
        <v>664</v>
      </c>
      <c r="G191" s="35" t="s">
        <v>663</v>
      </c>
      <c r="H191" s="35" t="s">
        <v>664</v>
      </c>
      <c r="I191" s="35" t="s">
        <v>1145</v>
      </c>
      <c r="J191" s="35" t="s">
        <v>47</v>
      </c>
      <c r="K191" s="35" t="s">
        <v>1146</v>
      </c>
      <c r="L191" s="35" t="s">
        <v>205</v>
      </c>
      <c r="M191" s="126">
        <v>8</v>
      </c>
      <c r="N191" s="123">
        <v>45919</v>
      </c>
      <c r="O191" s="123">
        <v>46031</v>
      </c>
      <c r="P191" s="38">
        <v>87814</v>
      </c>
      <c r="Q191" s="38">
        <v>100000</v>
      </c>
      <c r="R191" s="126">
        <v>0</v>
      </c>
      <c r="S191" s="126">
        <v>16</v>
      </c>
      <c r="T191" s="35" t="s">
        <v>95</v>
      </c>
      <c r="U191" s="38">
        <v>7600.07</v>
      </c>
      <c r="V191" s="38">
        <v>0</v>
      </c>
      <c r="W191" s="38">
        <v>0</v>
      </c>
      <c r="X191" s="38">
        <v>6</v>
      </c>
      <c r="Y191" s="38">
        <v>0</v>
      </c>
      <c r="Z191" s="38">
        <v>62500.4</v>
      </c>
      <c r="AA191" s="38">
        <v>0.4</v>
      </c>
      <c r="AB191" s="38">
        <v>0</v>
      </c>
      <c r="AC191" s="38">
        <v>0</v>
      </c>
      <c r="AD191" s="38">
        <v>0</v>
      </c>
      <c r="AE191" s="38">
        <v>7600</v>
      </c>
      <c r="AF191" s="123">
        <v>45960</v>
      </c>
      <c r="AG191" s="35" t="s">
        <v>96</v>
      </c>
      <c r="AH191" s="35"/>
      <c r="AI191" s="35"/>
      <c r="AJ191" s="35"/>
      <c r="AK191" s="35"/>
      <c r="AL191" s="35"/>
      <c r="AM191" s="35"/>
      <c r="AN191" s="35"/>
      <c r="AO191" s="35"/>
      <c r="AQ191" s="35"/>
      <c r="AR191" s="38">
        <v>76001.070000000007</v>
      </c>
      <c r="AS191" s="38">
        <v>0</v>
      </c>
      <c r="AT191" s="35">
        <v>0</v>
      </c>
      <c r="AU191" s="35">
        <v>0</v>
      </c>
      <c r="AV191" s="35" t="s">
        <v>47</v>
      </c>
      <c r="AW191" s="35" t="s">
        <v>52</v>
      </c>
      <c r="AX191" s="35"/>
      <c r="AY191" s="35" t="s">
        <v>98</v>
      </c>
      <c r="AZ191" s="35" t="s">
        <v>99</v>
      </c>
      <c r="BA191" s="35" t="s">
        <v>42</v>
      </c>
      <c r="BB191" s="38"/>
      <c r="BC191" s="38">
        <v>5.7859999999999996</v>
      </c>
      <c r="BD191" s="35" t="s">
        <v>168</v>
      </c>
      <c r="BE191" s="35" t="s">
        <v>198</v>
      </c>
      <c r="BF191" s="35">
        <v>0</v>
      </c>
      <c r="BG191" s="38">
        <v>0</v>
      </c>
      <c r="BH191" s="35" t="s">
        <v>1319</v>
      </c>
    </row>
    <row r="192" spans="1:60" x14ac:dyDescent="0.3">
      <c r="A192" s="6" t="str">
        <f t="shared" si="3"/>
        <v>000151</v>
      </c>
      <c r="B192" s="35" t="s">
        <v>43</v>
      </c>
      <c r="C192" s="35" t="s">
        <v>396</v>
      </c>
      <c r="D192" s="35" t="s">
        <v>206</v>
      </c>
      <c r="E192" s="35" t="s">
        <v>154</v>
      </c>
      <c r="F192" s="35" t="s">
        <v>155</v>
      </c>
      <c r="G192" s="35" t="s">
        <v>154</v>
      </c>
      <c r="H192" s="35" t="s">
        <v>155</v>
      </c>
      <c r="I192" s="35" t="s">
        <v>1687</v>
      </c>
      <c r="J192" s="35" t="s">
        <v>47</v>
      </c>
      <c r="K192" s="35" t="s">
        <v>1596</v>
      </c>
      <c r="L192" s="35" t="s">
        <v>205</v>
      </c>
      <c r="M192" s="126">
        <v>6</v>
      </c>
      <c r="N192" s="123">
        <v>45945</v>
      </c>
      <c r="O192" s="123">
        <v>46057</v>
      </c>
      <c r="P192" s="38">
        <v>59676</v>
      </c>
      <c r="Q192" s="38">
        <v>68000</v>
      </c>
      <c r="R192" s="126">
        <v>0</v>
      </c>
      <c r="S192" s="126">
        <v>16</v>
      </c>
      <c r="T192" s="35" t="s">
        <v>95</v>
      </c>
      <c r="U192" s="38">
        <v>5168.05</v>
      </c>
      <c r="V192" s="38">
        <v>0</v>
      </c>
      <c r="W192" s="38">
        <v>0</v>
      </c>
      <c r="X192" s="38">
        <v>2</v>
      </c>
      <c r="Y192" s="38">
        <v>0</v>
      </c>
      <c r="Z192" s="38">
        <v>59500</v>
      </c>
      <c r="AA192" s="38">
        <v>0</v>
      </c>
      <c r="AB192" s="38">
        <v>0</v>
      </c>
      <c r="AC192" s="38">
        <v>0</v>
      </c>
      <c r="AD192" s="38">
        <v>0</v>
      </c>
      <c r="AE192" s="38">
        <v>5173</v>
      </c>
      <c r="AF192" s="123">
        <v>45958</v>
      </c>
      <c r="AG192" s="35" t="s">
        <v>96</v>
      </c>
      <c r="AH192" s="35"/>
      <c r="AI192" s="35"/>
      <c r="AJ192" s="35"/>
      <c r="AK192" s="35"/>
      <c r="AL192" s="35"/>
      <c r="AM192" s="35"/>
      <c r="AN192" s="35"/>
      <c r="AO192" s="35"/>
      <c r="AQ192" s="35"/>
      <c r="AR192" s="38">
        <v>72342.73</v>
      </c>
      <c r="AS192" s="38">
        <v>9.9093333333333309</v>
      </c>
      <c r="AT192" s="35">
        <v>0</v>
      </c>
      <c r="AU192" s="35">
        <v>0</v>
      </c>
      <c r="AV192" s="35" t="s">
        <v>47</v>
      </c>
      <c r="AW192" s="35" t="s">
        <v>52</v>
      </c>
      <c r="AX192" s="35" t="s">
        <v>1694</v>
      </c>
      <c r="AY192" s="35" t="s">
        <v>98</v>
      </c>
      <c r="AZ192" s="35" t="s">
        <v>99</v>
      </c>
      <c r="BA192" s="35" t="s">
        <v>42</v>
      </c>
      <c r="BB192" s="38"/>
      <c r="BC192" s="38">
        <v>5.7859999999999996</v>
      </c>
      <c r="BD192" s="35" t="s">
        <v>124</v>
      </c>
      <c r="BE192" s="35" t="s">
        <v>200</v>
      </c>
      <c r="BF192" s="35">
        <v>0</v>
      </c>
      <c r="BG192" s="38">
        <v>0</v>
      </c>
      <c r="BH192" s="35" t="s">
        <v>1319</v>
      </c>
    </row>
    <row r="193" spans="1:60" x14ac:dyDescent="0.3">
      <c r="A193" s="6" t="str">
        <f t="shared" si="3"/>
        <v>000043</v>
      </c>
      <c r="B193" s="35" t="s">
        <v>43</v>
      </c>
      <c r="C193" s="35" t="s">
        <v>396</v>
      </c>
      <c r="D193" s="35" t="s">
        <v>206</v>
      </c>
      <c r="E193" s="35" t="s">
        <v>154</v>
      </c>
      <c r="F193" s="35" t="s">
        <v>155</v>
      </c>
      <c r="G193" s="35" t="s">
        <v>154</v>
      </c>
      <c r="H193" s="35" t="s">
        <v>155</v>
      </c>
      <c r="I193" s="35" t="s">
        <v>660</v>
      </c>
      <c r="J193" s="35" t="s">
        <v>47</v>
      </c>
      <c r="K193" s="35" t="s">
        <v>661</v>
      </c>
      <c r="L193" s="35" t="s">
        <v>205</v>
      </c>
      <c r="M193" s="126">
        <v>7</v>
      </c>
      <c r="N193" s="123">
        <v>45897</v>
      </c>
      <c r="O193" s="123">
        <v>46009</v>
      </c>
      <c r="P193" s="38">
        <v>74645</v>
      </c>
      <c r="Q193" s="38">
        <v>85000</v>
      </c>
      <c r="R193" s="126">
        <v>0</v>
      </c>
      <c r="S193" s="126">
        <v>16</v>
      </c>
      <c r="T193" s="35" t="s">
        <v>95</v>
      </c>
      <c r="U193" s="38">
        <v>6460.06</v>
      </c>
      <c r="V193" s="38">
        <v>0</v>
      </c>
      <c r="W193" s="38">
        <v>0</v>
      </c>
      <c r="X193" s="38">
        <v>9</v>
      </c>
      <c r="Y193" s="38">
        <v>0</v>
      </c>
      <c r="Z193" s="38">
        <v>37187.5</v>
      </c>
      <c r="AA193" s="38">
        <v>0</v>
      </c>
      <c r="AB193" s="38">
        <v>0</v>
      </c>
      <c r="AC193" s="38">
        <v>0</v>
      </c>
      <c r="AD193" s="38">
        <v>0</v>
      </c>
      <c r="AE193" s="38">
        <v>6467</v>
      </c>
      <c r="AF193" s="123">
        <v>45958</v>
      </c>
      <c r="AG193" s="35" t="s">
        <v>96</v>
      </c>
      <c r="AH193" s="35"/>
      <c r="AI193" s="35"/>
      <c r="AJ193" s="35"/>
      <c r="AK193" s="35"/>
      <c r="AL193" s="35"/>
      <c r="AM193" s="35"/>
      <c r="AN193" s="35"/>
      <c r="AO193" s="35"/>
      <c r="AQ193" s="35"/>
      <c r="AR193" s="38">
        <v>45157.91</v>
      </c>
      <c r="AS193" s="38">
        <v>62.49</v>
      </c>
      <c r="AT193" s="35">
        <v>0</v>
      </c>
      <c r="AU193" s="35">
        <v>0</v>
      </c>
      <c r="AV193" s="35" t="s">
        <v>47</v>
      </c>
      <c r="AW193" s="35" t="s">
        <v>52</v>
      </c>
      <c r="AX193" s="35" t="s">
        <v>662</v>
      </c>
      <c r="AY193" s="35" t="s">
        <v>98</v>
      </c>
      <c r="AZ193" s="35" t="s">
        <v>99</v>
      </c>
      <c r="BA193" s="35" t="s">
        <v>42</v>
      </c>
      <c r="BB193" s="38"/>
      <c r="BC193" s="38">
        <v>5.7859999999999996</v>
      </c>
      <c r="BD193" s="35" t="s">
        <v>197</v>
      </c>
      <c r="BE193" s="35"/>
      <c r="BF193" s="35">
        <v>0</v>
      </c>
      <c r="BG193" s="38">
        <v>0</v>
      </c>
      <c r="BH193" s="35" t="s">
        <v>1319</v>
      </c>
    </row>
    <row r="194" spans="1:60" x14ac:dyDescent="0.3">
      <c r="A194" s="6" t="str">
        <f t="shared" si="3"/>
        <v>000128</v>
      </c>
      <c r="B194" s="35" t="s">
        <v>43</v>
      </c>
      <c r="C194" s="35" t="s">
        <v>396</v>
      </c>
      <c r="D194" s="35" t="s">
        <v>206</v>
      </c>
      <c r="E194" s="35" t="s">
        <v>501</v>
      </c>
      <c r="F194" s="35" t="s">
        <v>502</v>
      </c>
      <c r="G194" s="35" t="s">
        <v>501</v>
      </c>
      <c r="H194" s="35" t="s">
        <v>502</v>
      </c>
      <c r="I194" s="35" t="s">
        <v>1459</v>
      </c>
      <c r="J194" s="35" t="s">
        <v>47</v>
      </c>
      <c r="K194" s="35" t="s">
        <v>686</v>
      </c>
      <c r="L194" s="35" t="s">
        <v>205</v>
      </c>
      <c r="M194" s="126">
        <v>6</v>
      </c>
      <c r="N194" s="123">
        <v>45931</v>
      </c>
      <c r="O194" s="123">
        <v>46043</v>
      </c>
      <c r="P194" s="38">
        <v>81122</v>
      </c>
      <c r="Q194" s="38">
        <v>92000</v>
      </c>
      <c r="R194" s="126">
        <v>0</v>
      </c>
      <c r="S194" s="126">
        <v>16</v>
      </c>
      <c r="T194" s="35" t="s">
        <v>95</v>
      </c>
      <c r="U194" s="38">
        <v>6992.06</v>
      </c>
      <c r="V194" s="38">
        <v>0</v>
      </c>
      <c r="W194" s="38">
        <v>0</v>
      </c>
      <c r="X194" s="38">
        <v>4</v>
      </c>
      <c r="Y194" s="38">
        <v>0</v>
      </c>
      <c r="Z194" s="38">
        <v>69000</v>
      </c>
      <c r="AA194" s="38">
        <v>0</v>
      </c>
      <c r="AB194" s="38">
        <v>0</v>
      </c>
      <c r="AC194" s="38">
        <v>0</v>
      </c>
      <c r="AD194" s="38">
        <v>0</v>
      </c>
      <c r="AE194" s="38">
        <v>6998</v>
      </c>
      <c r="AF194" s="123">
        <v>45958</v>
      </c>
      <c r="AG194" s="35" t="s">
        <v>96</v>
      </c>
      <c r="AH194" s="35"/>
      <c r="AI194" s="35"/>
      <c r="AJ194" s="35"/>
      <c r="AK194" s="35"/>
      <c r="AL194" s="35"/>
      <c r="AM194" s="35"/>
      <c r="AN194" s="35"/>
      <c r="AO194" s="35"/>
      <c r="AQ194" s="35"/>
      <c r="AR194" s="38">
        <v>83885.98</v>
      </c>
      <c r="AS194" s="38">
        <v>18.754666666666662</v>
      </c>
      <c r="AT194" s="35">
        <v>0</v>
      </c>
      <c r="AU194" s="35">
        <v>0</v>
      </c>
      <c r="AV194" s="35" t="s">
        <v>47</v>
      </c>
      <c r="AW194" s="35" t="s">
        <v>52</v>
      </c>
      <c r="AX194" s="35" t="s">
        <v>1466</v>
      </c>
      <c r="AY194" s="35" t="s">
        <v>98</v>
      </c>
      <c r="AZ194" s="35" t="s">
        <v>99</v>
      </c>
      <c r="BA194" s="35" t="s">
        <v>42</v>
      </c>
      <c r="BB194" s="38"/>
      <c r="BC194" s="38">
        <v>5.7859999999999996</v>
      </c>
      <c r="BD194" s="35" t="s">
        <v>124</v>
      </c>
      <c r="BE194" s="35" t="s">
        <v>185</v>
      </c>
      <c r="BF194" s="35">
        <v>0</v>
      </c>
      <c r="BG194" s="38">
        <v>0</v>
      </c>
      <c r="BH194" s="35" t="s">
        <v>1320</v>
      </c>
    </row>
    <row r="195" spans="1:60" x14ac:dyDescent="0.3">
      <c r="A195" s="6" t="str">
        <f t="shared" si="3"/>
        <v>000018</v>
      </c>
      <c r="B195" s="35" t="s">
        <v>43</v>
      </c>
      <c r="C195" s="35" t="s">
        <v>396</v>
      </c>
      <c r="D195" s="35" t="s">
        <v>206</v>
      </c>
      <c r="E195" s="35" t="s">
        <v>154</v>
      </c>
      <c r="F195" s="35" t="s">
        <v>155</v>
      </c>
      <c r="G195" s="35" t="s">
        <v>154</v>
      </c>
      <c r="H195" s="35" t="s">
        <v>155</v>
      </c>
      <c r="I195" s="35" t="s">
        <v>610</v>
      </c>
      <c r="J195" s="35" t="s">
        <v>47</v>
      </c>
      <c r="K195" s="35" t="s">
        <v>391</v>
      </c>
      <c r="L195" s="35" t="s">
        <v>205</v>
      </c>
      <c r="M195" s="126">
        <v>7</v>
      </c>
      <c r="N195" s="123">
        <v>45896</v>
      </c>
      <c r="O195" s="123">
        <v>46008</v>
      </c>
      <c r="P195" s="38">
        <v>132602</v>
      </c>
      <c r="Q195" s="38">
        <v>150000</v>
      </c>
      <c r="R195" s="126">
        <v>0</v>
      </c>
      <c r="S195" s="126">
        <v>16</v>
      </c>
      <c r="T195" s="35" t="s">
        <v>95</v>
      </c>
      <c r="U195" s="38">
        <v>11400.1</v>
      </c>
      <c r="V195" s="38">
        <v>0</v>
      </c>
      <c r="W195" s="38">
        <v>0</v>
      </c>
      <c r="X195" s="38">
        <v>9</v>
      </c>
      <c r="Y195" s="38">
        <v>0</v>
      </c>
      <c r="Z195" s="38">
        <v>65625</v>
      </c>
      <c r="AA195" s="38">
        <v>0</v>
      </c>
      <c r="AB195" s="38">
        <v>0</v>
      </c>
      <c r="AC195" s="38">
        <v>0</v>
      </c>
      <c r="AD195" s="38">
        <v>0</v>
      </c>
      <c r="AE195" s="38">
        <v>11401</v>
      </c>
      <c r="AF195" s="123">
        <v>45958</v>
      </c>
      <c r="AG195" s="35" t="s">
        <v>96</v>
      </c>
      <c r="AH195" s="35"/>
      <c r="AI195" s="35"/>
      <c r="AJ195" s="35"/>
      <c r="AK195" s="35"/>
      <c r="AL195" s="35"/>
      <c r="AM195" s="35"/>
      <c r="AN195" s="35"/>
      <c r="AO195" s="35"/>
      <c r="AQ195" s="35"/>
      <c r="AR195" s="38">
        <v>79792.600000000006</v>
      </c>
      <c r="AS195" s="38">
        <v>8.1</v>
      </c>
      <c r="AT195" s="35">
        <v>0</v>
      </c>
      <c r="AU195" s="35">
        <v>0</v>
      </c>
      <c r="AV195" s="35" t="s">
        <v>47</v>
      </c>
      <c r="AW195" s="35" t="s">
        <v>52</v>
      </c>
      <c r="AX195" s="35" t="s">
        <v>611</v>
      </c>
      <c r="AY195" s="35" t="s">
        <v>98</v>
      </c>
      <c r="AZ195" s="35" t="s">
        <v>99</v>
      </c>
      <c r="BA195" s="35" t="s">
        <v>42</v>
      </c>
      <c r="BB195" s="38"/>
      <c r="BC195" s="38">
        <v>5.7859999999999996</v>
      </c>
      <c r="BD195" s="35" t="s">
        <v>124</v>
      </c>
      <c r="BE195" s="35" t="s">
        <v>185</v>
      </c>
      <c r="BF195" s="35">
        <v>0</v>
      </c>
      <c r="BG195" s="38">
        <v>0</v>
      </c>
      <c r="BH195" s="35" t="s">
        <v>1319</v>
      </c>
    </row>
    <row r="196" spans="1:60" x14ac:dyDescent="0.3">
      <c r="A196" s="6" t="str">
        <f t="shared" si="3"/>
        <v>000041</v>
      </c>
      <c r="B196" s="35" t="s">
        <v>43</v>
      </c>
      <c r="C196" s="35" t="s">
        <v>424</v>
      </c>
      <c r="D196" s="35" t="s">
        <v>204</v>
      </c>
      <c r="E196" s="35" t="s">
        <v>189</v>
      </c>
      <c r="F196" s="35" t="s">
        <v>191</v>
      </c>
      <c r="G196" s="35" t="s">
        <v>189</v>
      </c>
      <c r="H196" s="35" t="s">
        <v>191</v>
      </c>
      <c r="I196" s="35" t="s">
        <v>608</v>
      </c>
      <c r="J196" s="35" t="s">
        <v>47</v>
      </c>
      <c r="K196" s="35" t="s">
        <v>573</v>
      </c>
      <c r="L196" s="35" t="s">
        <v>205</v>
      </c>
      <c r="M196" s="126">
        <v>11</v>
      </c>
      <c r="N196" s="123">
        <v>45896</v>
      </c>
      <c r="O196" s="123">
        <v>46008</v>
      </c>
      <c r="P196" s="38">
        <v>557047</v>
      </c>
      <c r="Q196" s="38">
        <v>625000</v>
      </c>
      <c r="R196" s="126">
        <v>0</v>
      </c>
      <c r="S196" s="126">
        <v>16</v>
      </c>
      <c r="T196" s="35" t="s">
        <v>95</v>
      </c>
      <c r="U196" s="38">
        <v>47500.42</v>
      </c>
      <c r="V196" s="38">
        <v>0</v>
      </c>
      <c r="W196" s="38">
        <v>0</v>
      </c>
      <c r="X196" s="38">
        <v>9</v>
      </c>
      <c r="Y196" s="38">
        <v>0</v>
      </c>
      <c r="Z196" s="38">
        <v>273437.5</v>
      </c>
      <c r="AA196" s="38">
        <v>0</v>
      </c>
      <c r="AB196" s="38">
        <v>0</v>
      </c>
      <c r="AC196" s="38">
        <v>0</v>
      </c>
      <c r="AD196" s="38">
        <v>0</v>
      </c>
      <c r="AE196" s="38">
        <v>47500.42</v>
      </c>
      <c r="AF196" s="123">
        <v>45958</v>
      </c>
      <c r="AG196" s="35" t="s">
        <v>96</v>
      </c>
      <c r="AH196" s="35"/>
      <c r="AI196" s="35"/>
      <c r="AJ196" s="35"/>
      <c r="AK196" s="35"/>
      <c r="AL196" s="35"/>
      <c r="AM196" s="35"/>
      <c r="AN196" s="35"/>
      <c r="AO196" s="35"/>
      <c r="AQ196" s="35"/>
      <c r="AR196" s="38">
        <v>332502.89</v>
      </c>
      <c r="AS196" s="38">
        <v>0.03</v>
      </c>
      <c r="AT196" s="35">
        <v>0</v>
      </c>
      <c r="AU196" s="35">
        <v>0</v>
      </c>
      <c r="AV196" s="35" t="s">
        <v>47</v>
      </c>
      <c r="AW196" s="35" t="s">
        <v>52</v>
      </c>
      <c r="AX196" s="35" t="s">
        <v>609</v>
      </c>
      <c r="AY196" s="35" t="s">
        <v>98</v>
      </c>
      <c r="AZ196" s="35" t="s">
        <v>99</v>
      </c>
      <c r="BA196" s="35" t="s">
        <v>42</v>
      </c>
      <c r="BB196" s="38"/>
      <c r="BC196" s="38">
        <v>5.7859999999999996</v>
      </c>
      <c r="BD196" s="35" t="s">
        <v>124</v>
      </c>
      <c r="BE196" s="35"/>
      <c r="BF196" s="35">
        <v>0</v>
      </c>
      <c r="BG196" s="38">
        <v>0</v>
      </c>
      <c r="BH196" s="35" t="s">
        <v>1319</v>
      </c>
    </row>
    <row r="197" spans="1:60" x14ac:dyDescent="0.3">
      <c r="A197" s="6" t="str">
        <f t="shared" si="3"/>
        <v>000084</v>
      </c>
      <c r="B197" s="35" t="s">
        <v>43</v>
      </c>
      <c r="C197" s="35" t="s">
        <v>42</v>
      </c>
      <c r="D197" s="35" t="s">
        <v>1526</v>
      </c>
      <c r="E197" s="35" t="s">
        <v>883</v>
      </c>
      <c r="F197" s="35" t="s">
        <v>884</v>
      </c>
      <c r="G197" s="35" t="s">
        <v>883</v>
      </c>
      <c r="H197" s="35" t="s">
        <v>884</v>
      </c>
      <c r="I197" s="35" t="s">
        <v>883</v>
      </c>
      <c r="J197" s="35" t="s">
        <v>47</v>
      </c>
      <c r="K197" s="35" t="s">
        <v>939</v>
      </c>
      <c r="L197" s="35" t="s">
        <v>205</v>
      </c>
      <c r="M197" s="126">
        <v>5</v>
      </c>
      <c r="N197" s="123">
        <v>45912</v>
      </c>
      <c r="O197" s="123">
        <v>46024</v>
      </c>
      <c r="P197" s="38">
        <v>33830</v>
      </c>
      <c r="Q197" s="38">
        <v>39000</v>
      </c>
      <c r="R197" s="126">
        <v>0</v>
      </c>
      <c r="S197" s="126">
        <v>16</v>
      </c>
      <c r="T197" s="35" t="s">
        <v>95</v>
      </c>
      <c r="U197" s="38">
        <v>2964.03</v>
      </c>
      <c r="V197" s="38">
        <v>0</v>
      </c>
      <c r="W197" s="38">
        <v>0</v>
      </c>
      <c r="X197" s="38">
        <v>7</v>
      </c>
      <c r="Y197" s="38">
        <v>0</v>
      </c>
      <c r="Z197" s="38">
        <v>21937.5</v>
      </c>
      <c r="AA197" s="38">
        <v>0</v>
      </c>
      <c r="AB197" s="38">
        <v>0</v>
      </c>
      <c r="AC197" s="38">
        <v>0</v>
      </c>
      <c r="AD197" s="38">
        <v>0</v>
      </c>
      <c r="AE197" s="38">
        <v>2964</v>
      </c>
      <c r="AF197" s="123">
        <v>45960</v>
      </c>
      <c r="AG197" s="35" t="s">
        <v>96</v>
      </c>
      <c r="AH197" s="35"/>
      <c r="AI197" s="35"/>
      <c r="AJ197" s="35"/>
      <c r="AK197" s="35"/>
      <c r="AL197" s="35"/>
      <c r="AM197" s="35"/>
      <c r="AN197" s="35"/>
      <c r="AO197" s="35"/>
      <c r="AQ197" s="35"/>
      <c r="AR197" s="38">
        <v>26665.420000000002</v>
      </c>
      <c r="AS197" s="38">
        <v>10.818000000000001</v>
      </c>
      <c r="AT197" s="35">
        <v>0</v>
      </c>
      <c r="AU197" s="35">
        <v>0</v>
      </c>
      <c r="AV197" s="35" t="s">
        <v>47</v>
      </c>
      <c r="AW197" s="35" t="s">
        <v>52</v>
      </c>
      <c r="AX197" s="35"/>
      <c r="AY197" s="35" t="s">
        <v>98</v>
      </c>
      <c r="AZ197" s="35" t="s">
        <v>99</v>
      </c>
      <c r="BA197" s="35" t="s">
        <v>42</v>
      </c>
      <c r="BB197" s="38"/>
      <c r="BC197" s="38">
        <v>5.7859999999999996</v>
      </c>
      <c r="BD197" s="35" t="s">
        <v>168</v>
      </c>
      <c r="BE197" s="35" t="s">
        <v>125</v>
      </c>
      <c r="BF197" s="35">
        <v>0</v>
      </c>
      <c r="BG197" s="38">
        <v>0</v>
      </c>
      <c r="BH197" s="35" t="s">
        <v>1319</v>
      </c>
    </row>
    <row r="198" spans="1:60" x14ac:dyDescent="0.3">
      <c r="A198" s="6" t="str">
        <f t="shared" si="3"/>
        <v>000170</v>
      </c>
      <c r="B198" s="35" t="s">
        <v>43</v>
      </c>
      <c r="C198" s="35" t="s">
        <v>424</v>
      </c>
      <c r="D198" s="35" t="s">
        <v>204</v>
      </c>
      <c r="E198" s="35" t="s">
        <v>39</v>
      </c>
      <c r="F198" s="35" t="s">
        <v>40</v>
      </c>
      <c r="G198" s="35" t="s">
        <v>39</v>
      </c>
      <c r="H198" s="35" t="s">
        <v>40</v>
      </c>
      <c r="I198" s="35" t="s">
        <v>1874</v>
      </c>
      <c r="J198" s="35" t="s">
        <v>47</v>
      </c>
      <c r="K198" s="35" t="s">
        <v>1875</v>
      </c>
      <c r="L198" s="35" t="s">
        <v>205</v>
      </c>
      <c r="M198" s="126">
        <v>7</v>
      </c>
      <c r="N198" s="123">
        <v>45951</v>
      </c>
      <c r="O198" s="123">
        <v>46063</v>
      </c>
      <c r="P198" s="38">
        <v>137283</v>
      </c>
      <c r="Q198" s="38">
        <v>155000</v>
      </c>
      <c r="R198" s="126">
        <v>0</v>
      </c>
      <c r="S198" s="126">
        <v>16</v>
      </c>
      <c r="T198" s="35" t="s">
        <v>95</v>
      </c>
      <c r="U198" s="38">
        <v>11780.1</v>
      </c>
      <c r="V198" s="38">
        <v>0</v>
      </c>
      <c r="W198" s="38">
        <v>0</v>
      </c>
      <c r="X198" s="38">
        <v>1</v>
      </c>
      <c r="Y198" s="38">
        <v>0</v>
      </c>
      <c r="Z198" s="38">
        <v>145312.5</v>
      </c>
      <c r="AA198" s="38">
        <v>0</v>
      </c>
      <c r="AB198" s="38">
        <v>0</v>
      </c>
      <c r="AC198" s="38">
        <v>0</v>
      </c>
      <c r="AD198" s="38">
        <v>0</v>
      </c>
      <c r="AE198" s="38">
        <v>11787</v>
      </c>
      <c r="AF198" s="123">
        <v>45957</v>
      </c>
      <c r="AG198" s="35" t="s">
        <v>96</v>
      </c>
      <c r="AH198" s="35"/>
      <c r="AI198" s="35"/>
      <c r="AJ198" s="35"/>
      <c r="AK198" s="35"/>
      <c r="AL198" s="35"/>
      <c r="AM198" s="35"/>
      <c r="AN198" s="35"/>
      <c r="AO198" s="35"/>
      <c r="AQ198" s="35"/>
      <c r="AR198" s="38">
        <v>176694.65</v>
      </c>
      <c r="AS198" s="38">
        <v>6.8966666666666692</v>
      </c>
      <c r="AT198" s="35">
        <v>0</v>
      </c>
      <c r="AU198" s="35">
        <v>0</v>
      </c>
      <c r="AV198" s="35" t="s">
        <v>47</v>
      </c>
      <c r="AW198" s="35" t="s">
        <v>52</v>
      </c>
      <c r="AX198" s="35" t="s">
        <v>1876</v>
      </c>
      <c r="AY198" s="35" t="s">
        <v>98</v>
      </c>
      <c r="AZ198" s="35" t="s">
        <v>99</v>
      </c>
      <c r="BA198" s="35" t="s">
        <v>42</v>
      </c>
      <c r="BB198" s="38"/>
      <c r="BC198" s="38">
        <v>5.7859999999999996</v>
      </c>
      <c r="BD198" s="35" t="s">
        <v>146</v>
      </c>
      <c r="BE198" s="35" t="s">
        <v>147</v>
      </c>
      <c r="BF198" s="35">
        <v>0</v>
      </c>
      <c r="BG198" s="38">
        <v>0</v>
      </c>
      <c r="BH198" s="35" t="s">
        <v>1319</v>
      </c>
    </row>
    <row r="199" spans="1:60" x14ac:dyDescent="0.3">
      <c r="A199" s="6" t="str">
        <f t="shared" si="3"/>
        <v>000118</v>
      </c>
      <c r="B199" s="35" t="s">
        <v>49</v>
      </c>
      <c r="C199" s="35" t="s">
        <v>388</v>
      </c>
      <c r="D199" s="35" t="s">
        <v>207</v>
      </c>
      <c r="E199" s="35" t="s">
        <v>487</v>
      </c>
      <c r="F199" s="35" t="s">
        <v>488</v>
      </c>
      <c r="G199" s="35" t="s">
        <v>487</v>
      </c>
      <c r="H199" s="35" t="s">
        <v>488</v>
      </c>
      <c r="I199" s="35" t="s">
        <v>1636</v>
      </c>
      <c r="J199" s="35" t="s">
        <v>47</v>
      </c>
      <c r="K199" s="35" t="s">
        <v>186</v>
      </c>
      <c r="L199" s="35" t="s">
        <v>205</v>
      </c>
      <c r="M199" s="126">
        <v>6</v>
      </c>
      <c r="N199" s="123">
        <v>45943</v>
      </c>
      <c r="O199" s="123">
        <v>46055</v>
      </c>
      <c r="P199" s="38">
        <v>46999</v>
      </c>
      <c r="Q199" s="38">
        <v>54000</v>
      </c>
      <c r="R199" s="126">
        <v>0</v>
      </c>
      <c r="S199" s="126">
        <v>16</v>
      </c>
      <c r="T199" s="35" t="s">
        <v>95</v>
      </c>
      <c r="U199" s="38">
        <v>4104.04</v>
      </c>
      <c r="V199" s="38">
        <v>0</v>
      </c>
      <c r="W199" s="38">
        <v>0</v>
      </c>
      <c r="X199" s="38">
        <v>2</v>
      </c>
      <c r="Y199" s="38">
        <v>0</v>
      </c>
      <c r="Z199" s="38">
        <v>47250.080000000002</v>
      </c>
      <c r="AA199" s="38">
        <v>7.1999999999999995E-2</v>
      </c>
      <c r="AB199" s="38">
        <v>0</v>
      </c>
      <c r="AC199" s="38">
        <v>0</v>
      </c>
      <c r="AD199" s="38">
        <v>0</v>
      </c>
      <c r="AE199" s="38">
        <v>4104</v>
      </c>
      <c r="AF199" s="123">
        <v>45954</v>
      </c>
      <c r="AG199" s="35" t="s">
        <v>96</v>
      </c>
      <c r="AH199" s="35"/>
      <c r="AI199" s="35"/>
      <c r="AJ199" s="35"/>
      <c r="AK199" s="35"/>
      <c r="AL199" s="35"/>
      <c r="AM199" s="35"/>
      <c r="AN199" s="35"/>
      <c r="AO199" s="35"/>
      <c r="AQ199" s="35"/>
      <c r="AR199" s="38">
        <v>57456.58</v>
      </c>
      <c r="AS199" s="38">
        <v>0</v>
      </c>
      <c r="AT199" s="35">
        <v>1</v>
      </c>
      <c r="AU199" s="35">
        <v>1</v>
      </c>
      <c r="AV199" s="35" t="s">
        <v>47</v>
      </c>
      <c r="AW199" s="35" t="s">
        <v>52</v>
      </c>
      <c r="AX199" s="35" t="s">
        <v>1637</v>
      </c>
      <c r="AY199" s="35" t="s">
        <v>98</v>
      </c>
      <c r="AZ199" s="35" t="s">
        <v>99</v>
      </c>
      <c r="BA199" s="35" t="s">
        <v>42</v>
      </c>
      <c r="BB199" s="38"/>
      <c r="BC199" s="38">
        <v>5.7859999999999996</v>
      </c>
      <c r="BD199" s="35" t="s">
        <v>126</v>
      </c>
      <c r="BE199" s="35" t="s">
        <v>1178</v>
      </c>
      <c r="BF199" s="35">
        <v>0</v>
      </c>
      <c r="BG199" s="38">
        <v>0</v>
      </c>
      <c r="BH199" s="35" t="s">
        <v>1319</v>
      </c>
    </row>
  </sheetData>
  <autoFilter ref="A5:BE165" xr:uid="{D8B4943B-48B8-45F1-8601-6B7BD86C8C74}"/>
  <phoneticPr fontId="11" type="noConversion"/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02A0-B295-400A-87C4-B342511A9F17}">
  <sheetPr codeName="Hoja5"/>
  <dimension ref="A2:BQ202"/>
  <sheetViews>
    <sheetView topLeftCell="BA182" workbookViewId="0">
      <selection activeCell="A10" sqref="A10:BL202"/>
    </sheetView>
  </sheetViews>
  <sheetFormatPr baseColWidth="10" defaultRowHeight="14.4" x14ac:dyDescent="0.3"/>
  <cols>
    <col min="1" max="1" width="14.44140625" bestFit="1" customWidth="1"/>
    <col min="2" max="2" width="19.109375" bestFit="1" customWidth="1"/>
    <col min="3" max="3" width="19.88671875" customWidth="1"/>
    <col min="4" max="4" width="12" bestFit="1" customWidth="1"/>
    <col min="5" max="5" width="12.33203125" bestFit="1" customWidth="1"/>
    <col min="6" max="6" width="27.88671875" bestFit="1" customWidth="1"/>
    <col min="7" max="7" width="11.33203125" bestFit="1" customWidth="1"/>
    <col min="8" max="8" width="20.6640625" bestFit="1" customWidth="1"/>
    <col min="9" max="9" width="5" customWidth="1"/>
    <col min="10" max="11" width="9.5546875" customWidth="1"/>
    <col min="12" max="12" width="13" customWidth="1"/>
    <col min="13" max="13" width="10.44140625" bestFit="1" customWidth="1"/>
    <col min="14" max="14" width="19.44140625" bestFit="1" customWidth="1"/>
    <col min="15" max="15" width="17.109375" bestFit="1" customWidth="1"/>
    <col min="16" max="16" width="13.5546875" bestFit="1" customWidth="1"/>
    <col min="17" max="17" width="7.88671875" bestFit="1" customWidth="1"/>
    <col min="18" max="18" width="9" bestFit="1" customWidth="1"/>
    <col min="19" max="19" width="7.5546875" bestFit="1" customWidth="1"/>
    <col min="20" max="20" width="8.6640625" bestFit="1" customWidth="1"/>
    <col min="21" max="21" width="10" bestFit="1" customWidth="1"/>
    <col min="22" max="22" width="8.44140625" bestFit="1" customWidth="1"/>
    <col min="23" max="23" width="16.44140625" bestFit="1" customWidth="1"/>
    <col min="24" max="24" width="13.33203125" bestFit="1" customWidth="1"/>
    <col min="25" max="25" width="6.6640625" bestFit="1" customWidth="1"/>
    <col min="26" max="26" width="9" bestFit="1" customWidth="1"/>
    <col min="27" max="27" width="11.6640625" bestFit="1" customWidth="1"/>
    <col min="28" max="28" width="11.44140625" bestFit="1" customWidth="1"/>
    <col min="29" max="29" width="11.6640625" bestFit="1" customWidth="1"/>
    <col min="30" max="30" width="10" bestFit="1" customWidth="1"/>
    <col min="31" max="32" width="8" bestFit="1" customWidth="1"/>
    <col min="33" max="33" width="9.44140625" bestFit="1" customWidth="1"/>
    <col min="34" max="34" width="6.5546875" bestFit="1" customWidth="1"/>
    <col min="35" max="35" width="13.5546875" bestFit="1" customWidth="1"/>
    <col min="36" max="36" width="12.6640625" bestFit="1" customWidth="1"/>
    <col min="37" max="37" width="11.109375" bestFit="1" customWidth="1"/>
    <col min="38" max="38" width="10.5546875" bestFit="1" customWidth="1"/>
    <col min="39" max="39" width="11.44140625" bestFit="1" customWidth="1"/>
    <col min="40" max="40" width="12.6640625" bestFit="1" customWidth="1"/>
    <col min="41" max="41" width="10" bestFit="1" customWidth="1"/>
    <col min="42" max="42" width="6" bestFit="1" customWidth="1"/>
    <col min="43" max="45" width="11" bestFit="1" customWidth="1"/>
    <col min="46" max="46" width="34.44140625" bestFit="1" customWidth="1"/>
    <col min="47" max="47" width="10.6640625" bestFit="1" customWidth="1"/>
    <col min="48" max="48" width="42.44140625" bestFit="1" customWidth="1"/>
    <col min="49" max="49" width="12.44140625" bestFit="1" customWidth="1"/>
    <col min="50" max="50" width="27.88671875" bestFit="1" customWidth="1"/>
    <col min="51" max="51" width="16.6640625" bestFit="1" customWidth="1"/>
    <col min="52" max="52" width="51.44140625" bestFit="1" customWidth="1"/>
    <col min="53" max="53" width="10.44140625" bestFit="1" customWidth="1"/>
    <col min="54" max="54" width="21.6640625" bestFit="1" customWidth="1"/>
    <col min="55" max="55" width="12.44140625" bestFit="1" customWidth="1"/>
    <col min="56" max="57" width="16.6640625" bestFit="1" customWidth="1"/>
    <col min="58" max="58" width="11.44140625" bestFit="1" customWidth="1"/>
    <col min="59" max="59" width="9.109375" bestFit="1" customWidth="1"/>
    <col min="60" max="60" width="8.88671875" bestFit="1" customWidth="1"/>
    <col min="61" max="61" width="10" bestFit="1" customWidth="1"/>
    <col min="62" max="62" width="10.5546875" bestFit="1" customWidth="1"/>
    <col min="63" max="63" width="51" bestFit="1" customWidth="1"/>
    <col min="64" max="64" width="16.33203125" bestFit="1" customWidth="1"/>
    <col min="65" max="65" width="11.33203125" bestFit="1" customWidth="1"/>
    <col min="66" max="67" width="10.88671875" bestFit="1" customWidth="1"/>
    <col min="68" max="68" width="8.44140625" bestFit="1" customWidth="1"/>
  </cols>
  <sheetData>
    <row r="2" spans="1:69" ht="18" x14ac:dyDescent="0.35">
      <c r="C2" s="36" t="s">
        <v>212</v>
      </c>
    </row>
    <row r="4" spans="1:69" x14ac:dyDescent="0.3">
      <c r="C4" s="3"/>
    </row>
    <row r="6" spans="1:69" x14ac:dyDescent="0.3">
      <c r="C6" s="3"/>
    </row>
    <row r="8" spans="1:69" x14ac:dyDescent="0.3">
      <c r="A8" s="141" t="s">
        <v>401</v>
      </c>
      <c r="B8" s="141" t="s">
        <v>402</v>
      </c>
      <c r="C8" s="141" t="s">
        <v>403</v>
      </c>
      <c r="D8" s="141" t="s">
        <v>404</v>
      </c>
      <c r="E8" s="141" t="s">
        <v>405</v>
      </c>
      <c r="F8" s="141" t="s">
        <v>406</v>
      </c>
      <c r="G8" s="141" t="s">
        <v>407</v>
      </c>
      <c r="H8" s="141" t="s">
        <v>408</v>
      </c>
      <c r="I8" s="140" t="s">
        <v>213</v>
      </c>
      <c r="J8" s="141" t="s">
        <v>409</v>
      </c>
      <c r="K8" s="141" t="s">
        <v>410</v>
      </c>
      <c r="L8" s="141" t="s">
        <v>411</v>
      </c>
      <c r="M8" s="141" t="s">
        <v>412</v>
      </c>
      <c r="N8" s="141" t="s">
        <v>413</v>
      </c>
      <c r="O8" s="141" t="s">
        <v>414</v>
      </c>
      <c r="P8" s="141" t="s">
        <v>415</v>
      </c>
      <c r="Q8" s="141" t="s">
        <v>416</v>
      </c>
      <c r="R8" s="141" t="s">
        <v>417</v>
      </c>
      <c r="S8" s="141" t="s">
        <v>418</v>
      </c>
      <c r="T8" s="141" t="s">
        <v>419</v>
      </c>
      <c r="U8" s="141" t="s">
        <v>420</v>
      </c>
      <c r="V8" s="141" t="s">
        <v>421</v>
      </c>
      <c r="W8" s="141" t="s">
        <v>422</v>
      </c>
      <c r="X8" s="140" t="s">
        <v>235</v>
      </c>
      <c r="Y8" s="22" t="s">
        <v>216</v>
      </c>
      <c r="Z8" s="24" t="s">
        <v>217</v>
      </c>
      <c r="AA8" s="24" t="s">
        <v>217</v>
      </c>
      <c r="AB8" s="23"/>
      <c r="AC8" s="24" t="s">
        <v>218</v>
      </c>
      <c r="AD8" s="24" t="s">
        <v>219</v>
      </c>
      <c r="AE8" s="24" t="s">
        <v>219</v>
      </c>
      <c r="AF8" s="24" t="s">
        <v>220</v>
      </c>
      <c r="AG8" s="24" t="s">
        <v>220</v>
      </c>
      <c r="AH8" s="25"/>
      <c r="AI8" s="24" t="s">
        <v>221</v>
      </c>
      <c r="AJ8" s="24" t="s">
        <v>222</v>
      </c>
      <c r="AK8" s="22" t="s">
        <v>223</v>
      </c>
      <c r="AL8" s="22" t="s">
        <v>223</v>
      </c>
      <c r="AM8" s="22" t="s">
        <v>223</v>
      </c>
      <c r="AN8" s="22" t="s">
        <v>223</v>
      </c>
      <c r="AO8" s="22" t="s">
        <v>215</v>
      </c>
      <c r="AP8" s="22" t="s">
        <v>224</v>
      </c>
      <c r="AQ8" s="23"/>
      <c r="AR8" s="23"/>
      <c r="AS8" s="23"/>
      <c r="AT8" s="22" t="s">
        <v>225</v>
      </c>
      <c r="AU8" s="22" t="s">
        <v>226</v>
      </c>
      <c r="AV8" s="22" t="s">
        <v>90</v>
      </c>
      <c r="AW8" s="22" t="s">
        <v>227</v>
      </c>
      <c r="AX8" s="22" t="s">
        <v>92</v>
      </c>
      <c r="AY8" s="22" t="s">
        <v>228</v>
      </c>
      <c r="AZ8" s="22" t="s">
        <v>225</v>
      </c>
      <c r="BA8" s="22" t="s">
        <v>226</v>
      </c>
      <c r="BB8" s="22" t="s">
        <v>90</v>
      </c>
      <c r="BC8" s="22" t="s">
        <v>227</v>
      </c>
      <c r="BD8" s="22" t="s">
        <v>92</v>
      </c>
      <c r="BE8" s="22" t="s">
        <v>228</v>
      </c>
      <c r="BF8" s="22" t="s">
        <v>229</v>
      </c>
      <c r="BG8" s="22" t="s">
        <v>230</v>
      </c>
      <c r="BH8" s="23"/>
      <c r="BI8" s="23"/>
      <c r="BJ8" s="22"/>
      <c r="BK8" s="22" t="s">
        <v>231</v>
      </c>
      <c r="BL8" s="22" t="s">
        <v>214</v>
      </c>
      <c r="BM8" s="22" t="s">
        <v>232</v>
      </c>
      <c r="BN8" s="22" t="s">
        <v>233</v>
      </c>
      <c r="BO8" s="22" t="s">
        <v>233</v>
      </c>
      <c r="BP8" s="22" t="s">
        <v>234</v>
      </c>
      <c r="BQ8" s="21"/>
    </row>
    <row r="9" spans="1:69" x14ac:dyDescent="0.3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22" t="s">
        <v>236</v>
      </c>
      <c r="Z9" s="24" t="s">
        <v>237</v>
      </c>
      <c r="AA9" s="24" t="s">
        <v>238</v>
      </c>
      <c r="AB9" s="22" t="s">
        <v>9</v>
      </c>
      <c r="AC9" s="24" t="s">
        <v>224</v>
      </c>
      <c r="AD9" s="24" t="s">
        <v>239</v>
      </c>
      <c r="AE9" s="24" t="s">
        <v>240</v>
      </c>
      <c r="AF9" s="24" t="s">
        <v>240</v>
      </c>
      <c r="AG9" s="24" t="s">
        <v>241</v>
      </c>
      <c r="AH9" s="24" t="s">
        <v>242</v>
      </c>
      <c r="AI9" s="24" t="s">
        <v>243</v>
      </c>
      <c r="AJ9" s="24" t="s">
        <v>244</v>
      </c>
      <c r="AK9" s="22" t="s">
        <v>245</v>
      </c>
      <c r="AL9" s="22" t="s">
        <v>246</v>
      </c>
      <c r="AM9" s="22" t="s">
        <v>247</v>
      </c>
      <c r="AN9" s="22" t="s">
        <v>248</v>
      </c>
      <c r="AO9" s="22" t="s">
        <v>249</v>
      </c>
      <c r="AP9" s="22" t="s">
        <v>250</v>
      </c>
      <c r="AQ9" s="22" t="s">
        <v>251</v>
      </c>
      <c r="AR9" s="22" t="s">
        <v>252</v>
      </c>
      <c r="AS9" s="22" t="s">
        <v>253</v>
      </c>
      <c r="AT9" s="22" t="s">
        <v>254</v>
      </c>
      <c r="AU9" s="22" t="s">
        <v>254</v>
      </c>
      <c r="AV9" s="22" t="s">
        <v>254</v>
      </c>
      <c r="AW9" s="22" t="s">
        <v>254</v>
      </c>
      <c r="AX9" s="22" t="s">
        <v>254</v>
      </c>
      <c r="AY9" s="22" t="s">
        <v>254</v>
      </c>
      <c r="AZ9" s="22" t="s">
        <v>255</v>
      </c>
      <c r="BA9" s="22" t="s">
        <v>255</v>
      </c>
      <c r="BB9" s="22" t="s">
        <v>255</v>
      </c>
      <c r="BC9" s="22" t="s">
        <v>255</v>
      </c>
      <c r="BD9" s="22" t="s">
        <v>255</v>
      </c>
      <c r="BE9" s="22" t="s">
        <v>255</v>
      </c>
      <c r="BF9" s="22" t="s">
        <v>256</v>
      </c>
      <c r="BG9" s="22" t="s">
        <v>257</v>
      </c>
      <c r="BH9" s="22" t="s">
        <v>94</v>
      </c>
      <c r="BI9" s="22" t="s">
        <v>93</v>
      </c>
      <c r="BJ9" s="22" t="s">
        <v>258</v>
      </c>
      <c r="BK9" s="22" t="s">
        <v>259</v>
      </c>
      <c r="BL9" s="22" t="s">
        <v>260</v>
      </c>
      <c r="BM9" s="22">
        <v>1</v>
      </c>
      <c r="BN9" s="22">
        <v>2</v>
      </c>
      <c r="BO9" s="22">
        <v>3</v>
      </c>
      <c r="BP9" s="22" t="s">
        <v>261</v>
      </c>
      <c r="BQ9" s="21"/>
    </row>
    <row r="10" spans="1:69" x14ac:dyDescent="0.3">
      <c r="A10" s="35" t="s">
        <v>43</v>
      </c>
      <c r="B10" s="35" t="s">
        <v>44</v>
      </c>
      <c r="C10" s="35" t="s">
        <v>41</v>
      </c>
      <c r="D10" s="35" t="s">
        <v>42</v>
      </c>
      <c r="E10" s="35" t="s">
        <v>663</v>
      </c>
      <c r="F10" s="35" t="s">
        <v>664</v>
      </c>
      <c r="G10" s="35" t="s">
        <v>978</v>
      </c>
      <c r="H10" s="35" t="s">
        <v>936</v>
      </c>
      <c r="I10" s="35"/>
      <c r="J10" s="35" t="s">
        <v>47</v>
      </c>
      <c r="K10" s="35" t="s">
        <v>47</v>
      </c>
      <c r="L10" s="35"/>
      <c r="M10" s="35">
        <v>7</v>
      </c>
      <c r="N10" s="35" t="s">
        <v>262</v>
      </c>
      <c r="O10" s="35" t="s">
        <v>263</v>
      </c>
      <c r="P10" s="35" t="s">
        <v>52</v>
      </c>
      <c r="Q10" s="35"/>
      <c r="R10" s="35" t="s">
        <v>197</v>
      </c>
      <c r="S10" s="35" t="s">
        <v>125</v>
      </c>
      <c r="T10" s="35">
        <v>0</v>
      </c>
      <c r="U10" s="35" t="s">
        <v>264</v>
      </c>
      <c r="V10" s="35">
        <v>0</v>
      </c>
      <c r="W10" s="35" t="s">
        <v>265</v>
      </c>
      <c r="X10" s="35">
        <v>101000</v>
      </c>
      <c r="Y10" s="35">
        <v>4.99</v>
      </c>
      <c r="Z10" s="38">
        <v>7676.0673333333334</v>
      </c>
      <c r="AA10" s="38">
        <v>6312.5</v>
      </c>
      <c r="AB10" s="35" t="s">
        <v>95</v>
      </c>
      <c r="AC10" s="38">
        <v>56812.959999999999</v>
      </c>
      <c r="AD10" s="38">
        <v>56812.5</v>
      </c>
      <c r="AE10" s="38">
        <v>0.46</v>
      </c>
      <c r="AF10" s="38">
        <v>0.01</v>
      </c>
      <c r="AG10" s="38">
        <v>0</v>
      </c>
      <c r="AH10" s="38">
        <v>0</v>
      </c>
      <c r="AI10" s="38">
        <v>0.47</v>
      </c>
      <c r="AJ10" s="38">
        <v>7676</v>
      </c>
      <c r="AK10" s="35" t="s">
        <v>1884</v>
      </c>
      <c r="AL10" s="35" t="s">
        <v>832</v>
      </c>
      <c r="AM10" s="35" t="s">
        <v>948</v>
      </c>
      <c r="AN10" s="35" t="s">
        <v>2014</v>
      </c>
      <c r="AO10" s="35">
        <v>9</v>
      </c>
      <c r="AP10" s="35">
        <v>16</v>
      </c>
      <c r="AQ10" s="35" t="s">
        <v>986</v>
      </c>
      <c r="AR10" s="35" t="s">
        <v>987</v>
      </c>
      <c r="AS10" s="35" t="s">
        <v>988</v>
      </c>
      <c r="AT10" s="35" t="s">
        <v>989</v>
      </c>
      <c r="AU10" s="35"/>
      <c r="AV10" s="35" t="s">
        <v>824</v>
      </c>
      <c r="AW10" s="35" t="s">
        <v>825</v>
      </c>
      <c r="AX10" s="35" t="s">
        <v>274</v>
      </c>
      <c r="AY10" s="35" t="s">
        <v>271</v>
      </c>
      <c r="AZ10" s="35"/>
      <c r="BA10" s="35"/>
      <c r="BB10" s="35" t="s">
        <v>272</v>
      </c>
      <c r="BC10" s="35" t="s">
        <v>273</v>
      </c>
      <c r="BD10" s="35" t="s">
        <v>274</v>
      </c>
      <c r="BE10" s="35" t="s">
        <v>271</v>
      </c>
      <c r="BF10" s="35">
        <v>10100</v>
      </c>
      <c r="BG10" s="35"/>
      <c r="BH10" s="35">
        <v>0</v>
      </c>
      <c r="BI10" s="35">
        <v>0</v>
      </c>
      <c r="BJ10" s="35"/>
      <c r="BK10" s="35" t="s">
        <v>585</v>
      </c>
      <c r="BL10" s="35" t="s">
        <v>990</v>
      </c>
      <c r="BM10" s="35"/>
      <c r="BN10" s="35"/>
      <c r="BO10" s="35"/>
      <c r="BP10" s="35"/>
    </row>
    <row r="11" spans="1:69" x14ac:dyDescent="0.3">
      <c r="A11" s="35" t="s">
        <v>43</v>
      </c>
      <c r="B11" s="35" t="s">
        <v>44</v>
      </c>
      <c r="C11" s="35" t="s">
        <v>41</v>
      </c>
      <c r="D11" s="35" t="s">
        <v>42</v>
      </c>
      <c r="E11" s="35" t="s">
        <v>883</v>
      </c>
      <c r="F11" s="35" t="s">
        <v>884</v>
      </c>
      <c r="G11" s="35" t="s">
        <v>809</v>
      </c>
      <c r="H11" s="35" t="s">
        <v>804</v>
      </c>
      <c r="I11" s="35"/>
      <c r="J11" s="35" t="s">
        <v>47</v>
      </c>
      <c r="K11" s="35" t="s">
        <v>297</v>
      </c>
      <c r="L11" s="35"/>
      <c r="M11" s="35">
        <v>7</v>
      </c>
      <c r="N11" s="35" t="s">
        <v>262</v>
      </c>
      <c r="O11" s="35" t="s">
        <v>263</v>
      </c>
      <c r="P11" s="35" t="s">
        <v>52</v>
      </c>
      <c r="Q11" s="35"/>
      <c r="R11" s="35" t="s">
        <v>124</v>
      </c>
      <c r="S11" s="35" t="s">
        <v>198</v>
      </c>
      <c r="T11" s="35">
        <v>0</v>
      </c>
      <c r="U11" s="35" t="s">
        <v>264</v>
      </c>
      <c r="V11" s="35">
        <v>0</v>
      </c>
      <c r="W11" s="35" t="s">
        <v>265</v>
      </c>
      <c r="X11" s="35">
        <v>210000</v>
      </c>
      <c r="Y11" s="35">
        <v>4.99</v>
      </c>
      <c r="Z11" s="38">
        <v>15960.140000000001</v>
      </c>
      <c r="AA11" s="38">
        <v>13125</v>
      </c>
      <c r="AB11" s="35" t="s">
        <v>95</v>
      </c>
      <c r="AC11" s="38">
        <v>105000</v>
      </c>
      <c r="AD11" s="38">
        <v>105000</v>
      </c>
      <c r="AE11" s="38">
        <v>0</v>
      </c>
      <c r="AF11" s="38">
        <v>0</v>
      </c>
      <c r="AG11" s="38">
        <v>0</v>
      </c>
      <c r="AH11" s="38">
        <v>0</v>
      </c>
      <c r="AI11" s="38">
        <v>0</v>
      </c>
      <c r="AJ11" s="38">
        <v>15960</v>
      </c>
      <c r="AK11" s="35" t="s">
        <v>1884</v>
      </c>
      <c r="AL11" s="35" t="s">
        <v>612</v>
      </c>
      <c r="AM11" s="35" t="s">
        <v>819</v>
      </c>
      <c r="AN11" s="35" t="s">
        <v>2042</v>
      </c>
      <c r="AO11" s="35">
        <v>8</v>
      </c>
      <c r="AP11" s="35">
        <v>16</v>
      </c>
      <c r="AQ11" s="35" t="s">
        <v>820</v>
      </c>
      <c r="AR11" s="35" t="s">
        <v>821</v>
      </c>
      <c r="AS11" s="35" t="s">
        <v>822</v>
      </c>
      <c r="AT11" s="35" t="s">
        <v>823</v>
      </c>
      <c r="AU11" s="35"/>
      <c r="AV11" s="35" t="s">
        <v>824</v>
      </c>
      <c r="AW11" s="35" t="s">
        <v>825</v>
      </c>
      <c r="AX11" s="35" t="s">
        <v>274</v>
      </c>
      <c r="AY11" s="35" t="s">
        <v>271</v>
      </c>
      <c r="AZ11" s="35"/>
      <c r="BA11" s="35"/>
      <c r="BB11" s="35" t="s">
        <v>272</v>
      </c>
      <c r="BC11" s="35" t="s">
        <v>273</v>
      </c>
      <c r="BD11" s="35" t="s">
        <v>274</v>
      </c>
      <c r="BE11" s="35" t="s">
        <v>271</v>
      </c>
      <c r="BF11" s="35">
        <v>21000</v>
      </c>
      <c r="BG11" s="35"/>
      <c r="BH11" s="35">
        <v>0</v>
      </c>
      <c r="BI11" s="35">
        <v>0</v>
      </c>
      <c r="BJ11" s="35"/>
      <c r="BK11" s="35" t="s">
        <v>585</v>
      </c>
      <c r="BL11" s="35" t="s">
        <v>826</v>
      </c>
      <c r="BM11" s="35"/>
      <c r="BN11" s="35"/>
      <c r="BO11" s="35"/>
      <c r="BP11" s="35"/>
    </row>
    <row r="12" spans="1:69" x14ac:dyDescent="0.3">
      <c r="A12" s="35" t="s">
        <v>43</v>
      </c>
      <c r="B12" s="35" t="s">
        <v>44</v>
      </c>
      <c r="C12" s="35" t="s">
        <v>41</v>
      </c>
      <c r="D12" s="35" t="s">
        <v>42</v>
      </c>
      <c r="E12" s="35" t="s">
        <v>663</v>
      </c>
      <c r="F12" s="35" t="s">
        <v>664</v>
      </c>
      <c r="G12" s="35" t="s">
        <v>665</v>
      </c>
      <c r="H12" s="35" t="s">
        <v>666</v>
      </c>
      <c r="I12" s="35"/>
      <c r="J12" s="35" t="s">
        <v>47</v>
      </c>
      <c r="K12" s="35" t="s">
        <v>43</v>
      </c>
      <c r="L12" s="35"/>
      <c r="M12" s="35">
        <v>7</v>
      </c>
      <c r="N12" s="35" t="s">
        <v>262</v>
      </c>
      <c r="O12" s="35" t="s">
        <v>263</v>
      </c>
      <c r="P12" s="35" t="s">
        <v>52</v>
      </c>
      <c r="Q12" s="35"/>
      <c r="R12" s="35" t="s">
        <v>197</v>
      </c>
      <c r="S12" s="35" t="s">
        <v>127</v>
      </c>
      <c r="T12" s="35">
        <v>0</v>
      </c>
      <c r="U12" s="35" t="s">
        <v>264</v>
      </c>
      <c r="V12" s="35">
        <v>0</v>
      </c>
      <c r="W12" s="35" t="s">
        <v>265</v>
      </c>
      <c r="X12" s="35">
        <v>140000</v>
      </c>
      <c r="Y12" s="35">
        <v>4.99</v>
      </c>
      <c r="Z12" s="38">
        <v>10640.0933333333</v>
      </c>
      <c r="AA12" s="38">
        <v>8750</v>
      </c>
      <c r="AB12" s="35" t="s">
        <v>95</v>
      </c>
      <c r="AC12" s="38">
        <v>61250.840000000004</v>
      </c>
      <c r="AD12" s="38">
        <v>61250</v>
      </c>
      <c r="AE12" s="38">
        <v>0.84</v>
      </c>
      <c r="AF12" s="38">
        <v>0</v>
      </c>
      <c r="AG12" s="38">
        <v>0</v>
      </c>
      <c r="AH12" s="38">
        <v>0</v>
      </c>
      <c r="AI12" s="38">
        <v>0.84</v>
      </c>
      <c r="AJ12" s="38">
        <v>10640</v>
      </c>
      <c r="AK12" s="35" t="s">
        <v>1884</v>
      </c>
      <c r="AL12" s="35" t="s">
        <v>441</v>
      </c>
      <c r="AM12" s="35" t="s">
        <v>691</v>
      </c>
      <c r="AN12" s="35" t="s">
        <v>2014</v>
      </c>
      <c r="AO12" s="35">
        <v>7</v>
      </c>
      <c r="AP12" s="35">
        <v>16</v>
      </c>
      <c r="AQ12" s="35" t="s">
        <v>692</v>
      </c>
      <c r="AR12" s="35" t="s">
        <v>693</v>
      </c>
      <c r="AS12" s="35" t="s">
        <v>694</v>
      </c>
      <c r="AT12" s="35" t="s">
        <v>695</v>
      </c>
      <c r="AU12" s="35"/>
      <c r="AV12" s="35" t="s">
        <v>696</v>
      </c>
      <c r="AW12" s="35" t="s">
        <v>697</v>
      </c>
      <c r="AX12" s="35" t="s">
        <v>274</v>
      </c>
      <c r="AY12" s="35" t="s">
        <v>271</v>
      </c>
      <c r="AZ12" s="35" t="s">
        <v>743</v>
      </c>
      <c r="BA12" s="35"/>
      <c r="BB12" s="35" t="s">
        <v>272</v>
      </c>
      <c r="BC12" s="35" t="s">
        <v>273</v>
      </c>
      <c r="BD12" s="35" t="s">
        <v>274</v>
      </c>
      <c r="BE12" s="35" t="s">
        <v>271</v>
      </c>
      <c r="BF12" s="35">
        <v>14000</v>
      </c>
      <c r="BG12" s="35"/>
      <c r="BH12" s="35">
        <v>0</v>
      </c>
      <c r="BI12" s="35">
        <v>0</v>
      </c>
      <c r="BJ12" s="35"/>
      <c r="BK12" s="35" t="s">
        <v>585</v>
      </c>
      <c r="BL12" s="35" t="s">
        <v>698</v>
      </c>
      <c r="BM12" s="35"/>
      <c r="BN12" s="35"/>
      <c r="BO12" s="35"/>
      <c r="BP12" s="35"/>
    </row>
    <row r="13" spans="1:69" x14ac:dyDescent="0.3">
      <c r="A13" s="35" t="s">
        <v>49</v>
      </c>
      <c r="B13" s="35" t="s">
        <v>450</v>
      </c>
      <c r="C13" s="35" t="s">
        <v>451</v>
      </c>
      <c r="D13" s="35" t="s">
        <v>388</v>
      </c>
      <c r="E13" s="35" t="s">
        <v>487</v>
      </c>
      <c r="F13" s="35" t="s">
        <v>488</v>
      </c>
      <c r="G13" s="35" t="s">
        <v>667</v>
      </c>
      <c r="H13" s="35" t="s">
        <v>668</v>
      </c>
      <c r="I13" s="35"/>
      <c r="J13" s="35" t="s">
        <v>47</v>
      </c>
      <c r="K13" s="35" t="s">
        <v>43</v>
      </c>
      <c r="L13" s="35"/>
      <c r="M13" s="35">
        <v>5</v>
      </c>
      <c r="N13" s="35" t="s">
        <v>262</v>
      </c>
      <c r="O13" s="35" t="s">
        <v>263</v>
      </c>
      <c r="P13" s="35" t="s">
        <v>52</v>
      </c>
      <c r="Q13" s="35"/>
      <c r="R13" s="35" t="s">
        <v>168</v>
      </c>
      <c r="S13" s="35" t="s">
        <v>160</v>
      </c>
      <c r="T13" s="35">
        <v>0</v>
      </c>
      <c r="U13" s="35" t="s">
        <v>264</v>
      </c>
      <c r="V13" s="35">
        <v>0</v>
      </c>
      <c r="W13" s="35" t="s">
        <v>265</v>
      </c>
      <c r="X13" s="35">
        <v>171000</v>
      </c>
      <c r="Y13" s="35">
        <v>4.99</v>
      </c>
      <c r="Z13" s="38">
        <v>12996.114</v>
      </c>
      <c r="AA13" s="38">
        <v>10687.5</v>
      </c>
      <c r="AB13" s="35" t="s">
        <v>95</v>
      </c>
      <c r="AC13" s="38">
        <v>74813.53</v>
      </c>
      <c r="AD13" s="38">
        <v>74812.5</v>
      </c>
      <c r="AE13" s="38">
        <v>1.03</v>
      </c>
      <c r="AF13" s="38">
        <v>0</v>
      </c>
      <c r="AG13" s="38">
        <v>0</v>
      </c>
      <c r="AH13" s="38">
        <v>0</v>
      </c>
      <c r="AI13" s="38">
        <v>1.03</v>
      </c>
      <c r="AJ13" s="38">
        <v>12996</v>
      </c>
      <c r="AK13" s="35" t="s">
        <v>1884</v>
      </c>
      <c r="AL13" s="35" t="s">
        <v>494</v>
      </c>
      <c r="AM13" s="35" t="s">
        <v>744</v>
      </c>
      <c r="AN13" s="35" t="s">
        <v>2164</v>
      </c>
      <c r="AO13" s="35">
        <v>7</v>
      </c>
      <c r="AP13" s="35">
        <v>16</v>
      </c>
      <c r="AQ13" s="35" t="s">
        <v>751</v>
      </c>
      <c r="AR13" s="35" t="s">
        <v>752</v>
      </c>
      <c r="AS13" s="35" t="s">
        <v>753</v>
      </c>
      <c r="AT13" s="35" t="s">
        <v>754</v>
      </c>
      <c r="AU13" s="35"/>
      <c r="AV13" s="35" t="s">
        <v>302</v>
      </c>
      <c r="AW13" s="35" t="s">
        <v>303</v>
      </c>
      <c r="AX13" s="35" t="s">
        <v>274</v>
      </c>
      <c r="AY13" s="35" t="s">
        <v>271</v>
      </c>
      <c r="AZ13" s="35" t="s">
        <v>669</v>
      </c>
      <c r="BA13" s="35"/>
      <c r="BB13" s="35" t="s">
        <v>272</v>
      </c>
      <c r="BC13" s="35" t="s">
        <v>273</v>
      </c>
      <c r="BD13" s="35" t="s">
        <v>274</v>
      </c>
      <c r="BE13" s="35" t="s">
        <v>271</v>
      </c>
      <c r="BF13" s="35">
        <v>17100</v>
      </c>
      <c r="BG13" s="35"/>
      <c r="BH13" s="35">
        <v>0</v>
      </c>
      <c r="BI13" s="35">
        <v>0</v>
      </c>
      <c r="BJ13" s="35"/>
      <c r="BK13" s="35" t="s">
        <v>585</v>
      </c>
      <c r="BL13" s="35" t="s">
        <v>755</v>
      </c>
      <c r="BM13" s="35"/>
      <c r="BN13" s="35"/>
      <c r="BO13" s="35"/>
      <c r="BP13" s="35"/>
    </row>
    <row r="14" spans="1:69" x14ac:dyDescent="0.3">
      <c r="A14" s="35" t="s">
        <v>43</v>
      </c>
      <c r="B14" s="35" t="s">
        <v>44</v>
      </c>
      <c r="C14" s="35" t="s">
        <v>460</v>
      </c>
      <c r="D14" s="35" t="s">
        <v>396</v>
      </c>
      <c r="E14" s="35" t="s">
        <v>154</v>
      </c>
      <c r="F14" s="35" t="s">
        <v>155</v>
      </c>
      <c r="G14" s="35" t="s">
        <v>1895</v>
      </c>
      <c r="H14" s="35" t="s">
        <v>1896</v>
      </c>
      <c r="I14" s="35"/>
      <c r="J14" s="35" t="s">
        <v>47</v>
      </c>
      <c r="K14" s="35" t="s">
        <v>43</v>
      </c>
      <c r="L14" s="35"/>
      <c r="M14" s="35">
        <v>5</v>
      </c>
      <c r="N14" s="35" t="s">
        <v>262</v>
      </c>
      <c r="O14" s="35" t="s">
        <v>263</v>
      </c>
      <c r="P14" s="35" t="s">
        <v>52</v>
      </c>
      <c r="Q14" s="35"/>
      <c r="R14" s="35" t="s">
        <v>197</v>
      </c>
      <c r="S14" s="35" t="s">
        <v>1178</v>
      </c>
      <c r="T14" s="35">
        <v>0</v>
      </c>
      <c r="U14" s="35" t="s">
        <v>264</v>
      </c>
      <c r="V14" s="35">
        <v>0</v>
      </c>
      <c r="W14" s="35" t="s">
        <v>265</v>
      </c>
      <c r="X14" s="35">
        <v>50000</v>
      </c>
      <c r="Y14" s="35">
        <v>4.99</v>
      </c>
      <c r="Z14" s="38">
        <v>3800.0333333333328</v>
      </c>
      <c r="AA14" s="38">
        <v>3125</v>
      </c>
      <c r="AB14" s="35" t="s">
        <v>95</v>
      </c>
      <c r="AC14" s="38">
        <v>46875</v>
      </c>
      <c r="AD14" s="38">
        <v>46875</v>
      </c>
      <c r="AE14" s="38">
        <v>0</v>
      </c>
      <c r="AF14" s="38">
        <v>0</v>
      </c>
      <c r="AG14" s="38">
        <v>0</v>
      </c>
      <c r="AH14" s="38">
        <v>0</v>
      </c>
      <c r="AI14" s="38">
        <v>0</v>
      </c>
      <c r="AJ14" s="38">
        <v>3805</v>
      </c>
      <c r="AK14" s="35" t="s">
        <v>1884</v>
      </c>
      <c r="AL14" s="35" t="s">
        <v>1737</v>
      </c>
      <c r="AM14" s="35" t="s">
        <v>1900</v>
      </c>
      <c r="AN14" s="35" t="s">
        <v>2014</v>
      </c>
      <c r="AO14" s="35">
        <v>15</v>
      </c>
      <c r="AP14" s="35">
        <v>16</v>
      </c>
      <c r="AQ14" s="35" t="s">
        <v>1901</v>
      </c>
      <c r="AR14" s="35" t="s">
        <v>1902</v>
      </c>
      <c r="AS14" s="35" t="s">
        <v>1903</v>
      </c>
      <c r="AT14" s="35" t="s">
        <v>1904</v>
      </c>
      <c r="AU14" s="35"/>
      <c r="AV14" s="35" t="s">
        <v>1905</v>
      </c>
      <c r="AW14" s="35" t="s">
        <v>321</v>
      </c>
      <c r="AX14" s="35" t="s">
        <v>322</v>
      </c>
      <c r="AY14" s="35" t="s">
        <v>271</v>
      </c>
      <c r="AZ14" s="35" t="s">
        <v>1897</v>
      </c>
      <c r="BA14" s="35"/>
      <c r="BB14" s="35" t="s">
        <v>272</v>
      </c>
      <c r="BC14" s="35" t="s">
        <v>273</v>
      </c>
      <c r="BD14" s="35" t="s">
        <v>274</v>
      </c>
      <c r="BE14" s="35" t="s">
        <v>271</v>
      </c>
      <c r="BF14" s="35">
        <v>5000</v>
      </c>
      <c r="BG14" s="35"/>
      <c r="BH14" s="35">
        <v>0</v>
      </c>
      <c r="BI14" s="35">
        <v>0</v>
      </c>
      <c r="BJ14" s="35"/>
      <c r="BK14" s="35" t="s">
        <v>585</v>
      </c>
      <c r="BL14" s="35" t="s">
        <v>1906</v>
      </c>
      <c r="BM14" s="35"/>
      <c r="BN14" s="35"/>
      <c r="BO14" s="35"/>
      <c r="BP14" s="35"/>
    </row>
    <row r="15" spans="1:69" x14ac:dyDescent="0.3">
      <c r="A15" s="35" t="s">
        <v>43</v>
      </c>
      <c r="B15" s="35" t="s">
        <v>44</v>
      </c>
      <c r="C15" s="35" t="s">
        <v>41</v>
      </c>
      <c r="D15" s="35" t="s">
        <v>42</v>
      </c>
      <c r="E15" s="35" t="s">
        <v>148</v>
      </c>
      <c r="F15" s="35" t="s">
        <v>149</v>
      </c>
      <c r="G15" s="35" t="s">
        <v>673</v>
      </c>
      <c r="H15" s="35" t="s">
        <v>674</v>
      </c>
      <c r="I15" s="35"/>
      <c r="J15" s="35" t="s">
        <v>47</v>
      </c>
      <c r="K15" s="35" t="s">
        <v>43</v>
      </c>
      <c r="L15" s="35"/>
      <c r="M15" s="35">
        <v>5</v>
      </c>
      <c r="N15" s="35" t="s">
        <v>262</v>
      </c>
      <c r="O15" s="35" t="s">
        <v>263</v>
      </c>
      <c r="P15" s="35" t="s">
        <v>52</v>
      </c>
      <c r="Q15" s="35"/>
      <c r="R15" s="35" t="s">
        <v>168</v>
      </c>
      <c r="S15" s="35" t="s">
        <v>125</v>
      </c>
      <c r="T15" s="35">
        <v>0</v>
      </c>
      <c r="U15" s="35" t="s">
        <v>264</v>
      </c>
      <c r="V15" s="35">
        <v>0</v>
      </c>
      <c r="W15" s="35" t="s">
        <v>265</v>
      </c>
      <c r="X15" s="35">
        <v>51000</v>
      </c>
      <c r="Y15" s="35">
        <v>4.99</v>
      </c>
      <c r="Z15" s="38">
        <v>3876.0340000000001</v>
      </c>
      <c r="AA15" s="38">
        <v>3187.5</v>
      </c>
      <c r="AB15" s="35" t="s">
        <v>95</v>
      </c>
      <c r="AC15" s="38">
        <v>22312.5</v>
      </c>
      <c r="AD15" s="38">
        <v>22312.5</v>
      </c>
      <c r="AE15" s="38">
        <v>0</v>
      </c>
      <c r="AF15" s="38">
        <v>0</v>
      </c>
      <c r="AG15" s="38">
        <v>0</v>
      </c>
      <c r="AH15" s="38">
        <v>0</v>
      </c>
      <c r="AI15" s="38">
        <v>0</v>
      </c>
      <c r="AJ15" s="38">
        <v>3876</v>
      </c>
      <c r="AK15" s="35" t="s">
        <v>1899</v>
      </c>
      <c r="AL15" s="35" t="s">
        <v>494</v>
      </c>
      <c r="AM15" s="35" t="s">
        <v>744</v>
      </c>
      <c r="AN15" s="35" t="s">
        <v>2164</v>
      </c>
      <c r="AO15" s="35">
        <v>7</v>
      </c>
      <c r="AP15" s="35">
        <v>16</v>
      </c>
      <c r="AQ15" s="35" t="s">
        <v>745</v>
      </c>
      <c r="AR15" s="35" t="s">
        <v>746</v>
      </c>
      <c r="AS15" s="35" t="s">
        <v>747</v>
      </c>
      <c r="AT15" s="35" t="s">
        <v>748</v>
      </c>
      <c r="AU15" s="35"/>
      <c r="AV15" s="35" t="s">
        <v>749</v>
      </c>
      <c r="AW15" s="35" t="s">
        <v>273</v>
      </c>
      <c r="AX15" s="35" t="s">
        <v>274</v>
      </c>
      <c r="AY15" s="35" t="s">
        <v>271</v>
      </c>
      <c r="AZ15" s="35"/>
      <c r="BA15" s="35"/>
      <c r="BB15" s="35" t="s">
        <v>272</v>
      </c>
      <c r="BC15" s="35" t="s">
        <v>273</v>
      </c>
      <c r="BD15" s="35" t="s">
        <v>274</v>
      </c>
      <c r="BE15" s="35" t="s">
        <v>271</v>
      </c>
      <c r="BF15" s="35">
        <v>5100</v>
      </c>
      <c r="BG15" s="35"/>
      <c r="BH15" s="35">
        <v>0</v>
      </c>
      <c r="BI15" s="35">
        <v>0</v>
      </c>
      <c r="BJ15" s="35"/>
      <c r="BK15" s="35" t="s">
        <v>585</v>
      </c>
      <c r="BL15" s="35" t="s">
        <v>750</v>
      </c>
      <c r="BM15" s="35"/>
      <c r="BN15" s="35"/>
      <c r="BO15" s="35"/>
      <c r="BP15" s="35"/>
    </row>
    <row r="16" spans="1:69" x14ac:dyDescent="0.3">
      <c r="A16" s="35" t="s">
        <v>43</v>
      </c>
      <c r="B16" s="35" t="s">
        <v>44</v>
      </c>
      <c r="C16" s="35" t="s">
        <v>460</v>
      </c>
      <c r="D16" s="35" t="s">
        <v>396</v>
      </c>
      <c r="E16" s="35" t="s">
        <v>501</v>
      </c>
      <c r="F16" s="35" t="s">
        <v>502</v>
      </c>
      <c r="G16" s="35" t="s">
        <v>601</v>
      </c>
      <c r="H16" s="35" t="s">
        <v>602</v>
      </c>
      <c r="I16" s="35"/>
      <c r="J16" s="35" t="s">
        <v>47</v>
      </c>
      <c r="K16" s="35" t="s">
        <v>43</v>
      </c>
      <c r="L16" s="35"/>
      <c r="M16" s="35">
        <v>9</v>
      </c>
      <c r="N16" s="35" t="s">
        <v>262</v>
      </c>
      <c r="O16" s="35" t="s">
        <v>263</v>
      </c>
      <c r="P16" s="35" t="s">
        <v>52</v>
      </c>
      <c r="Q16" s="35"/>
      <c r="R16" s="35" t="s">
        <v>124</v>
      </c>
      <c r="S16" s="35" t="s">
        <v>604</v>
      </c>
      <c r="T16" s="35">
        <v>0</v>
      </c>
      <c r="U16" s="35" t="s">
        <v>264</v>
      </c>
      <c r="V16" s="35">
        <v>0</v>
      </c>
      <c r="W16" s="35" t="s">
        <v>265</v>
      </c>
      <c r="X16" s="35">
        <v>115000</v>
      </c>
      <c r="Y16" s="35">
        <v>4.99</v>
      </c>
      <c r="Z16" s="38">
        <v>8740.0766666666659</v>
      </c>
      <c r="AA16" s="38">
        <v>7187.5</v>
      </c>
      <c r="AB16" s="35" t="s">
        <v>95</v>
      </c>
      <c r="AC16" s="38">
        <v>50312.5</v>
      </c>
      <c r="AD16" s="38">
        <v>50312.5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8748</v>
      </c>
      <c r="AK16" s="35" t="s">
        <v>1843</v>
      </c>
      <c r="AL16" s="35" t="s">
        <v>348</v>
      </c>
      <c r="AM16" s="35" t="s">
        <v>613</v>
      </c>
      <c r="AN16" s="35" t="s">
        <v>2042</v>
      </c>
      <c r="AO16" s="35">
        <v>7</v>
      </c>
      <c r="AP16" s="35">
        <v>16</v>
      </c>
      <c r="AQ16" s="35" t="s">
        <v>614</v>
      </c>
      <c r="AR16" s="35" t="s">
        <v>615</v>
      </c>
      <c r="AS16" s="35" t="s">
        <v>616</v>
      </c>
      <c r="AT16" s="35" t="s">
        <v>617</v>
      </c>
      <c r="AU16" s="35"/>
      <c r="AV16" s="35" t="s">
        <v>618</v>
      </c>
      <c r="AW16" s="35" t="s">
        <v>619</v>
      </c>
      <c r="AX16" s="35" t="s">
        <v>555</v>
      </c>
      <c r="AY16" s="35" t="s">
        <v>271</v>
      </c>
      <c r="AZ16" s="35" t="s">
        <v>603</v>
      </c>
      <c r="BA16" s="35"/>
      <c r="BB16" s="35" t="s">
        <v>272</v>
      </c>
      <c r="BC16" s="35" t="s">
        <v>273</v>
      </c>
      <c r="BD16" s="35" t="s">
        <v>274</v>
      </c>
      <c r="BE16" s="35" t="s">
        <v>271</v>
      </c>
      <c r="BF16" s="35">
        <v>11500</v>
      </c>
      <c r="BG16" s="35"/>
      <c r="BH16" s="35">
        <v>0</v>
      </c>
      <c r="BI16" s="35">
        <v>0</v>
      </c>
      <c r="BJ16" s="35"/>
      <c r="BK16" s="35" t="s">
        <v>585</v>
      </c>
      <c r="BL16" s="35" t="s">
        <v>620</v>
      </c>
      <c r="BM16" s="35"/>
      <c r="BN16" s="35"/>
      <c r="BO16" s="35"/>
      <c r="BP16" s="35"/>
    </row>
    <row r="17" spans="1:68" x14ac:dyDescent="0.3">
      <c r="A17" s="35" t="s">
        <v>49</v>
      </c>
      <c r="B17" s="35" t="s">
        <v>450</v>
      </c>
      <c r="C17" s="35" t="s">
        <v>451</v>
      </c>
      <c r="D17" s="35" t="s">
        <v>388</v>
      </c>
      <c r="E17" s="35" t="s">
        <v>188</v>
      </c>
      <c r="F17" s="35" t="s">
        <v>190</v>
      </c>
      <c r="G17" s="35" t="s">
        <v>1638</v>
      </c>
      <c r="H17" s="35" t="s">
        <v>1598</v>
      </c>
      <c r="I17" s="35"/>
      <c r="J17" s="35" t="s">
        <v>47</v>
      </c>
      <c r="K17" s="35" t="s">
        <v>43</v>
      </c>
      <c r="L17" s="35"/>
      <c r="M17" s="35">
        <v>6</v>
      </c>
      <c r="N17" s="35" t="s">
        <v>262</v>
      </c>
      <c r="O17" s="35" t="s">
        <v>263</v>
      </c>
      <c r="P17" s="35" t="s">
        <v>52</v>
      </c>
      <c r="Q17" s="35"/>
      <c r="R17" s="35" t="s">
        <v>126</v>
      </c>
      <c r="S17" s="35" t="s">
        <v>160</v>
      </c>
      <c r="T17" s="35">
        <v>0</v>
      </c>
      <c r="U17" s="35" t="s">
        <v>264</v>
      </c>
      <c r="V17" s="35">
        <v>0</v>
      </c>
      <c r="W17" s="35" t="s">
        <v>265</v>
      </c>
      <c r="X17" s="35">
        <v>158000</v>
      </c>
      <c r="Y17" s="35">
        <v>4.99</v>
      </c>
      <c r="Z17" s="38">
        <v>12008.1053333333</v>
      </c>
      <c r="AA17" s="38">
        <v>9875</v>
      </c>
      <c r="AB17" s="35" t="s">
        <v>95</v>
      </c>
      <c r="AC17" s="38">
        <v>138250.21</v>
      </c>
      <c r="AD17" s="38">
        <v>138250</v>
      </c>
      <c r="AE17" s="38">
        <v>0.21</v>
      </c>
      <c r="AF17" s="38">
        <v>0</v>
      </c>
      <c r="AG17" s="38">
        <v>0</v>
      </c>
      <c r="AH17" s="38">
        <v>0</v>
      </c>
      <c r="AI17" s="38">
        <v>0.21</v>
      </c>
      <c r="AJ17" s="38">
        <v>12008</v>
      </c>
      <c r="AK17" s="35" t="s">
        <v>1925</v>
      </c>
      <c r="AL17" s="35" t="s">
        <v>1534</v>
      </c>
      <c r="AM17" s="35" t="s">
        <v>1641</v>
      </c>
      <c r="AN17" s="35" t="s">
        <v>1965</v>
      </c>
      <c r="AO17" s="35">
        <v>14</v>
      </c>
      <c r="AP17" s="35">
        <v>16</v>
      </c>
      <c r="AQ17" s="35" t="s">
        <v>1668</v>
      </c>
      <c r="AR17" s="35" t="s">
        <v>1669</v>
      </c>
      <c r="AS17" s="35" t="s">
        <v>1670</v>
      </c>
      <c r="AT17" s="35" t="s">
        <v>1671</v>
      </c>
      <c r="AU17" s="35"/>
      <c r="AV17" s="35" t="s">
        <v>1598</v>
      </c>
      <c r="AW17" s="35" t="s">
        <v>1672</v>
      </c>
      <c r="AX17" s="35" t="s">
        <v>338</v>
      </c>
      <c r="AY17" s="35" t="s">
        <v>338</v>
      </c>
      <c r="AZ17" s="35" t="s">
        <v>1639</v>
      </c>
      <c r="BA17" s="35"/>
      <c r="BB17" s="35" t="s">
        <v>272</v>
      </c>
      <c r="BC17" s="35" t="s">
        <v>273</v>
      </c>
      <c r="BD17" s="35" t="s">
        <v>274</v>
      </c>
      <c r="BE17" s="35" t="s">
        <v>271</v>
      </c>
      <c r="BF17" s="35">
        <v>15800</v>
      </c>
      <c r="BG17" s="35"/>
      <c r="BH17" s="35">
        <v>1</v>
      </c>
      <c r="BI17" s="35">
        <v>1</v>
      </c>
      <c r="BJ17" s="35"/>
      <c r="BK17" s="35" t="s">
        <v>585</v>
      </c>
      <c r="BL17" s="35" t="s">
        <v>1673</v>
      </c>
      <c r="BM17" s="35"/>
      <c r="BN17" s="35"/>
      <c r="BO17" s="35"/>
      <c r="BP17" s="35"/>
    </row>
    <row r="18" spans="1:68" x14ac:dyDescent="0.3">
      <c r="A18" s="35" t="s">
        <v>43</v>
      </c>
      <c r="B18" s="35" t="s">
        <v>44</v>
      </c>
      <c r="C18" s="35" t="s">
        <v>460</v>
      </c>
      <c r="D18" s="35" t="s">
        <v>396</v>
      </c>
      <c r="E18" s="35" t="s">
        <v>143</v>
      </c>
      <c r="F18" s="35" t="s">
        <v>144</v>
      </c>
      <c r="G18" s="35" t="s">
        <v>495</v>
      </c>
      <c r="H18" s="35" t="s">
        <v>496</v>
      </c>
      <c r="I18" s="35"/>
      <c r="J18" s="35" t="s">
        <v>47</v>
      </c>
      <c r="K18" s="35" t="s">
        <v>43</v>
      </c>
      <c r="L18" s="35"/>
      <c r="M18" s="35">
        <v>6</v>
      </c>
      <c r="N18" s="35" t="s">
        <v>262</v>
      </c>
      <c r="O18" s="35" t="s">
        <v>263</v>
      </c>
      <c r="P18" s="35" t="s">
        <v>52</v>
      </c>
      <c r="Q18" s="35"/>
      <c r="R18" s="35" t="s">
        <v>126</v>
      </c>
      <c r="S18" s="35" t="s">
        <v>160</v>
      </c>
      <c r="T18" s="35">
        <v>0</v>
      </c>
      <c r="U18" s="35" t="s">
        <v>264</v>
      </c>
      <c r="V18" s="35">
        <v>0</v>
      </c>
      <c r="W18" s="35" t="s">
        <v>265</v>
      </c>
      <c r="X18" s="35">
        <v>146000</v>
      </c>
      <c r="Y18" s="35">
        <v>4.99</v>
      </c>
      <c r="Z18" s="38">
        <v>11096.0973333333</v>
      </c>
      <c r="AA18" s="38">
        <v>9125</v>
      </c>
      <c r="AB18" s="35" t="s">
        <v>95</v>
      </c>
      <c r="AC18" s="38">
        <v>63875</v>
      </c>
      <c r="AD18" s="38">
        <v>63875</v>
      </c>
      <c r="AE18" s="38">
        <v>0</v>
      </c>
      <c r="AF18" s="38">
        <v>0</v>
      </c>
      <c r="AG18" s="38">
        <v>0</v>
      </c>
      <c r="AH18" s="38">
        <v>0</v>
      </c>
      <c r="AI18" s="38">
        <v>0</v>
      </c>
      <c r="AJ18" s="38">
        <v>11096.11</v>
      </c>
      <c r="AK18" s="35" t="s">
        <v>1925</v>
      </c>
      <c r="AL18" s="35" t="s">
        <v>387</v>
      </c>
      <c r="AM18" s="35" t="s">
        <v>508</v>
      </c>
      <c r="AN18" s="35" t="s">
        <v>1965</v>
      </c>
      <c r="AO18" s="35">
        <v>7</v>
      </c>
      <c r="AP18" s="35">
        <v>16</v>
      </c>
      <c r="AQ18" s="35" t="s">
        <v>509</v>
      </c>
      <c r="AR18" s="35" t="s">
        <v>510</v>
      </c>
      <c r="AS18" s="35" t="s">
        <v>511</v>
      </c>
      <c r="AT18" s="35" t="s">
        <v>512</v>
      </c>
      <c r="AU18" s="35"/>
      <c r="AV18" s="35" t="s">
        <v>513</v>
      </c>
      <c r="AW18" s="35" t="s">
        <v>514</v>
      </c>
      <c r="AX18" s="35" t="s">
        <v>353</v>
      </c>
      <c r="AY18" s="35" t="s">
        <v>271</v>
      </c>
      <c r="AZ18" s="35" t="s">
        <v>497</v>
      </c>
      <c r="BA18" s="35"/>
      <c r="BB18" s="35" t="s">
        <v>272</v>
      </c>
      <c r="BC18" s="35" t="s">
        <v>273</v>
      </c>
      <c r="BD18" s="35" t="s">
        <v>274</v>
      </c>
      <c r="BE18" s="35" t="s">
        <v>271</v>
      </c>
      <c r="BF18" s="35">
        <v>14600</v>
      </c>
      <c r="BG18" s="35"/>
      <c r="BH18" s="35">
        <v>1</v>
      </c>
      <c r="BI18" s="35">
        <v>1</v>
      </c>
      <c r="BJ18" s="35"/>
      <c r="BK18" s="35" t="s">
        <v>515</v>
      </c>
      <c r="BL18" s="35" t="s">
        <v>516</v>
      </c>
      <c r="BM18" s="35"/>
      <c r="BN18" s="35"/>
      <c r="BO18" s="35"/>
      <c r="BP18" s="35"/>
    </row>
    <row r="19" spans="1:68" x14ac:dyDescent="0.3">
      <c r="A19" s="35" t="s">
        <v>43</v>
      </c>
      <c r="B19" s="35" t="s">
        <v>44</v>
      </c>
      <c r="C19" s="35" t="s">
        <v>41</v>
      </c>
      <c r="D19" s="35" t="s">
        <v>42</v>
      </c>
      <c r="E19" s="35" t="s">
        <v>663</v>
      </c>
      <c r="F19" s="35" t="s">
        <v>664</v>
      </c>
      <c r="G19" s="35" t="s">
        <v>1386</v>
      </c>
      <c r="H19" s="35" t="s">
        <v>1355</v>
      </c>
      <c r="I19" s="35"/>
      <c r="J19" s="35" t="s">
        <v>47</v>
      </c>
      <c r="K19" s="35" t="s">
        <v>47</v>
      </c>
      <c r="L19" s="35"/>
      <c r="M19" s="35">
        <v>7</v>
      </c>
      <c r="N19" s="35" t="s">
        <v>262</v>
      </c>
      <c r="O19" s="35" t="s">
        <v>263</v>
      </c>
      <c r="P19" s="35" t="s">
        <v>52</v>
      </c>
      <c r="Q19" s="35"/>
      <c r="R19" s="35" t="s">
        <v>146</v>
      </c>
      <c r="S19" s="35" t="s">
        <v>160</v>
      </c>
      <c r="T19" s="35">
        <v>0</v>
      </c>
      <c r="U19" s="35" t="s">
        <v>264</v>
      </c>
      <c r="V19" s="35">
        <v>0</v>
      </c>
      <c r="W19" s="35" t="s">
        <v>265</v>
      </c>
      <c r="X19" s="35">
        <v>114000</v>
      </c>
      <c r="Y19" s="35">
        <v>4.99</v>
      </c>
      <c r="Z19" s="38">
        <v>8664.0760000000009</v>
      </c>
      <c r="AA19" s="38">
        <v>7125</v>
      </c>
      <c r="AB19" s="35" t="s">
        <v>95</v>
      </c>
      <c r="AC19" s="38">
        <v>85500.32</v>
      </c>
      <c r="AD19" s="38">
        <v>85500</v>
      </c>
      <c r="AE19" s="38">
        <v>0.32</v>
      </c>
      <c r="AF19" s="38">
        <v>0</v>
      </c>
      <c r="AG19" s="38">
        <v>0</v>
      </c>
      <c r="AH19" s="38">
        <v>0</v>
      </c>
      <c r="AI19" s="38">
        <v>0.32</v>
      </c>
      <c r="AJ19" s="38">
        <v>8664</v>
      </c>
      <c r="AK19" s="35" t="s">
        <v>1823</v>
      </c>
      <c r="AL19" s="35" t="s">
        <v>1180</v>
      </c>
      <c r="AM19" s="35" t="s">
        <v>1387</v>
      </c>
      <c r="AN19" s="35" t="s">
        <v>2004</v>
      </c>
      <c r="AO19" s="35">
        <v>12</v>
      </c>
      <c r="AP19" s="35">
        <v>16</v>
      </c>
      <c r="AQ19" s="35" t="s">
        <v>1388</v>
      </c>
      <c r="AR19" s="35" t="s">
        <v>1389</v>
      </c>
      <c r="AS19" s="35" t="s">
        <v>1390</v>
      </c>
      <c r="AT19" s="35" t="s">
        <v>1391</v>
      </c>
      <c r="AU19" s="35"/>
      <c r="AV19" s="35" t="s">
        <v>1392</v>
      </c>
      <c r="AW19" s="35" t="s">
        <v>718</v>
      </c>
      <c r="AX19" s="35" t="s">
        <v>555</v>
      </c>
      <c r="AY19" s="35" t="s">
        <v>271</v>
      </c>
      <c r="AZ19" s="35"/>
      <c r="BA19" s="35"/>
      <c r="BB19" s="35" t="s">
        <v>1059</v>
      </c>
      <c r="BC19" s="35" t="s">
        <v>273</v>
      </c>
      <c r="BD19" s="35" t="s">
        <v>270</v>
      </c>
      <c r="BE19" s="35" t="s">
        <v>271</v>
      </c>
      <c r="BF19" s="35">
        <v>11400</v>
      </c>
      <c r="BG19" s="35"/>
      <c r="BH19" s="35">
        <v>0</v>
      </c>
      <c r="BI19" s="35">
        <v>0</v>
      </c>
      <c r="BJ19" s="35"/>
      <c r="BK19" s="35" t="s">
        <v>585</v>
      </c>
      <c r="BL19" s="35" t="s">
        <v>1393</v>
      </c>
      <c r="BM19" s="35"/>
      <c r="BN19" s="35"/>
      <c r="BO19" s="35"/>
      <c r="BP19" s="35"/>
    </row>
    <row r="20" spans="1:68" x14ac:dyDescent="0.3">
      <c r="A20" s="35" t="s">
        <v>43</v>
      </c>
      <c r="B20" s="35" t="s">
        <v>44</v>
      </c>
      <c r="C20" s="35" t="s">
        <v>460</v>
      </c>
      <c r="D20" s="35" t="s">
        <v>396</v>
      </c>
      <c r="E20" s="35" t="s">
        <v>501</v>
      </c>
      <c r="F20" s="35" t="s">
        <v>502</v>
      </c>
      <c r="G20" s="35" t="s">
        <v>1882</v>
      </c>
      <c r="H20" s="35" t="s">
        <v>1883</v>
      </c>
      <c r="I20" s="35"/>
      <c r="J20" s="35" t="s">
        <v>47</v>
      </c>
      <c r="K20" s="35" t="s">
        <v>43</v>
      </c>
      <c r="L20" s="35"/>
      <c r="M20" s="35">
        <v>5</v>
      </c>
      <c r="N20" s="35" t="s">
        <v>262</v>
      </c>
      <c r="O20" s="35" t="s">
        <v>263</v>
      </c>
      <c r="P20" s="35" t="s">
        <v>52</v>
      </c>
      <c r="Q20" s="35"/>
      <c r="R20" s="35" t="s">
        <v>124</v>
      </c>
      <c r="S20" s="35" t="s">
        <v>147</v>
      </c>
      <c r="T20" s="35">
        <v>0</v>
      </c>
      <c r="U20" s="35" t="s">
        <v>264</v>
      </c>
      <c r="V20" s="35">
        <v>0</v>
      </c>
      <c r="W20" s="35" t="s">
        <v>265</v>
      </c>
      <c r="X20" s="35">
        <v>52000</v>
      </c>
      <c r="Y20" s="35">
        <v>4.99</v>
      </c>
      <c r="Z20" s="38">
        <v>3952.0346666666665</v>
      </c>
      <c r="AA20" s="38">
        <v>3250</v>
      </c>
      <c r="AB20" s="35" t="s">
        <v>95</v>
      </c>
      <c r="AC20" s="38">
        <v>48750</v>
      </c>
      <c r="AD20" s="38">
        <v>48750</v>
      </c>
      <c r="AE20" s="38">
        <v>0</v>
      </c>
      <c r="AF20" s="38">
        <v>0</v>
      </c>
      <c r="AG20" s="38">
        <v>0</v>
      </c>
      <c r="AH20" s="38">
        <v>0</v>
      </c>
      <c r="AI20" s="38">
        <v>0</v>
      </c>
      <c r="AJ20" s="38">
        <v>3955</v>
      </c>
      <c r="AK20" s="35" t="s">
        <v>1823</v>
      </c>
      <c r="AL20" s="35" t="s">
        <v>1698</v>
      </c>
      <c r="AM20" s="35" t="s">
        <v>1886</v>
      </c>
      <c r="AN20" s="35" t="s">
        <v>2042</v>
      </c>
      <c r="AO20" s="35">
        <v>15</v>
      </c>
      <c r="AP20" s="35">
        <v>16</v>
      </c>
      <c r="AQ20" s="35" t="s">
        <v>1887</v>
      </c>
      <c r="AR20" s="35" t="s">
        <v>1888</v>
      </c>
      <c r="AS20" s="35" t="s">
        <v>1889</v>
      </c>
      <c r="AT20" s="35" t="s">
        <v>1890</v>
      </c>
      <c r="AU20" s="35"/>
      <c r="AV20" s="35" t="s">
        <v>1891</v>
      </c>
      <c r="AW20" s="35" t="s">
        <v>1892</v>
      </c>
      <c r="AX20" s="35" t="s">
        <v>555</v>
      </c>
      <c r="AY20" s="35" t="s">
        <v>271</v>
      </c>
      <c r="AZ20" s="35" t="s">
        <v>1893</v>
      </c>
      <c r="BA20" s="35"/>
      <c r="BB20" s="35" t="s">
        <v>272</v>
      </c>
      <c r="BC20" s="35" t="s">
        <v>273</v>
      </c>
      <c r="BD20" s="35" t="s">
        <v>274</v>
      </c>
      <c r="BE20" s="35" t="s">
        <v>271</v>
      </c>
      <c r="BF20" s="35">
        <v>5200</v>
      </c>
      <c r="BG20" s="35"/>
      <c r="BH20" s="35">
        <v>0</v>
      </c>
      <c r="BI20" s="35">
        <v>0</v>
      </c>
      <c r="BJ20" s="35"/>
      <c r="BK20" s="35" t="s">
        <v>585</v>
      </c>
      <c r="BL20" s="35" t="s">
        <v>1894</v>
      </c>
      <c r="BM20" s="35"/>
      <c r="BN20" s="35"/>
      <c r="BO20" s="35"/>
      <c r="BP20" s="35"/>
    </row>
    <row r="21" spans="1:68" x14ac:dyDescent="0.3">
      <c r="A21" s="35" t="s">
        <v>49</v>
      </c>
      <c r="B21" s="35" t="s">
        <v>450</v>
      </c>
      <c r="C21" s="35" t="s">
        <v>451</v>
      </c>
      <c r="D21" s="35" t="s">
        <v>388</v>
      </c>
      <c r="E21" s="35" t="s">
        <v>188</v>
      </c>
      <c r="F21" s="35" t="s">
        <v>190</v>
      </c>
      <c r="G21" s="35" t="s">
        <v>1171</v>
      </c>
      <c r="H21" s="35" t="s">
        <v>1128</v>
      </c>
      <c r="I21" s="35"/>
      <c r="J21" s="35" t="s">
        <v>47</v>
      </c>
      <c r="K21" s="35" t="s">
        <v>43</v>
      </c>
      <c r="L21" s="35"/>
      <c r="M21" s="35">
        <v>5</v>
      </c>
      <c r="N21" s="35" t="s">
        <v>262</v>
      </c>
      <c r="O21" s="35" t="s">
        <v>263</v>
      </c>
      <c r="P21" s="35" t="s">
        <v>52</v>
      </c>
      <c r="Q21" s="35"/>
      <c r="R21" s="35" t="s">
        <v>146</v>
      </c>
      <c r="S21" s="35" t="s">
        <v>1173</v>
      </c>
      <c r="T21" s="35">
        <v>0</v>
      </c>
      <c r="U21" s="35" t="s">
        <v>264</v>
      </c>
      <c r="V21" s="35">
        <v>0</v>
      </c>
      <c r="W21" s="35" t="s">
        <v>265</v>
      </c>
      <c r="X21" s="35">
        <v>63000</v>
      </c>
      <c r="Y21" s="35">
        <v>4.99</v>
      </c>
      <c r="Z21" s="38">
        <v>4788.0420000000004</v>
      </c>
      <c r="AA21" s="38">
        <v>3937.5</v>
      </c>
      <c r="AB21" s="35" t="s">
        <v>95</v>
      </c>
      <c r="AC21" s="38">
        <v>43312.5</v>
      </c>
      <c r="AD21" s="38">
        <v>43312.5</v>
      </c>
      <c r="AE21" s="38">
        <v>0</v>
      </c>
      <c r="AF21" s="38">
        <v>0</v>
      </c>
      <c r="AG21" s="38">
        <v>0</v>
      </c>
      <c r="AH21" s="38">
        <v>0</v>
      </c>
      <c r="AI21" s="38">
        <v>0</v>
      </c>
      <c r="AJ21" s="38">
        <v>4789</v>
      </c>
      <c r="AK21" s="35" t="s">
        <v>1823</v>
      </c>
      <c r="AL21" s="35" t="s">
        <v>1109</v>
      </c>
      <c r="AM21" s="35" t="s">
        <v>1181</v>
      </c>
      <c r="AN21" s="35" t="s">
        <v>2004</v>
      </c>
      <c r="AO21" s="35">
        <v>11</v>
      </c>
      <c r="AP21" s="35">
        <v>16</v>
      </c>
      <c r="AQ21" s="35" t="s">
        <v>1182</v>
      </c>
      <c r="AR21" s="35" t="s">
        <v>1183</v>
      </c>
      <c r="AS21" s="35" t="s">
        <v>1184</v>
      </c>
      <c r="AT21" s="35" t="s">
        <v>1185</v>
      </c>
      <c r="AU21" s="35"/>
      <c r="AV21" s="35" t="s">
        <v>731</v>
      </c>
      <c r="AW21" s="35" t="s">
        <v>732</v>
      </c>
      <c r="AX21" s="35" t="s">
        <v>338</v>
      </c>
      <c r="AY21" s="35" t="s">
        <v>338</v>
      </c>
      <c r="AZ21" s="35" t="s">
        <v>1172</v>
      </c>
      <c r="BA21" s="35"/>
      <c r="BB21" s="35" t="s">
        <v>272</v>
      </c>
      <c r="BC21" s="35" t="s">
        <v>273</v>
      </c>
      <c r="BD21" s="35" t="s">
        <v>274</v>
      </c>
      <c r="BE21" s="35" t="s">
        <v>271</v>
      </c>
      <c r="BF21" s="35">
        <v>6300</v>
      </c>
      <c r="BG21" s="35"/>
      <c r="BH21" s="35">
        <v>0</v>
      </c>
      <c r="BI21" s="35">
        <v>0</v>
      </c>
      <c r="BJ21" s="35"/>
      <c r="BK21" s="35" t="s">
        <v>585</v>
      </c>
      <c r="BL21" s="35" t="s">
        <v>1186</v>
      </c>
      <c r="BM21" s="35"/>
      <c r="BN21" s="35"/>
      <c r="BO21" s="35"/>
      <c r="BP21" s="35"/>
    </row>
    <row r="22" spans="1:68" x14ac:dyDescent="0.3">
      <c r="A22" s="35" t="s">
        <v>49</v>
      </c>
      <c r="B22" s="35" t="s">
        <v>450</v>
      </c>
      <c r="C22" s="35" t="s">
        <v>451</v>
      </c>
      <c r="D22" s="35" t="s">
        <v>388</v>
      </c>
      <c r="E22" s="35" t="s">
        <v>487</v>
      </c>
      <c r="F22" s="35" t="s">
        <v>488</v>
      </c>
      <c r="G22" s="35" t="s">
        <v>1394</v>
      </c>
      <c r="H22" s="35" t="s">
        <v>1212</v>
      </c>
      <c r="I22" s="35"/>
      <c r="J22" s="35" t="s">
        <v>47</v>
      </c>
      <c r="K22" s="35" t="s">
        <v>43</v>
      </c>
      <c r="L22" s="35"/>
      <c r="M22" s="35">
        <v>6</v>
      </c>
      <c r="N22" s="35" t="s">
        <v>262</v>
      </c>
      <c r="O22" s="35" t="s">
        <v>263</v>
      </c>
      <c r="P22" s="35" t="s">
        <v>52</v>
      </c>
      <c r="Q22" s="35"/>
      <c r="R22" s="35" t="s">
        <v>146</v>
      </c>
      <c r="S22" s="35" t="s">
        <v>160</v>
      </c>
      <c r="T22" s="35">
        <v>0</v>
      </c>
      <c r="U22" s="35" t="s">
        <v>264</v>
      </c>
      <c r="V22" s="35">
        <v>0</v>
      </c>
      <c r="W22" s="35" t="s">
        <v>265</v>
      </c>
      <c r="X22" s="35">
        <v>42000</v>
      </c>
      <c r="Y22" s="35">
        <v>4.99</v>
      </c>
      <c r="Z22" s="38">
        <v>3192.0280000000002</v>
      </c>
      <c r="AA22" s="38">
        <v>2625</v>
      </c>
      <c r="AB22" s="35" t="s">
        <v>95</v>
      </c>
      <c r="AC22" s="38">
        <v>31500.12</v>
      </c>
      <c r="AD22" s="38">
        <v>31500</v>
      </c>
      <c r="AE22" s="38">
        <v>0.12</v>
      </c>
      <c r="AF22" s="38">
        <v>0</v>
      </c>
      <c r="AG22" s="38">
        <v>0</v>
      </c>
      <c r="AH22" s="38">
        <v>0</v>
      </c>
      <c r="AI22" s="38">
        <v>0.12</v>
      </c>
      <c r="AJ22" s="38">
        <v>3192</v>
      </c>
      <c r="AK22" s="35" t="s">
        <v>1823</v>
      </c>
      <c r="AL22" s="35" t="s">
        <v>1180</v>
      </c>
      <c r="AM22" s="35" t="s">
        <v>1387</v>
      </c>
      <c r="AN22" s="35" t="s">
        <v>2004</v>
      </c>
      <c r="AO22" s="35">
        <v>12</v>
      </c>
      <c r="AP22" s="35">
        <v>16</v>
      </c>
      <c r="AQ22" s="35" t="s">
        <v>1395</v>
      </c>
      <c r="AR22" s="35" t="s">
        <v>1396</v>
      </c>
      <c r="AS22" s="35" t="s">
        <v>1397</v>
      </c>
      <c r="AT22" s="35" t="s">
        <v>1398</v>
      </c>
      <c r="AU22" s="35"/>
      <c r="AV22" s="35" t="s">
        <v>1399</v>
      </c>
      <c r="AW22" s="35" t="s">
        <v>1400</v>
      </c>
      <c r="AX22" s="35" t="s">
        <v>274</v>
      </c>
      <c r="AY22" s="35" t="s">
        <v>271</v>
      </c>
      <c r="AZ22" s="35" t="s">
        <v>1401</v>
      </c>
      <c r="BA22" s="35"/>
      <c r="BB22" s="35" t="s">
        <v>272</v>
      </c>
      <c r="BC22" s="35" t="s">
        <v>273</v>
      </c>
      <c r="BD22" s="35" t="s">
        <v>274</v>
      </c>
      <c r="BE22" s="35" t="s">
        <v>271</v>
      </c>
      <c r="BF22" s="35">
        <v>4200</v>
      </c>
      <c r="BG22" s="35"/>
      <c r="BH22" s="35">
        <v>0</v>
      </c>
      <c r="BI22" s="35">
        <v>0</v>
      </c>
      <c r="BJ22" s="35"/>
      <c r="BK22" s="35" t="s">
        <v>585</v>
      </c>
      <c r="BL22" s="35" t="s">
        <v>1402</v>
      </c>
      <c r="BM22" s="35"/>
      <c r="BN22" s="35"/>
      <c r="BO22" s="35"/>
      <c r="BP22" s="35"/>
    </row>
    <row r="23" spans="1:68" x14ac:dyDescent="0.3">
      <c r="A23" s="35" t="s">
        <v>43</v>
      </c>
      <c r="B23" s="35" t="s">
        <v>44</v>
      </c>
      <c r="C23" s="35" t="s">
        <v>467</v>
      </c>
      <c r="D23" s="35" t="s">
        <v>424</v>
      </c>
      <c r="E23" s="35" t="s">
        <v>39</v>
      </c>
      <c r="F23" s="35" t="s">
        <v>40</v>
      </c>
      <c r="G23" s="35" t="s">
        <v>1666</v>
      </c>
      <c r="H23" s="35" t="s">
        <v>1597</v>
      </c>
      <c r="I23" s="35"/>
      <c r="J23" s="35" t="s">
        <v>47</v>
      </c>
      <c r="K23" s="35" t="s">
        <v>43</v>
      </c>
      <c r="L23" s="35"/>
      <c r="M23" s="35">
        <v>6</v>
      </c>
      <c r="N23" s="35" t="s">
        <v>262</v>
      </c>
      <c r="O23" s="35" t="s">
        <v>263</v>
      </c>
      <c r="P23" s="35" t="s">
        <v>52</v>
      </c>
      <c r="Q23" s="35"/>
      <c r="R23" s="35" t="s">
        <v>146</v>
      </c>
      <c r="S23" s="35" t="s">
        <v>1178</v>
      </c>
      <c r="T23" s="35">
        <v>0</v>
      </c>
      <c r="U23" s="35" t="s">
        <v>264</v>
      </c>
      <c r="V23" s="35">
        <v>0</v>
      </c>
      <c r="W23" s="35" t="s">
        <v>265</v>
      </c>
      <c r="X23" s="35">
        <v>150000</v>
      </c>
      <c r="Y23" s="35">
        <v>4.99</v>
      </c>
      <c r="Z23" s="38">
        <v>11400.1</v>
      </c>
      <c r="AA23" s="38">
        <v>9375</v>
      </c>
      <c r="AB23" s="35" t="s">
        <v>95</v>
      </c>
      <c r="AC23" s="38">
        <v>131250</v>
      </c>
      <c r="AD23" s="38">
        <v>131250</v>
      </c>
      <c r="AE23" s="38">
        <v>0</v>
      </c>
      <c r="AF23" s="38">
        <v>0</v>
      </c>
      <c r="AG23" s="38">
        <v>0</v>
      </c>
      <c r="AH23" s="38">
        <v>0</v>
      </c>
      <c r="AI23" s="38">
        <v>0</v>
      </c>
      <c r="AJ23" s="38">
        <v>11400.1</v>
      </c>
      <c r="AK23" s="35" t="s">
        <v>1823</v>
      </c>
      <c r="AL23" s="35" t="s">
        <v>1535</v>
      </c>
      <c r="AM23" s="35" t="s">
        <v>1674</v>
      </c>
      <c r="AN23" s="35" t="s">
        <v>2004</v>
      </c>
      <c r="AO23" s="35">
        <v>14</v>
      </c>
      <c r="AP23" s="35">
        <v>16</v>
      </c>
      <c r="AQ23" s="35" t="s">
        <v>842</v>
      </c>
      <c r="AR23" s="35" t="s">
        <v>842</v>
      </c>
      <c r="AS23" s="35" t="s">
        <v>1675</v>
      </c>
      <c r="AT23" s="35" t="s">
        <v>1676</v>
      </c>
      <c r="AU23" s="35"/>
      <c r="AV23" s="35" t="s">
        <v>1677</v>
      </c>
      <c r="AW23" s="35" t="s">
        <v>1678</v>
      </c>
      <c r="AX23" s="35" t="s">
        <v>285</v>
      </c>
      <c r="AY23" s="35" t="s">
        <v>271</v>
      </c>
      <c r="AZ23" s="35" t="s">
        <v>1679</v>
      </c>
      <c r="BA23" s="35"/>
      <c r="BB23" s="35" t="s">
        <v>272</v>
      </c>
      <c r="BC23" s="35" t="s">
        <v>273</v>
      </c>
      <c r="BD23" s="35" t="s">
        <v>274</v>
      </c>
      <c r="BE23" s="35" t="s">
        <v>271</v>
      </c>
      <c r="BF23" s="35">
        <v>15000</v>
      </c>
      <c r="BG23" s="35"/>
      <c r="BH23" s="35">
        <v>0</v>
      </c>
      <c r="BI23" s="35">
        <v>0</v>
      </c>
      <c r="BJ23" s="35"/>
      <c r="BK23" s="35" t="s">
        <v>585</v>
      </c>
      <c r="BL23" s="35" t="s">
        <v>1680</v>
      </c>
      <c r="BM23" s="35"/>
      <c r="BN23" s="35"/>
      <c r="BO23" s="35"/>
      <c r="BP23" s="35"/>
    </row>
    <row r="24" spans="1:68" x14ac:dyDescent="0.3">
      <c r="A24" s="35" t="s">
        <v>43</v>
      </c>
      <c r="B24" s="35" t="s">
        <v>44</v>
      </c>
      <c r="C24" s="35" t="s">
        <v>467</v>
      </c>
      <c r="D24" s="35" t="s">
        <v>424</v>
      </c>
      <c r="E24" s="35" t="s">
        <v>189</v>
      </c>
      <c r="F24" s="35" t="s">
        <v>191</v>
      </c>
      <c r="G24" s="35" t="s">
        <v>1602</v>
      </c>
      <c r="H24" s="35" t="s">
        <v>295</v>
      </c>
      <c r="I24" s="35"/>
      <c r="J24" s="35" t="s">
        <v>47</v>
      </c>
      <c r="K24" s="35" t="s">
        <v>43</v>
      </c>
      <c r="L24" s="35"/>
      <c r="M24" s="35">
        <v>8</v>
      </c>
      <c r="N24" s="35" t="s">
        <v>262</v>
      </c>
      <c r="O24" s="35" t="s">
        <v>263</v>
      </c>
      <c r="P24" s="35" t="s">
        <v>52</v>
      </c>
      <c r="Q24" s="35"/>
      <c r="R24" s="35" t="s">
        <v>168</v>
      </c>
      <c r="S24" s="35" t="s">
        <v>888</v>
      </c>
      <c r="T24" s="35">
        <v>0</v>
      </c>
      <c r="U24" s="35" t="s">
        <v>264</v>
      </c>
      <c r="V24" s="35">
        <v>0</v>
      </c>
      <c r="W24" s="35" t="s">
        <v>265</v>
      </c>
      <c r="X24" s="35">
        <v>118000</v>
      </c>
      <c r="Y24" s="35">
        <v>4.99</v>
      </c>
      <c r="Z24" s="38">
        <v>8968.0786666666663</v>
      </c>
      <c r="AA24" s="38">
        <v>7375</v>
      </c>
      <c r="AB24" s="35" t="s">
        <v>95</v>
      </c>
      <c r="AC24" s="38">
        <v>95875</v>
      </c>
      <c r="AD24" s="38">
        <v>95875</v>
      </c>
      <c r="AE24" s="38">
        <v>0</v>
      </c>
      <c r="AF24" s="38">
        <v>0</v>
      </c>
      <c r="AG24" s="38">
        <v>0</v>
      </c>
      <c r="AH24" s="38">
        <v>0</v>
      </c>
      <c r="AI24" s="38">
        <v>0</v>
      </c>
      <c r="AJ24" s="38">
        <v>8976</v>
      </c>
      <c r="AK24" s="35" t="s">
        <v>1884</v>
      </c>
      <c r="AL24" s="35" t="s">
        <v>1520</v>
      </c>
      <c r="AM24" s="35" t="s">
        <v>1604</v>
      </c>
      <c r="AN24" s="35" t="s">
        <v>2164</v>
      </c>
      <c r="AO24" s="35">
        <v>13</v>
      </c>
      <c r="AP24" s="35">
        <v>16</v>
      </c>
      <c r="AQ24" s="35" t="s">
        <v>1149</v>
      </c>
      <c r="AR24" s="35" t="s">
        <v>1149</v>
      </c>
      <c r="AS24" s="35" t="s">
        <v>1149</v>
      </c>
      <c r="AT24" s="35" t="s">
        <v>1605</v>
      </c>
      <c r="AU24" s="35"/>
      <c r="AV24" s="35" t="s">
        <v>1606</v>
      </c>
      <c r="AW24" s="35" t="s">
        <v>1607</v>
      </c>
      <c r="AX24" s="35" t="s">
        <v>295</v>
      </c>
      <c r="AY24" s="35" t="s">
        <v>271</v>
      </c>
      <c r="AZ24" s="35" t="s">
        <v>1608</v>
      </c>
      <c r="BA24" s="35"/>
      <c r="BB24" s="35" t="s">
        <v>272</v>
      </c>
      <c r="BC24" s="35" t="s">
        <v>273</v>
      </c>
      <c r="BD24" s="35" t="s">
        <v>274</v>
      </c>
      <c r="BE24" s="35" t="s">
        <v>271</v>
      </c>
      <c r="BF24" s="35">
        <v>11800</v>
      </c>
      <c r="BG24" s="35"/>
      <c r="BH24" s="35">
        <v>0</v>
      </c>
      <c r="BI24" s="35">
        <v>0</v>
      </c>
      <c r="BJ24" s="35"/>
      <c r="BK24" s="35" t="s">
        <v>585</v>
      </c>
      <c r="BL24" s="35" t="s">
        <v>1609</v>
      </c>
      <c r="BM24" s="35"/>
      <c r="BN24" s="35"/>
      <c r="BO24" s="35"/>
      <c r="BP24" s="35"/>
    </row>
    <row r="25" spans="1:68" x14ac:dyDescent="0.3">
      <c r="A25" s="35" t="s">
        <v>43</v>
      </c>
      <c r="B25" s="35" t="s">
        <v>44</v>
      </c>
      <c r="C25" s="35" t="s">
        <v>41</v>
      </c>
      <c r="D25" s="35" t="s">
        <v>42</v>
      </c>
      <c r="E25" s="35" t="s">
        <v>663</v>
      </c>
      <c r="F25" s="35" t="s">
        <v>664</v>
      </c>
      <c r="G25" s="35" t="s">
        <v>1530</v>
      </c>
      <c r="H25" s="35" t="s">
        <v>575</v>
      </c>
      <c r="I25" s="35"/>
      <c r="J25" s="35" t="s">
        <v>47</v>
      </c>
      <c r="K25" s="35" t="s">
        <v>47</v>
      </c>
      <c r="L25" s="35"/>
      <c r="M25" s="35">
        <v>5</v>
      </c>
      <c r="N25" s="35" t="s">
        <v>262</v>
      </c>
      <c r="O25" s="35" t="s">
        <v>263</v>
      </c>
      <c r="P25" s="35" t="s">
        <v>52</v>
      </c>
      <c r="Q25" s="35"/>
      <c r="R25" s="35" t="s">
        <v>126</v>
      </c>
      <c r="S25" s="35" t="s">
        <v>160</v>
      </c>
      <c r="T25" s="35">
        <v>0</v>
      </c>
      <c r="U25" s="35" t="s">
        <v>264</v>
      </c>
      <c r="V25" s="35">
        <v>0</v>
      </c>
      <c r="W25" s="35" t="s">
        <v>265</v>
      </c>
      <c r="X25" s="35">
        <v>116000</v>
      </c>
      <c r="Y25" s="35">
        <v>4.99</v>
      </c>
      <c r="Z25" s="38">
        <v>8816.0773333333345</v>
      </c>
      <c r="AA25" s="38">
        <v>7250</v>
      </c>
      <c r="AB25" s="35" t="s">
        <v>95</v>
      </c>
      <c r="AC25" s="38">
        <v>94250.240000000005</v>
      </c>
      <c r="AD25" s="38">
        <v>94250</v>
      </c>
      <c r="AE25" s="38">
        <v>0.24</v>
      </c>
      <c r="AF25" s="38">
        <v>0</v>
      </c>
      <c r="AG25" s="38">
        <v>0</v>
      </c>
      <c r="AH25" s="38">
        <v>0</v>
      </c>
      <c r="AI25" s="38">
        <v>0.24</v>
      </c>
      <c r="AJ25" s="38">
        <v>8816</v>
      </c>
      <c r="AK25" s="35" t="s">
        <v>1925</v>
      </c>
      <c r="AL25" s="35" t="s">
        <v>1362</v>
      </c>
      <c r="AM25" s="35" t="s">
        <v>1536</v>
      </c>
      <c r="AN25" s="35" t="s">
        <v>1965</v>
      </c>
      <c r="AO25" s="35">
        <v>13</v>
      </c>
      <c r="AP25" s="35">
        <v>16</v>
      </c>
      <c r="AQ25" s="35" t="s">
        <v>1537</v>
      </c>
      <c r="AR25" s="35" t="s">
        <v>1538</v>
      </c>
      <c r="AS25" s="35" t="s">
        <v>1539</v>
      </c>
      <c r="AT25" s="35" t="s">
        <v>1540</v>
      </c>
      <c r="AU25" s="35"/>
      <c r="AV25" s="35" t="s">
        <v>1541</v>
      </c>
      <c r="AW25" s="35" t="s">
        <v>1441</v>
      </c>
      <c r="AX25" s="35" t="s">
        <v>274</v>
      </c>
      <c r="AY25" s="35" t="s">
        <v>271</v>
      </c>
      <c r="AZ25" s="35"/>
      <c r="BA25" s="35"/>
      <c r="BB25" s="35" t="s">
        <v>272</v>
      </c>
      <c r="BC25" s="35" t="s">
        <v>273</v>
      </c>
      <c r="BD25" s="35" t="s">
        <v>274</v>
      </c>
      <c r="BE25" s="35" t="s">
        <v>271</v>
      </c>
      <c r="BF25" s="35">
        <v>11600</v>
      </c>
      <c r="BG25" s="35"/>
      <c r="BH25" s="35">
        <v>1</v>
      </c>
      <c r="BI25" s="35">
        <v>1</v>
      </c>
      <c r="BJ25" s="35"/>
      <c r="BK25" s="35" t="s">
        <v>585</v>
      </c>
      <c r="BL25" s="35" t="s">
        <v>1542</v>
      </c>
      <c r="BM25" s="35"/>
      <c r="BN25" s="35"/>
      <c r="BO25" s="35"/>
      <c r="BP25" s="35"/>
    </row>
    <row r="26" spans="1:68" x14ac:dyDescent="0.3">
      <c r="A26" s="35" t="s">
        <v>43</v>
      </c>
      <c r="B26" s="35" t="s">
        <v>44</v>
      </c>
      <c r="C26" s="35" t="s">
        <v>41</v>
      </c>
      <c r="D26" s="35" t="s">
        <v>42</v>
      </c>
      <c r="E26" s="35" t="s">
        <v>663</v>
      </c>
      <c r="F26" s="35" t="s">
        <v>664</v>
      </c>
      <c r="G26" s="35" t="s">
        <v>1270</v>
      </c>
      <c r="H26" s="35" t="s">
        <v>1204</v>
      </c>
      <c r="I26" s="35"/>
      <c r="J26" s="35" t="s">
        <v>47</v>
      </c>
      <c r="K26" s="35" t="s">
        <v>47</v>
      </c>
      <c r="L26" s="35"/>
      <c r="M26" s="35">
        <v>6</v>
      </c>
      <c r="N26" s="35" t="s">
        <v>262</v>
      </c>
      <c r="O26" s="35" t="s">
        <v>263</v>
      </c>
      <c r="P26" s="35" t="s">
        <v>52</v>
      </c>
      <c r="Q26" s="35"/>
      <c r="R26" s="35" t="s">
        <v>124</v>
      </c>
      <c r="S26" s="35" t="s">
        <v>185</v>
      </c>
      <c r="T26" s="35">
        <v>0</v>
      </c>
      <c r="U26" s="35" t="s">
        <v>264</v>
      </c>
      <c r="V26" s="35">
        <v>0</v>
      </c>
      <c r="W26" s="35" t="s">
        <v>265</v>
      </c>
      <c r="X26" s="35">
        <v>102000</v>
      </c>
      <c r="Y26" s="35">
        <v>4.99</v>
      </c>
      <c r="Z26" s="38">
        <v>7752.0680000000002</v>
      </c>
      <c r="AA26" s="38">
        <v>6375</v>
      </c>
      <c r="AB26" s="35" t="s">
        <v>95</v>
      </c>
      <c r="AC26" s="38">
        <v>70125</v>
      </c>
      <c r="AD26" s="38">
        <v>70125</v>
      </c>
      <c r="AE26" s="38">
        <v>0</v>
      </c>
      <c r="AF26" s="38">
        <v>0</v>
      </c>
      <c r="AG26" s="38">
        <v>0</v>
      </c>
      <c r="AH26" s="38">
        <v>0</v>
      </c>
      <c r="AI26" s="38">
        <v>0</v>
      </c>
      <c r="AJ26" s="38">
        <v>7752</v>
      </c>
      <c r="AK26" s="35" t="s">
        <v>1843</v>
      </c>
      <c r="AL26" s="35" t="s">
        <v>1107</v>
      </c>
      <c r="AM26" s="35" t="s">
        <v>1214</v>
      </c>
      <c r="AN26" s="35" t="s">
        <v>2042</v>
      </c>
      <c r="AO26" s="35">
        <v>11</v>
      </c>
      <c r="AP26" s="35">
        <v>16</v>
      </c>
      <c r="AQ26" s="35" t="s">
        <v>1276</v>
      </c>
      <c r="AR26" s="35" t="s">
        <v>1277</v>
      </c>
      <c r="AS26" s="35" t="s">
        <v>1278</v>
      </c>
      <c r="AT26" s="35" t="s">
        <v>1279</v>
      </c>
      <c r="AU26" s="35"/>
      <c r="AV26" s="35" t="s">
        <v>696</v>
      </c>
      <c r="AW26" s="35" t="s">
        <v>1280</v>
      </c>
      <c r="AX26" s="35" t="s">
        <v>555</v>
      </c>
      <c r="AY26" s="35" t="s">
        <v>271</v>
      </c>
      <c r="AZ26" s="35"/>
      <c r="BA26" s="35"/>
      <c r="BB26" s="35" t="s">
        <v>272</v>
      </c>
      <c r="BC26" s="35" t="s">
        <v>273</v>
      </c>
      <c r="BD26" s="35" t="s">
        <v>274</v>
      </c>
      <c r="BE26" s="35" t="s">
        <v>271</v>
      </c>
      <c r="BF26" s="35">
        <v>10200</v>
      </c>
      <c r="BG26" s="35"/>
      <c r="BH26" s="35">
        <v>0</v>
      </c>
      <c r="BI26" s="35">
        <v>0</v>
      </c>
      <c r="BJ26" s="35"/>
      <c r="BK26" s="35" t="s">
        <v>585</v>
      </c>
      <c r="BL26" s="35" t="s">
        <v>1281</v>
      </c>
      <c r="BM26" s="35"/>
      <c r="BN26" s="35"/>
      <c r="BO26" s="35"/>
      <c r="BP26" s="35"/>
    </row>
    <row r="27" spans="1:68" x14ac:dyDescent="0.3">
      <c r="A27" s="35" t="s">
        <v>43</v>
      </c>
      <c r="B27" s="35" t="s">
        <v>44</v>
      </c>
      <c r="C27" s="35" t="s">
        <v>460</v>
      </c>
      <c r="D27" s="35" t="s">
        <v>396</v>
      </c>
      <c r="E27" s="35" t="s">
        <v>501</v>
      </c>
      <c r="F27" s="35" t="s">
        <v>502</v>
      </c>
      <c r="G27" s="35" t="s">
        <v>652</v>
      </c>
      <c r="H27" s="35" t="s">
        <v>506</v>
      </c>
      <c r="I27" s="35"/>
      <c r="J27" s="35" t="s">
        <v>47</v>
      </c>
      <c r="K27" s="35" t="s">
        <v>43</v>
      </c>
      <c r="L27" s="35"/>
      <c r="M27" s="35">
        <v>9</v>
      </c>
      <c r="N27" s="35" t="s">
        <v>262</v>
      </c>
      <c r="O27" s="35" t="s">
        <v>263</v>
      </c>
      <c r="P27" s="35" t="s">
        <v>52</v>
      </c>
      <c r="Q27" s="35"/>
      <c r="R27" s="35" t="s">
        <v>197</v>
      </c>
      <c r="S27" s="35" t="s">
        <v>198</v>
      </c>
      <c r="T27" s="35">
        <v>0</v>
      </c>
      <c r="U27" s="35" t="s">
        <v>264</v>
      </c>
      <c r="V27" s="35">
        <v>0</v>
      </c>
      <c r="W27" s="35" t="s">
        <v>265</v>
      </c>
      <c r="X27" s="35">
        <v>93000</v>
      </c>
      <c r="Y27" s="35">
        <v>4.99</v>
      </c>
      <c r="Z27" s="38">
        <v>7068.0619999999999</v>
      </c>
      <c r="AA27" s="38">
        <v>5812.5</v>
      </c>
      <c r="AB27" s="35" t="s">
        <v>95</v>
      </c>
      <c r="AC27" s="38">
        <v>40687.5</v>
      </c>
      <c r="AD27" s="38">
        <v>40687.5</v>
      </c>
      <c r="AE27" s="38">
        <v>0</v>
      </c>
      <c r="AF27" s="38">
        <v>0</v>
      </c>
      <c r="AG27" s="38">
        <v>0</v>
      </c>
      <c r="AH27" s="38">
        <v>0</v>
      </c>
      <c r="AI27" s="38">
        <v>0</v>
      </c>
      <c r="AJ27" s="38">
        <v>7077</v>
      </c>
      <c r="AK27" s="35" t="s">
        <v>1884</v>
      </c>
      <c r="AL27" s="35" t="s">
        <v>441</v>
      </c>
      <c r="AM27" s="35" t="s">
        <v>691</v>
      </c>
      <c r="AN27" s="35" t="s">
        <v>2014</v>
      </c>
      <c r="AO27" s="35">
        <v>7</v>
      </c>
      <c r="AP27" s="35">
        <v>16</v>
      </c>
      <c r="AQ27" s="35" t="s">
        <v>699</v>
      </c>
      <c r="AR27" s="35" t="s">
        <v>700</v>
      </c>
      <c r="AS27" s="35" t="s">
        <v>701</v>
      </c>
      <c r="AT27" s="35" t="s">
        <v>1885</v>
      </c>
      <c r="AU27" s="35"/>
      <c r="AV27" s="35" t="s">
        <v>702</v>
      </c>
      <c r="AW27" s="35" t="s">
        <v>703</v>
      </c>
      <c r="AX27" s="35" t="s">
        <v>704</v>
      </c>
      <c r="AY27" s="35" t="s">
        <v>271</v>
      </c>
      <c r="AZ27" s="35" t="s">
        <v>724</v>
      </c>
      <c r="BA27" s="35"/>
      <c r="BB27" s="35" t="s">
        <v>272</v>
      </c>
      <c r="BC27" s="35" t="s">
        <v>273</v>
      </c>
      <c r="BD27" s="35" t="s">
        <v>274</v>
      </c>
      <c r="BE27" s="35" t="s">
        <v>271</v>
      </c>
      <c r="BF27" s="35">
        <v>9300</v>
      </c>
      <c r="BG27" s="35"/>
      <c r="BH27" s="35">
        <v>1</v>
      </c>
      <c r="BI27" s="35">
        <v>1</v>
      </c>
      <c r="BJ27" s="35"/>
      <c r="BK27" s="35" t="s">
        <v>585</v>
      </c>
      <c r="BL27" s="35" t="s">
        <v>705</v>
      </c>
      <c r="BM27" s="35"/>
      <c r="BN27" s="35"/>
      <c r="BO27" s="35"/>
      <c r="BP27" s="35"/>
    </row>
    <row r="28" spans="1:68" x14ac:dyDescent="0.3">
      <c r="A28" s="35" t="s">
        <v>49</v>
      </c>
      <c r="B28" s="35" t="s">
        <v>450</v>
      </c>
      <c r="C28" s="35" t="s">
        <v>451</v>
      </c>
      <c r="D28" s="35" t="s">
        <v>388</v>
      </c>
      <c r="E28" s="35" t="s">
        <v>188</v>
      </c>
      <c r="F28" s="35" t="s">
        <v>190</v>
      </c>
      <c r="G28" s="35" t="s">
        <v>971</v>
      </c>
      <c r="H28" s="35" t="s">
        <v>815</v>
      </c>
      <c r="I28" s="35"/>
      <c r="J28" s="35" t="s">
        <v>47</v>
      </c>
      <c r="K28" s="35" t="s">
        <v>43</v>
      </c>
      <c r="L28" s="35"/>
      <c r="M28" s="35">
        <v>7</v>
      </c>
      <c r="N28" s="35" t="s">
        <v>262</v>
      </c>
      <c r="O28" s="35" t="s">
        <v>263</v>
      </c>
      <c r="P28" s="35" t="s">
        <v>52</v>
      </c>
      <c r="Q28" s="35"/>
      <c r="R28" s="35" t="s">
        <v>168</v>
      </c>
      <c r="S28" s="35" t="s">
        <v>656</v>
      </c>
      <c r="T28" s="35">
        <v>0</v>
      </c>
      <c r="U28" s="35" t="s">
        <v>264</v>
      </c>
      <c r="V28" s="35">
        <v>0</v>
      </c>
      <c r="W28" s="35" t="s">
        <v>265</v>
      </c>
      <c r="X28" s="35">
        <v>185000</v>
      </c>
      <c r="Y28" s="35">
        <v>4.99</v>
      </c>
      <c r="Z28" s="38">
        <v>14060.1233333333</v>
      </c>
      <c r="AA28" s="38">
        <v>11562.5</v>
      </c>
      <c r="AB28" s="35" t="s">
        <v>95</v>
      </c>
      <c r="AC28" s="38">
        <v>104062.51000000001</v>
      </c>
      <c r="AD28" s="38">
        <v>104062.5</v>
      </c>
      <c r="AE28" s="38">
        <v>0.01</v>
      </c>
      <c r="AF28" s="38">
        <v>0</v>
      </c>
      <c r="AG28" s="38">
        <v>0</v>
      </c>
      <c r="AH28" s="38">
        <v>0</v>
      </c>
      <c r="AI28" s="38">
        <v>0.01</v>
      </c>
      <c r="AJ28" s="38">
        <v>14061</v>
      </c>
      <c r="AK28" s="35" t="s">
        <v>1899</v>
      </c>
      <c r="AL28" s="35" t="s">
        <v>854</v>
      </c>
      <c r="AM28" s="35" t="s">
        <v>991</v>
      </c>
      <c r="AN28" s="35" t="s">
        <v>2164</v>
      </c>
      <c r="AO28" s="35">
        <v>9</v>
      </c>
      <c r="AP28" s="35">
        <v>16</v>
      </c>
      <c r="AQ28" s="35" t="s">
        <v>992</v>
      </c>
      <c r="AR28" s="35" t="s">
        <v>993</v>
      </c>
      <c r="AS28" s="35" t="s">
        <v>994</v>
      </c>
      <c r="AT28" s="35" t="s">
        <v>995</v>
      </c>
      <c r="AU28" s="35"/>
      <c r="AV28" s="35" t="s">
        <v>996</v>
      </c>
      <c r="AW28" s="35" t="s">
        <v>997</v>
      </c>
      <c r="AX28" s="35" t="s">
        <v>998</v>
      </c>
      <c r="AY28" s="35" t="s">
        <v>338</v>
      </c>
      <c r="AZ28" s="35" t="s">
        <v>972</v>
      </c>
      <c r="BA28" s="35"/>
      <c r="BB28" s="35" t="s">
        <v>272</v>
      </c>
      <c r="BC28" s="35" t="s">
        <v>273</v>
      </c>
      <c r="BD28" s="35" t="s">
        <v>274</v>
      </c>
      <c r="BE28" s="35" t="s">
        <v>271</v>
      </c>
      <c r="BF28" s="35">
        <v>18500</v>
      </c>
      <c r="BG28" s="35"/>
      <c r="BH28" s="35">
        <v>0</v>
      </c>
      <c r="BI28" s="35">
        <v>0</v>
      </c>
      <c r="BJ28" s="35"/>
      <c r="BK28" s="35" t="s">
        <v>585</v>
      </c>
      <c r="BL28" s="35" t="s">
        <v>999</v>
      </c>
      <c r="BM28" s="35"/>
      <c r="BN28" s="35"/>
      <c r="BO28" s="35"/>
      <c r="BP28" s="35"/>
    </row>
    <row r="29" spans="1:68" x14ac:dyDescent="0.3">
      <c r="A29" s="35" t="s">
        <v>43</v>
      </c>
      <c r="B29" s="35" t="s">
        <v>44</v>
      </c>
      <c r="C29" s="35" t="s">
        <v>467</v>
      </c>
      <c r="D29" s="35" t="s">
        <v>424</v>
      </c>
      <c r="E29" s="35" t="s">
        <v>189</v>
      </c>
      <c r="F29" s="35" t="s">
        <v>191</v>
      </c>
      <c r="G29" s="35" t="s">
        <v>1773</v>
      </c>
      <c r="H29" s="35" t="s">
        <v>1774</v>
      </c>
      <c r="I29" s="35"/>
      <c r="J29" s="35" t="s">
        <v>47</v>
      </c>
      <c r="K29" s="35" t="s">
        <v>43</v>
      </c>
      <c r="L29" s="35"/>
      <c r="M29" s="35">
        <v>6</v>
      </c>
      <c r="N29" s="35" t="s">
        <v>262</v>
      </c>
      <c r="O29" s="35" t="s">
        <v>263</v>
      </c>
      <c r="P29" s="35" t="s">
        <v>52</v>
      </c>
      <c r="Q29" s="35"/>
      <c r="R29" s="35" t="s">
        <v>168</v>
      </c>
      <c r="S29" s="35" t="s">
        <v>160</v>
      </c>
      <c r="T29" s="35">
        <v>0</v>
      </c>
      <c r="U29" s="35" t="s">
        <v>264</v>
      </c>
      <c r="V29" s="35">
        <v>0</v>
      </c>
      <c r="W29" s="35" t="s">
        <v>265</v>
      </c>
      <c r="X29" s="35">
        <v>107000</v>
      </c>
      <c r="Y29" s="35">
        <v>4.99</v>
      </c>
      <c r="Z29" s="38">
        <v>8132.0713333333333</v>
      </c>
      <c r="AA29" s="38">
        <v>6687.5</v>
      </c>
      <c r="AB29" s="35" t="s">
        <v>95</v>
      </c>
      <c r="AC29" s="38">
        <v>93625</v>
      </c>
      <c r="AD29" s="38">
        <v>93625</v>
      </c>
      <c r="AE29" s="38">
        <v>0</v>
      </c>
      <c r="AF29" s="38">
        <v>0</v>
      </c>
      <c r="AG29" s="38">
        <v>0</v>
      </c>
      <c r="AH29" s="38">
        <v>0</v>
      </c>
      <c r="AI29" s="38">
        <v>0</v>
      </c>
      <c r="AJ29" s="38">
        <v>8136</v>
      </c>
      <c r="AK29" s="35" t="s">
        <v>1899</v>
      </c>
      <c r="AL29" s="35" t="s">
        <v>1603</v>
      </c>
      <c r="AM29" s="35" t="s">
        <v>1775</v>
      </c>
      <c r="AN29" s="35" t="s">
        <v>2164</v>
      </c>
      <c r="AO29" s="35">
        <v>14</v>
      </c>
      <c r="AP29" s="35">
        <v>16</v>
      </c>
      <c r="AQ29" s="35" t="s">
        <v>1149</v>
      </c>
      <c r="AR29" s="35" t="s">
        <v>1149</v>
      </c>
      <c r="AS29" s="35" t="s">
        <v>1149</v>
      </c>
      <c r="AT29" s="35" t="s">
        <v>1776</v>
      </c>
      <c r="AU29" s="35"/>
      <c r="AV29" s="35" t="s">
        <v>1777</v>
      </c>
      <c r="AW29" s="35" t="s">
        <v>1778</v>
      </c>
      <c r="AX29" s="35" t="s">
        <v>295</v>
      </c>
      <c r="AY29" s="35" t="s">
        <v>271</v>
      </c>
      <c r="AZ29" s="35" t="s">
        <v>1749</v>
      </c>
      <c r="BA29" s="35"/>
      <c r="BB29" s="35" t="s">
        <v>272</v>
      </c>
      <c r="BC29" s="35" t="s">
        <v>273</v>
      </c>
      <c r="BD29" s="35" t="s">
        <v>274</v>
      </c>
      <c r="BE29" s="35" t="s">
        <v>271</v>
      </c>
      <c r="BF29" s="35">
        <v>10700</v>
      </c>
      <c r="BG29" s="35"/>
      <c r="BH29" s="35">
        <v>0</v>
      </c>
      <c r="BI29" s="35">
        <v>0</v>
      </c>
      <c r="BJ29" s="35"/>
      <c r="BK29" s="35" t="s">
        <v>585</v>
      </c>
      <c r="BL29" s="35" t="s">
        <v>1779</v>
      </c>
      <c r="BM29" s="35"/>
      <c r="BN29" s="35"/>
      <c r="BO29" s="35"/>
      <c r="BP29" s="35"/>
    </row>
    <row r="30" spans="1:68" x14ac:dyDescent="0.3">
      <c r="A30" s="35" t="s">
        <v>43</v>
      </c>
      <c r="B30" s="35" t="s">
        <v>44</v>
      </c>
      <c r="C30" s="35" t="s">
        <v>41</v>
      </c>
      <c r="D30" s="35" t="s">
        <v>42</v>
      </c>
      <c r="E30" s="35" t="s">
        <v>883</v>
      </c>
      <c r="F30" s="35" t="s">
        <v>884</v>
      </c>
      <c r="G30" s="35" t="s">
        <v>1411</v>
      </c>
      <c r="H30" s="35" t="s">
        <v>1353</v>
      </c>
      <c r="I30" s="35"/>
      <c r="J30" s="35" t="s">
        <v>47</v>
      </c>
      <c r="K30" s="35" t="s">
        <v>47</v>
      </c>
      <c r="L30" s="35"/>
      <c r="M30" s="35">
        <v>5</v>
      </c>
      <c r="N30" s="35" t="s">
        <v>262</v>
      </c>
      <c r="O30" s="35" t="s">
        <v>263</v>
      </c>
      <c r="P30" s="35" t="s">
        <v>52</v>
      </c>
      <c r="Q30" s="35"/>
      <c r="R30" s="35" t="s">
        <v>146</v>
      </c>
      <c r="S30" s="35" t="s">
        <v>160</v>
      </c>
      <c r="T30" s="35">
        <v>0</v>
      </c>
      <c r="U30" s="35" t="s">
        <v>264</v>
      </c>
      <c r="V30" s="35">
        <v>0</v>
      </c>
      <c r="W30" s="35" t="s">
        <v>265</v>
      </c>
      <c r="X30" s="35">
        <v>55000</v>
      </c>
      <c r="Y30" s="35">
        <v>4.99</v>
      </c>
      <c r="Z30" s="38">
        <v>4180.036666666666</v>
      </c>
      <c r="AA30" s="38">
        <v>3437.5</v>
      </c>
      <c r="AB30" s="35" t="s">
        <v>95</v>
      </c>
      <c r="AC30" s="38">
        <v>41250</v>
      </c>
      <c r="AD30" s="38">
        <v>41250</v>
      </c>
      <c r="AE30" s="38">
        <v>0</v>
      </c>
      <c r="AF30" s="38">
        <v>0</v>
      </c>
      <c r="AG30" s="38">
        <v>0</v>
      </c>
      <c r="AH30" s="38">
        <v>0</v>
      </c>
      <c r="AI30" s="38">
        <v>0</v>
      </c>
      <c r="AJ30" s="38">
        <v>4181</v>
      </c>
      <c r="AK30" s="35" t="s">
        <v>1898</v>
      </c>
      <c r="AL30" s="35" t="s">
        <v>1180</v>
      </c>
      <c r="AM30" s="35" t="s">
        <v>1387</v>
      </c>
      <c r="AN30" s="35" t="s">
        <v>2004</v>
      </c>
      <c r="AO30" s="35">
        <v>12</v>
      </c>
      <c r="AP30" s="35">
        <v>16</v>
      </c>
      <c r="AQ30" s="35" t="s">
        <v>1412</v>
      </c>
      <c r="AR30" s="35" t="s">
        <v>1413</v>
      </c>
      <c r="AS30" s="35" t="s">
        <v>1364</v>
      </c>
      <c r="AT30" s="35" t="s">
        <v>1414</v>
      </c>
      <c r="AU30" s="35"/>
      <c r="AV30" s="35" t="s">
        <v>1415</v>
      </c>
      <c r="AW30" s="35" t="s">
        <v>718</v>
      </c>
      <c r="AX30" s="35" t="s">
        <v>555</v>
      </c>
      <c r="AY30" s="35" t="s">
        <v>271</v>
      </c>
      <c r="AZ30" s="35"/>
      <c r="BA30" s="35"/>
      <c r="BB30" s="35" t="s">
        <v>1059</v>
      </c>
      <c r="BC30" s="35" t="s">
        <v>273</v>
      </c>
      <c r="BD30" s="35" t="s">
        <v>270</v>
      </c>
      <c r="BE30" s="35" t="s">
        <v>271</v>
      </c>
      <c r="BF30" s="35">
        <v>5500</v>
      </c>
      <c r="BG30" s="35"/>
      <c r="BH30" s="35">
        <v>1</v>
      </c>
      <c r="BI30" s="35">
        <v>1</v>
      </c>
      <c r="BJ30" s="35"/>
      <c r="BK30" s="35" t="s">
        <v>585</v>
      </c>
      <c r="BL30" s="35" t="s">
        <v>1416</v>
      </c>
      <c r="BM30" s="35"/>
      <c r="BN30" s="35"/>
      <c r="BO30" s="35"/>
      <c r="BP30" s="35"/>
    </row>
    <row r="31" spans="1:68" x14ac:dyDescent="0.3">
      <c r="A31" s="35" t="s">
        <v>43</v>
      </c>
      <c r="B31" s="35" t="s">
        <v>44</v>
      </c>
      <c r="C31" s="35" t="s">
        <v>41</v>
      </c>
      <c r="D31" s="35" t="s">
        <v>42</v>
      </c>
      <c r="E31" s="35" t="s">
        <v>883</v>
      </c>
      <c r="F31" s="35" t="s">
        <v>884</v>
      </c>
      <c r="G31" s="35" t="s">
        <v>883</v>
      </c>
      <c r="H31" s="35" t="s">
        <v>939</v>
      </c>
      <c r="I31" s="35"/>
      <c r="J31" s="35" t="s">
        <v>47</v>
      </c>
      <c r="K31" s="35" t="s">
        <v>297</v>
      </c>
      <c r="L31" s="35"/>
      <c r="M31" s="35">
        <v>5</v>
      </c>
      <c r="N31" s="35" t="s">
        <v>262</v>
      </c>
      <c r="O31" s="35" t="s">
        <v>263</v>
      </c>
      <c r="P31" s="35" t="s">
        <v>52</v>
      </c>
      <c r="Q31" s="35"/>
      <c r="R31" s="35" t="s">
        <v>168</v>
      </c>
      <c r="S31" s="35" t="s">
        <v>125</v>
      </c>
      <c r="T31" s="35">
        <v>0</v>
      </c>
      <c r="U31" s="35" t="s">
        <v>264</v>
      </c>
      <c r="V31" s="35">
        <v>0</v>
      </c>
      <c r="W31" s="35" t="s">
        <v>265</v>
      </c>
      <c r="X31" s="35">
        <v>39000</v>
      </c>
      <c r="Y31" s="35">
        <v>4.99</v>
      </c>
      <c r="Z31" s="38">
        <v>2964.0260000000003</v>
      </c>
      <c r="AA31" s="38">
        <v>2437.5</v>
      </c>
      <c r="AB31" s="35" t="s">
        <v>95</v>
      </c>
      <c r="AC31" s="38">
        <v>21937.5</v>
      </c>
      <c r="AD31" s="38">
        <v>21937.5</v>
      </c>
      <c r="AE31" s="38">
        <v>0</v>
      </c>
      <c r="AF31" s="38">
        <v>0</v>
      </c>
      <c r="AG31" s="38">
        <v>0</v>
      </c>
      <c r="AH31" s="38">
        <v>0</v>
      </c>
      <c r="AI31" s="38">
        <v>0</v>
      </c>
      <c r="AJ31" s="38">
        <v>2964</v>
      </c>
      <c r="AK31" s="35" t="s">
        <v>1899</v>
      </c>
      <c r="AL31" s="35" t="s">
        <v>854</v>
      </c>
      <c r="AM31" s="35" t="s">
        <v>991</v>
      </c>
      <c r="AN31" s="35" t="s">
        <v>2164</v>
      </c>
      <c r="AO31" s="35">
        <v>9</v>
      </c>
      <c r="AP31" s="35">
        <v>16</v>
      </c>
      <c r="AQ31" s="35" t="s">
        <v>1000</v>
      </c>
      <c r="AR31" s="35" t="s">
        <v>1001</v>
      </c>
      <c r="AS31" s="35" t="s">
        <v>1002</v>
      </c>
      <c r="AT31" s="35" t="s">
        <v>1003</v>
      </c>
      <c r="AU31" s="35"/>
      <c r="AV31" s="35" t="s">
        <v>1004</v>
      </c>
      <c r="AW31" s="35" t="s">
        <v>554</v>
      </c>
      <c r="AX31" s="35" t="s">
        <v>555</v>
      </c>
      <c r="AY31" s="35" t="s">
        <v>271</v>
      </c>
      <c r="AZ31" s="35"/>
      <c r="BA31" s="35"/>
      <c r="BB31" s="35" t="s">
        <v>272</v>
      </c>
      <c r="BC31" s="35" t="s">
        <v>273</v>
      </c>
      <c r="BD31" s="35" t="s">
        <v>274</v>
      </c>
      <c r="BE31" s="35" t="s">
        <v>271</v>
      </c>
      <c r="BF31" s="35">
        <v>3900</v>
      </c>
      <c r="BG31" s="35"/>
      <c r="BH31" s="35">
        <v>0</v>
      </c>
      <c r="BI31" s="35">
        <v>0</v>
      </c>
      <c r="BJ31" s="35"/>
      <c r="BK31" s="35" t="s">
        <v>585</v>
      </c>
      <c r="BL31" s="35" t="s">
        <v>1005</v>
      </c>
      <c r="BM31" s="35"/>
      <c r="BN31" s="35"/>
      <c r="BO31" s="35"/>
      <c r="BP31" s="35"/>
    </row>
    <row r="32" spans="1:68" x14ac:dyDescent="0.3">
      <c r="A32" s="35" t="s">
        <v>43</v>
      </c>
      <c r="B32" s="35" t="s">
        <v>44</v>
      </c>
      <c r="C32" s="35" t="s">
        <v>41</v>
      </c>
      <c r="D32" s="35" t="s">
        <v>42</v>
      </c>
      <c r="E32" s="35" t="s">
        <v>148</v>
      </c>
      <c r="F32" s="35" t="s">
        <v>149</v>
      </c>
      <c r="G32" s="35" t="s">
        <v>398</v>
      </c>
      <c r="H32" s="35" t="s">
        <v>174</v>
      </c>
      <c r="I32" s="35"/>
      <c r="J32" s="35" t="s">
        <v>47</v>
      </c>
      <c r="K32" s="35" t="s">
        <v>297</v>
      </c>
      <c r="L32" s="35"/>
      <c r="M32" s="35">
        <v>5</v>
      </c>
      <c r="N32" s="35" t="s">
        <v>262</v>
      </c>
      <c r="O32" s="35" t="s">
        <v>263</v>
      </c>
      <c r="P32" s="35" t="s">
        <v>52</v>
      </c>
      <c r="Q32" s="35"/>
      <c r="R32" s="35" t="s">
        <v>124</v>
      </c>
      <c r="S32" s="35" t="s">
        <v>125</v>
      </c>
      <c r="T32" s="35">
        <v>0</v>
      </c>
      <c r="U32" s="35" t="s">
        <v>264</v>
      </c>
      <c r="V32" s="35">
        <v>0</v>
      </c>
      <c r="W32" s="35" t="s">
        <v>265</v>
      </c>
      <c r="X32" s="35">
        <v>51000</v>
      </c>
      <c r="Y32" s="35">
        <v>4.99</v>
      </c>
      <c r="Z32" s="38">
        <v>3882.1815000000001</v>
      </c>
      <c r="AA32" s="38">
        <v>3187.5</v>
      </c>
      <c r="AB32" s="35" t="s">
        <v>95</v>
      </c>
      <c r="AC32" s="38">
        <v>19126.64</v>
      </c>
      <c r="AD32" s="38">
        <v>19125</v>
      </c>
      <c r="AE32" s="38">
        <v>1.64</v>
      </c>
      <c r="AF32" s="38">
        <v>0</v>
      </c>
      <c r="AG32" s="38">
        <v>0</v>
      </c>
      <c r="AH32" s="38">
        <v>0</v>
      </c>
      <c r="AI32" s="38">
        <v>1.64</v>
      </c>
      <c r="AJ32" s="38">
        <v>3882</v>
      </c>
      <c r="AK32" s="35" t="s">
        <v>1823</v>
      </c>
      <c r="AL32" s="35" t="s">
        <v>423</v>
      </c>
      <c r="AM32" s="35" t="s">
        <v>347</v>
      </c>
      <c r="AN32" s="35" t="s">
        <v>2042</v>
      </c>
      <c r="AO32" s="35">
        <v>6</v>
      </c>
      <c r="AP32" s="35">
        <v>16</v>
      </c>
      <c r="AQ32" s="35" t="s">
        <v>442</v>
      </c>
      <c r="AR32" s="35" t="s">
        <v>443</v>
      </c>
      <c r="AS32" s="35" t="s">
        <v>444</v>
      </c>
      <c r="AT32" s="35" t="s">
        <v>445</v>
      </c>
      <c r="AU32" s="35"/>
      <c r="AV32" s="35" t="s">
        <v>446</v>
      </c>
      <c r="AW32" s="35" t="s">
        <v>447</v>
      </c>
      <c r="AX32" s="35" t="s">
        <v>274</v>
      </c>
      <c r="AY32" s="35" t="s">
        <v>271</v>
      </c>
      <c r="AZ32" s="35" t="s">
        <v>736</v>
      </c>
      <c r="BA32" s="35"/>
      <c r="BB32" s="35" t="s">
        <v>272</v>
      </c>
      <c r="BC32" s="35" t="s">
        <v>273</v>
      </c>
      <c r="BD32" s="35" t="s">
        <v>274</v>
      </c>
      <c r="BE32" s="35" t="s">
        <v>271</v>
      </c>
      <c r="BF32" s="35">
        <v>5100</v>
      </c>
      <c r="BG32" s="35"/>
      <c r="BH32" s="35">
        <v>0</v>
      </c>
      <c r="BI32" s="35">
        <v>0</v>
      </c>
      <c r="BJ32" s="35"/>
      <c r="BK32" s="35" t="s">
        <v>448</v>
      </c>
      <c r="BL32" s="35" t="s">
        <v>449</v>
      </c>
      <c r="BM32" s="35"/>
      <c r="BN32" s="35"/>
      <c r="BO32" s="35"/>
      <c r="BP32" s="35"/>
    </row>
    <row r="33" spans="1:68" x14ac:dyDescent="0.3">
      <c r="A33" s="35" t="s">
        <v>43</v>
      </c>
      <c r="B33" s="35" t="s">
        <v>44</v>
      </c>
      <c r="C33" s="35" t="s">
        <v>41</v>
      </c>
      <c r="D33" s="35" t="s">
        <v>42</v>
      </c>
      <c r="E33" s="35" t="s">
        <v>148</v>
      </c>
      <c r="F33" s="35" t="s">
        <v>149</v>
      </c>
      <c r="G33" s="35" t="s">
        <v>1006</v>
      </c>
      <c r="H33" s="35" t="s">
        <v>983</v>
      </c>
      <c r="I33" s="35"/>
      <c r="J33" s="35" t="s">
        <v>47</v>
      </c>
      <c r="K33" s="35" t="s">
        <v>47</v>
      </c>
      <c r="L33" s="35"/>
      <c r="M33" s="35">
        <v>5</v>
      </c>
      <c r="N33" s="35" t="s">
        <v>262</v>
      </c>
      <c r="O33" s="35" t="s">
        <v>263</v>
      </c>
      <c r="P33" s="35" t="s">
        <v>52</v>
      </c>
      <c r="Q33" s="35"/>
      <c r="R33" s="35" t="s">
        <v>168</v>
      </c>
      <c r="S33" s="35" t="s">
        <v>185</v>
      </c>
      <c r="T33" s="35">
        <v>0</v>
      </c>
      <c r="U33" s="35" t="s">
        <v>264</v>
      </c>
      <c r="V33" s="35">
        <v>0</v>
      </c>
      <c r="W33" s="35" t="s">
        <v>265</v>
      </c>
      <c r="X33" s="35">
        <v>120000</v>
      </c>
      <c r="Y33" s="35">
        <v>4.99</v>
      </c>
      <c r="Z33" s="38">
        <v>9120.08</v>
      </c>
      <c r="AA33" s="38">
        <v>7500</v>
      </c>
      <c r="AB33" s="35" t="s">
        <v>95</v>
      </c>
      <c r="AC33" s="38">
        <v>67500</v>
      </c>
      <c r="AD33" s="38">
        <v>67500</v>
      </c>
      <c r="AE33" s="38">
        <v>0</v>
      </c>
      <c r="AF33" s="38">
        <v>0</v>
      </c>
      <c r="AG33" s="38">
        <v>0</v>
      </c>
      <c r="AH33" s="38">
        <v>0</v>
      </c>
      <c r="AI33" s="38">
        <v>0</v>
      </c>
      <c r="AJ33" s="38">
        <v>9121</v>
      </c>
      <c r="AK33" s="35" t="s">
        <v>1899</v>
      </c>
      <c r="AL33" s="35" t="s">
        <v>854</v>
      </c>
      <c r="AM33" s="35" t="s">
        <v>991</v>
      </c>
      <c r="AN33" s="35" t="s">
        <v>2164</v>
      </c>
      <c r="AO33" s="35">
        <v>9</v>
      </c>
      <c r="AP33" s="35">
        <v>16</v>
      </c>
      <c r="AQ33" s="35" t="s">
        <v>1007</v>
      </c>
      <c r="AR33" s="35" t="s">
        <v>1008</v>
      </c>
      <c r="AS33" s="35" t="s">
        <v>1009</v>
      </c>
      <c r="AT33" s="35" t="s">
        <v>1010</v>
      </c>
      <c r="AU33" s="35"/>
      <c r="AV33" s="35" t="s">
        <v>522</v>
      </c>
      <c r="AW33" s="35" t="s">
        <v>523</v>
      </c>
      <c r="AX33" s="35" t="s">
        <v>274</v>
      </c>
      <c r="AY33" s="35" t="s">
        <v>271</v>
      </c>
      <c r="AZ33" s="35"/>
      <c r="BA33" s="35"/>
      <c r="BB33" s="35" t="s">
        <v>272</v>
      </c>
      <c r="BC33" s="35" t="s">
        <v>273</v>
      </c>
      <c r="BD33" s="35" t="s">
        <v>274</v>
      </c>
      <c r="BE33" s="35" t="s">
        <v>271</v>
      </c>
      <c r="BF33" s="35">
        <v>12000</v>
      </c>
      <c r="BG33" s="35"/>
      <c r="BH33" s="35">
        <v>0</v>
      </c>
      <c r="BI33" s="35">
        <v>0</v>
      </c>
      <c r="BJ33" s="35"/>
      <c r="BK33" s="35" t="s">
        <v>585</v>
      </c>
      <c r="BL33" s="35" t="s">
        <v>1011</v>
      </c>
      <c r="BM33" s="35"/>
      <c r="BN33" s="35"/>
      <c r="BO33" s="35"/>
      <c r="BP33" s="35"/>
    </row>
    <row r="34" spans="1:68" x14ac:dyDescent="0.3">
      <c r="A34" s="35" t="s">
        <v>43</v>
      </c>
      <c r="B34" s="35" t="s">
        <v>44</v>
      </c>
      <c r="C34" s="35" t="s">
        <v>41</v>
      </c>
      <c r="D34" s="35" t="s">
        <v>42</v>
      </c>
      <c r="E34" s="35" t="s">
        <v>148</v>
      </c>
      <c r="F34" s="35" t="s">
        <v>149</v>
      </c>
      <c r="G34" s="35" t="s">
        <v>152</v>
      </c>
      <c r="H34" s="35" t="s">
        <v>107</v>
      </c>
      <c r="I34" s="35"/>
      <c r="J34" s="35" t="s">
        <v>47</v>
      </c>
      <c r="K34" s="35" t="s">
        <v>297</v>
      </c>
      <c r="L34" s="35"/>
      <c r="M34" s="35">
        <v>5</v>
      </c>
      <c r="N34" s="35" t="s">
        <v>262</v>
      </c>
      <c r="O34" s="35" t="s">
        <v>263</v>
      </c>
      <c r="P34" s="35" t="s">
        <v>52</v>
      </c>
      <c r="Q34" s="35"/>
      <c r="R34" s="35" t="s">
        <v>126</v>
      </c>
      <c r="S34" s="35" t="s">
        <v>147</v>
      </c>
      <c r="T34" s="35">
        <v>0</v>
      </c>
      <c r="U34" s="35" t="s">
        <v>264</v>
      </c>
      <c r="V34" s="35">
        <v>0</v>
      </c>
      <c r="W34" s="35" t="s">
        <v>265</v>
      </c>
      <c r="X34" s="35">
        <v>143000</v>
      </c>
      <c r="Y34" s="35">
        <v>4.99</v>
      </c>
      <c r="Z34" s="38">
        <v>10868.0953333333</v>
      </c>
      <c r="AA34" s="38">
        <v>8937.5</v>
      </c>
      <c r="AB34" s="35" t="s">
        <v>95</v>
      </c>
      <c r="AC34" s="38">
        <v>44688.340000000004</v>
      </c>
      <c r="AD34" s="38">
        <v>44687.5</v>
      </c>
      <c r="AE34" s="38">
        <v>0.84</v>
      </c>
      <c r="AF34" s="38">
        <v>0.01</v>
      </c>
      <c r="AG34" s="38">
        <v>0</v>
      </c>
      <c r="AH34" s="38">
        <v>0</v>
      </c>
      <c r="AI34" s="38">
        <v>0.85</v>
      </c>
      <c r="AJ34" s="38">
        <v>10868</v>
      </c>
      <c r="AK34" s="35" t="s">
        <v>1925</v>
      </c>
      <c r="AL34" s="35" t="s">
        <v>266</v>
      </c>
      <c r="AM34" s="35" t="s">
        <v>277</v>
      </c>
      <c r="AN34" s="35" t="s">
        <v>1965</v>
      </c>
      <c r="AO34" s="35">
        <v>5</v>
      </c>
      <c r="AP34" s="35">
        <v>16</v>
      </c>
      <c r="AQ34" s="35" t="s">
        <v>298</v>
      </c>
      <c r="AR34" s="35" t="s">
        <v>299</v>
      </c>
      <c r="AS34" s="35" t="s">
        <v>300</v>
      </c>
      <c r="AT34" s="35" t="s">
        <v>301</v>
      </c>
      <c r="AU34" s="35"/>
      <c r="AV34" s="35" t="s">
        <v>302</v>
      </c>
      <c r="AW34" s="35" t="s">
        <v>303</v>
      </c>
      <c r="AX34" s="35" t="s">
        <v>274</v>
      </c>
      <c r="AY34" s="35" t="s">
        <v>271</v>
      </c>
      <c r="AZ34" s="35" t="s">
        <v>153</v>
      </c>
      <c r="BA34" s="35"/>
      <c r="BB34" s="35" t="s">
        <v>272</v>
      </c>
      <c r="BC34" s="35" t="s">
        <v>273</v>
      </c>
      <c r="BD34" s="35" t="s">
        <v>274</v>
      </c>
      <c r="BE34" s="35" t="s">
        <v>271</v>
      </c>
      <c r="BF34" s="35">
        <v>14300</v>
      </c>
      <c r="BG34" s="35"/>
      <c r="BH34" s="35">
        <v>1</v>
      </c>
      <c r="BI34" s="35">
        <v>1</v>
      </c>
      <c r="BJ34" s="35"/>
      <c r="BK34" s="35" t="s">
        <v>275</v>
      </c>
      <c r="BL34" s="35" t="s">
        <v>304</v>
      </c>
      <c r="BM34" s="35"/>
      <c r="BN34" s="35"/>
      <c r="BO34" s="35"/>
      <c r="BP34" s="35"/>
    </row>
    <row r="35" spans="1:68" x14ac:dyDescent="0.3">
      <c r="A35" s="35" t="s">
        <v>43</v>
      </c>
      <c r="B35" s="35" t="s">
        <v>44</v>
      </c>
      <c r="C35" s="35" t="s">
        <v>467</v>
      </c>
      <c r="D35" s="35" t="s">
        <v>424</v>
      </c>
      <c r="E35" s="35" t="s">
        <v>39</v>
      </c>
      <c r="F35" s="35" t="s">
        <v>40</v>
      </c>
      <c r="G35" s="35" t="s">
        <v>183</v>
      </c>
      <c r="H35" s="35" t="s">
        <v>162</v>
      </c>
      <c r="I35" s="35"/>
      <c r="J35" s="35" t="s">
        <v>47</v>
      </c>
      <c r="K35" s="35" t="s">
        <v>43</v>
      </c>
      <c r="L35" s="35"/>
      <c r="M35" s="35">
        <v>7</v>
      </c>
      <c r="N35" s="35" t="s">
        <v>262</v>
      </c>
      <c r="O35" s="35" t="s">
        <v>263</v>
      </c>
      <c r="P35" s="35" t="s">
        <v>52</v>
      </c>
      <c r="Q35" s="35"/>
      <c r="R35" s="35" t="s">
        <v>124</v>
      </c>
      <c r="S35" s="35" t="s">
        <v>185</v>
      </c>
      <c r="T35" s="35">
        <v>0</v>
      </c>
      <c r="U35" s="35" t="s">
        <v>264</v>
      </c>
      <c r="V35" s="35">
        <v>0</v>
      </c>
      <c r="W35" s="35" t="s">
        <v>265</v>
      </c>
      <c r="X35" s="35">
        <v>98000</v>
      </c>
      <c r="Y35" s="35">
        <v>4.99</v>
      </c>
      <c r="Z35" s="38">
        <v>7448.065333333333</v>
      </c>
      <c r="AA35" s="38">
        <v>6125</v>
      </c>
      <c r="AB35" s="35" t="s">
        <v>95</v>
      </c>
      <c r="AC35" s="38">
        <v>30625.49</v>
      </c>
      <c r="AD35" s="38">
        <v>30625</v>
      </c>
      <c r="AE35" s="38">
        <v>0.49</v>
      </c>
      <c r="AF35" s="38">
        <v>0</v>
      </c>
      <c r="AG35" s="38">
        <v>0</v>
      </c>
      <c r="AH35" s="38">
        <v>0</v>
      </c>
      <c r="AI35" s="38">
        <v>0.49</v>
      </c>
      <c r="AJ35" s="38">
        <v>7448.01</v>
      </c>
      <c r="AK35" s="35" t="s">
        <v>1843</v>
      </c>
      <c r="AL35" s="35" t="s">
        <v>305</v>
      </c>
      <c r="AM35" s="35" t="s">
        <v>306</v>
      </c>
      <c r="AN35" s="35" t="s">
        <v>2042</v>
      </c>
      <c r="AO35" s="35">
        <v>5</v>
      </c>
      <c r="AP35" s="35">
        <v>16</v>
      </c>
      <c r="AQ35" s="35" t="s">
        <v>307</v>
      </c>
      <c r="AR35" s="35" t="s">
        <v>308</v>
      </c>
      <c r="AS35" s="35" t="s">
        <v>309</v>
      </c>
      <c r="AT35" s="35" t="s">
        <v>310</v>
      </c>
      <c r="AU35" s="35"/>
      <c r="AV35" s="35" t="s">
        <v>311</v>
      </c>
      <c r="AW35" s="35" t="s">
        <v>312</v>
      </c>
      <c r="AX35" s="35" t="s">
        <v>313</v>
      </c>
      <c r="AY35" s="35" t="s">
        <v>271</v>
      </c>
      <c r="AZ35" s="35" t="s">
        <v>184</v>
      </c>
      <c r="BA35" s="35"/>
      <c r="BB35" s="35" t="s">
        <v>272</v>
      </c>
      <c r="BC35" s="35" t="s">
        <v>273</v>
      </c>
      <c r="BD35" s="35" t="s">
        <v>274</v>
      </c>
      <c r="BE35" s="35" t="s">
        <v>271</v>
      </c>
      <c r="BF35" s="35">
        <v>9800</v>
      </c>
      <c r="BG35" s="35"/>
      <c r="BH35" s="35">
        <v>0</v>
      </c>
      <c r="BI35" s="35">
        <v>0</v>
      </c>
      <c r="BJ35" s="35"/>
      <c r="BK35" s="35" t="s">
        <v>314</v>
      </c>
      <c r="BL35" s="35" t="s">
        <v>315</v>
      </c>
      <c r="BM35" s="35"/>
      <c r="BN35" s="35"/>
      <c r="BO35" s="35"/>
      <c r="BP35" s="35"/>
    </row>
    <row r="36" spans="1:68" x14ac:dyDescent="0.3">
      <c r="A36" s="35" t="s">
        <v>43</v>
      </c>
      <c r="B36" s="35" t="s">
        <v>44</v>
      </c>
      <c r="C36" s="35" t="s">
        <v>460</v>
      </c>
      <c r="D36" s="35" t="s">
        <v>396</v>
      </c>
      <c r="E36" s="35" t="s">
        <v>143</v>
      </c>
      <c r="F36" s="35" t="s">
        <v>144</v>
      </c>
      <c r="G36" s="35" t="s">
        <v>164</v>
      </c>
      <c r="H36" s="35" t="s">
        <v>828</v>
      </c>
      <c r="I36" s="35"/>
      <c r="J36" s="35" t="s">
        <v>47</v>
      </c>
      <c r="K36" s="35" t="s">
        <v>43</v>
      </c>
      <c r="L36" s="35"/>
      <c r="M36" s="35">
        <v>6</v>
      </c>
      <c r="N36" s="35" t="s">
        <v>262</v>
      </c>
      <c r="O36" s="35" t="s">
        <v>263</v>
      </c>
      <c r="P36" s="35" t="s">
        <v>52</v>
      </c>
      <c r="Q36" s="35"/>
      <c r="R36" s="35" t="s">
        <v>146</v>
      </c>
      <c r="S36" s="35" t="s">
        <v>886</v>
      </c>
      <c r="T36" s="35">
        <v>0</v>
      </c>
      <c r="U36" s="35" t="s">
        <v>264</v>
      </c>
      <c r="V36" s="35">
        <v>0</v>
      </c>
      <c r="W36" s="35" t="s">
        <v>265</v>
      </c>
      <c r="X36" s="35">
        <v>147000</v>
      </c>
      <c r="Y36" s="35">
        <v>4.99</v>
      </c>
      <c r="Z36" s="38">
        <v>11172.098</v>
      </c>
      <c r="AA36" s="38">
        <v>9187.5</v>
      </c>
      <c r="AB36" s="35" t="s">
        <v>95</v>
      </c>
      <c r="AC36" s="38">
        <v>82687.5</v>
      </c>
      <c r="AD36" s="38">
        <v>82687.5</v>
      </c>
      <c r="AE36" s="38">
        <v>0</v>
      </c>
      <c r="AF36" s="38">
        <v>0</v>
      </c>
      <c r="AG36" s="38">
        <v>0</v>
      </c>
      <c r="AH36" s="38">
        <v>0</v>
      </c>
      <c r="AI36" s="38">
        <v>0</v>
      </c>
      <c r="AJ36" s="38">
        <v>11178</v>
      </c>
      <c r="AK36" s="35" t="s">
        <v>1823</v>
      </c>
      <c r="AL36" s="35" t="s">
        <v>630</v>
      </c>
      <c r="AM36" s="35" t="s">
        <v>892</v>
      </c>
      <c r="AN36" s="35" t="s">
        <v>2004</v>
      </c>
      <c r="AO36" s="35">
        <v>9</v>
      </c>
      <c r="AP36" s="35">
        <v>16</v>
      </c>
      <c r="AQ36" s="35" t="s">
        <v>893</v>
      </c>
      <c r="AR36" s="35" t="s">
        <v>894</v>
      </c>
      <c r="AS36" s="35" t="s">
        <v>895</v>
      </c>
      <c r="AT36" s="35" t="s">
        <v>896</v>
      </c>
      <c r="AU36" s="35"/>
      <c r="AV36" s="35" t="s">
        <v>897</v>
      </c>
      <c r="AW36" s="35" t="s">
        <v>898</v>
      </c>
      <c r="AX36" s="35" t="s">
        <v>353</v>
      </c>
      <c r="AY36" s="35" t="s">
        <v>271</v>
      </c>
      <c r="AZ36" s="35" t="s">
        <v>885</v>
      </c>
      <c r="BA36" s="35"/>
      <c r="BB36" s="35" t="s">
        <v>272</v>
      </c>
      <c r="BC36" s="35" t="s">
        <v>273</v>
      </c>
      <c r="BD36" s="35" t="s">
        <v>274</v>
      </c>
      <c r="BE36" s="35" t="s">
        <v>271</v>
      </c>
      <c r="BF36" s="35">
        <v>14700</v>
      </c>
      <c r="BG36" s="35"/>
      <c r="BH36" s="35">
        <v>0</v>
      </c>
      <c r="BI36" s="35">
        <v>0</v>
      </c>
      <c r="BJ36" s="35"/>
      <c r="BK36" s="35" t="s">
        <v>585</v>
      </c>
      <c r="BL36" s="35" t="s">
        <v>899</v>
      </c>
      <c r="BM36" s="35"/>
      <c r="BN36" s="35"/>
      <c r="BO36" s="35"/>
      <c r="BP36" s="35"/>
    </row>
    <row r="37" spans="1:68" x14ac:dyDescent="0.3">
      <c r="A37" s="35" t="s">
        <v>49</v>
      </c>
      <c r="B37" s="35" t="s">
        <v>450</v>
      </c>
      <c r="C37" s="35" t="s">
        <v>451</v>
      </c>
      <c r="D37" s="35" t="s">
        <v>388</v>
      </c>
      <c r="E37" s="35" t="s">
        <v>170</v>
      </c>
      <c r="F37" s="35" t="s">
        <v>171</v>
      </c>
      <c r="G37" s="35" t="s">
        <v>595</v>
      </c>
      <c r="H37" s="35" t="s">
        <v>596</v>
      </c>
      <c r="I37" s="35"/>
      <c r="J37" s="35" t="s">
        <v>47</v>
      </c>
      <c r="K37" s="35" t="s">
        <v>43</v>
      </c>
      <c r="L37" s="35"/>
      <c r="M37" s="35">
        <v>8</v>
      </c>
      <c r="N37" s="35" t="s">
        <v>262</v>
      </c>
      <c r="O37" s="35" t="s">
        <v>263</v>
      </c>
      <c r="P37" s="35" t="s">
        <v>52</v>
      </c>
      <c r="Q37" s="35"/>
      <c r="R37" s="35" t="s">
        <v>124</v>
      </c>
      <c r="S37" s="35" t="s">
        <v>160</v>
      </c>
      <c r="T37" s="35">
        <v>0</v>
      </c>
      <c r="U37" s="35" t="s">
        <v>264</v>
      </c>
      <c r="V37" s="35">
        <v>0</v>
      </c>
      <c r="W37" s="35" t="s">
        <v>265</v>
      </c>
      <c r="X37" s="35">
        <v>120000</v>
      </c>
      <c r="Y37" s="35">
        <v>4.99</v>
      </c>
      <c r="Z37" s="38">
        <v>9120.08</v>
      </c>
      <c r="AA37" s="38">
        <v>7500</v>
      </c>
      <c r="AB37" s="35" t="s">
        <v>95</v>
      </c>
      <c r="AC37" s="38">
        <v>52500.72</v>
      </c>
      <c r="AD37" s="38">
        <v>52500</v>
      </c>
      <c r="AE37" s="38">
        <v>0.72</v>
      </c>
      <c r="AF37" s="38">
        <v>0</v>
      </c>
      <c r="AG37" s="38">
        <v>0</v>
      </c>
      <c r="AH37" s="38">
        <v>0</v>
      </c>
      <c r="AI37" s="38">
        <v>0.72</v>
      </c>
      <c r="AJ37" s="38">
        <v>9120</v>
      </c>
      <c r="AK37" s="35" t="s">
        <v>1843</v>
      </c>
      <c r="AL37" s="35" t="s">
        <v>348</v>
      </c>
      <c r="AM37" s="35" t="s">
        <v>613</v>
      </c>
      <c r="AN37" s="35" t="s">
        <v>2042</v>
      </c>
      <c r="AO37" s="35">
        <v>7</v>
      </c>
      <c r="AP37" s="35">
        <v>16</v>
      </c>
      <c r="AQ37" s="35" t="s">
        <v>621</v>
      </c>
      <c r="AR37" s="35" t="s">
        <v>622</v>
      </c>
      <c r="AS37" s="35" t="s">
        <v>623</v>
      </c>
      <c r="AT37" s="35" t="s">
        <v>624</v>
      </c>
      <c r="AU37" s="35"/>
      <c r="AV37" s="35" t="s">
        <v>625</v>
      </c>
      <c r="AW37" s="35" t="s">
        <v>626</v>
      </c>
      <c r="AX37" s="35" t="s">
        <v>627</v>
      </c>
      <c r="AY37" s="35" t="s">
        <v>338</v>
      </c>
      <c r="AZ37" s="35" t="s">
        <v>597</v>
      </c>
      <c r="BA37" s="35"/>
      <c r="BB37" s="35" t="s">
        <v>272</v>
      </c>
      <c r="BC37" s="35" t="s">
        <v>273</v>
      </c>
      <c r="BD37" s="35" t="s">
        <v>274</v>
      </c>
      <c r="BE37" s="35" t="s">
        <v>271</v>
      </c>
      <c r="BF37" s="35">
        <v>12000</v>
      </c>
      <c r="BG37" s="35"/>
      <c r="BH37" s="35">
        <v>0</v>
      </c>
      <c r="BI37" s="35">
        <v>0</v>
      </c>
      <c r="BJ37" s="35"/>
      <c r="BK37" s="35" t="s">
        <v>585</v>
      </c>
      <c r="BL37" s="35" t="s">
        <v>628</v>
      </c>
      <c r="BM37" s="35"/>
      <c r="BN37" s="35"/>
      <c r="BO37" s="35"/>
      <c r="BP37" s="35"/>
    </row>
    <row r="38" spans="1:68" x14ac:dyDescent="0.3">
      <c r="A38" s="35" t="s">
        <v>43</v>
      </c>
      <c r="B38" s="35" t="s">
        <v>44</v>
      </c>
      <c r="C38" s="35" t="s">
        <v>460</v>
      </c>
      <c r="D38" s="35" t="s">
        <v>396</v>
      </c>
      <c r="E38" s="35" t="s">
        <v>154</v>
      </c>
      <c r="F38" s="35" t="s">
        <v>155</v>
      </c>
      <c r="G38" s="35" t="s">
        <v>1102</v>
      </c>
      <c r="H38" s="35" t="s">
        <v>689</v>
      </c>
      <c r="I38" s="35"/>
      <c r="J38" s="35" t="s">
        <v>47</v>
      </c>
      <c r="K38" s="35" t="s">
        <v>43</v>
      </c>
      <c r="L38" s="35"/>
      <c r="M38" s="35">
        <v>7</v>
      </c>
      <c r="N38" s="35" t="s">
        <v>262</v>
      </c>
      <c r="O38" s="35" t="s">
        <v>263</v>
      </c>
      <c r="P38" s="35" t="s">
        <v>52</v>
      </c>
      <c r="Q38" s="35"/>
      <c r="R38" s="35" t="s">
        <v>124</v>
      </c>
      <c r="S38" s="35" t="s">
        <v>198</v>
      </c>
      <c r="T38" s="35">
        <v>0</v>
      </c>
      <c r="U38" s="35" t="s">
        <v>264</v>
      </c>
      <c r="V38" s="35">
        <v>0</v>
      </c>
      <c r="W38" s="35" t="s">
        <v>265</v>
      </c>
      <c r="X38" s="35">
        <v>69000</v>
      </c>
      <c r="Y38" s="35">
        <v>4.99</v>
      </c>
      <c r="Z38" s="38">
        <v>5244.0460000000003</v>
      </c>
      <c r="AA38" s="38">
        <v>4312.5</v>
      </c>
      <c r="AB38" s="35" t="s">
        <v>95</v>
      </c>
      <c r="AC38" s="38">
        <v>43125</v>
      </c>
      <c r="AD38" s="38">
        <v>43125</v>
      </c>
      <c r="AE38" s="38">
        <v>0</v>
      </c>
      <c r="AF38" s="38">
        <v>0</v>
      </c>
      <c r="AG38" s="38">
        <v>0</v>
      </c>
      <c r="AH38" s="38">
        <v>0</v>
      </c>
      <c r="AI38" s="38">
        <v>0</v>
      </c>
      <c r="AJ38" s="38">
        <v>5245</v>
      </c>
      <c r="AK38" s="35" t="s">
        <v>1843</v>
      </c>
      <c r="AL38" s="35" t="s">
        <v>891</v>
      </c>
      <c r="AM38" s="35" t="s">
        <v>1110</v>
      </c>
      <c r="AN38" s="35" t="s">
        <v>2042</v>
      </c>
      <c r="AO38" s="35">
        <v>10</v>
      </c>
      <c r="AP38" s="35">
        <v>16</v>
      </c>
      <c r="AQ38" s="35" t="s">
        <v>1111</v>
      </c>
      <c r="AR38" s="35" t="s">
        <v>1112</v>
      </c>
      <c r="AS38" s="35" t="s">
        <v>1113</v>
      </c>
      <c r="AT38" s="35" t="s">
        <v>1114</v>
      </c>
      <c r="AU38" s="35"/>
      <c r="AV38" s="35" t="s">
        <v>1115</v>
      </c>
      <c r="AW38" s="35" t="s">
        <v>1116</v>
      </c>
      <c r="AX38" s="35" t="s">
        <v>274</v>
      </c>
      <c r="AY38" s="35" t="s">
        <v>271</v>
      </c>
      <c r="AZ38" s="35" t="s">
        <v>1117</v>
      </c>
      <c r="BA38" s="35"/>
      <c r="BB38" s="35" t="s">
        <v>272</v>
      </c>
      <c r="BC38" s="35" t="s">
        <v>273</v>
      </c>
      <c r="BD38" s="35" t="s">
        <v>274</v>
      </c>
      <c r="BE38" s="35" t="s">
        <v>271</v>
      </c>
      <c r="BF38" s="35">
        <v>6900</v>
      </c>
      <c r="BG38" s="35"/>
      <c r="BH38" s="35">
        <v>0</v>
      </c>
      <c r="BI38" s="35">
        <v>0</v>
      </c>
      <c r="BJ38" s="35"/>
      <c r="BK38" s="35" t="s">
        <v>585</v>
      </c>
      <c r="BL38" s="35" t="s">
        <v>1118</v>
      </c>
      <c r="BM38" s="35"/>
      <c r="BN38" s="35"/>
      <c r="BO38" s="35"/>
      <c r="BP38" s="35"/>
    </row>
    <row r="39" spans="1:68" x14ac:dyDescent="0.3">
      <c r="A39" s="35" t="s">
        <v>43</v>
      </c>
      <c r="B39" s="35" t="s">
        <v>44</v>
      </c>
      <c r="C39" s="35" t="s">
        <v>41</v>
      </c>
      <c r="D39" s="35" t="s">
        <v>42</v>
      </c>
      <c r="E39" s="35" t="s">
        <v>148</v>
      </c>
      <c r="F39" s="35" t="s">
        <v>149</v>
      </c>
      <c r="G39" s="35" t="s">
        <v>491</v>
      </c>
      <c r="H39" s="35" t="s">
        <v>436</v>
      </c>
      <c r="I39" s="35"/>
      <c r="J39" s="35" t="s">
        <v>47</v>
      </c>
      <c r="K39" s="35" t="s">
        <v>297</v>
      </c>
      <c r="L39" s="35"/>
      <c r="M39" s="35">
        <v>6</v>
      </c>
      <c r="N39" s="35" t="s">
        <v>262</v>
      </c>
      <c r="O39" s="35" t="s">
        <v>263</v>
      </c>
      <c r="P39" s="35" t="s">
        <v>52</v>
      </c>
      <c r="Q39" s="35"/>
      <c r="R39" s="35" t="s">
        <v>168</v>
      </c>
      <c r="S39" s="35" t="s">
        <v>185</v>
      </c>
      <c r="T39" s="35">
        <v>0</v>
      </c>
      <c r="U39" s="35" t="s">
        <v>264</v>
      </c>
      <c r="V39" s="35">
        <v>1</v>
      </c>
      <c r="W39" s="35" t="s">
        <v>265</v>
      </c>
      <c r="X39" s="35">
        <v>167000</v>
      </c>
      <c r="Y39" s="35">
        <v>4.99</v>
      </c>
      <c r="Z39" s="38">
        <v>12692.111333333301</v>
      </c>
      <c r="AA39" s="38">
        <v>10437.5</v>
      </c>
      <c r="AB39" s="35" t="s">
        <v>95</v>
      </c>
      <c r="AC39" s="38">
        <v>73062.5</v>
      </c>
      <c r="AD39" s="38">
        <v>62625</v>
      </c>
      <c r="AE39" s="38">
        <v>10437.5</v>
      </c>
      <c r="AF39" s="38">
        <v>2223.61</v>
      </c>
      <c r="AG39" s="38">
        <v>0</v>
      </c>
      <c r="AH39" s="38">
        <v>0</v>
      </c>
      <c r="AI39" s="38">
        <v>12661.11</v>
      </c>
      <c r="AJ39" s="38">
        <v>12693</v>
      </c>
      <c r="AK39" s="35" t="s">
        <v>1925</v>
      </c>
      <c r="AL39" s="35" t="s">
        <v>356</v>
      </c>
      <c r="AM39" s="35" t="s">
        <v>517</v>
      </c>
      <c r="AN39" s="35" t="s">
        <v>2164</v>
      </c>
      <c r="AO39" s="35">
        <v>6</v>
      </c>
      <c r="AP39" s="35">
        <v>16</v>
      </c>
      <c r="AQ39" s="35" t="s">
        <v>518</v>
      </c>
      <c r="AR39" s="35" t="s">
        <v>519</v>
      </c>
      <c r="AS39" s="35" t="s">
        <v>520</v>
      </c>
      <c r="AT39" s="35" t="s">
        <v>521</v>
      </c>
      <c r="AU39" s="35"/>
      <c r="AV39" s="35" t="s">
        <v>522</v>
      </c>
      <c r="AW39" s="35" t="s">
        <v>523</v>
      </c>
      <c r="AX39" s="35" t="s">
        <v>274</v>
      </c>
      <c r="AY39" s="35" t="s">
        <v>271</v>
      </c>
      <c r="AZ39" s="35" t="s">
        <v>738</v>
      </c>
      <c r="BA39" s="35"/>
      <c r="BB39" s="35" t="s">
        <v>272</v>
      </c>
      <c r="BC39" s="35" t="s">
        <v>273</v>
      </c>
      <c r="BD39" s="35" t="s">
        <v>274</v>
      </c>
      <c r="BE39" s="35" t="s">
        <v>271</v>
      </c>
      <c r="BF39" s="35">
        <v>16700</v>
      </c>
      <c r="BG39" s="35"/>
      <c r="BH39" s="35">
        <v>1</v>
      </c>
      <c r="BI39" s="35">
        <v>1</v>
      </c>
      <c r="BJ39" s="35"/>
      <c r="BK39" s="35" t="s">
        <v>524</v>
      </c>
      <c r="BL39" s="35" t="s">
        <v>525</v>
      </c>
      <c r="BM39" s="35"/>
      <c r="BN39" s="35"/>
      <c r="BO39" s="35"/>
      <c r="BP39" s="35"/>
    </row>
    <row r="40" spans="1:68" x14ac:dyDescent="0.3">
      <c r="A40" s="35" t="s">
        <v>43</v>
      </c>
      <c r="B40" s="35" t="s">
        <v>44</v>
      </c>
      <c r="C40" s="35" t="s">
        <v>460</v>
      </c>
      <c r="D40" s="35" t="s">
        <v>396</v>
      </c>
      <c r="E40" s="35" t="s">
        <v>154</v>
      </c>
      <c r="F40" s="35" t="s">
        <v>155</v>
      </c>
      <c r="G40" s="35" t="s">
        <v>1403</v>
      </c>
      <c r="H40" s="35" t="s">
        <v>1359</v>
      </c>
      <c r="I40" s="35"/>
      <c r="J40" s="35" t="s">
        <v>47</v>
      </c>
      <c r="K40" s="35" t="s">
        <v>43</v>
      </c>
      <c r="L40" s="35"/>
      <c r="M40" s="35">
        <v>6</v>
      </c>
      <c r="N40" s="35" t="s">
        <v>262</v>
      </c>
      <c r="O40" s="35" t="s">
        <v>263</v>
      </c>
      <c r="P40" s="35" t="s">
        <v>52</v>
      </c>
      <c r="Q40" s="35"/>
      <c r="R40" s="35" t="s">
        <v>146</v>
      </c>
      <c r="S40" s="35" t="s">
        <v>198</v>
      </c>
      <c r="T40" s="35">
        <v>0</v>
      </c>
      <c r="U40" s="35" t="s">
        <v>264</v>
      </c>
      <c r="V40" s="35">
        <v>0</v>
      </c>
      <c r="W40" s="35" t="s">
        <v>265</v>
      </c>
      <c r="X40" s="35">
        <v>76000</v>
      </c>
      <c r="Y40" s="35">
        <v>4.99</v>
      </c>
      <c r="Z40" s="38">
        <v>5776.0506666666661</v>
      </c>
      <c r="AA40" s="38">
        <v>4750</v>
      </c>
      <c r="AB40" s="35" t="s">
        <v>95</v>
      </c>
      <c r="AC40" s="38">
        <v>57000</v>
      </c>
      <c r="AD40" s="38">
        <v>57000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5782</v>
      </c>
      <c r="AK40" s="35" t="s">
        <v>1823</v>
      </c>
      <c r="AL40" s="35" t="s">
        <v>1180</v>
      </c>
      <c r="AM40" s="35" t="s">
        <v>1387</v>
      </c>
      <c r="AN40" s="35" t="s">
        <v>2004</v>
      </c>
      <c r="AO40" s="35">
        <v>12</v>
      </c>
      <c r="AP40" s="35">
        <v>16</v>
      </c>
      <c r="AQ40" s="35" t="s">
        <v>1404</v>
      </c>
      <c r="AR40" s="35" t="s">
        <v>1405</v>
      </c>
      <c r="AS40" s="35" t="s">
        <v>1406</v>
      </c>
      <c r="AT40" s="35" t="s">
        <v>1407</v>
      </c>
      <c r="AU40" s="35"/>
      <c r="AV40" s="35" t="s">
        <v>1408</v>
      </c>
      <c r="AW40" s="35" t="s">
        <v>377</v>
      </c>
      <c r="AX40" s="35" t="s">
        <v>274</v>
      </c>
      <c r="AY40" s="35" t="s">
        <v>271</v>
      </c>
      <c r="AZ40" s="35" t="s">
        <v>1409</v>
      </c>
      <c r="BA40" s="35"/>
      <c r="BB40" s="35" t="s">
        <v>272</v>
      </c>
      <c r="BC40" s="35" t="s">
        <v>273</v>
      </c>
      <c r="BD40" s="35" t="s">
        <v>274</v>
      </c>
      <c r="BE40" s="35" t="s">
        <v>271</v>
      </c>
      <c r="BF40" s="35">
        <v>7600</v>
      </c>
      <c r="BG40" s="35"/>
      <c r="BH40" s="35">
        <v>0</v>
      </c>
      <c r="BI40" s="35">
        <v>0</v>
      </c>
      <c r="BJ40" s="35"/>
      <c r="BK40" s="35" t="s">
        <v>585</v>
      </c>
      <c r="BL40" s="35" t="s">
        <v>1410</v>
      </c>
      <c r="BM40" s="35"/>
      <c r="BN40" s="35"/>
      <c r="BO40" s="35"/>
      <c r="BP40" s="35"/>
    </row>
    <row r="41" spans="1:68" x14ac:dyDescent="0.3">
      <c r="A41" s="35" t="s">
        <v>43</v>
      </c>
      <c r="B41" s="35" t="s">
        <v>44</v>
      </c>
      <c r="C41" s="35" t="s">
        <v>460</v>
      </c>
      <c r="D41" s="35" t="s">
        <v>396</v>
      </c>
      <c r="E41" s="35" t="s">
        <v>154</v>
      </c>
      <c r="F41" s="35" t="s">
        <v>155</v>
      </c>
      <c r="G41" s="35" t="s">
        <v>1531</v>
      </c>
      <c r="H41" s="35" t="s">
        <v>1515</v>
      </c>
      <c r="I41" s="35"/>
      <c r="J41" s="35" t="s">
        <v>47</v>
      </c>
      <c r="K41" s="35" t="s">
        <v>43</v>
      </c>
      <c r="L41" s="35"/>
      <c r="M41" s="35">
        <v>5</v>
      </c>
      <c r="N41" s="35" t="s">
        <v>262</v>
      </c>
      <c r="O41" s="35" t="s">
        <v>263</v>
      </c>
      <c r="P41" s="35" t="s">
        <v>52</v>
      </c>
      <c r="Q41" s="35"/>
      <c r="R41" s="35" t="s">
        <v>146</v>
      </c>
      <c r="S41" s="35" t="s">
        <v>1178</v>
      </c>
      <c r="T41" s="35">
        <v>0</v>
      </c>
      <c r="U41" s="35" t="s">
        <v>264</v>
      </c>
      <c r="V41" s="35">
        <v>0</v>
      </c>
      <c r="W41" s="35" t="s">
        <v>265</v>
      </c>
      <c r="X41" s="35">
        <v>107000</v>
      </c>
      <c r="Y41" s="35">
        <v>4.99</v>
      </c>
      <c r="Z41" s="38">
        <v>8132.0713333333333</v>
      </c>
      <c r="AA41" s="38">
        <v>6687.5</v>
      </c>
      <c r="AB41" s="35" t="s">
        <v>95</v>
      </c>
      <c r="AC41" s="38">
        <v>86937.5</v>
      </c>
      <c r="AD41" s="38">
        <v>86937.5</v>
      </c>
      <c r="AE41" s="38">
        <v>0</v>
      </c>
      <c r="AF41" s="38">
        <v>0</v>
      </c>
      <c r="AG41" s="38">
        <v>0</v>
      </c>
      <c r="AH41" s="38">
        <v>0</v>
      </c>
      <c r="AI41" s="38">
        <v>0</v>
      </c>
      <c r="AJ41" s="38">
        <v>8137</v>
      </c>
      <c r="AK41" s="35" t="s">
        <v>1823</v>
      </c>
      <c r="AL41" s="35" t="s">
        <v>1385</v>
      </c>
      <c r="AM41" s="35" t="s">
        <v>1543</v>
      </c>
      <c r="AN41" s="35" t="s">
        <v>2004</v>
      </c>
      <c r="AO41" s="35">
        <v>13</v>
      </c>
      <c r="AP41" s="35">
        <v>16</v>
      </c>
      <c r="AQ41" s="35" t="s">
        <v>1544</v>
      </c>
      <c r="AR41" s="35" t="s">
        <v>1545</v>
      </c>
      <c r="AS41" s="35" t="s">
        <v>1546</v>
      </c>
      <c r="AT41" s="35" t="s">
        <v>1547</v>
      </c>
      <c r="AU41" s="35"/>
      <c r="AV41" s="35" t="s">
        <v>320</v>
      </c>
      <c r="AW41" s="35" t="s">
        <v>321</v>
      </c>
      <c r="AX41" s="35" t="s">
        <v>322</v>
      </c>
      <c r="AY41" s="35" t="s">
        <v>271</v>
      </c>
      <c r="AZ41" s="35" t="s">
        <v>1548</v>
      </c>
      <c r="BA41" s="35"/>
      <c r="BB41" s="35" t="s">
        <v>272</v>
      </c>
      <c r="BC41" s="35" t="s">
        <v>273</v>
      </c>
      <c r="BD41" s="35" t="s">
        <v>274</v>
      </c>
      <c r="BE41" s="35" t="s">
        <v>271</v>
      </c>
      <c r="BF41" s="35">
        <v>10700</v>
      </c>
      <c r="BG41" s="35"/>
      <c r="BH41" s="35">
        <v>0</v>
      </c>
      <c r="BI41" s="35">
        <v>0</v>
      </c>
      <c r="BJ41" s="35"/>
      <c r="BK41" s="35" t="s">
        <v>585</v>
      </c>
      <c r="BL41" s="35" t="s">
        <v>1549</v>
      </c>
      <c r="BM41" s="35"/>
      <c r="BN41" s="35"/>
      <c r="BO41" s="35"/>
      <c r="BP41" s="35"/>
    </row>
    <row r="42" spans="1:68" x14ac:dyDescent="0.3">
      <c r="A42" s="35" t="s">
        <v>49</v>
      </c>
      <c r="B42" s="35" t="s">
        <v>450</v>
      </c>
      <c r="C42" s="35" t="s">
        <v>451</v>
      </c>
      <c r="D42" s="35" t="s">
        <v>388</v>
      </c>
      <c r="E42" s="35" t="s">
        <v>188</v>
      </c>
      <c r="F42" s="35" t="s">
        <v>190</v>
      </c>
      <c r="G42" s="35" t="s">
        <v>929</v>
      </c>
      <c r="H42" s="35" t="s">
        <v>930</v>
      </c>
      <c r="I42" s="35"/>
      <c r="J42" s="35" t="s">
        <v>47</v>
      </c>
      <c r="K42" s="35" t="s">
        <v>43</v>
      </c>
      <c r="L42" s="35"/>
      <c r="M42" s="35">
        <v>6</v>
      </c>
      <c r="N42" s="35" t="s">
        <v>262</v>
      </c>
      <c r="O42" s="35" t="s">
        <v>263</v>
      </c>
      <c r="P42" s="35" t="s">
        <v>52</v>
      </c>
      <c r="Q42" s="35"/>
      <c r="R42" s="35" t="s">
        <v>197</v>
      </c>
      <c r="S42" s="35" t="s">
        <v>198</v>
      </c>
      <c r="T42" s="35">
        <v>0</v>
      </c>
      <c r="U42" s="35" t="s">
        <v>264</v>
      </c>
      <c r="V42" s="35">
        <v>0</v>
      </c>
      <c r="W42" s="35" t="s">
        <v>265</v>
      </c>
      <c r="X42" s="35">
        <v>101000</v>
      </c>
      <c r="Y42" s="35">
        <v>4.99</v>
      </c>
      <c r="Z42" s="38">
        <v>7676.0673333333334</v>
      </c>
      <c r="AA42" s="38">
        <v>6312.5</v>
      </c>
      <c r="AB42" s="35" t="s">
        <v>95</v>
      </c>
      <c r="AC42" s="38">
        <v>56812.5</v>
      </c>
      <c r="AD42" s="38">
        <v>56812.5</v>
      </c>
      <c r="AE42" s="38">
        <v>0</v>
      </c>
      <c r="AF42" s="38">
        <v>0</v>
      </c>
      <c r="AG42" s="38">
        <v>0</v>
      </c>
      <c r="AH42" s="38">
        <v>0</v>
      </c>
      <c r="AI42" s="38">
        <v>0</v>
      </c>
      <c r="AJ42" s="38">
        <v>7767</v>
      </c>
      <c r="AK42" s="35" t="s">
        <v>1884</v>
      </c>
      <c r="AL42" s="35" t="s">
        <v>832</v>
      </c>
      <c r="AM42" s="35" t="s">
        <v>948</v>
      </c>
      <c r="AN42" s="35" t="s">
        <v>2014</v>
      </c>
      <c r="AO42" s="35">
        <v>9</v>
      </c>
      <c r="AP42" s="35">
        <v>16</v>
      </c>
      <c r="AQ42" s="35" t="s">
        <v>949</v>
      </c>
      <c r="AR42" s="35" t="s">
        <v>950</v>
      </c>
      <c r="AS42" s="35" t="s">
        <v>951</v>
      </c>
      <c r="AT42" s="35" t="s">
        <v>952</v>
      </c>
      <c r="AU42" s="35"/>
      <c r="AV42" s="35" t="s">
        <v>953</v>
      </c>
      <c r="AW42" s="35" t="s">
        <v>954</v>
      </c>
      <c r="AX42" s="35" t="s">
        <v>338</v>
      </c>
      <c r="AY42" s="35" t="s">
        <v>338</v>
      </c>
      <c r="AZ42" s="35" t="s">
        <v>931</v>
      </c>
      <c r="BA42" s="35"/>
      <c r="BB42" s="35" t="s">
        <v>272</v>
      </c>
      <c r="BC42" s="35" t="s">
        <v>273</v>
      </c>
      <c r="BD42" s="35" t="s">
        <v>274</v>
      </c>
      <c r="BE42" s="35" t="s">
        <v>271</v>
      </c>
      <c r="BF42" s="35">
        <v>10100</v>
      </c>
      <c r="BG42" s="35"/>
      <c r="BH42" s="35">
        <v>0</v>
      </c>
      <c r="BI42" s="35">
        <v>0</v>
      </c>
      <c r="BJ42" s="35"/>
      <c r="BK42" s="35" t="s">
        <v>585</v>
      </c>
      <c r="BL42" s="35" t="s">
        <v>955</v>
      </c>
      <c r="BM42" s="35"/>
      <c r="BN42" s="35"/>
      <c r="BO42" s="35"/>
      <c r="BP42" s="35"/>
    </row>
    <row r="43" spans="1:68" x14ac:dyDescent="0.3">
      <c r="A43" s="35" t="s">
        <v>43</v>
      </c>
      <c r="B43" s="35" t="s">
        <v>44</v>
      </c>
      <c r="C43" s="35" t="s">
        <v>460</v>
      </c>
      <c r="D43" s="35" t="s">
        <v>396</v>
      </c>
      <c r="E43" s="35" t="s">
        <v>154</v>
      </c>
      <c r="F43" s="35" t="s">
        <v>155</v>
      </c>
      <c r="G43" s="35" t="s">
        <v>148</v>
      </c>
      <c r="H43" s="35" t="s">
        <v>831</v>
      </c>
      <c r="I43" s="35"/>
      <c r="J43" s="35" t="s">
        <v>47</v>
      </c>
      <c r="K43" s="35" t="s">
        <v>43</v>
      </c>
      <c r="L43" s="35"/>
      <c r="M43" s="35">
        <v>6</v>
      </c>
      <c r="N43" s="35" t="s">
        <v>262</v>
      </c>
      <c r="O43" s="35" t="s">
        <v>263</v>
      </c>
      <c r="P43" s="35" t="s">
        <v>52</v>
      </c>
      <c r="Q43" s="35"/>
      <c r="R43" s="35" t="s">
        <v>168</v>
      </c>
      <c r="S43" s="35" t="s">
        <v>198</v>
      </c>
      <c r="T43" s="35">
        <v>0</v>
      </c>
      <c r="U43" s="35" t="s">
        <v>264</v>
      </c>
      <c r="V43" s="35">
        <v>0</v>
      </c>
      <c r="W43" s="35" t="s">
        <v>265</v>
      </c>
      <c r="X43" s="35">
        <v>85000</v>
      </c>
      <c r="Y43" s="35">
        <v>4.99</v>
      </c>
      <c r="Z43" s="38">
        <v>6460.0566666666655</v>
      </c>
      <c r="AA43" s="38">
        <v>5312.5</v>
      </c>
      <c r="AB43" s="35" t="s">
        <v>95</v>
      </c>
      <c r="AC43" s="38">
        <v>42500</v>
      </c>
      <c r="AD43" s="38">
        <v>42500</v>
      </c>
      <c r="AE43" s="38">
        <v>0</v>
      </c>
      <c r="AF43" s="38">
        <v>0</v>
      </c>
      <c r="AG43" s="38">
        <v>0</v>
      </c>
      <c r="AH43" s="38">
        <v>0</v>
      </c>
      <c r="AI43" s="38">
        <v>0</v>
      </c>
      <c r="AJ43" s="38">
        <v>6465</v>
      </c>
      <c r="AK43" s="35" t="s">
        <v>1899</v>
      </c>
      <c r="AL43" s="35" t="s">
        <v>737</v>
      </c>
      <c r="AM43" s="35" t="s">
        <v>855</v>
      </c>
      <c r="AN43" s="35" t="s">
        <v>2164</v>
      </c>
      <c r="AO43" s="35">
        <v>8</v>
      </c>
      <c r="AP43" s="35">
        <v>16</v>
      </c>
      <c r="AQ43" s="35" t="s">
        <v>856</v>
      </c>
      <c r="AR43" s="35" t="s">
        <v>857</v>
      </c>
      <c r="AS43" s="35" t="s">
        <v>858</v>
      </c>
      <c r="AT43" s="35" t="s">
        <v>859</v>
      </c>
      <c r="AU43" s="35"/>
      <c r="AV43" s="35" t="s">
        <v>860</v>
      </c>
      <c r="AW43" s="35" t="s">
        <v>861</v>
      </c>
      <c r="AX43" s="35" t="s">
        <v>322</v>
      </c>
      <c r="AY43" s="35" t="s">
        <v>271</v>
      </c>
      <c r="AZ43" s="35" t="s">
        <v>849</v>
      </c>
      <c r="BA43" s="35"/>
      <c r="BB43" s="35" t="s">
        <v>272</v>
      </c>
      <c r="BC43" s="35" t="s">
        <v>273</v>
      </c>
      <c r="BD43" s="35" t="s">
        <v>274</v>
      </c>
      <c r="BE43" s="35" t="s">
        <v>271</v>
      </c>
      <c r="BF43" s="35">
        <v>8500</v>
      </c>
      <c r="BG43" s="35"/>
      <c r="BH43" s="35">
        <v>0</v>
      </c>
      <c r="BI43" s="35">
        <v>0</v>
      </c>
      <c r="BJ43" s="35"/>
      <c r="BK43" s="35" t="s">
        <v>585</v>
      </c>
      <c r="BL43" s="35" t="s">
        <v>862</v>
      </c>
      <c r="BM43" s="35"/>
      <c r="BN43" s="35"/>
      <c r="BO43" s="35"/>
      <c r="BP43" s="35"/>
    </row>
    <row r="44" spans="1:68" x14ac:dyDescent="0.3">
      <c r="A44" s="35" t="s">
        <v>43</v>
      </c>
      <c r="B44" s="35" t="s">
        <v>44</v>
      </c>
      <c r="C44" s="35" t="s">
        <v>460</v>
      </c>
      <c r="D44" s="35" t="s">
        <v>396</v>
      </c>
      <c r="E44" s="35" t="s">
        <v>143</v>
      </c>
      <c r="F44" s="35" t="s">
        <v>144</v>
      </c>
      <c r="G44" s="35" t="s">
        <v>1593</v>
      </c>
      <c r="H44" s="35" t="s">
        <v>1594</v>
      </c>
      <c r="I44" s="35"/>
      <c r="J44" s="35" t="s">
        <v>47</v>
      </c>
      <c r="K44" s="35" t="s">
        <v>43</v>
      </c>
      <c r="L44" s="35"/>
      <c r="M44" s="35">
        <v>6</v>
      </c>
      <c r="N44" s="35" t="s">
        <v>262</v>
      </c>
      <c r="O44" s="35" t="s">
        <v>263</v>
      </c>
      <c r="P44" s="35" t="s">
        <v>52</v>
      </c>
      <c r="Q44" s="35"/>
      <c r="R44" s="35" t="s">
        <v>197</v>
      </c>
      <c r="S44" s="35" t="s">
        <v>198</v>
      </c>
      <c r="T44" s="35">
        <v>0</v>
      </c>
      <c r="U44" s="35" t="s">
        <v>264</v>
      </c>
      <c r="V44" s="35">
        <v>0</v>
      </c>
      <c r="W44" s="35" t="s">
        <v>265</v>
      </c>
      <c r="X44" s="35">
        <v>50000</v>
      </c>
      <c r="Y44" s="35">
        <v>4.99</v>
      </c>
      <c r="Z44" s="38">
        <v>3800.0333333333328</v>
      </c>
      <c r="AA44" s="38">
        <v>3125</v>
      </c>
      <c r="AB44" s="35" t="s">
        <v>95</v>
      </c>
      <c r="AC44" s="38">
        <v>40625</v>
      </c>
      <c r="AD44" s="38">
        <v>40625</v>
      </c>
      <c r="AE44" s="38">
        <v>0</v>
      </c>
      <c r="AF44" s="38">
        <v>0</v>
      </c>
      <c r="AG44" s="38">
        <v>0</v>
      </c>
      <c r="AH44" s="38">
        <v>0</v>
      </c>
      <c r="AI44" s="38">
        <v>0</v>
      </c>
      <c r="AJ44" s="38">
        <v>3801</v>
      </c>
      <c r="AK44" s="35" t="s">
        <v>1843</v>
      </c>
      <c r="AL44" s="35" t="s">
        <v>1479</v>
      </c>
      <c r="AM44" s="35" t="s">
        <v>1582</v>
      </c>
      <c r="AN44" s="35" t="s">
        <v>2014</v>
      </c>
      <c r="AO44" s="35">
        <v>13</v>
      </c>
      <c r="AP44" s="35">
        <v>16</v>
      </c>
      <c r="AQ44" s="35" t="s">
        <v>1610</v>
      </c>
      <c r="AR44" s="35" t="s">
        <v>1611</v>
      </c>
      <c r="AS44" s="35" t="s">
        <v>1612</v>
      </c>
      <c r="AT44" s="35" t="s">
        <v>1595</v>
      </c>
      <c r="AU44" s="35"/>
      <c r="AV44" s="35" t="s">
        <v>1613</v>
      </c>
      <c r="AW44" s="35" t="s">
        <v>1614</v>
      </c>
      <c r="AX44" s="35" t="s">
        <v>385</v>
      </c>
      <c r="AY44" s="35" t="s">
        <v>271</v>
      </c>
      <c r="AZ44" s="35" t="s">
        <v>1595</v>
      </c>
      <c r="BA44" s="35"/>
      <c r="BB44" s="35" t="s">
        <v>272</v>
      </c>
      <c r="BC44" s="35" t="s">
        <v>273</v>
      </c>
      <c r="BD44" s="35" t="s">
        <v>274</v>
      </c>
      <c r="BE44" s="35" t="s">
        <v>271</v>
      </c>
      <c r="BF44" s="35">
        <v>5000</v>
      </c>
      <c r="BG44" s="35"/>
      <c r="BH44" s="35">
        <v>0</v>
      </c>
      <c r="BI44" s="35">
        <v>0</v>
      </c>
      <c r="BJ44" s="35"/>
      <c r="BK44" s="35" t="s">
        <v>585</v>
      </c>
      <c r="BL44" s="35" t="s">
        <v>1615</v>
      </c>
      <c r="BM44" s="35"/>
      <c r="BN44" s="35"/>
      <c r="BO44" s="35"/>
      <c r="BP44" s="35"/>
    </row>
    <row r="45" spans="1:68" x14ac:dyDescent="0.3">
      <c r="A45" s="35" t="s">
        <v>43</v>
      </c>
      <c r="B45" s="35" t="s">
        <v>44</v>
      </c>
      <c r="C45" s="35" t="s">
        <v>467</v>
      </c>
      <c r="D45" s="35" t="s">
        <v>424</v>
      </c>
      <c r="E45" s="35" t="s">
        <v>39</v>
      </c>
      <c r="F45" s="35" t="s">
        <v>40</v>
      </c>
      <c r="G45" s="35" t="s">
        <v>1695</v>
      </c>
      <c r="H45" s="35" t="s">
        <v>1696</v>
      </c>
      <c r="I45" s="35"/>
      <c r="J45" s="35" t="s">
        <v>47</v>
      </c>
      <c r="K45" s="35" t="s">
        <v>43</v>
      </c>
      <c r="L45" s="35"/>
      <c r="M45" s="35">
        <v>8</v>
      </c>
      <c r="N45" s="35" t="s">
        <v>262</v>
      </c>
      <c r="O45" s="35" t="s">
        <v>263</v>
      </c>
      <c r="P45" s="35" t="s">
        <v>52</v>
      </c>
      <c r="Q45" s="35"/>
      <c r="R45" s="35" t="s">
        <v>124</v>
      </c>
      <c r="S45" s="35" t="s">
        <v>125</v>
      </c>
      <c r="T45" s="35">
        <v>0</v>
      </c>
      <c r="U45" s="35" t="s">
        <v>264</v>
      </c>
      <c r="V45" s="35">
        <v>0</v>
      </c>
      <c r="W45" s="35" t="s">
        <v>265</v>
      </c>
      <c r="X45" s="35">
        <v>150000</v>
      </c>
      <c r="Y45" s="35">
        <v>4.99</v>
      </c>
      <c r="Z45" s="38">
        <v>11400.1</v>
      </c>
      <c r="AA45" s="38">
        <v>9375</v>
      </c>
      <c r="AB45" s="35" t="s">
        <v>95</v>
      </c>
      <c r="AC45" s="38">
        <v>131250</v>
      </c>
      <c r="AD45" s="38">
        <v>131250</v>
      </c>
      <c r="AE45" s="38">
        <v>0</v>
      </c>
      <c r="AF45" s="38">
        <v>0</v>
      </c>
      <c r="AG45" s="38">
        <v>0</v>
      </c>
      <c r="AH45" s="38">
        <v>0</v>
      </c>
      <c r="AI45" s="38">
        <v>0</v>
      </c>
      <c r="AJ45" s="38">
        <v>11400.1</v>
      </c>
      <c r="AK45" s="35" t="s">
        <v>1843</v>
      </c>
      <c r="AL45" s="35" t="s">
        <v>1566</v>
      </c>
      <c r="AM45" s="35" t="s">
        <v>1700</v>
      </c>
      <c r="AN45" s="35" t="s">
        <v>2042</v>
      </c>
      <c r="AO45" s="35">
        <v>14</v>
      </c>
      <c r="AP45" s="35">
        <v>16</v>
      </c>
      <c r="AQ45" s="35" t="s">
        <v>842</v>
      </c>
      <c r="AR45" s="35" t="s">
        <v>1308</v>
      </c>
      <c r="AS45" s="35" t="s">
        <v>842</v>
      </c>
      <c r="AT45" s="35" t="s">
        <v>1738</v>
      </c>
      <c r="AU45" s="35"/>
      <c r="AV45" s="35" t="s">
        <v>1739</v>
      </c>
      <c r="AW45" s="35" t="s">
        <v>1740</v>
      </c>
      <c r="AX45" s="35" t="s">
        <v>285</v>
      </c>
      <c r="AY45" s="35" t="s">
        <v>271</v>
      </c>
      <c r="AZ45" s="35" t="s">
        <v>1697</v>
      </c>
      <c r="BA45" s="35"/>
      <c r="BB45" s="35" t="s">
        <v>272</v>
      </c>
      <c r="BC45" s="35" t="s">
        <v>273</v>
      </c>
      <c r="BD45" s="35" t="s">
        <v>274</v>
      </c>
      <c r="BE45" s="35" t="s">
        <v>271</v>
      </c>
      <c r="BF45" s="35">
        <v>15000</v>
      </c>
      <c r="BG45" s="35"/>
      <c r="BH45" s="35">
        <v>0</v>
      </c>
      <c r="BI45" s="35">
        <v>0</v>
      </c>
      <c r="BJ45" s="35"/>
      <c r="BK45" s="35" t="s">
        <v>585</v>
      </c>
      <c r="BL45" s="35" t="s">
        <v>1741</v>
      </c>
      <c r="BM45" s="35"/>
      <c r="BN45" s="35"/>
      <c r="BO45" s="35"/>
      <c r="BP45" s="35"/>
    </row>
    <row r="46" spans="1:68" x14ac:dyDescent="0.3">
      <c r="A46" s="35" t="s">
        <v>49</v>
      </c>
      <c r="B46" s="35" t="s">
        <v>450</v>
      </c>
      <c r="C46" s="35" t="s">
        <v>451</v>
      </c>
      <c r="D46" s="35" t="s">
        <v>388</v>
      </c>
      <c r="E46" s="35" t="s">
        <v>170</v>
      </c>
      <c r="F46" s="35" t="s">
        <v>171</v>
      </c>
      <c r="G46" s="35" t="s">
        <v>1449</v>
      </c>
      <c r="H46" s="35" t="s">
        <v>1383</v>
      </c>
      <c r="I46" s="35"/>
      <c r="J46" s="35" t="s">
        <v>47</v>
      </c>
      <c r="K46" s="35" t="s">
        <v>43</v>
      </c>
      <c r="L46" s="35"/>
      <c r="M46" s="35">
        <v>5</v>
      </c>
      <c r="N46" s="35" t="s">
        <v>262</v>
      </c>
      <c r="O46" s="35" t="s">
        <v>263</v>
      </c>
      <c r="P46" s="35" t="s">
        <v>52</v>
      </c>
      <c r="Q46" s="35"/>
      <c r="R46" s="35" t="s">
        <v>124</v>
      </c>
      <c r="S46" s="35" t="s">
        <v>198</v>
      </c>
      <c r="T46" s="35">
        <v>0</v>
      </c>
      <c r="U46" s="35" t="s">
        <v>264</v>
      </c>
      <c r="V46" s="35">
        <v>0</v>
      </c>
      <c r="W46" s="35" t="s">
        <v>265</v>
      </c>
      <c r="X46" s="35">
        <v>40000</v>
      </c>
      <c r="Y46" s="35">
        <v>4.99</v>
      </c>
      <c r="Z46" s="38">
        <v>3040.0266666666662</v>
      </c>
      <c r="AA46" s="38">
        <v>2500</v>
      </c>
      <c r="AB46" s="35" t="s">
        <v>95</v>
      </c>
      <c r="AC46" s="38">
        <v>30000.100000000002</v>
      </c>
      <c r="AD46" s="38">
        <v>30000</v>
      </c>
      <c r="AE46" s="38">
        <v>0.1</v>
      </c>
      <c r="AF46" s="38">
        <v>0.01</v>
      </c>
      <c r="AG46" s="38">
        <v>0</v>
      </c>
      <c r="AH46" s="38">
        <v>0</v>
      </c>
      <c r="AI46" s="38">
        <v>0.11</v>
      </c>
      <c r="AJ46" s="38">
        <v>3040</v>
      </c>
      <c r="AK46" s="35" t="s">
        <v>1843</v>
      </c>
      <c r="AL46" s="35" t="s">
        <v>1213</v>
      </c>
      <c r="AM46" s="35" t="s">
        <v>1450</v>
      </c>
      <c r="AN46" s="35" t="s">
        <v>2042</v>
      </c>
      <c r="AO46" s="35">
        <v>12</v>
      </c>
      <c r="AP46" s="35">
        <v>16</v>
      </c>
      <c r="AQ46" s="35" t="s">
        <v>1451</v>
      </c>
      <c r="AR46" s="35" t="s">
        <v>1452</v>
      </c>
      <c r="AS46" s="35" t="s">
        <v>1453</v>
      </c>
      <c r="AT46" s="35" t="s">
        <v>1454</v>
      </c>
      <c r="AU46" s="35"/>
      <c r="AV46" s="35" t="s">
        <v>1455</v>
      </c>
      <c r="AW46" s="35" t="s">
        <v>1456</v>
      </c>
      <c r="AX46" s="35" t="s">
        <v>1289</v>
      </c>
      <c r="AY46" s="35" t="s">
        <v>338</v>
      </c>
      <c r="AZ46" s="35" t="s">
        <v>1457</v>
      </c>
      <c r="BA46" s="35"/>
      <c r="BB46" s="35" t="s">
        <v>272</v>
      </c>
      <c r="BC46" s="35" t="s">
        <v>273</v>
      </c>
      <c r="BD46" s="35" t="s">
        <v>274</v>
      </c>
      <c r="BE46" s="35" t="s">
        <v>271</v>
      </c>
      <c r="BF46" s="35">
        <v>4000</v>
      </c>
      <c r="BG46" s="35"/>
      <c r="BH46" s="35">
        <v>0</v>
      </c>
      <c r="BI46" s="35">
        <v>0</v>
      </c>
      <c r="BJ46" s="35"/>
      <c r="BK46" s="35" t="s">
        <v>585</v>
      </c>
      <c r="BL46" s="35" t="s">
        <v>1458</v>
      </c>
      <c r="BM46" s="35"/>
      <c r="BN46" s="35"/>
      <c r="BO46" s="35"/>
      <c r="BP46" s="35"/>
    </row>
    <row r="47" spans="1:68" x14ac:dyDescent="0.3">
      <c r="A47" s="35" t="s">
        <v>49</v>
      </c>
      <c r="B47" s="35" t="s">
        <v>450</v>
      </c>
      <c r="C47" s="35" t="s">
        <v>451</v>
      </c>
      <c r="D47" s="35" t="s">
        <v>388</v>
      </c>
      <c r="E47" s="35" t="s">
        <v>487</v>
      </c>
      <c r="F47" s="35" t="s">
        <v>488</v>
      </c>
      <c r="G47" s="35" t="s">
        <v>1565</v>
      </c>
      <c r="H47" s="35" t="s">
        <v>1528</v>
      </c>
      <c r="I47" s="35"/>
      <c r="J47" s="35" t="s">
        <v>47</v>
      </c>
      <c r="K47" s="35" t="s">
        <v>43</v>
      </c>
      <c r="L47" s="35"/>
      <c r="M47" s="35">
        <v>7</v>
      </c>
      <c r="N47" s="35" t="s">
        <v>262</v>
      </c>
      <c r="O47" s="35" t="s">
        <v>263</v>
      </c>
      <c r="P47" s="35" t="s">
        <v>52</v>
      </c>
      <c r="Q47" s="35"/>
      <c r="R47" s="35" t="s">
        <v>124</v>
      </c>
      <c r="S47" s="35" t="s">
        <v>160</v>
      </c>
      <c r="T47" s="35">
        <v>0</v>
      </c>
      <c r="U47" s="35" t="s">
        <v>264</v>
      </c>
      <c r="V47" s="35">
        <v>0</v>
      </c>
      <c r="W47" s="35" t="s">
        <v>265</v>
      </c>
      <c r="X47" s="35">
        <v>75000</v>
      </c>
      <c r="Y47" s="35">
        <v>4.99</v>
      </c>
      <c r="Z47" s="38">
        <v>5700.05</v>
      </c>
      <c r="AA47" s="38">
        <v>4687.5</v>
      </c>
      <c r="AB47" s="35" t="s">
        <v>95</v>
      </c>
      <c r="AC47" s="38">
        <v>60937.65</v>
      </c>
      <c r="AD47" s="38">
        <v>60937.5</v>
      </c>
      <c r="AE47" s="38">
        <v>0.15</v>
      </c>
      <c r="AF47" s="38">
        <v>0</v>
      </c>
      <c r="AG47" s="38">
        <v>0</v>
      </c>
      <c r="AH47" s="38">
        <v>0</v>
      </c>
      <c r="AI47" s="38">
        <v>0.15</v>
      </c>
      <c r="AJ47" s="38">
        <v>5700</v>
      </c>
      <c r="AK47" s="35" t="s">
        <v>1843</v>
      </c>
      <c r="AL47" s="35" t="s">
        <v>1448</v>
      </c>
      <c r="AM47" s="35" t="s">
        <v>1567</v>
      </c>
      <c r="AN47" s="35" t="s">
        <v>2042</v>
      </c>
      <c r="AO47" s="35">
        <v>13</v>
      </c>
      <c r="AP47" s="35">
        <v>16</v>
      </c>
      <c r="AQ47" s="35" t="s">
        <v>1230</v>
      </c>
      <c r="AR47" s="35" t="s">
        <v>1230</v>
      </c>
      <c r="AS47" s="35" t="s">
        <v>1252</v>
      </c>
      <c r="AT47" s="35" t="s">
        <v>1568</v>
      </c>
      <c r="AU47" s="35"/>
      <c r="AV47" s="35" t="s">
        <v>638</v>
      </c>
      <c r="AW47" s="35" t="s">
        <v>639</v>
      </c>
      <c r="AX47" s="35" t="s">
        <v>274</v>
      </c>
      <c r="AY47" s="35" t="s">
        <v>271</v>
      </c>
      <c r="AZ47" s="35" t="s">
        <v>1569</v>
      </c>
      <c r="BA47" s="35"/>
      <c r="BB47" s="35" t="s">
        <v>272</v>
      </c>
      <c r="BC47" s="35" t="s">
        <v>273</v>
      </c>
      <c r="BD47" s="35" t="s">
        <v>274</v>
      </c>
      <c r="BE47" s="35" t="s">
        <v>271</v>
      </c>
      <c r="BF47" s="35">
        <v>7500</v>
      </c>
      <c r="BG47" s="35"/>
      <c r="BH47" s="35">
        <v>0</v>
      </c>
      <c r="BI47" s="35">
        <v>0</v>
      </c>
      <c r="BJ47" s="35"/>
      <c r="BK47" s="35" t="s">
        <v>585</v>
      </c>
      <c r="BL47" s="35" t="s">
        <v>1570</v>
      </c>
      <c r="BM47" s="35"/>
      <c r="BN47" s="35"/>
      <c r="BO47" s="35"/>
      <c r="BP47" s="35"/>
    </row>
    <row r="48" spans="1:68" x14ac:dyDescent="0.3">
      <c r="A48" s="35" t="s">
        <v>43</v>
      </c>
      <c r="B48" s="35" t="s">
        <v>44</v>
      </c>
      <c r="C48" s="35" t="s">
        <v>460</v>
      </c>
      <c r="D48" s="35" t="s">
        <v>396</v>
      </c>
      <c r="E48" s="35" t="s">
        <v>501</v>
      </c>
      <c r="F48" s="35" t="s">
        <v>502</v>
      </c>
      <c r="G48" s="35" t="s">
        <v>1571</v>
      </c>
      <c r="H48" s="35" t="s">
        <v>1517</v>
      </c>
      <c r="I48" s="35"/>
      <c r="J48" s="35" t="s">
        <v>47</v>
      </c>
      <c r="K48" s="35" t="s">
        <v>43</v>
      </c>
      <c r="L48" s="35"/>
      <c r="M48" s="35">
        <v>10</v>
      </c>
      <c r="N48" s="35" t="s">
        <v>262</v>
      </c>
      <c r="O48" s="35" t="s">
        <v>263</v>
      </c>
      <c r="P48" s="35" t="s">
        <v>52</v>
      </c>
      <c r="Q48" s="35"/>
      <c r="R48" s="35" t="s">
        <v>124</v>
      </c>
      <c r="S48" s="35" t="s">
        <v>160</v>
      </c>
      <c r="T48" s="35">
        <v>0</v>
      </c>
      <c r="U48" s="35" t="s">
        <v>264</v>
      </c>
      <c r="V48" s="35">
        <v>0</v>
      </c>
      <c r="W48" s="35" t="s">
        <v>265</v>
      </c>
      <c r="X48" s="35">
        <v>150000</v>
      </c>
      <c r="Y48" s="35">
        <v>4.99</v>
      </c>
      <c r="Z48" s="38">
        <v>11400.1</v>
      </c>
      <c r="AA48" s="38">
        <v>9375</v>
      </c>
      <c r="AB48" s="35" t="s">
        <v>95</v>
      </c>
      <c r="AC48" s="38">
        <v>121875</v>
      </c>
      <c r="AD48" s="38">
        <v>121875</v>
      </c>
      <c r="AE48" s="38">
        <v>0</v>
      </c>
      <c r="AF48" s="38">
        <v>0</v>
      </c>
      <c r="AG48" s="38">
        <v>0</v>
      </c>
      <c r="AH48" s="38">
        <v>0</v>
      </c>
      <c r="AI48" s="38">
        <v>0</v>
      </c>
      <c r="AJ48" s="38">
        <v>11410</v>
      </c>
      <c r="AK48" s="35" t="s">
        <v>1843</v>
      </c>
      <c r="AL48" s="35" t="s">
        <v>1448</v>
      </c>
      <c r="AM48" s="35" t="s">
        <v>1567</v>
      </c>
      <c r="AN48" s="35" t="s">
        <v>2042</v>
      </c>
      <c r="AO48" s="35">
        <v>13</v>
      </c>
      <c r="AP48" s="35">
        <v>16</v>
      </c>
      <c r="AQ48" s="35" t="s">
        <v>1577</v>
      </c>
      <c r="AR48" s="35" t="s">
        <v>1578</v>
      </c>
      <c r="AS48" s="35" t="s">
        <v>1579</v>
      </c>
      <c r="AT48" s="35" t="s">
        <v>1580</v>
      </c>
      <c r="AU48" s="35"/>
      <c r="AV48" s="35" t="s">
        <v>1219</v>
      </c>
      <c r="AW48" s="35" t="s">
        <v>1220</v>
      </c>
      <c r="AX48" s="35" t="s">
        <v>322</v>
      </c>
      <c r="AY48" s="35" t="s">
        <v>271</v>
      </c>
      <c r="AZ48" s="35" t="s">
        <v>1572</v>
      </c>
      <c r="BA48" s="35"/>
      <c r="BB48" s="35" t="s">
        <v>272</v>
      </c>
      <c r="BC48" s="35" t="s">
        <v>273</v>
      </c>
      <c r="BD48" s="35" t="s">
        <v>274</v>
      </c>
      <c r="BE48" s="35" t="s">
        <v>271</v>
      </c>
      <c r="BF48" s="35">
        <v>15000</v>
      </c>
      <c r="BG48" s="35"/>
      <c r="BH48" s="35">
        <v>0</v>
      </c>
      <c r="BI48" s="35">
        <v>0</v>
      </c>
      <c r="BJ48" s="35"/>
      <c r="BK48" s="35" t="s">
        <v>585</v>
      </c>
      <c r="BL48" s="35" t="s">
        <v>1581</v>
      </c>
      <c r="BM48" s="35"/>
      <c r="BN48" s="35"/>
      <c r="BO48" s="35"/>
      <c r="BP48" s="35"/>
    </row>
    <row r="49" spans="1:68" x14ac:dyDescent="0.3">
      <c r="A49" s="35" t="s">
        <v>43</v>
      </c>
      <c r="B49" s="35" t="s">
        <v>44</v>
      </c>
      <c r="C49" s="35" t="s">
        <v>460</v>
      </c>
      <c r="D49" s="35" t="s">
        <v>396</v>
      </c>
      <c r="E49" s="35" t="s">
        <v>154</v>
      </c>
      <c r="F49" s="35" t="s">
        <v>155</v>
      </c>
      <c r="G49" s="35" t="s">
        <v>1687</v>
      </c>
      <c r="H49" s="35" t="s">
        <v>1596</v>
      </c>
      <c r="I49" s="35"/>
      <c r="J49" s="35" t="s">
        <v>47</v>
      </c>
      <c r="K49" s="35" t="s">
        <v>43</v>
      </c>
      <c r="L49" s="35"/>
      <c r="M49" s="35">
        <v>6</v>
      </c>
      <c r="N49" s="35" t="s">
        <v>262</v>
      </c>
      <c r="O49" s="35" t="s">
        <v>263</v>
      </c>
      <c r="P49" s="35" t="s">
        <v>52</v>
      </c>
      <c r="Q49" s="35"/>
      <c r="R49" s="35" t="s">
        <v>124</v>
      </c>
      <c r="S49" s="35" t="s">
        <v>200</v>
      </c>
      <c r="T49" s="35">
        <v>0</v>
      </c>
      <c r="U49" s="35" t="s">
        <v>264</v>
      </c>
      <c r="V49" s="35">
        <v>0</v>
      </c>
      <c r="W49" s="35" t="s">
        <v>265</v>
      </c>
      <c r="X49" s="35">
        <v>68000</v>
      </c>
      <c r="Y49" s="35">
        <v>4.99</v>
      </c>
      <c r="Z49" s="38">
        <v>5168.0453333333335</v>
      </c>
      <c r="AA49" s="38">
        <v>4250</v>
      </c>
      <c r="AB49" s="35" t="s">
        <v>95</v>
      </c>
      <c r="AC49" s="38">
        <v>59500</v>
      </c>
      <c r="AD49" s="38">
        <v>59500</v>
      </c>
      <c r="AE49" s="38">
        <v>0</v>
      </c>
      <c r="AF49" s="38">
        <v>0</v>
      </c>
      <c r="AG49" s="38">
        <v>0</v>
      </c>
      <c r="AH49" s="38">
        <v>0</v>
      </c>
      <c r="AI49" s="38">
        <v>0</v>
      </c>
      <c r="AJ49" s="38">
        <v>5173</v>
      </c>
      <c r="AK49" s="35" t="s">
        <v>1843</v>
      </c>
      <c r="AL49" s="35" t="s">
        <v>1566</v>
      </c>
      <c r="AM49" s="35" t="s">
        <v>1700</v>
      </c>
      <c r="AN49" s="35" t="s">
        <v>2042</v>
      </c>
      <c r="AO49" s="35">
        <v>14</v>
      </c>
      <c r="AP49" s="35">
        <v>16</v>
      </c>
      <c r="AQ49" s="35" t="s">
        <v>1701</v>
      </c>
      <c r="AR49" s="35" t="s">
        <v>1702</v>
      </c>
      <c r="AS49" s="35" t="s">
        <v>1703</v>
      </c>
      <c r="AT49" s="35" t="s">
        <v>1704</v>
      </c>
      <c r="AU49" s="35"/>
      <c r="AV49" s="35" t="s">
        <v>272</v>
      </c>
      <c r="AW49" s="35" t="s">
        <v>273</v>
      </c>
      <c r="AX49" s="35" t="s">
        <v>274</v>
      </c>
      <c r="AY49" s="35" t="s">
        <v>271</v>
      </c>
      <c r="AZ49" s="35" t="s">
        <v>1694</v>
      </c>
      <c r="BA49" s="35"/>
      <c r="BB49" s="35" t="s">
        <v>272</v>
      </c>
      <c r="BC49" s="35" t="s">
        <v>273</v>
      </c>
      <c r="BD49" s="35" t="s">
        <v>274</v>
      </c>
      <c r="BE49" s="35" t="s">
        <v>271</v>
      </c>
      <c r="BF49" s="35">
        <v>6800</v>
      </c>
      <c r="BG49" s="35"/>
      <c r="BH49" s="35">
        <v>0</v>
      </c>
      <c r="BI49" s="35">
        <v>0</v>
      </c>
      <c r="BJ49" s="35"/>
      <c r="BK49" s="35" t="s">
        <v>585</v>
      </c>
      <c r="BL49" s="35" t="s">
        <v>1705</v>
      </c>
      <c r="BM49" s="35"/>
      <c r="BN49" s="35"/>
      <c r="BO49" s="35"/>
      <c r="BP49" s="35"/>
    </row>
    <row r="50" spans="1:68" x14ac:dyDescent="0.3">
      <c r="A50" s="35" t="s">
        <v>43</v>
      </c>
      <c r="B50" s="35" t="s">
        <v>44</v>
      </c>
      <c r="C50" s="35" t="s">
        <v>460</v>
      </c>
      <c r="D50" s="35" t="s">
        <v>396</v>
      </c>
      <c r="E50" s="35" t="s">
        <v>164</v>
      </c>
      <c r="F50" s="35" t="s">
        <v>165</v>
      </c>
      <c r="G50" s="35" t="s">
        <v>39</v>
      </c>
      <c r="H50" s="35" t="s">
        <v>812</v>
      </c>
      <c r="I50" s="35"/>
      <c r="J50" s="35" t="s">
        <v>47</v>
      </c>
      <c r="K50" s="35" t="s">
        <v>43</v>
      </c>
      <c r="L50" s="35"/>
      <c r="M50" s="35">
        <v>6</v>
      </c>
      <c r="N50" s="35" t="s">
        <v>262</v>
      </c>
      <c r="O50" s="35" t="s">
        <v>263</v>
      </c>
      <c r="P50" s="35" t="s">
        <v>52</v>
      </c>
      <c r="Q50" s="35"/>
      <c r="R50" s="35" t="s">
        <v>126</v>
      </c>
      <c r="S50" s="35" t="s">
        <v>198</v>
      </c>
      <c r="T50" s="35">
        <v>0</v>
      </c>
      <c r="U50" s="35" t="s">
        <v>264</v>
      </c>
      <c r="V50" s="35">
        <v>0</v>
      </c>
      <c r="W50" s="35" t="s">
        <v>265</v>
      </c>
      <c r="X50" s="35">
        <v>70000</v>
      </c>
      <c r="Y50" s="35">
        <v>4.99</v>
      </c>
      <c r="Z50" s="38">
        <v>5320.0466666666662</v>
      </c>
      <c r="AA50" s="38">
        <v>4375</v>
      </c>
      <c r="AB50" s="35" t="s">
        <v>95</v>
      </c>
      <c r="AC50" s="38">
        <v>35000</v>
      </c>
      <c r="AD50" s="38">
        <v>35000</v>
      </c>
      <c r="AE50" s="38">
        <v>0</v>
      </c>
      <c r="AF50" s="38">
        <v>0</v>
      </c>
      <c r="AG50" s="38">
        <v>0</v>
      </c>
      <c r="AH50" s="38">
        <v>0</v>
      </c>
      <c r="AI50" s="38">
        <v>0</v>
      </c>
      <c r="AJ50" s="38">
        <v>5326</v>
      </c>
      <c r="AK50" s="35" t="s">
        <v>1899</v>
      </c>
      <c r="AL50" s="35" t="s">
        <v>805</v>
      </c>
      <c r="AM50" s="35" t="s">
        <v>900</v>
      </c>
      <c r="AN50" s="35" t="s">
        <v>1965</v>
      </c>
      <c r="AO50" s="35">
        <v>9</v>
      </c>
      <c r="AP50" s="35">
        <v>16</v>
      </c>
      <c r="AQ50" s="35" t="s">
        <v>901</v>
      </c>
      <c r="AR50" s="35" t="s">
        <v>902</v>
      </c>
      <c r="AS50" s="35" t="s">
        <v>903</v>
      </c>
      <c r="AT50" s="35" t="s">
        <v>904</v>
      </c>
      <c r="AU50" s="35"/>
      <c r="AV50" s="35" t="s">
        <v>905</v>
      </c>
      <c r="AW50" s="35" t="s">
        <v>906</v>
      </c>
      <c r="AX50" s="35" t="s">
        <v>353</v>
      </c>
      <c r="AY50" s="35" t="s">
        <v>271</v>
      </c>
      <c r="AZ50" s="35" t="s">
        <v>889</v>
      </c>
      <c r="BA50" s="35"/>
      <c r="BB50" s="35" t="s">
        <v>272</v>
      </c>
      <c r="BC50" s="35" t="s">
        <v>273</v>
      </c>
      <c r="BD50" s="35" t="s">
        <v>274</v>
      </c>
      <c r="BE50" s="35" t="s">
        <v>271</v>
      </c>
      <c r="BF50" s="35">
        <v>7000</v>
      </c>
      <c r="BG50" s="35"/>
      <c r="BH50" s="35">
        <v>0</v>
      </c>
      <c r="BI50" s="35">
        <v>0</v>
      </c>
      <c r="BJ50" s="35"/>
      <c r="BK50" s="35" t="s">
        <v>585</v>
      </c>
      <c r="BL50" s="35" t="s">
        <v>907</v>
      </c>
      <c r="BM50" s="35"/>
      <c r="BN50" s="35"/>
      <c r="BO50" s="35"/>
      <c r="BP50" s="35"/>
    </row>
    <row r="51" spans="1:68" x14ac:dyDescent="0.3">
      <c r="A51" s="35" t="s">
        <v>43</v>
      </c>
      <c r="B51" s="35" t="s">
        <v>44</v>
      </c>
      <c r="C51" s="35" t="s">
        <v>460</v>
      </c>
      <c r="D51" s="35" t="s">
        <v>396</v>
      </c>
      <c r="E51" s="35" t="s">
        <v>501</v>
      </c>
      <c r="F51" s="35" t="s">
        <v>502</v>
      </c>
      <c r="G51" s="35" t="s">
        <v>1956</v>
      </c>
      <c r="H51" s="35" t="s">
        <v>1957</v>
      </c>
      <c r="I51" s="35"/>
      <c r="J51" s="35" t="s">
        <v>47</v>
      </c>
      <c r="K51" s="35" t="s">
        <v>43</v>
      </c>
      <c r="L51" s="35"/>
      <c r="M51" s="35">
        <v>6</v>
      </c>
      <c r="N51" s="35" t="s">
        <v>262</v>
      </c>
      <c r="O51" s="35" t="s">
        <v>263</v>
      </c>
      <c r="P51" s="35" t="s">
        <v>52</v>
      </c>
      <c r="Q51" s="35"/>
      <c r="R51" s="35" t="s">
        <v>197</v>
      </c>
      <c r="S51" s="35" t="s">
        <v>125</v>
      </c>
      <c r="T51" s="35">
        <v>0</v>
      </c>
      <c r="U51" s="35" t="s">
        <v>264</v>
      </c>
      <c r="V51" s="35">
        <v>0</v>
      </c>
      <c r="W51" s="35" t="s">
        <v>265</v>
      </c>
      <c r="X51" s="35">
        <v>70000</v>
      </c>
      <c r="Y51" s="35">
        <v>4.99</v>
      </c>
      <c r="Z51" s="38">
        <v>5320.0466666666662</v>
      </c>
      <c r="AA51" s="38">
        <v>4375</v>
      </c>
      <c r="AB51" s="35" t="s">
        <v>95</v>
      </c>
      <c r="AC51" s="38">
        <v>65625</v>
      </c>
      <c r="AD51" s="38">
        <v>65625</v>
      </c>
      <c r="AE51" s="38">
        <v>0</v>
      </c>
      <c r="AF51" s="38">
        <v>0</v>
      </c>
      <c r="AG51" s="38">
        <v>0</v>
      </c>
      <c r="AH51" s="38">
        <v>0</v>
      </c>
      <c r="AI51" s="38">
        <v>0</v>
      </c>
      <c r="AJ51" s="38">
        <v>5326</v>
      </c>
      <c r="AK51" s="35" t="s">
        <v>1884</v>
      </c>
      <c r="AL51" s="35" t="s">
        <v>1737</v>
      </c>
      <c r="AM51" s="35" t="s">
        <v>1900</v>
      </c>
      <c r="AN51" s="35" t="s">
        <v>2014</v>
      </c>
      <c r="AO51" s="35">
        <v>15</v>
      </c>
      <c r="AP51" s="35">
        <v>16</v>
      </c>
      <c r="AQ51" s="35" t="s">
        <v>1968</v>
      </c>
      <c r="AR51" s="35" t="s">
        <v>1969</v>
      </c>
      <c r="AS51" s="35" t="s">
        <v>1970</v>
      </c>
      <c r="AT51" s="35" t="s">
        <v>1971</v>
      </c>
      <c r="AU51" s="35"/>
      <c r="AV51" s="35" t="s">
        <v>1972</v>
      </c>
      <c r="AW51" s="35" t="s">
        <v>1973</v>
      </c>
      <c r="AX51" s="35" t="s">
        <v>704</v>
      </c>
      <c r="AY51" s="35" t="s">
        <v>271</v>
      </c>
      <c r="AZ51" s="35" t="s">
        <v>1302</v>
      </c>
      <c r="BA51" s="35"/>
      <c r="BB51" s="35" t="s">
        <v>272</v>
      </c>
      <c r="BC51" s="35" t="s">
        <v>273</v>
      </c>
      <c r="BD51" s="35" t="s">
        <v>274</v>
      </c>
      <c r="BE51" s="35" t="s">
        <v>271</v>
      </c>
      <c r="BF51" s="35">
        <v>7000</v>
      </c>
      <c r="BG51" s="35"/>
      <c r="BH51" s="35">
        <v>0</v>
      </c>
      <c r="BI51" s="35">
        <v>0</v>
      </c>
      <c r="BJ51" s="35"/>
      <c r="BK51" s="35" t="s">
        <v>585</v>
      </c>
      <c r="BL51" s="35" t="s">
        <v>1974</v>
      </c>
      <c r="BM51" s="35"/>
      <c r="BN51" s="35"/>
      <c r="BO51" s="35"/>
      <c r="BP51" s="35"/>
    </row>
    <row r="52" spans="1:68" x14ac:dyDescent="0.3">
      <c r="A52" s="35" t="s">
        <v>43</v>
      </c>
      <c r="B52" s="35" t="s">
        <v>44</v>
      </c>
      <c r="C52" s="35" t="s">
        <v>467</v>
      </c>
      <c r="D52" s="35" t="s">
        <v>424</v>
      </c>
      <c r="E52" s="35" t="s">
        <v>189</v>
      </c>
      <c r="F52" s="35" t="s">
        <v>191</v>
      </c>
      <c r="G52" s="35" t="s">
        <v>193</v>
      </c>
      <c r="H52" s="35" t="s">
        <v>180</v>
      </c>
      <c r="I52" s="35"/>
      <c r="J52" s="35" t="s">
        <v>47</v>
      </c>
      <c r="K52" s="35" t="s">
        <v>43</v>
      </c>
      <c r="L52" s="35"/>
      <c r="M52" s="35">
        <v>5</v>
      </c>
      <c r="N52" s="35" t="s">
        <v>262</v>
      </c>
      <c r="O52" s="35" t="s">
        <v>263</v>
      </c>
      <c r="P52" s="35" t="s">
        <v>52</v>
      </c>
      <c r="Q52" s="35"/>
      <c r="R52" s="35" t="s">
        <v>197</v>
      </c>
      <c r="S52" s="35" t="s">
        <v>185</v>
      </c>
      <c r="T52" s="35">
        <v>0</v>
      </c>
      <c r="U52" s="35" t="s">
        <v>264</v>
      </c>
      <c r="V52" s="35">
        <v>0</v>
      </c>
      <c r="W52" s="35" t="s">
        <v>265</v>
      </c>
      <c r="X52" s="35">
        <v>62000</v>
      </c>
      <c r="Y52" s="35">
        <v>4.99</v>
      </c>
      <c r="Z52" s="38">
        <v>4712.0413333333327</v>
      </c>
      <c r="AA52" s="38">
        <v>3875</v>
      </c>
      <c r="AB52" s="35" t="s">
        <v>95</v>
      </c>
      <c r="AC52" s="38">
        <v>19375</v>
      </c>
      <c r="AD52" s="38">
        <v>19375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4714.04</v>
      </c>
      <c r="AK52" s="35" t="s">
        <v>1884</v>
      </c>
      <c r="AL52" s="35" t="s">
        <v>324</v>
      </c>
      <c r="AM52" s="35" t="s">
        <v>325</v>
      </c>
      <c r="AN52" s="35" t="s">
        <v>2014</v>
      </c>
      <c r="AO52" s="35">
        <v>5</v>
      </c>
      <c r="AP52" s="35">
        <v>16</v>
      </c>
      <c r="AQ52" s="35" t="s">
        <v>327</v>
      </c>
      <c r="AR52" s="35" t="s">
        <v>328</v>
      </c>
      <c r="AS52" s="35" t="s">
        <v>329</v>
      </c>
      <c r="AT52" s="35" t="s">
        <v>330</v>
      </c>
      <c r="AU52" s="35"/>
      <c r="AV52" s="35" t="s">
        <v>331</v>
      </c>
      <c r="AW52" s="35" t="s">
        <v>332</v>
      </c>
      <c r="AX52" s="35" t="s">
        <v>295</v>
      </c>
      <c r="AY52" s="35" t="s">
        <v>271</v>
      </c>
      <c r="AZ52" s="35" t="s">
        <v>199</v>
      </c>
      <c r="BA52" s="35"/>
      <c r="BB52" s="35" t="s">
        <v>272</v>
      </c>
      <c r="BC52" s="35" t="s">
        <v>273</v>
      </c>
      <c r="BD52" s="35" t="s">
        <v>274</v>
      </c>
      <c r="BE52" s="35" t="s">
        <v>271</v>
      </c>
      <c r="BF52" s="35">
        <v>6200</v>
      </c>
      <c r="BG52" s="35"/>
      <c r="BH52" s="35">
        <v>0</v>
      </c>
      <c r="BI52" s="35">
        <v>0</v>
      </c>
      <c r="BJ52" s="35"/>
      <c r="BK52" s="35" t="s">
        <v>314</v>
      </c>
      <c r="BL52" s="35" t="s">
        <v>333</v>
      </c>
      <c r="BM52" s="35"/>
      <c r="BN52" s="35"/>
      <c r="BO52" s="35"/>
      <c r="BP52" s="35"/>
    </row>
    <row r="53" spans="1:68" x14ac:dyDescent="0.3">
      <c r="A53" s="35" t="s">
        <v>49</v>
      </c>
      <c r="B53" s="35" t="s">
        <v>450</v>
      </c>
      <c r="C53" s="35" t="s">
        <v>451</v>
      </c>
      <c r="D53" s="35" t="s">
        <v>388</v>
      </c>
      <c r="E53" s="35" t="s">
        <v>487</v>
      </c>
      <c r="F53" s="35" t="s">
        <v>488</v>
      </c>
      <c r="G53" s="35" t="s">
        <v>489</v>
      </c>
      <c r="H53" s="35" t="s">
        <v>434</v>
      </c>
      <c r="I53" s="35"/>
      <c r="J53" s="35" t="s">
        <v>47</v>
      </c>
      <c r="K53" s="35" t="s">
        <v>43</v>
      </c>
      <c r="L53" s="35"/>
      <c r="M53" s="35">
        <v>5</v>
      </c>
      <c r="N53" s="35" t="s">
        <v>262</v>
      </c>
      <c r="O53" s="35" t="s">
        <v>263</v>
      </c>
      <c r="P53" s="35" t="s">
        <v>52</v>
      </c>
      <c r="Q53" s="35"/>
      <c r="R53" s="35" t="s">
        <v>168</v>
      </c>
      <c r="S53" s="35" t="s">
        <v>185</v>
      </c>
      <c r="T53" s="35">
        <v>0</v>
      </c>
      <c r="U53" s="35" t="s">
        <v>264</v>
      </c>
      <c r="V53" s="35">
        <v>0</v>
      </c>
      <c r="W53" s="35" t="s">
        <v>265</v>
      </c>
      <c r="X53" s="35">
        <v>77000</v>
      </c>
      <c r="Y53" s="35">
        <v>4.99</v>
      </c>
      <c r="Z53" s="38">
        <v>5852.0513333333329</v>
      </c>
      <c r="AA53" s="38">
        <v>4812.5</v>
      </c>
      <c r="AB53" s="35" t="s">
        <v>95</v>
      </c>
      <c r="AC53" s="38">
        <v>28895.510000000002</v>
      </c>
      <c r="AD53" s="38">
        <v>28875</v>
      </c>
      <c r="AE53" s="38">
        <v>20.51</v>
      </c>
      <c r="AF53" s="38">
        <v>0</v>
      </c>
      <c r="AG53" s="38">
        <v>0</v>
      </c>
      <c r="AH53" s="38">
        <v>0</v>
      </c>
      <c r="AI53" s="38">
        <v>20.51</v>
      </c>
      <c r="AJ53" s="38">
        <v>5832</v>
      </c>
      <c r="AK53" s="35" t="s">
        <v>1899</v>
      </c>
      <c r="AL53" s="35" t="s">
        <v>356</v>
      </c>
      <c r="AM53" s="35" t="s">
        <v>517</v>
      </c>
      <c r="AN53" s="35" t="s">
        <v>2164</v>
      </c>
      <c r="AO53" s="35">
        <v>6</v>
      </c>
      <c r="AP53" s="35">
        <v>16</v>
      </c>
      <c r="AQ53" s="35" t="s">
        <v>526</v>
      </c>
      <c r="AR53" s="35" t="s">
        <v>527</v>
      </c>
      <c r="AS53" s="35" t="s">
        <v>528</v>
      </c>
      <c r="AT53" s="35" t="s">
        <v>529</v>
      </c>
      <c r="AU53" s="35"/>
      <c r="AV53" s="35" t="s">
        <v>530</v>
      </c>
      <c r="AW53" s="35" t="s">
        <v>531</v>
      </c>
      <c r="AX53" s="35" t="s">
        <v>274</v>
      </c>
      <c r="AY53" s="35" t="s">
        <v>271</v>
      </c>
      <c r="AZ53" s="35" t="s">
        <v>490</v>
      </c>
      <c r="BA53" s="35"/>
      <c r="BB53" s="35" t="s">
        <v>272</v>
      </c>
      <c r="BC53" s="35" t="s">
        <v>273</v>
      </c>
      <c r="BD53" s="35" t="s">
        <v>274</v>
      </c>
      <c r="BE53" s="35" t="s">
        <v>271</v>
      </c>
      <c r="BF53" s="35">
        <v>7700</v>
      </c>
      <c r="BG53" s="35"/>
      <c r="BH53" s="35">
        <v>1</v>
      </c>
      <c r="BI53" s="35">
        <v>1</v>
      </c>
      <c r="BJ53" s="35"/>
      <c r="BK53" s="35" t="s">
        <v>448</v>
      </c>
      <c r="BL53" s="35" t="s">
        <v>532</v>
      </c>
      <c r="BM53" s="35"/>
      <c r="BN53" s="35"/>
      <c r="BO53" s="35"/>
      <c r="BP53" s="35"/>
    </row>
    <row r="54" spans="1:68" x14ac:dyDescent="0.3">
      <c r="A54" s="35" t="s">
        <v>43</v>
      </c>
      <c r="B54" s="35" t="s">
        <v>44</v>
      </c>
      <c r="C54" s="35" t="s">
        <v>460</v>
      </c>
      <c r="D54" s="35" t="s">
        <v>396</v>
      </c>
      <c r="E54" s="35" t="s">
        <v>501</v>
      </c>
      <c r="F54" s="35" t="s">
        <v>502</v>
      </c>
      <c r="G54" s="35" t="s">
        <v>969</v>
      </c>
      <c r="H54" s="35" t="s">
        <v>941</v>
      </c>
      <c r="I54" s="35"/>
      <c r="J54" s="35" t="s">
        <v>47</v>
      </c>
      <c r="K54" s="35" t="s">
        <v>43</v>
      </c>
      <c r="L54" s="35"/>
      <c r="M54" s="35">
        <v>6</v>
      </c>
      <c r="N54" s="35" t="s">
        <v>262</v>
      </c>
      <c r="O54" s="35" t="s">
        <v>263</v>
      </c>
      <c r="P54" s="35" t="s">
        <v>52</v>
      </c>
      <c r="Q54" s="35"/>
      <c r="R54" s="35" t="s">
        <v>168</v>
      </c>
      <c r="S54" s="35" t="s">
        <v>160</v>
      </c>
      <c r="T54" s="35">
        <v>0</v>
      </c>
      <c r="U54" s="35" t="s">
        <v>264</v>
      </c>
      <c r="V54" s="35">
        <v>1</v>
      </c>
      <c r="W54" s="35" t="s">
        <v>265</v>
      </c>
      <c r="X54" s="35">
        <v>100000</v>
      </c>
      <c r="Y54" s="35">
        <v>4.99</v>
      </c>
      <c r="Z54" s="38">
        <v>7600.0666666666657</v>
      </c>
      <c r="AA54" s="38">
        <v>6250</v>
      </c>
      <c r="AB54" s="35" t="s">
        <v>95</v>
      </c>
      <c r="AC54" s="38">
        <v>62500</v>
      </c>
      <c r="AD54" s="38">
        <v>56250</v>
      </c>
      <c r="AE54" s="38">
        <v>6250</v>
      </c>
      <c r="AF54" s="38">
        <v>1329.47</v>
      </c>
      <c r="AG54" s="38">
        <v>0</v>
      </c>
      <c r="AH54" s="38">
        <v>0</v>
      </c>
      <c r="AI54" s="38">
        <v>7579.47</v>
      </c>
      <c r="AJ54" s="38">
        <v>7606</v>
      </c>
      <c r="AK54" s="35" t="s">
        <v>1737</v>
      </c>
      <c r="AL54" s="35" t="s">
        <v>854</v>
      </c>
      <c r="AM54" s="35" t="s">
        <v>991</v>
      </c>
      <c r="AN54" s="35" t="s">
        <v>2164</v>
      </c>
      <c r="AO54" s="35">
        <v>9</v>
      </c>
      <c r="AP54" s="35">
        <v>16</v>
      </c>
      <c r="AQ54" s="35" t="s">
        <v>1012</v>
      </c>
      <c r="AR54" s="35" t="s">
        <v>1013</v>
      </c>
      <c r="AS54" s="35" t="s">
        <v>1014</v>
      </c>
      <c r="AT54" s="35" t="s">
        <v>1015</v>
      </c>
      <c r="AU54" s="35"/>
      <c r="AV54" s="35" t="s">
        <v>702</v>
      </c>
      <c r="AW54" s="35" t="s">
        <v>703</v>
      </c>
      <c r="AX54" s="35" t="s">
        <v>704</v>
      </c>
      <c r="AY54" s="35" t="s">
        <v>271</v>
      </c>
      <c r="AZ54" s="35" t="s">
        <v>970</v>
      </c>
      <c r="BA54" s="35"/>
      <c r="BB54" s="35" t="s">
        <v>272</v>
      </c>
      <c r="BC54" s="35" t="s">
        <v>273</v>
      </c>
      <c r="BD54" s="35" t="s">
        <v>274</v>
      </c>
      <c r="BE54" s="35" t="s">
        <v>271</v>
      </c>
      <c r="BF54" s="35">
        <v>10000</v>
      </c>
      <c r="BG54" s="35"/>
      <c r="BH54" s="35">
        <v>1</v>
      </c>
      <c r="BI54" s="35">
        <v>1</v>
      </c>
      <c r="BJ54" s="35"/>
      <c r="BK54" s="35" t="s">
        <v>585</v>
      </c>
      <c r="BL54" s="35" t="s">
        <v>1016</v>
      </c>
      <c r="BM54" s="35"/>
      <c r="BN54" s="35"/>
      <c r="BO54" s="35"/>
      <c r="BP54" s="35"/>
    </row>
    <row r="55" spans="1:68" x14ac:dyDescent="0.3">
      <c r="A55" s="35" t="s">
        <v>43</v>
      </c>
      <c r="B55" s="35" t="s">
        <v>44</v>
      </c>
      <c r="C55" s="35" t="s">
        <v>41</v>
      </c>
      <c r="D55" s="35" t="s">
        <v>42</v>
      </c>
      <c r="E55" s="35" t="s">
        <v>663</v>
      </c>
      <c r="F55" s="35" t="s">
        <v>664</v>
      </c>
      <c r="G55" s="35" t="s">
        <v>487</v>
      </c>
      <c r="H55" s="35" t="s">
        <v>938</v>
      </c>
      <c r="I55" s="35"/>
      <c r="J55" s="35" t="s">
        <v>47</v>
      </c>
      <c r="K55" s="35" t="s">
        <v>297</v>
      </c>
      <c r="L55" s="35"/>
      <c r="M55" s="35">
        <v>6</v>
      </c>
      <c r="N55" s="35" t="s">
        <v>262</v>
      </c>
      <c r="O55" s="35" t="s">
        <v>263</v>
      </c>
      <c r="P55" s="35" t="s">
        <v>52</v>
      </c>
      <c r="Q55" s="35"/>
      <c r="R55" s="35" t="s">
        <v>197</v>
      </c>
      <c r="S55" s="35" t="s">
        <v>125</v>
      </c>
      <c r="T55" s="35">
        <v>0</v>
      </c>
      <c r="U55" s="35" t="s">
        <v>264</v>
      </c>
      <c r="V55" s="35">
        <v>0</v>
      </c>
      <c r="W55" s="35" t="s">
        <v>265</v>
      </c>
      <c r="X55" s="35">
        <v>44000</v>
      </c>
      <c r="Y55" s="35">
        <v>4.99</v>
      </c>
      <c r="Z55" s="38">
        <v>3344.0293333333329</v>
      </c>
      <c r="AA55" s="38">
        <v>2750</v>
      </c>
      <c r="AB55" s="35" t="s">
        <v>95</v>
      </c>
      <c r="AC55" s="38">
        <v>24750.2</v>
      </c>
      <c r="AD55" s="38">
        <v>24750</v>
      </c>
      <c r="AE55" s="38">
        <v>0.2</v>
      </c>
      <c r="AF55" s="38">
        <v>0.01</v>
      </c>
      <c r="AG55" s="38">
        <v>0</v>
      </c>
      <c r="AH55" s="38">
        <v>0</v>
      </c>
      <c r="AI55" s="38">
        <v>0.21</v>
      </c>
      <c r="AJ55" s="38">
        <v>3344</v>
      </c>
      <c r="AK55" s="35" t="s">
        <v>1884</v>
      </c>
      <c r="AL55" s="35" t="s">
        <v>832</v>
      </c>
      <c r="AM55" s="35" t="s">
        <v>948</v>
      </c>
      <c r="AN55" s="35" t="s">
        <v>2014</v>
      </c>
      <c r="AO55" s="35">
        <v>9</v>
      </c>
      <c r="AP55" s="35">
        <v>16</v>
      </c>
      <c r="AQ55" s="35" t="s">
        <v>1017</v>
      </c>
      <c r="AR55" s="35" t="s">
        <v>1018</v>
      </c>
      <c r="AS55" s="35" t="s">
        <v>1019</v>
      </c>
      <c r="AT55" s="35" t="s">
        <v>1020</v>
      </c>
      <c r="AU55" s="35"/>
      <c r="AV55" s="35" t="s">
        <v>1021</v>
      </c>
      <c r="AW55" s="35" t="s">
        <v>1022</v>
      </c>
      <c r="AX55" s="35" t="s">
        <v>555</v>
      </c>
      <c r="AY55" s="35" t="s">
        <v>271</v>
      </c>
      <c r="AZ55" s="35"/>
      <c r="BA55" s="35"/>
      <c r="BB55" s="35" t="s">
        <v>272</v>
      </c>
      <c r="BC55" s="35" t="s">
        <v>273</v>
      </c>
      <c r="BD55" s="35" t="s">
        <v>274</v>
      </c>
      <c r="BE55" s="35" t="s">
        <v>271</v>
      </c>
      <c r="BF55" s="35">
        <v>4400</v>
      </c>
      <c r="BG55" s="35"/>
      <c r="BH55" s="35">
        <v>0</v>
      </c>
      <c r="BI55" s="35">
        <v>0</v>
      </c>
      <c r="BJ55" s="35"/>
      <c r="BK55" s="35" t="s">
        <v>585</v>
      </c>
      <c r="BL55" s="35" t="s">
        <v>1023</v>
      </c>
      <c r="BM55" s="35"/>
      <c r="BN55" s="35"/>
      <c r="BO55" s="35"/>
      <c r="BP55" s="35"/>
    </row>
    <row r="56" spans="1:68" x14ac:dyDescent="0.3">
      <c r="A56" s="35" t="s">
        <v>43</v>
      </c>
      <c r="B56" s="35" t="s">
        <v>44</v>
      </c>
      <c r="C56" s="35" t="s">
        <v>460</v>
      </c>
      <c r="D56" s="35" t="s">
        <v>396</v>
      </c>
      <c r="E56" s="35" t="s">
        <v>154</v>
      </c>
      <c r="F56" s="35" t="s">
        <v>155</v>
      </c>
      <c r="G56" s="35" t="s">
        <v>156</v>
      </c>
      <c r="H56" s="35" t="s">
        <v>102</v>
      </c>
      <c r="I56" s="35"/>
      <c r="J56" s="35" t="s">
        <v>47</v>
      </c>
      <c r="K56" s="35" t="s">
        <v>297</v>
      </c>
      <c r="L56" s="35"/>
      <c r="M56" s="35">
        <v>6</v>
      </c>
      <c r="N56" s="35" t="s">
        <v>262</v>
      </c>
      <c r="O56" s="35" t="s">
        <v>263</v>
      </c>
      <c r="P56" s="35" t="s">
        <v>52</v>
      </c>
      <c r="Q56" s="35"/>
      <c r="R56" s="35" t="s">
        <v>126</v>
      </c>
      <c r="S56" s="35" t="s">
        <v>147</v>
      </c>
      <c r="T56" s="35">
        <v>0</v>
      </c>
      <c r="U56" s="35" t="s">
        <v>264</v>
      </c>
      <c r="V56" s="35">
        <v>0</v>
      </c>
      <c r="W56" s="35" t="s">
        <v>265</v>
      </c>
      <c r="X56" s="35">
        <v>150000</v>
      </c>
      <c r="Y56" s="35">
        <v>4.99</v>
      </c>
      <c r="Z56" s="38">
        <v>11400.1</v>
      </c>
      <c r="AA56" s="38">
        <v>9375</v>
      </c>
      <c r="AB56" s="35" t="s">
        <v>95</v>
      </c>
      <c r="AC56" s="38">
        <v>46875</v>
      </c>
      <c r="AD56" s="38">
        <v>46875</v>
      </c>
      <c r="AE56" s="38">
        <v>0</v>
      </c>
      <c r="AF56" s="38">
        <v>0</v>
      </c>
      <c r="AG56" s="38">
        <v>0</v>
      </c>
      <c r="AH56" s="38">
        <v>0</v>
      </c>
      <c r="AI56" s="38">
        <v>0</v>
      </c>
      <c r="AJ56" s="38">
        <v>11400</v>
      </c>
      <c r="AK56" s="35" t="s">
        <v>1925</v>
      </c>
      <c r="AL56" s="35" t="s">
        <v>267</v>
      </c>
      <c r="AM56" s="35" t="s">
        <v>277</v>
      </c>
      <c r="AN56" s="35" t="s">
        <v>1965</v>
      </c>
      <c r="AO56" s="35">
        <v>5</v>
      </c>
      <c r="AP56" s="35">
        <v>16</v>
      </c>
      <c r="AQ56" s="35" t="s">
        <v>316</v>
      </c>
      <c r="AR56" s="35" t="s">
        <v>317</v>
      </c>
      <c r="AS56" s="35" t="s">
        <v>318</v>
      </c>
      <c r="AT56" s="35" t="s">
        <v>319</v>
      </c>
      <c r="AU56" s="35"/>
      <c r="AV56" s="35" t="s">
        <v>320</v>
      </c>
      <c r="AW56" s="35" t="s">
        <v>321</v>
      </c>
      <c r="AX56" s="35" t="s">
        <v>322</v>
      </c>
      <c r="AY56" s="35" t="s">
        <v>271</v>
      </c>
      <c r="AZ56" s="35" t="s">
        <v>157</v>
      </c>
      <c r="BA56" s="35"/>
      <c r="BB56" s="35" t="s">
        <v>272</v>
      </c>
      <c r="BC56" s="35" t="s">
        <v>273</v>
      </c>
      <c r="BD56" s="35" t="s">
        <v>274</v>
      </c>
      <c r="BE56" s="35" t="s">
        <v>271</v>
      </c>
      <c r="BF56" s="35">
        <v>15000</v>
      </c>
      <c r="BG56" s="35"/>
      <c r="BH56" s="35">
        <v>1</v>
      </c>
      <c r="BI56" s="35">
        <v>1</v>
      </c>
      <c r="BJ56" s="35"/>
      <c r="BK56" s="35" t="s">
        <v>275</v>
      </c>
      <c r="BL56" s="35" t="s">
        <v>323</v>
      </c>
      <c r="BM56" s="35"/>
      <c r="BN56" s="35"/>
      <c r="BO56" s="35"/>
      <c r="BP56" s="35"/>
    </row>
    <row r="57" spans="1:68" x14ac:dyDescent="0.3">
      <c r="A57" s="35" t="s">
        <v>43</v>
      </c>
      <c r="B57" s="35" t="s">
        <v>44</v>
      </c>
      <c r="C57" s="35" t="s">
        <v>467</v>
      </c>
      <c r="D57" s="35" t="s">
        <v>424</v>
      </c>
      <c r="E57" s="35" t="s">
        <v>189</v>
      </c>
      <c r="F57" s="35" t="s">
        <v>191</v>
      </c>
      <c r="G57" s="35" t="s">
        <v>1142</v>
      </c>
      <c r="H57" s="35" t="s">
        <v>1106</v>
      </c>
      <c r="I57" s="35"/>
      <c r="J57" s="35" t="s">
        <v>47</v>
      </c>
      <c r="K57" s="35" t="s">
        <v>43</v>
      </c>
      <c r="L57" s="35"/>
      <c r="M57" s="35">
        <v>5</v>
      </c>
      <c r="N57" s="35" t="s">
        <v>262</v>
      </c>
      <c r="O57" s="35" t="s">
        <v>263</v>
      </c>
      <c r="P57" s="35" t="s">
        <v>52</v>
      </c>
      <c r="Q57" s="35"/>
      <c r="R57" s="35" t="s">
        <v>168</v>
      </c>
      <c r="S57" s="35" t="s">
        <v>127</v>
      </c>
      <c r="T57" s="35">
        <v>0</v>
      </c>
      <c r="U57" s="35" t="s">
        <v>264</v>
      </c>
      <c r="V57" s="35">
        <v>0</v>
      </c>
      <c r="W57" s="35" t="s">
        <v>265</v>
      </c>
      <c r="X57" s="35">
        <v>51000</v>
      </c>
      <c r="Y57" s="35">
        <v>4.99</v>
      </c>
      <c r="Z57" s="38">
        <v>3876.0340000000001</v>
      </c>
      <c r="AA57" s="38">
        <v>3187.5</v>
      </c>
      <c r="AB57" s="35" t="s">
        <v>95</v>
      </c>
      <c r="AC57" s="38">
        <v>31875.02</v>
      </c>
      <c r="AD57" s="38">
        <v>31875</v>
      </c>
      <c r="AE57" s="38">
        <v>0.02</v>
      </c>
      <c r="AF57" s="38">
        <v>0</v>
      </c>
      <c r="AG57" s="38">
        <v>0</v>
      </c>
      <c r="AH57" s="38">
        <v>0</v>
      </c>
      <c r="AI57" s="38">
        <v>0.02</v>
      </c>
      <c r="AJ57" s="38">
        <v>3876.03</v>
      </c>
      <c r="AK57" s="35" t="s">
        <v>1899</v>
      </c>
      <c r="AL57" s="35" t="s">
        <v>985</v>
      </c>
      <c r="AM57" s="35" t="s">
        <v>1148</v>
      </c>
      <c r="AN57" s="35" t="s">
        <v>2164</v>
      </c>
      <c r="AO57" s="35">
        <v>10</v>
      </c>
      <c r="AP57" s="35">
        <v>16</v>
      </c>
      <c r="AQ57" s="35" t="s">
        <v>1149</v>
      </c>
      <c r="AR57" s="35" t="s">
        <v>1149</v>
      </c>
      <c r="AS57" s="35" t="s">
        <v>1149</v>
      </c>
      <c r="AT57" s="35" t="s">
        <v>1150</v>
      </c>
      <c r="AU57" s="35"/>
      <c r="AV57" s="35" t="s">
        <v>1151</v>
      </c>
      <c r="AW57" s="35" t="s">
        <v>332</v>
      </c>
      <c r="AX57" s="35" t="s">
        <v>295</v>
      </c>
      <c r="AY57" s="35" t="s">
        <v>271</v>
      </c>
      <c r="AZ57" s="35" t="s">
        <v>1143</v>
      </c>
      <c r="BA57" s="35"/>
      <c r="BB57" s="35" t="s">
        <v>272</v>
      </c>
      <c r="BC57" s="35" t="s">
        <v>273</v>
      </c>
      <c r="BD57" s="35" t="s">
        <v>274</v>
      </c>
      <c r="BE57" s="35" t="s">
        <v>271</v>
      </c>
      <c r="BF57" s="35">
        <v>5100</v>
      </c>
      <c r="BG57" s="35"/>
      <c r="BH57" s="35">
        <v>0</v>
      </c>
      <c r="BI57" s="35">
        <v>0</v>
      </c>
      <c r="BJ57" s="35"/>
      <c r="BK57" s="35" t="s">
        <v>585</v>
      </c>
      <c r="BL57" s="35" t="s">
        <v>1152</v>
      </c>
      <c r="BM57" s="35"/>
      <c r="BN57" s="35"/>
      <c r="BO57" s="35"/>
      <c r="BP57" s="35"/>
    </row>
    <row r="58" spans="1:68" x14ac:dyDescent="0.3">
      <c r="A58" s="35" t="s">
        <v>43</v>
      </c>
      <c r="B58" s="35" t="s">
        <v>44</v>
      </c>
      <c r="C58" s="35" t="s">
        <v>467</v>
      </c>
      <c r="D58" s="35" t="s">
        <v>424</v>
      </c>
      <c r="E58" s="35" t="s">
        <v>39</v>
      </c>
      <c r="F58" s="35" t="s">
        <v>40</v>
      </c>
      <c r="G58" s="35" t="s">
        <v>670</v>
      </c>
      <c r="H58" s="35" t="s">
        <v>671</v>
      </c>
      <c r="I58" s="35"/>
      <c r="J58" s="35" t="s">
        <v>47</v>
      </c>
      <c r="K58" s="35" t="s">
        <v>43</v>
      </c>
      <c r="L58" s="35"/>
      <c r="M58" s="35">
        <v>6</v>
      </c>
      <c r="N58" s="35" t="s">
        <v>262</v>
      </c>
      <c r="O58" s="35" t="s">
        <v>263</v>
      </c>
      <c r="P58" s="35" t="s">
        <v>52</v>
      </c>
      <c r="Q58" s="35"/>
      <c r="R58" s="35" t="s">
        <v>168</v>
      </c>
      <c r="S58" s="35" t="s">
        <v>125</v>
      </c>
      <c r="T58" s="35">
        <v>0</v>
      </c>
      <c r="U58" s="35" t="s">
        <v>264</v>
      </c>
      <c r="V58" s="35">
        <v>0</v>
      </c>
      <c r="W58" s="35" t="s">
        <v>265</v>
      </c>
      <c r="X58" s="35">
        <v>79000</v>
      </c>
      <c r="Y58" s="35">
        <v>4.99</v>
      </c>
      <c r="Z58" s="38">
        <v>6004.0526666666656</v>
      </c>
      <c r="AA58" s="38">
        <v>4937.5</v>
      </c>
      <c r="AB58" s="35" t="s">
        <v>95</v>
      </c>
      <c r="AC58" s="38">
        <v>34562.520000000004</v>
      </c>
      <c r="AD58" s="38">
        <v>34562.5</v>
      </c>
      <c r="AE58" s="38">
        <v>0.02</v>
      </c>
      <c r="AF58" s="38">
        <v>0</v>
      </c>
      <c r="AG58" s="38">
        <v>0</v>
      </c>
      <c r="AH58" s="38">
        <v>0</v>
      </c>
      <c r="AI58" s="38">
        <v>0.02</v>
      </c>
      <c r="AJ58" s="38">
        <v>6004.05</v>
      </c>
      <c r="AK58" s="35" t="s">
        <v>1899</v>
      </c>
      <c r="AL58" s="35" t="s">
        <v>494</v>
      </c>
      <c r="AM58" s="35" t="s">
        <v>744</v>
      </c>
      <c r="AN58" s="35" t="s">
        <v>2164</v>
      </c>
      <c r="AO58" s="35">
        <v>7</v>
      </c>
      <c r="AP58" s="35">
        <v>16</v>
      </c>
      <c r="AQ58" s="35" t="s">
        <v>756</v>
      </c>
      <c r="AR58" s="35" t="s">
        <v>757</v>
      </c>
      <c r="AS58" s="35" t="s">
        <v>758</v>
      </c>
      <c r="AT58" s="35" t="s">
        <v>759</v>
      </c>
      <c r="AU58" s="35"/>
      <c r="AV58" s="35" t="s">
        <v>760</v>
      </c>
      <c r="AW58" s="35" t="s">
        <v>761</v>
      </c>
      <c r="AX58" s="35" t="s">
        <v>285</v>
      </c>
      <c r="AY58" s="35" t="s">
        <v>271</v>
      </c>
      <c r="AZ58" s="35" t="s">
        <v>672</v>
      </c>
      <c r="BA58" s="35"/>
      <c r="BB58" s="35" t="s">
        <v>272</v>
      </c>
      <c r="BC58" s="35" t="s">
        <v>273</v>
      </c>
      <c r="BD58" s="35" t="s">
        <v>274</v>
      </c>
      <c r="BE58" s="35" t="s">
        <v>271</v>
      </c>
      <c r="BF58" s="35">
        <v>7900</v>
      </c>
      <c r="BG58" s="35"/>
      <c r="BH58" s="35">
        <v>0</v>
      </c>
      <c r="BI58" s="35">
        <v>0</v>
      </c>
      <c r="BJ58" s="35"/>
      <c r="BK58" s="35" t="s">
        <v>585</v>
      </c>
      <c r="BL58" s="35" t="s">
        <v>762</v>
      </c>
      <c r="BM58" s="35"/>
      <c r="BN58" s="35"/>
      <c r="BO58" s="35"/>
      <c r="BP58" s="35"/>
    </row>
    <row r="59" spans="1:68" x14ac:dyDescent="0.3">
      <c r="A59" s="35" t="s">
        <v>43</v>
      </c>
      <c r="B59" s="35" t="s">
        <v>44</v>
      </c>
      <c r="C59" s="35" t="s">
        <v>467</v>
      </c>
      <c r="D59" s="35" t="s">
        <v>424</v>
      </c>
      <c r="E59" s="35" t="s">
        <v>39</v>
      </c>
      <c r="F59" s="35" t="s">
        <v>40</v>
      </c>
      <c r="G59" s="35" t="s">
        <v>188</v>
      </c>
      <c r="H59" s="35" t="s">
        <v>937</v>
      </c>
      <c r="I59" s="35"/>
      <c r="J59" s="35" t="s">
        <v>47</v>
      </c>
      <c r="K59" s="35" t="s">
        <v>43</v>
      </c>
      <c r="L59" s="35"/>
      <c r="M59" s="35">
        <v>8</v>
      </c>
      <c r="N59" s="35" t="s">
        <v>262</v>
      </c>
      <c r="O59" s="35" t="s">
        <v>263</v>
      </c>
      <c r="P59" s="35" t="s">
        <v>52</v>
      </c>
      <c r="Q59" s="35"/>
      <c r="R59" s="35" t="s">
        <v>168</v>
      </c>
      <c r="S59" s="35" t="s">
        <v>147</v>
      </c>
      <c r="T59" s="35">
        <v>0</v>
      </c>
      <c r="U59" s="35" t="s">
        <v>264</v>
      </c>
      <c r="V59" s="35">
        <v>0</v>
      </c>
      <c r="W59" s="35" t="s">
        <v>265</v>
      </c>
      <c r="X59" s="35">
        <v>108000</v>
      </c>
      <c r="Y59" s="35">
        <v>4.99</v>
      </c>
      <c r="Z59" s="38">
        <v>8208.0720000000001</v>
      </c>
      <c r="AA59" s="38">
        <v>6750</v>
      </c>
      <c r="AB59" s="35" t="s">
        <v>95</v>
      </c>
      <c r="AC59" s="38">
        <v>60750.01</v>
      </c>
      <c r="AD59" s="38">
        <v>60750</v>
      </c>
      <c r="AE59" s="38">
        <v>0.01</v>
      </c>
      <c r="AF59" s="38">
        <v>0</v>
      </c>
      <c r="AG59" s="38">
        <v>0</v>
      </c>
      <c r="AH59" s="38">
        <v>0</v>
      </c>
      <c r="AI59" s="38">
        <v>0.01</v>
      </c>
      <c r="AJ59" s="38">
        <v>8208.07</v>
      </c>
      <c r="AK59" s="35" t="s">
        <v>1899</v>
      </c>
      <c r="AL59" s="35" t="s">
        <v>854</v>
      </c>
      <c r="AM59" s="35" t="s">
        <v>991</v>
      </c>
      <c r="AN59" s="35" t="s">
        <v>2164</v>
      </c>
      <c r="AO59" s="35">
        <v>9</v>
      </c>
      <c r="AP59" s="35">
        <v>16</v>
      </c>
      <c r="AQ59" s="35" t="s">
        <v>1024</v>
      </c>
      <c r="AR59" s="35" t="s">
        <v>842</v>
      </c>
      <c r="AS59" s="35" t="s">
        <v>842</v>
      </c>
      <c r="AT59" s="35" t="s">
        <v>1025</v>
      </c>
      <c r="AU59" s="35"/>
      <c r="AV59" s="35" t="s">
        <v>1026</v>
      </c>
      <c r="AW59" s="35" t="s">
        <v>1027</v>
      </c>
      <c r="AX59" s="35" t="s">
        <v>546</v>
      </c>
      <c r="AY59" s="35" t="s">
        <v>271</v>
      </c>
      <c r="AZ59" s="35" t="s">
        <v>966</v>
      </c>
      <c r="BA59" s="35"/>
      <c r="BB59" s="35" t="s">
        <v>272</v>
      </c>
      <c r="BC59" s="35" t="s">
        <v>273</v>
      </c>
      <c r="BD59" s="35" t="s">
        <v>274</v>
      </c>
      <c r="BE59" s="35" t="s">
        <v>271</v>
      </c>
      <c r="BF59" s="35">
        <v>10800</v>
      </c>
      <c r="BG59" s="35"/>
      <c r="BH59" s="35">
        <v>0</v>
      </c>
      <c r="BI59" s="35">
        <v>0</v>
      </c>
      <c r="BJ59" s="35"/>
      <c r="BK59" s="35" t="s">
        <v>585</v>
      </c>
      <c r="BL59" s="35" t="s">
        <v>1028</v>
      </c>
      <c r="BM59" s="35"/>
      <c r="BN59" s="35"/>
      <c r="BO59" s="35"/>
      <c r="BP59" s="35"/>
    </row>
    <row r="60" spans="1:68" x14ac:dyDescent="0.3">
      <c r="A60" s="35" t="s">
        <v>43</v>
      </c>
      <c r="B60" s="35" t="s">
        <v>44</v>
      </c>
      <c r="C60" s="35" t="s">
        <v>41</v>
      </c>
      <c r="D60" s="35" t="s">
        <v>42</v>
      </c>
      <c r="E60" s="35" t="s">
        <v>883</v>
      </c>
      <c r="F60" s="35" t="s">
        <v>884</v>
      </c>
      <c r="G60" s="35" t="s">
        <v>1518</v>
      </c>
      <c r="H60" s="35" t="s">
        <v>1519</v>
      </c>
      <c r="I60" s="35"/>
      <c r="J60" s="35" t="s">
        <v>47</v>
      </c>
      <c r="K60" s="35" t="s">
        <v>47</v>
      </c>
      <c r="L60" s="35"/>
      <c r="M60" s="35">
        <v>5</v>
      </c>
      <c r="N60" s="35" t="s">
        <v>262</v>
      </c>
      <c r="O60" s="35" t="s">
        <v>263</v>
      </c>
      <c r="P60" s="35" t="s">
        <v>52</v>
      </c>
      <c r="Q60" s="35"/>
      <c r="R60" s="35" t="s">
        <v>168</v>
      </c>
      <c r="S60" s="35" t="s">
        <v>125</v>
      </c>
      <c r="T60" s="35">
        <v>0</v>
      </c>
      <c r="U60" s="35" t="s">
        <v>264</v>
      </c>
      <c r="V60" s="35">
        <v>0</v>
      </c>
      <c r="W60" s="35" t="s">
        <v>265</v>
      </c>
      <c r="X60" s="35">
        <v>134000</v>
      </c>
      <c r="Y60" s="35">
        <v>4.99</v>
      </c>
      <c r="Z60" s="38">
        <v>10184.089333333301</v>
      </c>
      <c r="AA60" s="38">
        <v>8375</v>
      </c>
      <c r="AB60" s="35" t="s">
        <v>95</v>
      </c>
      <c r="AC60" s="38">
        <v>100500</v>
      </c>
      <c r="AD60" s="38">
        <v>100500</v>
      </c>
      <c r="AE60" s="38">
        <v>0</v>
      </c>
      <c r="AF60" s="38">
        <v>0</v>
      </c>
      <c r="AG60" s="38">
        <v>0</v>
      </c>
      <c r="AH60" s="38">
        <v>0</v>
      </c>
      <c r="AI60" s="38">
        <v>0</v>
      </c>
      <c r="AJ60" s="38">
        <v>10184</v>
      </c>
      <c r="AK60" s="35" t="s">
        <v>1899</v>
      </c>
      <c r="AL60" s="35" t="s">
        <v>1326</v>
      </c>
      <c r="AM60" s="35" t="s">
        <v>1521</v>
      </c>
      <c r="AN60" s="35" t="s">
        <v>2164</v>
      </c>
      <c r="AO60" s="35">
        <v>12</v>
      </c>
      <c r="AP60" s="35">
        <v>16</v>
      </c>
      <c r="AQ60" s="35" t="s">
        <v>1364</v>
      </c>
      <c r="AR60" s="35" t="s">
        <v>1522</v>
      </c>
      <c r="AS60" s="35" t="s">
        <v>1523</v>
      </c>
      <c r="AT60" s="35" t="s">
        <v>1524</v>
      </c>
      <c r="AU60" s="35"/>
      <c r="AV60" s="35" t="s">
        <v>1021</v>
      </c>
      <c r="AW60" s="35" t="s">
        <v>1022</v>
      </c>
      <c r="AX60" s="35" t="s">
        <v>555</v>
      </c>
      <c r="AY60" s="35" t="s">
        <v>271</v>
      </c>
      <c r="AZ60" s="35"/>
      <c r="BA60" s="35"/>
      <c r="BB60" s="35" t="s">
        <v>272</v>
      </c>
      <c r="BC60" s="35" t="s">
        <v>273</v>
      </c>
      <c r="BD60" s="35" t="s">
        <v>274</v>
      </c>
      <c r="BE60" s="35" t="s">
        <v>271</v>
      </c>
      <c r="BF60" s="35">
        <v>13400</v>
      </c>
      <c r="BG60" s="35"/>
      <c r="BH60" s="35">
        <v>0</v>
      </c>
      <c r="BI60" s="35">
        <v>0</v>
      </c>
      <c r="BJ60" s="35"/>
      <c r="BK60" s="35" t="s">
        <v>585</v>
      </c>
      <c r="BL60" s="35" t="s">
        <v>1525</v>
      </c>
      <c r="BM60" s="35"/>
      <c r="BN60" s="35"/>
      <c r="BO60" s="35"/>
      <c r="BP60" s="35"/>
    </row>
    <row r="61" spans="1:68" x14ac:dyDescent="0.3">
      <c r="A61" s="35" t="s">
        <v>43</v>
      </c>
      <c r="B61" s="35" t="s">
        <v>44</v>
      </c>
      <c r="C61" s="35" t="s">
        <v>41</v>
      </c>
      <c r="D61" s="35" t="s">
        <v>42</v>
      </c>
      <c r="E61" s="35" t="s">
        <v>148</v>
      </c>
      <c r="F61" s="35" t="s">
        <v>149</v>
      </c>
      <c r="G61" s="35" t="s">
        <v>848</v>
      </c>
      <c r="H61" s="35" t="s">
        <v>829</v>
      </c>
      <c r="I61" s="35"/>
      <c r="J61" s="35" t="s">
        <v>47</v>
      </c>
      <c r="K61" s="35" t="s">
        <v>297</v>
      </c>
      <c r="L61" s="35"/>
      <c r="M61" s="35">
        <v>5</v>
      </c>
      <c r="N61" s="35" t="s">
        <v>262</v>
      </c>
      <c r="O61" s="35" t="s">
        <v>263</v>
      </c>
      <c r="P61" s="35" t="s">
        <v>52</v>
      </c>
      <c r="Q61" s="35"/>
      <c r="R61" s="35" t="s">
        <v>168</v>
      </c>
      <c r="S61" s="35" t="s">
        <v>127</v>
      </c>
      <c r="T61" s="35">
        <v>0</v>
      </c>
      <c r="U61" s="35" t="s">
        <v>264</v>
      </c>
      <c r="V61" s="35">
        <v>0</v>
      </c>
      <c r="W61" s="35" t="s">
        <v>265</v>
      </c>
      <c r="X61" s="35">
        <v>50000</v>
      </c>
      <c r="Y61" s="35">
        <v>4.99</v>
      </c>
      <c r="Z61" s="38">
        <v>3800.0333333333328</v>
      </c>
      <c r="AA61" s="38">
        <v>3125</v>
      </c>
      <c r="AB61" s="35" t="s">
        <v>95</v>
      </c>
      <c r="AC61" s="38">
        <v>25000</v>
      </c>
      <c r="AD61" s="38">
        <v>25000</v>
      </c>
      <c r="AE61" s="38">
        <v>0</v>
      </c>
      <c r="AF61" s="38">
        <v>0</v>
      </c>
      <c r="AG61" s="38">
        <v>0</v>
      </c>
      <c r="AH61" s="38">
        <v>0</v>
      </c>
      <c r="AI61" s="38">
        <v>0</v>
      </c>
      <c r="AJ61" s="38">
        <v>3801</v>
      </c>
      <c r="AK61" s="35" t="s">
        <v>1899</v>
      </c>
      <c r="AL61" s="35" t="s">
        <v>737</v>
      </c>
      <c r="AM61" s="35" t="s">
        <v>855</v>
      </c>
      <c r="AN61" s="35" t="s">
        <v>2164</v>
      </c>
      <c r="AO61" s="35">
        <v>8</v>
      </c>
      <c r="AP61" s="35">
        <v>16</v>
      </c>
      <c r="AQ61" s="35" t="s">
        <v>863</v>
      </c>
      <c r="AR61" s="35" t="s">
        <v>864</v>
      </c>
      <c r="AS61" s="35" t="s">
        <v>865</v>
      </c>
      <c r="AT61" s="35" t="s">
        <v>866</v>
      </c>
      <c r="AU61" s="35"/>
      <c r="AV61" s="35" t="s">
        <v>867</v>
      </c>
      <c r="AW61" s="35" t="s">
        <v>531</v>
      </c>
      <c r="AX61" s="35" t="s">
        <v>274</v>
      </c>
      <c r="AY61" s="35" t="s">
        <v>271</v>
      </c>
      <c r="AZ61" s="35"/>
      <c r="BA61" s="35"/>
      <c r="BB61" s="35" t="s">
        <v>272</v>
      </c>
      <c r="BC61" s="35" t="s">
        <v>273</v>
      </c>
      <c r="BD61" s="35" t="s">
        <v>274</v>
      </c>
      <c r="BE61" s="35" t="s">
        <v>271</v>
      </c>
      <c r="BF61" s="35">
        <v>5000</v>
      </c>
      <c r="BG61" s="35"/>
      <c r="BH61" s="35">
        <v>0</v>
      </c>
      <c r="BI61" s="35">
        <v>0</v>
      </c>
      <c r="BJ61" s="35"/>
      <c r="BK61" s="35" t="s">
        <v>585</v>
      </c>
      <c r="BL61" s="35" t="s">
        <v>868</v>
      </c>
      <c r="BM61" s="35"/>
      <c r="BN61" s="35"/>
      <c r="BO61" s="35"/>
      <c r="BP61" s="35"/>
    </row>
    <row r="62" spans="1:68" x14ac:dyDescent="0.3">
      <c r="A62" s="35" t="s">
        <v>43</v>
      </c>
      <c r="B62" s="35" t="s">
        <v>44</v>
      </c>
      <c r="C62" s="35" t="s">
        <v>41</v>
      </c>
      <c r="D62" s="35" t="s">
        <v>42</v>
      </c>
      <c r="E62" s="35" t="s">
        <v>148</v>
      </c>
      <c r="F62" s="35" t="s">
        <v>149</v>
      </c>
      <c r="G62" s="35" t="s">
        <v>1909</v>
      </c>
      <c r="H62" s="35" t="s">
        <v>1910</v>
      </c>
      <c r="I62" s="35"/>
      <c r="J62" s="35" t="s">
        <v>47</v>
      </c>
      <c r="K62" s="35" t="s">
        <v>47</v>
      </c>
      <c r="L62" s="35"/>
      <c r="M62" s="35">
        <v>5</v>
      </c>
      <c r="N62" s="35" t="s">
        <v>262</v>
      </c>
      <c r="O62" s="35" t="s">
        <v>263</v>
      </c>
      <c r="P62" s="35" t="s">
        <v>52</v>
      </c>
      <c r="Q62" s="35"/>
      <c r="R62" s="35" t="s">
        <v>168</v>
      </c>
      <c r="S62" s="35" t="s">
        <v>147</v>
      </c>
      <c r="T62" s="35">
        <v>0</v>
      </c>
      <c r="U62" s="35" t="s">
        <v>264</v>
      </c>
      <c r="V62" s="35">
        <v>0</v>
      </c>
      <c r="W62" s="35" t="s">
        <v>265</v>
      </c>
      <c r="X62" s="35">
        <v>57000</v>
      </c>
      <c r="Y62" s="35">
        <v>4.99</v>
      </c>
      <c r="Z62" s="38">
        <v>4332.0380000000005</v>
      </c>
      <c r="AA62" s="38">
        <v>3562.5</v>
      </c>
      <c r="AB62" s="35" t="s">
        <v>95</v>
      </c>
      <c r="AC62" s="38">
        <v>53437.5</v>
      </c>
      <c r="AD62" s="38">
        <v>53437.5</v>
      </c>
      <c r="AE62" s="38">
        <v>0</v>
      </c>
      <c r="AF62" s="38">
        <v>0</v>
      </c>
      <c r="AG62" s="38">
        <v>0</v>
      </c>
      <c r="AH62" s="38">
        <v>0</v>
      </c>
      <c r="AI62" s="38">
        <v>0</v>
      </c>
      <c r="AJ62" s="38">
        <v>4333</v>
      </c>
      <c r="AK62" s="35" t="s">
        <v>1899</v>
      </c>
      <c r="AL62" s="35" t="s">
        <v>1925</v>
      </c>
      <c r="AM62" s="35" t="s">
        <v>1926</v>
      </c>
      <c r="AN62" s="35" t="s">
        <v>2164</v>
      </c>
      <c r="AO62" s="35">
        <v>15</v>
      </c>
      <c r="AP62" s="35">
        <v>16</v>
      </c>
      <c r="AQ62" s="35" t="s">
        <v>1932</v>
      </c>
      <c r="AR62" s="35" t="s">
        <v>1933</v>
      </c>
      <c r="AS62" s="35" t="s">
        <v>1934</v>
      </c>
      <c r="AT62" s="35" t="s">
        <v>1935</v>
      </c>
      <c r="AU62" s="35"/>
      <c r="AV62" s="35" t="s">
        <v>1936</v>
      </c>
      <c r="AW62" s="35" t="s">
        <v>1937</v>
      </c>
      <c r="AX62" s="35" t="s">
        <v>555</v>
      </c>
      <c r="AY62" s="35" t="s">
        <v>271</v>
      </c>
      <c r="AZ62" s="35"/>
      <c r="BA62" s="35"/>
      <c r="BB62" s="35" t="s">
        <v>272</v>
      </c>
      <c r="BC62" s="35" t="s">
        <v>273</v>
      </c>
      <c r="BD62" s="35" t="s">
        <v>274</v>
      </c>
      <c r="BE62" s="35" t="s">
        <v>271</v>
      </c>
      <c r="BF62" s="35">
        <v>5700</v>
      </c>
      <c r="BG62" s="35"/>
      <c r="BH62" s="35">
        <v>0</v>
      </c>
      <c r="BI62" s="35">
        <v>0</v>
      </c>
      <c r="BJ62" s="35"/>
      <c r="BK62" s="35" t="s">
        <v>585</v>
      </c>
      <c r="BL62" s="35" t="s">
        <v>1938</v>
      </c>
      <c r="BM62" s="35"/>
      <c r="BN62" s="35"/>
      <c r="BO62" s="35"/>
      <c r="BP62" s="35"/>
    </row>
    <row r="63" spans="1:68" x14ac:dyDescent="0.3">
      <c r="A63" s="35" t="s">
        <v>43</v>
      </c>
      <c r="B63" s="35" t="s">
        <v>44</v>
      </c>
      <c r="C63" s="35" t="s">
        <v>460</v>
      </c>
      <c r="D63" s="35" t="s">
        <v>396</v>
      </c>
      <c r="E63" s="35" t="s">
        <v>143</v>
      </c>
      <c r="F63" s="35" t="s">
        <v>144</v>
      </c>
      <c r="G63" s="35" t="s">
        <v>143</v>
      </c>
      <c r="H63" s="35" t="s">
        <v>877</v>
      </c>
      <c r="I63" s="35"/>
      <c r="J63" s="35" t="s">
        <v>47</v>
      </c>
      <c r="K63" s="35" t="s">
        <v>43</v>
      </c>
      <c r="L63" s="35"/>
      <c r="M63" s="35">
        <v>6</v>
      </c>
      <c r="N63" s="35" t="s">
        <v>262</v>
      </c>
      <c r="O63" s="35" t="s">
        <v>263</v>
      </c>
      <c r="P63" s="35" t="s">
        <v>52</v>
      </c>
      <c r="Q63" s="35"/>
      <c r="R63" s="35" t="s">
        <v>146</v>
      </c>
      <c r="S63" s="35" t="s">
        <v>888</v>
      </c>
      <c r="T63" s="35">
        <v>0</v>
      </c>
      <c r="U63" s="35" t="s">
        <v>264</v>
      </c>
      <c r="V63" s="35">
        <v>0</v>
      </c>
      <c r="W63" s="35" t="s">
        <v>265</v>
      </c>
      <c r="X63" s="35">
        <v>111000</v>
      </c>
      <c r="Y63" s="35">
        <v>4.99</v>
      </c>
      <c r="Z63" s="38">
        <v>8436.0740000000005</v>
      </c>
      <c r="AA63" s="38">
        <v>6937.5</v>
      </c>
      <c r="AB63" s="35" t="s">
        <v>95</v>
      </c>
      <c r="AC63" s="38">
        <v>62437.5</v>
      </c>
      <c r="AD63" s="38">
        <v>62437.5</v>
      </c>
      <c r="AE63" s="38">
        <v>0</v>
      </c>
      <c r="AF63" s="38">
        <v>0</v>
      </c>
      <c r="AG63" s="38">
        <v>0</v>
      </c>
      <c r="AH63" s="38">
        <v>0</v>
      </c>
      <c r="AI63" s="38">
        <v>0</v>
      </c>
      <c r="AJ63" s="38">
        <v>8442</v>
      </c>
      <c r="AK63" s="35" t="s">
        <v>1823</v>
      </c>
      <c r="AL63" s="35" t="s">
        <v>630</v>
      </c>
      <c r="AM63" s="35" t="s">
        <v>892</v>
      </c>
      <c r="AN63" s="35" t="s">
        <v>2004</v>
      </c>
      <c r="AO63" s="35">
        <v>9</v>
      </c>
      <c r="AP63" s="35">
        <v>16</v>
      </c>
      <c r="AQ63" s="35" t="s">
        <v>908</v>
      </c>
      <c r="AR63" s="35" t="s">
        <v>909</v>
      </c>
      <c r="AS63" s="35" t="s">
        <v>910</v>
      </c>
      <c r="AT63" s="35" t="s">
        <v>911</v>
      </c>
      <c r="AU63" s="35"/>
      <c r="AV63" s="35" t="s">
        <v>912</v>
      </c>
      <c r="AW63" s="35" t="s">
        <v>913</v>
      </c>
      <c r="AX63" s="35" t="s">
        <v>353</v>
      </c>
      <c r="AY63" s="35" t="s">
        <v>271</v>
      </c>
      <c r="AZ63" s="35" t="s">
        <v>887</v>
      </c>
      <c r="BA63" s="35"/>
      <c r="BB63" s="35" t="s">
        <v>272</v>
      </c>
      <c r="BC63" s="35" t="s">
        <v>273</v>
      </c>
      <c r="BD63" s="35" t="s">
        <v>274</v>
      </c>
      <c r="BE63" s="35" t="s">
        <v>271</v>
      </c>
      <c r="BF63" s="35">
        <v>11100</v>
      </c>
      <c r="BG63" s="35"/>
      <c r="BH63" s="35">
        <v>0</v>
      </c>
      <c r="BI63" s="35">
        <v>0</v>
      </c>
      <c r="BJ63" s="35"/>
      <c r="BK63" s="35" t="s">
        <v>585</v>
      </c>
      <c r="BL63" s="35" t="s">
        <v>914</v>
      </c>
      <c r="BM63" s="35"/>
      <c r="BN63" s="35"/>
      <c r="BO63" s="35"/>
      <c r="BP63" s="35"/>
    </row>
    <row r="64" spans="1:68" x14ac:dyDescent="0.3">
      <c r="A64" s="35" t="s">
        <v>43</v>
      </c>
      <c r="B64" s="35" t="s">
        <v>44</v>
      </c>
      <c r="C64" s="35" t="s">
        <v>41</v>
      </c>
      <c r="D64" s="35" t="s">
        <v>42</v>
      </c>
      <c r="E64" s="35" t="s">
        <v>148</v>
      </c>
      <c r="F64" s="35" t="s">
        <v>149</v>
      </c>
      <c r="G64" s="35" t="s">
        <v>1316</v>
      </c>
      <c r="H64" s="35" t="s">
        <v>1158</v>
      </c>
      <c r="I64" s="35"/>
      <c r="J64" s="35" t="s">
        <v>47</v>
      </c>
      <c r="K64" s="35" t="s">
        <v>47</v>
      </c>
      <c r="L64" s="35"/>
      <c r="M64" s="35">
        <v>5</v>
      </c>
      <c r="N64" s="35" t="s">
        <v>262</v>
      </c>
      <c r="O64" s="35" t="s">
        <v>263</v>
      </c>
      <c r="P64" s="35" t="s">
        <v>52</v>
      </c>
      <c r="Q64" s="35"/>
      <c r="R64" s="35" t="s">
        <v>126</v>
      </c>
      <c r="S64" s="35" t="s">
        <v>198</v>
      </c>
      <c r="T64" s="35">
        <v>0</v>
      </c>
      <c r="U64" s="35" t="s">
        <v>264</v>
      </c>
      <c r="V64" s="35">
        <v>0</v>
      </c>
      <c r="W64" s="35" t="s">
        <v>265</v>
      </c>
      <c r="X64" s="35">
        <v>51000</v>
      </c>
      <c r="Y64" s="35">
        <v>4.99</v>
      </c>
      <c r="Z64" s="38">
        <v>3876.0340000000001</v>
      </c>
      <c r="AA64" s="38">
        <v>3187.5</v>
      </c>
      <c r="AB64" s="35" t="s">
        <v>95</v>
      </c>
      <c r="AC64" s="38">
        <v>35066.67</v>
      </c>
      <c r="AD64" s="38">
        <v>35066.67</v>
      </c>
      <c r="AE64" s="38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3874</v>
      </c>
      <c r="AK64" s="35" t="s">
        <v>1925</v>
      </c>
      <c r="AL64" s="35" t="s">
        <v>1165</v>
      </c>
      <c r="AM64" s="35" t="s">
        <v>1363</v>
      </c>
      <c r="AN64" s="35" t="s">
        <v>1965</v>
      </c>
      <c r="AO64" s="35">
        <v>12</v>
      </c>
      <c r="AP64" s="35">
        <v>16</v>
      </c>
      <c r="AQ64" s="35" t="s">
        <v>1008</v>
      </c>
      <c r="AR64" s="35" t="s">
        <v>1230</v>
      </c>
      <c r="AS64" s="35" t="s">
        <v>1364</v>
      </c>
      <c r="AT64" s="35" t="s">
        <v>1365</v>
      </c>
      <c r="AU64" s="35"/>
      <c r="AV64" s="35" t="s">
        <v>1366</v>
      </c>
      <c r="AW64" s="35" t="s">
        <v>1367</v>
      </c>
      <c r="AX64" s="35" t="s">
        <v>353</v>
      </c>
      <c r="AY64" s="35" t="s">
        <v>271</v>
      </c>
      <c r="AZ64" s="35"/>
      <c r="BA64" s="35"/>
      <c r="BB64" s="35" t="s">
        <v>272</v>
      </c>
      <c r="BC64" s="35" t="s">
        <v>273</v>
      </c>
      <c r="BD64" s="35" t="s">
        <v>274</v>
      </c>
      <c r="BE64" s="35" t="s">
        <v>271</v>
      </c>
      <c r="BF64" s="35">
        <v>5100</v>
      </c>
      <c r="BG64" s="35"/>
      <c r="BH64" s="35">
        <v>0</v>
      </c>
      <c r="BI64" s="35">
        <v>0</v>
      </c>
      <c r="BJ64" s="35"/>
      <c r="BK64" s="35" t="s">
        <v>585</v>
      </c>
      <c r="BL64" s="35" t="s">
        <v>1368</v>
      </c>
      <c r="BM64" s="35"/>
      <c r="BN64" s="35"/>
      <c r="BO64" s="35"/>
      <c r="BP64" s="35"/>
    </row>
    <row r="65" spans="1:68" x14ac:dyDescent="0.3">
      <c r="A65" s="35" t="s">
        <v>49</v>
      </c>
      <c r="B65" s="35" t="s">
        <v>450</v>
      </c>
      <c r="C65" s="35" t="s">
        <v>451</v>
      </c>
      <c r="D65" s="35" t="s">
        <v>388</v>
      </c>
      <c r="E65" s="35" t="s">
        <v>170</v>
      </c>
      <c r="F65" s="35" t="s">
        <v>171</v>
      </c>
      <c r="G65" s="35" t="s">
        <v>1837</v>
      </c>
      <c r="H65" s="35" t="s">
        <v>186</v>
      </c>
      <c r="I65" s="35"/>
      <c r="J65" s="35" t="s">
        <v>47</v>
      </c>
      <c r="K65" s="35" t="s">
        <v>43</v>
      </c>
      <c r="L65" s="35"/>
      <c r="M65" s="35">
        <v>6</v>
      </c>
      <c r="N65" s="35" t="s">
        <v>262</v>
      </c>
      <c r="O65" s="35" t="s">
        <v>263</v>
      </c>
      <c r="P65" s="35" t="s">
        <v>52</v>
      </c>
      <c r="Q65" s="35"/>
      <c r="R65" s="35" t="s">
        <v>126</v>
      </c>
      <c r="S65" s="35" t="s">
        <v>1178</v>
      </c>
      <c r="T65" s="35">
        <v>0</v>
      </c>
      <c r="U65" s="35" t="s">
        <v>264</v>
      </c>
      <c r="V65" s="35">
        <v>0</v>
      </c>
      <c r="W65" s="35" t="s">
        <v>265</v>
      </c>
      <c r="X65" s="35">
        <v>70000</v>
      </c>
      <c r="Y65" s="35">
        <v>4.99</v>
      </c>
      <c r="Z65" s="38">
        <v>5320.0466666666662</v>
      </c>
      <c r="AA65" s="38">
        <v>4375</v>
      </c>
      <c r="AB65" s="35" t="s">
        <v>95</v>
      </c>
      <c r="AC65" s="38">
        <v>65625.05</v>
      </c>
      <c r="AD65" s="38">
        <v>65625</v>
      </c>
      <c r="AE65" s="38">
        <v>0.05</v>
      </c>
      <c r="AF65" s="38">
        <v>0</v>
      </c>
      <c r="AG65" s="38">
        <v>0</v>
      </c>
      <c r="AH65" s="38">
        <v>0</v>
      </c>
      <c r="AI65" s="38">
        <v>0.05</v>
      </c>
      <c r="AJ65" s="38">
        <v>5320</v>
      </c>
      <c r="AK65" s="35" t="s">
        <v>1925</v>
      </c>
      <c r="AL65" s="35" t="s">
        <v>1640</v>
      </c>
      <c r="AM65" s="35" t="s">
        <v>1824</v>
      </c>
      <c r="AN65" s="35" t="s">
        <v>1965</v>
      </c>
      <c r="AO65" s="35">
        <v>15</v>
      </c>
      <c r="AP65" s="35">
        <v>16</v>
      </c>
      <c r="AQ65" s="35" t="s">
        <v>1844</v>
      </c>
      <c r="AR65" s="35" t="s">
        <v>1845</v>
      </c>
      <c r="AS65" s="35" t="s">
        <v>1846</v>
      </c>
      <c r="AT65" s="35" t="s">
        <v>1847</v>
      </c>
      <c r="AU65" s="35"/>
      <c r="AV65" s="35" t="s">
        <v>1848</v>
      </c>
      <c r="AW65" s="35" t="s">
        <v>1849</v>
      </c>
      <c r="AX65" s="35" t="s">
        <v>627</v>
      </c>
      <c r="AY65" s="35" t="s">
        <v>338</v>
      </c>
      <c r="AZ65" s="35" t="s">
        <v>1850</v>
      </c>
      <c r="BA65" s="35"/>
      <c r="BB65" s="35" t="s">
        <v>272</v>
      </c>
      <c r="BC65" s="35" t="s">
        <v>273</v>
      </c>
      <c r="BD65" s="35" t="s">
        <v>274</v>
      </c>
      <c r="BE65" s="35" t="s">
        <v>271</v>
      </c>
      <c r="BF65" s="35">
        <v>7000</v>
      </c>
      <c r="BG65" s="35"/>
      <c r="BH65" s="35">
        <v>1</v>
      </c>
      <c r="BI65" s="35">
        <v>1</v>
      </c>
      <c r="BJ65" s="35"/>
      <c r="BK65" s="35" t="s">
        <v>585</v>
      </c>
      <c r="BL65" s="35" t="s">
        <v>1851</v>
      </c>
      <c r="BM65" s="35"/>
      <c r="BN65" s="35"/>
      <c r="BO65" s="35"/>
      <c r="BP65" s="35"/>
    </row>
    <row r="66" spans="1:68" x14ac:dyDescent="0.3">
      <c r="A66" s="35" t="s">
        <v>43</v>
      </c>
      <c r="B66" s="35" t="s">
        <v>44</v>
      </c>
      <c r="C66" s="35" t="s">
        <v>460</v>
      </c>
      <c r="D66" s="35" t="s">
        <v>396</v>
      </c>
      <c r="E66" s="35" t="s">
        <v>154</v>
      </c>
      <c r="F66" s="35" t="s">
        <v>155</v>
      </c>
      <c r="G66" s="35" t="s">
        <v>566</v>
      </c>
      <c r="H66" s="35" t="s">
        <v>428</v>
      </c>
      <c r="I66" s="35"/>
      <c r="J66" s="35" t="s">
        <v>47</v>
      </c>
      <c r="K66" s="35" t="s">
        <v>43</v>
      </c>
      <c r="L66" s="35"/>
      <c r="M66" s="35">
        <v>8</v>
      </c>
      <c r="N66" s="35" t="s">
        <v>262</v>
      </c>
      <c r="O66" s="35" t="s">
        <v>263</v>
      </c>
      <c r="P66" s="35" t="s">
        <v>52</v>
      </c>
      <c r="Q66" s="35"/>
      <c r="R66" s="35" t="s">
        <v>146</v>
      </c>
      <c r="S66" s="35" t="s">
        <v>198</v>
      </c>
      <c r="T66" s="35">
        <v>0</v>
      </c>
      <c r="U66" s="35" t="s">
        <v>264</v>
      </c>
      <c r="V66" s="35">
        <v>0</v>
      </c>
      <c r="W66" s="35" t="s">
        <v>265</v>
      </c>
      <c r="X66" s="35">
        <v>150000</v>
      </c>
      <c r="Y66" s="35">
        <v>4.99</v>
      </c>
      <c r="Z66" s="38">
        <v>11400.1</v>
      </c>
      <c r="AA66" s="38">
        <v>9375</v>
      </c>
      <c r="AB66" s="35" t="s">
        <v>95</v>
      </c>
      <c r="AC66" s="38">
        <v>65625</v>
      </c>
      <c r="AD66" s="38">
        <v>65625</v>
      </c>
      <c r="AE66" s="38">
        <v>0</v>
      </c>
      <c r="AF66" s="38">
        <v>0</v>
      </c>
      <c r="AG66" s="38">
        <v>0</v>
      </c>
      <c r="AH66" s="38">
        <v>0</v>
      </c>
      <c r="AI66" s="38">
        <v>0</v>
      </c>
      <c r="AJ66" s="38">
        <v>11408</v>
      </c>
      <c r="AK66" s="35" t="s">
        <v>1823</v>
      </c>
      <c r="AL66" s="35" t="s">
        <v>400</v>
      </c>
      <c r="AM66" s="35" t="s">
        <v>578</v>
      </c>
      <c r="AN66" s="35" t="s">
        <v>2004</v>
      </c>
      <c r="AO66" s="35">
        <v>7</v>
      </c>
      <c r="AP66" s="35">
        <v>16</v>
      </c>
      <c r="AQ66" s="35" t="s">
        <v>579</v>
      </c>
      <c r="AR66" s="35" t="s">
        <v>580</v>
      </c>
      <c r="AS66" s="35" t="s">
        <v>581</v>
      </c>
      <c r="AT66" s="35" t="s">
        <v>582</v>
      </c>
      <c r="AU66" s="35"/>
      <c r="AV66" s="35" t="s">
        <v>583</v>
      </c>
      <c r="AW66" s="35" t="s">
        <v>584</v>
      </c>
      <c r="AX66" s="35" t="s">
        <v>555</v>
      </c>
      <c r="AY66" s="35" t="s">
        <v>271</v>
      </c>
      <c r="AZ66" s="35" t="s">
        <v>567</v>
      </c>
      <c r="BA66" s="35"/>
      <c r="BB66" s="35" t="s">
        <v>272</v>
      </c>
      <c r="BC66" s="35" t="s">
        <v>273</v>
      </c>
      <c r="BD66" s="35" t="s">
        <v>274</v>
      </c>
      <c r="BE66" s="35" t="s">
        <v>271</v>
      </c>
      <c r="BF66" s="35">
        <v>15000</v>
      </c>
      <c r="BG66" s="35"/>
      <c r="BH66" s="35">
        <v>0</v>
      </c>
      <c r="BI66" s="35">
        <v>0</v>
      </c>
      <c r="BJ66" s="35"/>
      <c r="BK66" s="35" t="s">
        <v>585</v>
      </c>
      <c r="BL66" s="35" t="s">
        <v>586</v>
      </c>
      <c r="BM66" s="35"/>
      <c r="BN66" s="35"/>
      <c r="BO66" s="35"/>
      <c r="BP66" s="35"/>
    </row>
    <row r="67" spans="1:68" x14ac:dyDescent="0.3">
      <c r="A67" s="35" t="s">
        <v>43</v>
      </c>
      <c r="B67" s="35" t="s">
        <v>44</v>
      </c>
      <c r="C67" s="35" t="s">
        <v>460</v>
      </c>
      <c r="D67" s="35" t="s">
        <v>396</v>
      </c>
      <c r="E67" s="35" t="s">
        <v>154</v>
      </c>
      <c r="F67" s="35" t="s">
        <v>155</v>
      </c>
      <c r="G67" s="35" t="s">
        <v>1209</v>
      </c>
      <c r="H67" s="35" t="s">
        <v>1161</v>
      </c>
      <c r="I67" s="35"/>
      <c r="J67" s="35" t="s">
        <v>47</v>
      </c>
      <c r="K67" s="35" t="s">
        <v>43</v>
      </c>
      <c r="L67" s="35"/>
      <c r="M67" s="35">
        <v>6</v>
      </c>
      <c r="N67" s="35" t="s">
        <v>262</v>
      </c>
      <c r="O67" s="35" t="s">
        <v>263</v>
      </c>
      <c r="P67" s="35" t="s">
        <v>52</v>
      </c>
      <c r="Q67" s="35"/>
      <c r="R67" s="35" t="s">
        <v>124</v>
      </c>
      <c r="S67" s="35" t="s">
        <v>125</v>
      </c>
      <c r="T67" s="35">
        <v>0</v>
      </c>
      <c r="U67" s="35" t="s">
        <v>264</v>
      </c>
      <c r="V67" s="35">
        <v>0</v>
      </c>
      <c r="W67" s="35" t="s">
        <v>265</v>
      </c>
      <c r="X67" s="35">
        <v>62000</v>
      </c>
      <c r="Y67" s="35">
        <v>4.99</v>
      </c>
      <c r="Z67" s="38">
        <v>4712.0413333333327</v>
      </c>
      <c r="AA67" s="38">
        <v>3875</v>
      </c>
      <c r="AB67" s="35" t="s">
        <v>95</v>
      </c>
      <c r="AC67" s="38">
        <v>42625</v>
      </c>
      <c r="AD67" s="38">
        <v>42625</v>
      </c>
      <c r="AE67" s="38">
        <v>0</v>
      </c>
      <c r="AF67" s="38">
        <v>0</v>
      </c>
      <c r="AG67" s="38">
        <v>0</v>
      </c>
      <c r="AH67" s="38">
        <v>0</v>
      </c>
      <c r="AI67" s="38">
        <v>0</v>
      </c>
      <c r="AJ67" s="38">
        <v>4718</v>
      </c>
      <c r="AK67" s="35" t="s">
        <v>1843</v>
      </c>
      <c r="AL67" s="35" t="s">
        <v>1107</v>
      </c>
      <c r="AM67" s="35" t="s">
        <v>1214</v>
      </c>
      <c r="AN67" s="35" t="s">
        <v>2042</v>
      </c>
      <c r="AO67" s="35">
        <v>11</v>
      </c>
      <c r="AP67" s="35">
        <v>16</v>
      </c>
      <c r="AQ67" s="35" t="s">
        <v>1222</v>
      </c>
      <c r="AR67" s="35" t="s">
        <v>1223</v>
      </c>
      <c r="AS67" s="35" t="s">
        <v>1224</v>
      </c>
      <c r="AT67" s="35" t="s">
        <v>1225</v>
      </c>
      <c r="AU67" s="35"/>
      <c r="AV67" s="35" t="s">
        <v>1226</v>
      </c>
      <c r="AW67" s="35" t="s">
        <v>711</v>
      </c>
      <c r="AX67" s="35" t="s">
        <v>322</v>
      </c>
      <c r="AY67" s="35" t="s">
        <v>271</v>
      </c>
      <c r="AZ67" s="35" t="s">
        <v>1227</v>
      </c>
      <c r="BA67" s="35"/>
      <c r="BB67" s="35" t="s">
        <v>272</v>
      </c>
      <c r="BC67" s="35" t="s">
        <v>273</v>
      </c>
      <c r="BD67" s="35" t="s">
        <v>274</v>
      </c>
      <c r="BE67" s="35" t="s">
        <v>271</v>
      </c>
      <c r="BF67" s="35">
        <v>6200</v>
      </c>
      <c r="BG67" s="35"/>
      <c r="BH67" s="35">
        <v>0</v>
      </c>
      <c r="BI67" s="35">
        <v>0</v>
      </c>
      <c r="BJ67" s="35"/>
      <c r="BK67" s="35" t="s">
        <v>585</v>
      </c>
      <c r="BL67" s="35" t="s">
        <v>1228</v>
      </c>
      <c r="BM67" s="35"/>
      <c r="BN67" s="35"/>
      <c r="BO67" s="35"/>
      <c r="BP67" s="35"/>
    </row>
    <row r="68" spans="1:68" x14ac:dyDescent="0.3">
      <c r="A68" s="35" t="s">
        <v>49</v>
      </c>
      <c r="B68" s="35" t="s">
        <v>450</v>
      </c>
      <c r="C68" s="35" t="s">
        <v>451</v>
      </c>
      <c r="D68" s="35" t="s">
        <v>388</v>
      </c>
      <c r="E68" s="35" t="s">
        <v>170</v>
      </c>
      <c r="F68" s="35" t="s">
        <v>171</v>
      </c>
      <c r="G68" s="35" t="s">
        <v>1274</v>
      </c>
      <c r="H68" s="35" t="s">
        <v>1199</v>
      </c>
      <c r="I68" s="35"/>
      <c r="J68" s="35" t="s">
        <v>47</v>
      </c>
      <c r="K68" s="35" t="s">
        <v>43</v>
      </c>
      <c r="L68" s="35"/>
      <c r="M68" s="35">
        <v>5</v>
      </c>
      <c r="N68" s="35" t="s">
        <v>262</v>
      </c>
      <c r="O68" s="35" t="s">
        <v>263</v>
      </c>
      <c r="P68" s="35" t="s">
        <v>52</v>
      </c>
      <c r="Q68" s="35"/>
      <c r="R68" s="35" t="s">
        <v>197</v>
      </c>
      <c r="S68" s="35" t="s">
        <v>160</v>
      </c>
      <c r="T68" s="35">
        <v>0</v>
      </c>
      <c r="U68" s="35" t="s">
        <v>264</v>
      </c>
      <c r="V68" s="35">
        <v>0</v>
      </c>
      <c r="W68" s="35" t="s">
        <v>265</v>
      </c>
      <c r="X68" s="35">
        <v>140000</v>
      </c>
      <c r="Y68" s="35">
        <v>4.99</v>
      </c>
      <c r="Z68" s="38">
        <v>10640.0933333333</v>
      </c>
      <c r="AA68" s="38">
        <v>8750</v>
      </c>
      <c r="AB68" s="35" t="s">
        <v>95</v>
      </c>
      <c r="AC68" s="38">
        <v>96250</v>
      </c>
      <c r="AD68" s="38">
        <v>96250</v>
      </c>
      <c r="AE68" s="38">
        <v>0</v>
      </c>
      <c r="AF68" s="38">
        <v>0</v>
      </c>
      <c r="AG68" s="38">
        <v>0</v>
      </c>
      <c r="AH68" s="38">
        <v>0</v>
      </c>
      <c r="AI68" s="38">
        <v>0</v>
      </c>
      <c r="AJ68" s="38">
        <v>10643</v>
      </c>
      <c r="AK68" s="35" t="s">
        <v>1884</v>
      </c>
      <c r="AL68" s="35" t="s">
        <v>1132</v>
      </c>
      <c r="AM68" s="35" t="s">
        <v>1282</v>
      </c>
      <c r="AN68" s="35" t="s">
        <v>2014</v>
      </c>
      <c r="AO68" s="35">
        <v>11</v>
      </c>
      <c r="AP68" s="35">
        <v>16</v>
      </c>
      <c r="AQ68" s="35" t="s">
        <v>1283</v>
      </c>
      <c r="AR68" s="35" t="s">
        <v>1284</v>
      </c>
      <c r="AS68" s="35" t="s">
        <v>1285</v>
      </c>
      <c r="AT68" s="35" t="s">
        <v>1286</v>
      </c>
      <c r="AU68" s="35"/>
      <c r="AV68" s="35" t="s">
        <v>1287</v>
      </c>
      <c r="AW68" s="35" t="s">
        <v>1288</v>
      </c>
      <c r="AX68" s="35" t="s">
        <v>1289</v>
      </c>
      <c r="AY68" s="35" t="s">
        <v>338</v>
      </c>
      <c r="AZ68" s="35" t="s">
        <v>1290</v>
      </c>
      <c r="BA68" s="35"/>
      <c r="BB68" s="35" t="s">
        <v>272</v>
      </c>
      <c r="BC68" s="35" t="s">
        <v>273</v>
      </c>
      <c r="BD68" s="35" t="s">
        <v>274</v>
      </c>
      <c r="BE68" s="35" t="s">
        <v>271</v>
      </c>
      <c r="BF68" s="35">
        <v>14000</v>
      </c>
      <c r="BG68" s="35"/>
      <c r="BH68" s="35">
        <v>0</v>
      </c>
      <c r="BI68" s="35">
        <v>0</v>
      </c>
      <c r="BJ68" s="35"/>
      <c r="BK68" s="35" t="s">
        <v>585</v>
      </c>
      <c r="BL68" s="35" t="s">
        <v>1291</v>
      </c>
      <c r="BM68" s="35"/>
      <c r="BN68" s="35"/>
      <c r="BO68" s="35"/>
      <c r="BP68" s="35"/>
    </row>
    <row r="69" spans="1:68" x14ac:dyDescent="0.3">
      <c r="A69" s="35" t="s">
        <v>43</v>
      </c>
      <c r="B69" s="35" t="s">
        <v>44</v>
      </c>
      <c r="C69" s="35" t="s">
        <v>41</v>
      </c>
      <c r="D69" s="35" t="s">
        <v>42</v>
      </c>
      <c r="E69" s="35" t="s">
        <v>1163</v>
      </c>
      <c r="F69" s="35" t="s">
        <v>1685</v>
      </c>
      <c r="G69" s="35" t="s">
        <v>1686</v>
      </c>
      <c r="H69" s="35" t="s">
        <v>1600</v>
      </c>
      <c r="I69" s="35"/>
      <c r="J69" s="35" t="s">
        <v>47</v>
      </c>
      <c r="K69" s="35" t="s">
        <v>47</v>
      </c>
      <c r="L69" s="35"/>
      <c r="M69" s="35">
        <v>5</v>
      </c>
      <c r="N69" s="35" t="s">
        <v>262</v>
      </c>
      <c r="O69" s="35" t="s">
        <v>263</v>
      </c>
      <c r="P69" s="35" t="s">
        <v>52</v>
      </c>
      <c r="Q69" s="35"/>
      <c r="R69" s="35" t="s">
        <v>124</v>
      </c>
      <c r="S69" s="35" t="s">
        <v>185</v>
      </c>
      <c r="T69" s="35">
        <v>0</v>
      </c>
      <c r="U69" s="35" t="s">
        <v>264</v>
      </c>
      <c r="V69" s="35">
        <v>0</v>
      </c>
      <c r="W69" s="35" t="s">
        <v>265</v>
      </c>
      <c r="X69" s="35">
        <v>62000</v>
      </c>
      <c r="Y69" s="35">
        <v>4.99</v>
      </c>
      <c r="Z69" s="38">
        <v>4712.0413333333327</v>
      </c>
      <c r="AA69" s="38">
        <v>3875</v>
      </c>
      <c r="AB69" s="35" t="s">
        <v>95</v>
      </c>
      <c r="AC69" s="38">
        <v>54250</v>
      </c>
      <c r="AD69" s="38">
        <v>54250</v>
      </c>
      <c r="AE69" s="38">
        <v>0</v>
      </c>
      <c r="AF69" s="38">
        <v>0</v>
      </c>
      <c r="AG69" s="38">
        <v>0</v>
      </c>
      <c r="AH69" s="38">
        <v>0</v>
      </c>
      <c r="AI69" s="38">
        <v>0</v>
      </c>
      <c r="AJ69" s="38">
        <v>4712</v>
      </c>
      <c r="AK69" s="35" t="s">
        <v>1843</v>
      </c>
      <c r="AL69" s="35" t="s">
        <v>1566</v>
      </c>
      <c r="AM69" s="35" t="s">
        <v>1700</v>
      </c>
      <c r="AN69" s="35" t="s">
        <v>2042</v>
      </c>
      <c r="AO69" s="35">
        <v>14</v>
      </c>
      <c r="AP69" s="35">
        <v>16</v>
      </c>
      <c r="AQ69" s="35" t="s">
        <v>1706</v>
      </c>
      <c r="AR69" s="35" t="s">
        <v>1707</v>
      </c>
      <c r="AS69" s="35" t="s">
        <v>1708</v>
      </c>
      <c r="AT69" s="35" t="s">
        <v>1709</v>
      </c>
      <c r="AU69" s="35"/>
      <c r="AV69" s="35" t="s">
        <v>1710</v>
      </c>
      <c r="AW69" s="35" t="s">
        <v>447</v>
      </c>
      <c r="AX69" s="35" t="s">
        <v>274</v>
      </c>
      <c r="AY69" s="35" t="s">
        <v>271</v>
      </c>
      <c r="AZ69" s="35"/>
      <c r="BA69" s="35"/>
      <c r="BB69" s="35" t="s">
        <v>272</v>
      </c>
      <c r="BC69" s="35" t="s">
        <v>273</v>
      </c>
      <c r="BD69" s="35" t="s">
        <v>274</v>
      </c>
      <c r="BE69" s="35" t="s">
        <v>271</v>
      </c>
      <c r="BF69" s="35">
        <v>6200</v>
      </c>
      <c r="BG69" s="35"/>
      <c r="BH69" s="35">
        <v>0</v>
      </c>
      <c r="BI69" s="35">
        <v>0</v>
      </c>
      <c r="BJ69" s="35"/>
      <c r="BK69" s="35" t="s">
        <v>585</v>
      </c>
      <c r="BL69" s="35" t="s">
        <v>1711</v>
      </c>
      <c r="BM69" s="35"/>
      <c r="BN69" s="35"/>
      <c r="BO69" s="35"/>
      <c r="BP69" s="35"/>
    </row>
    <row r="70" spans="1:68" x14ac:dyDescent="0.3">
      <c r="A70" s="35" t="s">
        <v>43</v>
      </c>
      <c r="B70" s="35" t="s">
        <v>44</v>
      </c>
      <c r="C70" s="35" t="s">
        <v>41</v>
      </c>
      <c r="D70" s="35" t="s">
        <v>42</v>
      </c>
      <c r="E70" s="35" t="s">
        <v>883</v>
      </c>
      <c r="F70" s="35" t="s">
        <v>884</v>
      </c>
      <c r="G70" s="35" t="s">
        <v>1268</v>
      </c>
      <c r="H70" s="35" t="s">
        <v>1269</v>
      </c>
      <c r="I70" s="35"/>
      <c r="J70" s="35" t="s">
        <v>47</v>
      </c>
      <c r="K70" s="35" t="s">
        <v>47</v>
      </c>
      <c r="L70" s="35"/>
      <c r="M70" s="35">
        <v>5</v>
      </c>
      <c r="N70" s="35" t="s">
        <v>262</v>
      </c>
      <c r="O70" s="35" t="s">
        <v>263</v>
      </c>
      <c r="P70" s="35" t="s">
        <v>52</v>
      </c>
      <c r="Q70" s="35"/>
      <c r="R70" s="35" t="s">
        <v>124</v>
      </c>
      <c r="S70" s="35" t="s">
        <v>198</v>
      </c>
      <c r="T70" s="35">
        <v>0</v>
      </c>
      <c r="U70" s="35" t="s">
        <v>264</v>
      </c>
      <c r="V70" s="35">
        <v>0</v>
      </c>
      <c r="W70" s="35" t="s">
        <v>265</v>
      </c>
      <c r="X70" s="35">
        <v>108000</v>
      </c>
      <c r="Y70" s="35">
        <v>4.99</v>
      </c>
      <c r="Z70" s="38">
        <v>8208.0720000000001</v>
      </c>
      <c r="AA70" s="38">
        <v>6750</v>
      </c>
      <c r="AB70" s="35" t="s">
        <v>95</v>
      </c>
      <c r="AC70" s="38">
        <v>74250.210000000006</v>
      </c>
      <c r="AD70" s="38">
        <v>74250</v>
      </c>
      <c r="AE70" s="38">
        <v>0.21</v>
      </c>
      <c r="AF70" s="38">
        <v>0.01</v>
      </c>
      <c r="AG70" s="38">
        <v>0</v>
      </c>
      <c r="AH70" s="38">
        <v>0</v>
      </c>
      <c r="AI70" s="38">
        <v>0.22</v>
      </c>
      <c r="AJ70" s="38">
        <v>8208</v>
      </c>
      <c r="AK70" s="35" t="s">
        <v>1843</v>
      </c>
      <c r="AL70" s="35" t="s">
        <v>1107</v>
      </c>
      <c r="AM70" s="35" t="s">
        <v>1214</v>
      </c>
      <c r="AN70" s="35" t="s">
        <v>2042</v>
      </c>
      <c r="AO70" s="35">
        <v>11</v>
      </c>
      <c r="AP70" s="35">
        <v>16</v>
      </c>
      <c r="AQ70" s="35" t="s">
        <v>1292</v>
      </c>
      <c r="AR70" s="35" t="s">
        <v>1293</v>
      </c>
      <c r="AS70" s="35" t="s">
        <v>1294</v>
      </c>
      <c r="AT70" s="35" t="s">
        <v>1295</v>
      </c>
      <c r="AU70" s="35"/>
      <c r="AV70" s="35" t="s">
        <v>1296</v>
      </c>
      <c r="AW70" s="35" t="s">
        <v>1297</v>
      </c>
      <c r="AX70" s="35" t="s">
        <v>555</v>
      </c>
      <c r="AY70" s="35" t="s">
        <v>271</v>
      </c>
      <c r="AZ70" s="35"/>
      <c r="BA70" s="35"/>
      <c r="BB70" s="35" t="s">
        <v>1059</v>
      </c>
      <c r="BC70" s="35" t="s">
        <v>273</v>
      </c>
      <c r="BD70" s="35" t="s">
        <v>270</v>
      </c>
      <c r="BE70" s="35" t="s">
        <v>271</v>
      </c>
      <c r="BF70" s="35">
        <v>10800</v>
      </c>
      <c r="BG70" s="35"/>
      <c r="BH70" s="35">
        <v>0</v>
      </c>
      <c r="BI70" s="35">
        <v>0</v>
      </c>
      <c r="BJ70" s="35"/>
      <c r="BK70" s="35" t="s">
        <v>585</v>
      </c>
      <c r="BL70" s="35" t="s">
        <v>1298</v>
      </c>
      <c r="BM70" s="35"/>
      <c r="BN70" s="35"/>
      <c r="BO70" s="35"/>
      <c r="BP70" s="35"/>
    </row>
    <row r="71" spans="1:68" x14ac:dyDescent="0.3">
      <c r="A71" s="35" t="s">
        <v>43</v>
      </c>
      <c r="B71" s="35" t="s">
        <v>44</v>
      </c>
      <c r="C71" s="35" t="s">
        <v>460</v>
      </c>
      <c r="D71" s="35" t="s">
        <v>396</v>
      </c>
      <c r="E71" s="35" t="s">
        <v>154</v>
      </c>
      <c r="F71" s="35" t="s">
        <v>155</v>
      </c>
      <c r="G71" s="35" t="s">
        <v>1688</v>
      </c>
      <c r="H71" s="35" t="s">
        <v>1601</v>
      </c>
      <c r="I71" s="35"/>
      <c r="J71" s="35" t="s">
        <v>47</v>
      </c>
      <c r="K71" s="35" t="s">
        <v>43</v>
      </c>
      <c r="L71" s="35"/>
      <c r="M71" s="35">
        <v>6</v>
      </c>
      <c r="N71" s="35" t="s">
        <v>262</v>
      </c>
      <c r="O71" s="35" t="s">
        <v>263</v>
      </c>
      <c r="P71" s="35" t="s">
        <v>52</v>
      </c>
      <c r="Q71" s="35"/>
      <c r="R71" s="35" t="s">
        <v>124</v>
      </c>
      <c r="S71" s="35" t="s">
        <v>1178</v>
      </c>
      <c r="T71" s="35">
        <v>0</v>
      </c>
      <c r="U71" s="35" t="s">
        <v>264</v>
      </c>
      <c r="V71" s="35">
        <v>0</v>
      </c>
      <c r="W71" s="35" t="s">
        <v>265</v>
      </c>
      <c r="X71" s="35">
        <v>54000</v>
      </c>
      <c r="Y71" s="35">
        <v>4.99</v>
      </c>
      <c r="Z71" s="38">
        <v>4104.0360000000001</v>
      </c>
      <c r="AA71" s="38">
        <v>3375</v>
      </c>
      <c r="AB71" s="35" t="s">
        <v>95</v>
      </c>
      <c r="AC71" s="38">
        <v>47250</v>
      </c>
      <c r="AD71" s="38">
        <v>47250</v>
      </c>
      <c r="AE71" s="38">
        <v>0</v>
      </c>
      <c r="AF71" s="38">
        <v>0</v>
      </c>
      <c r="AG71" s="38">
        <v>0</v>
      </c>
      <c r="AH71" s="38">
        <v>0</v>
      </c>
      <c r="AI71" s="38">
        <v>0</v>
      </c>
      <c r="AJ71" s="38">
        <v>4110</v>
      </c>
      <c r="AK71" s="35" t="s">
        <v>1843</v>
      </c>
      <c r="AL71" s="35" t="s">
        <v>1566</v>
      </c>
      <c r="AM71" s="35" t="s">
        <v>1700</v>
      </c>
      <c r="AN71" s="35" t="s">
        <v>2042</v>
      </c>
      <c r="AO71" s="35">
        <v>14</v>
      </c>
      <c r="AP71" s="35">
        <v>16</v>
      </c>
      <c r="AQ71" s="35" t="s">
        <v>1712</v>
      </c>
      <c r="AR71" s="35" t="s">
        <v>1713</v>
      </c>
      <c r="AS71" s="35" t="s">
        <v>1714</v>
      </c>
      <c r="AT71" s="35" t="s">
        <v>1715</v>
      </c>
      <c r="AU71" s="35"/>
      <c r="AV71" s="35" t="s">
        <v>1716</v>
      </c>
      <c r="AW71" s="35" t="s">
        <v>1717</v>
      </c>
      <c r="AX71" s="35" t="s">
        <v>322</v>
      </c>
      <c r="AY71" s="35" t="s">
        <v>271</v>
      </c>
      <c r="AZ71" s="35" t="s">
        <v>1693</v>
      </c>
      <c r="BA71" s="35"/>
      <c r="BB71" s="35" t="s">
        <v>272</v>
      </c>
      <c r="BC71" s="35" t="s">
        <v>273</v>
      </c>
      <c r="BD71" s="35" t="s">
        <v>274</v>
      </c>
      <c r="BE71" s="35" t="s">
        <v>271</v>
      </c>
      <c r="BF71" s="35">
        <v>5400</v>
      </c>
      <c r="BG71" s="35"/>
      <c r="BH71" s="35">
        <v>0</v>
      </c>
      <c r="BI71" s="35">
        <v>0</v>
      </c>
      <c r="BJ71" s="35"/>
      <c r="BK71" s="35" t="s">
        <v>585</v>
      </c>
      <c r="BL71" s="35" t="s">
        <v>1718</v>
      </c>
      <c r="BM71" s="35"/>
      <c r="BN71" s="35"/>
      <c r="BO71" s="35"/>
      <c r="BP71" s="35"/>
    </row>
    <row r="72" spans="1:68" x14ac:dyDescent="0.3">
      <c r="A72" s="35" t="s">
        <v>43</v>
      </c>
      <c r="B72" s="35" t="s">
        <v>44</v>
      </c>
      <c r="C72" s="35" t="s">
        <v>460</v>
      </c>
      <c r="D72" s="35" t="s">
        <v>396</v>
      </c>
      <c r="E72" s="35" t="s">
        <v>501</v>
      </c>
      <c r="F72" s="35" t="s">
        <v>502</v>
      </c>
      <c r="G72" s="35" t="s">
        <v>1210</v>
      </c>
      <c r="H72" s="35" t="s">
        <v>1160</v>
      </c>
      <c r="I72" s="35"/>
      <c r="J72" s="35" t="s">
        <v>47</v>
      </c>
      <c r="K72" s="35" t="s">
        <v>47</v>
      </c>
      <c r="L72" s="35"/>
      <c r="M72" s="35">
        <v>8</v>
      </c>
      <c r="N72" s="35" t="s">
        <v>262</v>
      </c>
      <c r="O72" s="35" t="s">
        <v>263</v>
      </c>
      <c r="P72" s="35" t="s">
        <v>52</v>
      </c>
      <c r="Q72" s="35"/>
      <c r="R72" s="35" t="s">
        <v>124</v>
      </c>
      <c r="S72" s="35" t="s">
        <v>160</v>
      </c>
      <c r="T72" s="35">
        <v>0</v>
      </c>
      <c r="U72" s="35" t="s">
        <v>264</v>
      </c>
      <c r="V72" s="35">
        <v>0</v>
      </c>
      <c r="W72" s="35" t="s">
        <v>265</v>
      </c>
      <c r="X72" s="35">
        <v>125000</v>
      </c>
      <c r="Y72" s="35">
        <v>4.99</v>
      </c>
      <c r="Z72" s="38">
        <v>9500.0833333333339</v>
      </c>
      <c r="AA72" s="38">
        <v>7812.5</v>
      </c>
      <c r="AB72" s="35" t="s">
        <v>95</v>
      </c>
      <c r="AC72" s="38">
        <v>85937.5</v>
      </c>
      <c r="AD72" s="38">
        <v>85937.5</v>
      </c>
      <c r="AE72" s="38">
        <v>0</v>
      </c>
      <c r="AF72" s="38">
        <v>0</v>
      </c>
      <c r="AG72" s="38">
        <v>0</v>
      </c>
      <c r="AH72" s="38">
        <v>0</v>
      </c>
      <c r="AI72" s="38">
        <v>0</v>
      </c>
      <c r="AJ72" s="38">
        <v>9508</v>
      </c>
      <c r="AK72" s="35" t="s">
        <v>1843</v>
      </c>
      <c r="AL72" s="35" t="s">
        <v>1107</v>
      </c>
      <c r="AM72" s="35" t="s">
        <v>1214</v>
      </c>
      <c r="AN72" s="35" t="s">
        <v>2042</v>
      </c>
      <c r="AO72" s="35">
        <v>11</v>
      </c>
      <c r="AP72" s="35">
        <v>16</v>
      </c>
      <c r="AQ72" s="35" t="s">
        <v>1215</v>
      </c>
      <c r="AR72" s="35" t="s">
        <v>1216</v>
      </c>
      <c r="AS72" s="35" t="s">
        <v>1217</v>
      </c>
      <c r="AT72" s="35" t="s">
        <v>1218</v>
      </c>
      <c r="AU72" s="35"/>
      <c r="AV72" s="35" t="s">
        <v>1219</v>
      </c>
      <c r="AW72" s="35" t="s">
        <v>1220</v>
      </c>
      <c r="AX72" s="35" t="s">
        <v>322</v>
      </c>
      <c r="AY72" s="35" t="s">
        <v>271</v>
      </c>
      <c r="AZ72" s="35"/>
      <c r="BA72" s="35"/>
      <c r="BB72" s="35" t="s">
        <v>272</v>
      </c>
      <c r="BC72" s="35" t="s">
        <v>273</v>
      </c>
      <c r="BD72" s="35" t="s">
        <v>274</v>
      </c>
      <c r="BE72" s="35" t="s">
        <v>271</v>
      </c>
      <c r="BF72" s="35">
        <v>12500</v>
      </c>
      <c r="BG72" s="35"/>
      <c r="BH72" s="35">
        <v>0</v>
      </c>
      <c r="BI72" s="35">
        <v>0</v>
      </c>
      <c r="BJ72" s="35"/>
      <c r="BK72" s="35" t="s">
        <v>585</v>
      </c>
      <c r="BL72" s="35" t="s">
        <v>1221</v>
      </c>
      <c r="BM72" s="35"/>
      <c r="BN72" s="35"/>
      <c r="BO72" s="35"/>
      <c r="BP72" s="35"/>
    </row>
    <row r="73" spans="1:68" x14ac:dyDescent="0.3">
      <c r="A73" s="35" t="s">
        <v>43</v>
      </c>
      <c r="B73" s="35" t="s">
        <v>44</v>
      </c>
      <c r="C73" s="35" t="s">
        <v>460</v>
      </c>
      <c r="D73" s="35" t="s">
        <v>396</v>
      </c>
      <c r="E73" s="35" t="s">
        <v>501</v>
      </c>
      <c r="F73" s="35" t="s">
        <v>502</v>
      </c>
      <c r="G73" s="35" t="s">
        <v>1736</v>
      </c>
      <c r="H73" s="35" t="s">
        <v>1573</v>
      </c>
      <c r="I73" s="35"/>
      <c r="J73" s="35" t="s">
        <v>47</v>
      </c>
      <c r="K73" s="35" t="s">
        <v>43</v>
      </c>
      <c r="L73" s="35"/>
      <c r="M73" s="35">
        <v>8</v>
      </c>
      <c r="N73" s="35" t="s">
        <v>262</v>
      </c>
      <c r="O73" s="35" t="s">
        <v>263</v>
      </c>
      <c r="P73" s="35" t="s">
        <v>52</v>
      </c>
      <c r="Q73" s="35"/>
      <c r="R73" s="35" t="s">
        <v>197</v>
      </c>
      <c r="S73" s="35" t="s">
        <v>1178</v>
      </c>
      <c r="T73" s="35">
        <v>0</v>
      </c>
      <c r="U73" s="35" t="s">
        <v>264</v>
      </c>
      <c r="V73" s="35">
        <v>0</v>
      </c>
      <c r="W73" s="35" t="s">
        <v>265</v>
      </c>
      <c r="X73" s="35">
        <v>126000</v>
      </c>
      <c r="Y73" s="35">
        <v>4.99</v>
      </c>
      <c r="Z73" s="38">
        <v>9576.0840000000007</v>
      </c>
      <c r="AA73" s="38">
        <v>7875</v>
      </c>
      <c r="AB73" s="35" t="s">
        <v>95</v>
      </c>
      <c r="AC73" s="38">
        <v>110250</v>
      </c>
      <c r="AD73" s="38">
        <v>110250</v>
      </c>
      <c r="AE73" s="38">
        <v>0</v>
      </c>
      <c r="AF73" s="38">
        <v>0</v>
      </c>
      <c r="AG73" s="38">
        <v>0</v>
      </c>
      <c r="AH73" s="38">
        <v>0</v>
      </c>
      <c r="AI73" s="38">
        <v>0</v>
      </c>
      <c r="AJ73" s="38">
        <v>9584</v>
      </c>
      <c r="AK73" s="35" t="s">
        <v>1884</v>
      </c>
      <c r="AL73" s="35" t="s">
        <v>1576</v>
      </c>
      <c r="AM73" s="35" t="s">
        <v>1742</v>
      </c>
      <c r="AN73" s="35" t="s">
        <v>2014</v>
      </c>
      <c r="AO73" s="35">
        <v>14</v>
      </c>
      <c r="AP73" s="35">
        <v>16</v>
      </c>
      <c r="AQ73" s="35" t="s">
        <v>1743</v>
      </c>
      <c r="AR73" s="35" t="s">
        <v>1744</v>
      </c>
      <c r="AS73" s="35" t="s">
        <v>1745</v>
      </c>
      <c r="AT73" s="35" t="s">
        <v>1746</v>
      </c>
      <c r="AU73" s="35"/>
      <c r="AV73" s="35" t="s">
        <v>1219</v>
      </c>
      <c r="AW73" s="35" t="s">
        <v>1220</v>
      </c>
      <c r="AX73" s="35" t="s">
        <v>322</v>
      </c>
      <c r="AY73" s="35" t="s">
        <v>271</v>
      </c>
      <c r="AZ73" s="35" t="s">
        <v>1747</v>
      </c>
      <c r="BA73" s="35"/>
      <c r="BB73" s="35" t="s">
        <v>272</v>
      </c>
      <c r="BC73" s="35" t="s">
        <v>273</v>
      </c>
      <c r="BD73" s="35" t="s">
        <v>274</v>
      </c>
      <c r="BE73" s="35" t="s">
        <v>271</v>
      </c>
      <c r="BF73" s="35">
        <v>12600</v>
      </c>
      <c r="BG73" s="35"/>
      <c r="BH73" s="35">
        <v>0</v>
      </c>
      <c r="BI73" s="35">
        <v>0</v>
      </c>
      <c r="BJ73" s="35"/>
      <c r="BK73" s="35" t="s">
        <v>585</v>
      </c>
      <c r="BL73" s="35" t="s">
        <v>1748</v>
      </c>
      <c r="BM73" s="35"/>
      <c r="BN73" s="35"/>
      <c r="BO73" s="35"/>
      <c r="BP73" s="35"/>
    </row>
    <row r="74" spans="1:68" x14ac:dyDescent="0.3">
      <c r="A74" s="35" t="s">
        <v>43</v>
      </c>
      <c r="B74" s="35" t="s">
        <v>44</v>
      </c>
      <c r="C74" s="35" t="s">
        <v>460</v>
      </c>
      <c r="D74" s="35" t="s">
        <v>396</v>
      </c>
      <c r="E74" s="35" t="s">
        <v>154</v>
      </c>
      <c r="F74" s="35" t="s">
        <v>155</v>
      </c>
      <c r="G74" s="35" t="s">
        <v>650</v>
      </c>
      <c r="H74" s="35" t="s">
        <v>575</v>
      </c>
      <c r="I74" s="35"/>
      <c r="J74" s="35" t="s">
        <v>47</v>
      </c>
      <c r="K74" s="35" t="s">
        <v>43</v>
      </c>
      <c r="L74" s="35"/>
      <c r="M74" s="35">
        <v>5</v>
      </c>
      <c r="N74" s="35" t="s">
        <v>262</v>
      </c>
      <c r="O74" s="35" t="s">
        <v>263</v>
      </c>
      <c r="P74" s="35" t="s">
        <v>52</v>
      </c>
      <c r="Q74" s="35"/>
      <c r="R74" s="35" t="s">
        <v>197</v>
      </c>
      <c r="S74" s="35" t="s">
        <v>169</v>
      </c>
      <c r="T74" s="35">
        <v>0</v>
      </c>
      <c r="U74" s="35" t="s">
        <v>264</v>
      </c>
      <c r="V74" s="35">
        <v>0</v>
      </c>
      <c r="W74" s="35" t="s">
        <v>265</v>
      </c>
      <c r="X74" s="35">
        <v>80000</v>
      </c>
      <c r="Y74" s="35">
        <v>4.99</v>
      </c>
      <c r="Z74" s="38">
        <v>6080.0533333333333</v>
      </c>
      <c r="AA74" s="38">
        <v>5000</v>
      </c>
      <c r="AB74" s="35" t="s">
        <v>95</v>
      </c>
      <c r="AC74" s="38">
        <v>35000</v>
      </c>
      <c r="AD74" s="38">
        <v>35000</v>
      </c>
      <c r="AE74" s="38">
        <v>0</v>
      </c>
      <c r="AF74" s="38">
        <v>0</v>
      </c>
      <c r="AG74" s="38">
        <v>0</v>
      </c>
      <c r="AH74" s="38">
        <v>0</v>
      </c>
      <c r="AI74" s="38">
        <v>0</v>
      </c>
      <c r="AJ74" s="38">
        <v>6085</v>
      </c>
      <c r="AK74" s="35" t="s">
        <v>1884</v>
      </c>
      <c r="AL74" s="35" t="s">
        <v>441</v>
      </c>
      <c r="AM74" s="35" t="s">
        <v>691</v>
      </c>
      <c r="AN74" s="35" t="s">
        <v>2014</v>
      </c>
      <c r="AO74" s="35">
        <v>7</v>
      </c>
      <c r="AP74" s="35">
        <v>16</v>
      </c>
      <c r="AQ74" s="35" t="s">
        <v>713</v>
      </c>
      <c r="AR74" s="35" t="s">
        <v>714</v>
      </c>
      <c r="AS74" s="35" t="s">
        <v>715</v>
      </c>
      <c r="AT74" s="35" t="s">
        <v>716</v>
      </c>
      <c r="AU74" s="35"/>
      <c r="AV74" s="35" t="s">
        <v>717</v>
      </c>
      <c r="AW74" s="35" t="s">
        <v>718</v>
      </c>
      <c r="AX74" s="35" t="s">
        <v>555</v>
      </c>
      <c r="AY74" s="35" t="s">
        <v>271</v>
      </c>
      <c r="AZ74" s="35" t="s">
        <v>651</v>
      </c>
      <c r="BA74" s="35"/>
      <c r="BB74" s="35" t="s">
        <v>272</v>
      </c>
      <c r="BC74" s="35" t="s">
        <v>273</v>
      </c>
      <c r="BD74" s="35" t="s">
        <v>274</v>
      </c>
      <c r="BE74" s="35" t="s">
        <v>271</v>
      </c>
      <c r="BF74" s="35">
        <v>8000</v>
      </c>
      <c r="BG74" s="35"/>
      <c r="BH74" s="35">
        <v>0</v>
      </c>
      <c r="BI74" s="35">
        <v>0</v>
      </c>
      <c r="BJ74" s="35"/>
      <c r="BK74" s="35" t="s">
        <v>585</v>
      </c>
      <c r="BL74" s="35" t="s">
        <v>719</v>
      </c>
      <c r="BM74" s="35"/>
      <c r="BN74" s="35"/>
      <c r="BO74" s="35"/>
      <c r="BP74" s="35"/>
    </row>
    <row r="75" spans="1:68" x14ac:dyDescent="0.3">
      <c r="A75" s="35" t="s">
        <v>49</v>
      </c>
      <c r="B75" s="35" t="s">
        <v>450</v>
      </c>
      <c r="C75" s="35" t="s">
        <v>451</v>
      </c>
      <c r="D75" s="35" t="s">
        <v>388</v>
      </c>
      <c r="E75" s="35" t="s">
        <v>487</v>
      </c>
      <c r="F75" s="35" t="s">
        <v>488</v>
      </c>
      <c r="G75" s="35" t="s">
        <v>1124</v>
      </c>
      <c r="H75" s="35" t="s">
        <v>1103</v>
      </c>
      <c r="I75" s="35"/>
      <c r="J75" s="35" t="s">
        <v>47</v>
      </c>
      <c r="K75" s="35" t="s">
        <v>43</v>
      </c>
      <c r="L75" s="35"/>
      <c r="M75" s="35">
        <v>6</v>
      </c>
      <c r="N75" s="35" t="s">
        <v>262</v>
      </c>
      <c r="O75" s="35" t="s">
        <v>263</v>
      </c>
      <c r="P75" s="35" t="s">
        <v>52</v>
      </c>
      <c r="Q75" s="35"/>
      <c r="R75" s="35" t="s">
        <v>197</v>
      </c>
      <c r="S75" s="35" t="s">
        <v>656</v>
      </c>
      <c r="T75" s="35">
        <v>0</v>
      </c>
      <c r="U75" s="35" t="s">
        <v>264</v>
      </c>
      <c r="V75" s="35">
        <v>0</v>
      </c>
      <c r="W75" s="35" t="s">
        <v>265</v>
      </c>
      <c r="X75" s="35">
        <v>48000</v>
      </c>
      <c r="Y75" s="35">
        <v>4.99</v>
      </c>
      <c r="Z75" s="38">
        <v>3648.0320000000002</v>
      </c>
      <c r="AA75" s="38">
        <v>3000</v>
      </c>
      <c r="AB75" s="35" t="s">
        <v>95</v>
      </c>
      <c r="AC75" s="38">
        <v>30000.18</v>
      </c>
      <c r="AD75" s="38">
        <v>30000</v>
      </c>
      <c r="AE75" s="38">
        <v>0.18</v>
      </c>
      <c r="AF75" s="38">
        <v>0.01</v>
      </c>
      <c r="AG75" s="38">
        <v>0</v>
      </c>
      <c r="AH75" s="38">
        <v>0</v>
      </c>
      <c r="AI75" s="38">
        <v>0.19</v>
      </c>
      <c r="AJ75" s="38">
        <v>3648</v>
      </c>
      <c r="AK75" s="35" t="s">
        <v>1884</v>
      </c>
      <c r="AL75" s="35" t="s">
        <v>947</v>
      </c>
      <c r="AM75" s="35" t="s">
        <v>1133</v>
      </c>
      <c r="AN75" s="35" t="s">
        <v>2014</v>
      </c>
      <c r="AO75" s="35">
        <v>10</v>
      </c>
      <c r="AP75" s="35">
        <v>16</v>
      </c>
      <c r="AQ75" s="35" t="s">
        <v>1134</v>
      </c>
      <c r="AR75" s="35" t="s">
        <v>1135</v>
      </c>
      <c r="AS75" s="35" t="s">
        <v>1136</v>
      </c>
      <c r="AT75" s="35" t="s">
        <v>1137</v>
      </c>
      <c r="AU75" s="35"/>
      <c r="AV75" s="35" t="s">
        <v>1138</v>
      </c>
      <c r="AW75" s="35" t="s">
        <v>303</v>
      </c>
      <c r="AX75" s="35" t="s">
        <v>274</v>
      </c>
      <c r="AY75" s="35" t="s">
        <v>271</v>
      </c>
      <c r="AZ75" s="35" t="s">
        <v>1125</v>
      </c>
      <c r="BA75" s="35"/>
      <c r="BB75" s="35" t="s">
        <v>272</v>
      </c>
      <c r="BC75" s="35" t="s">
        <v>273</v>
      </c>
      <c r="BD75" s="35" t="s">
        <v>274</v>
      </c>
      <c r="BE75" s="35" t="s">
        <v>271</v>
      </c>
      <c r="BF75" s="35">
        <v>4800</v>
      </c>
      <c r="BG75" s="35"/>
      <c r="BH75" s="35">
        <v>0</v>
      </c>
      <c r="BI75" s="35">
        <v>0</v>
      </c>
      <c r="BJ75" s="35"/>
      <c r="BK75" s="35" t="s">
        <v>585</v>
      </c>
      <c r="BL75" s="35" t="s">
        <v>1139</v>
      </c>
      <c r="BM75" s="35"/>
      <c r="BN75" s="35"/>
      <c r="BO75" s="35"/>
      <c r="BP75" s="35"/>
    </row>
    <row r="76" spans="1:68" x14ac:dyDescent="0.3">
      <c r="A76" s="35" t="s">
        <v>43</v>
      </c>
      <c r="B76" s="35" t="s">
        <v>44</v>
      </c>
      <c r="C76" s="35" t="s">
        <v>467</v>
      </c>
      <c r="D76" s="35" t="s">
        <v>424</v>
      </c>
      <c r="E76" s="35" t="s">
        <v>189</v>
      </c>
      <c r="F76" s="35" t="s">
        <v>191</v>
      </c>
      <c r="G76" s="35" t="s">
        <v>1321</v>
      </c>
      <c r="H76" s="35" t="s">
        <v>439</v>
      </c>
      <c r="I76" s="35"/>
      <c r="J76" s="35" t="s">
        <v>47</v>
      </c>
      <c r="K76" s="35" t="s">
        <v>43</v>
      </c>
      <c r="L76" s="35"/>
      <c r="M76" s="35">
        <v>5</v>
      </c>
      <c r="N76" s="35" t="s">
        <v>262</v>
      </c>
      <c r="O76" s="35" t="s">
        <v>263</v>
      </c>
      <c r="P76" s="35" t="s">
        <v>52</v>
      </c>
      <c r="Q76" s="35"/>
      <c r="R76" s="35" t="s">
        <v>168</v>
      </c>
      <c r="S76" s="35" t="s">
        <v>965</v>
      </c>
      <c r="T76" s="35">
        <v>0</v>
      </c>
      <c r="U76" s="35" t="s">
        <v>264</v>
      </c>
      <c r="V76" s="35">
        <v>0</v>
      </c>
      <c r="W76" s="35" t="s">
        <v>265</v>
      </c>
      <c r="X76" s="35">
        <v>55000</v>
      </c>
      <c r="Y76" s="35">
        <v>4.99</v>
      </c>
      <c r="Z76" s="38">
        <v>4180.036666666666</v>
      </c>
      <c r="AA76" s="38">
        <v>3437.5</v>
      </c>
      <c r="AB76" s="35" t="s">
        <v>95</v>
      </c>
      <c r="AC76" s="38">
        <v>37812.5</v>
      </c>
      <c r="AD76" s="38">
        <v>37812.5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4180.04</v>
      </c>
      <c r="AK76" s="35" t="s">
        <v>1899</v>
      </c>
      <c r="AL76" s="35" t="s">
        <v>1147</v>
      </c>
      <c r="AM76" s="35" t="s">
        <v>1327</v>
      </c>
      <c r="AN76" s="35" t="s">
        <v>2164</v>
      </c>
      <c r="AO76" s="35">
        <v>11</v>
      </c>
      <c r="AP76" s="35">
        <v>16</v>
      </c>
      <c r="AQ76" s="35" t="s">
        <v>1149</v>
      </c>
      <c r="AR76" s="35" t="s">
        <v>1328</v>
      </c>
      <c r="AS76" s="35" t="s">
        <v>1149</v>
      </c>
      <c r="AT76" s="35" t="s">
        <v>1329</v>
      </c>
      <c r="AU76" s="35"/>
      <c r="AV76" s="35" t="s">
        <v>1330</v>
      </c>
      <c r="AW76" s="35" t="s">
        <v>1331</v>
      </c>
      <c r="AX76" s="35" t="s">
        <v>313</v>
      </c>
      <c r="AY76" s="35" t="s">
        <v>271</v>
      </c>
      <c r="AZ76" s="35" t="s">
        <v>1322</v>
      </c>
      <c r="BA76" s="35"/>
      <c r="BB76" s="35" t="s">
        <v>272</v>
      </c>
      <c r="BC76" s="35" t="s">
        <v>273</v>
      </c>
      <c r="BD76" s="35" t="s">
        <v>274</v>
      </c>
      <c r="BE76" s="35" t="s">
        <v>271</v>
      </c>
      <c r="BF76" s="35">
        <v>5500</v>
      </c>
      <c r="BG76" s="35"/>
      <c r="BH76" s="35">
        <v>0</v>
      </c>
      <c r="BI76" s="35">
        <v>0</v>
      </c>
      <c r="BJ76" s="35"/>
      <c r="BK76" s="35" t="s">
        <v>585</v>
      </c>
      <c r="BL76" s="35" t="s">
        <v>1332</v>
      </c>
      <c r="BM76" s="35"/>
      <c r="BN76" s="35"/>
      <c r="BO76" s="35"/>
      <c r="BP76" s="35"/>
    </row>
    <row r="77" spans="1:68" x14ac:dyDescent="0.3">
      <c r="A77" s="35" t="s">
        <v>43</v>
      </c>
      <c r="B77" s="35" t="s">
        <v>44</v>
      </c>
      <c r="C77" s="35" t="s">
        <v>467</v>
      </c>
      <c r="D77" s="35" t="s">
        <v>424</v>
      </c>
      <c r="E77" s="35" t="s">
        <v>189</v>
      </c>
      <c r="F77" s="35" t="s">
        <v>191</v>
      </c>
      <c r="G77" s="35" t="s">
        <v>680</v>
      </c>
      <c r="H77" s="35" t="s">
        <v>681</v>
      </c>
      <c r="I77" s="35"/>
      <c r="J77" s="35" t="s">
        <v>47</v>
      </c>
      <c r="K77" s="35" t="s">
        <v>43</v>
      </c>
      <c r="L77" s="35"/>
      <c r="M77" s="35">
        <v>7</v>
      </c>
      <c r="N77" s="35" t="s">
        <v>262</v>
      </c>
      <c r="O77" s="35" t="s">
        <v>263</v>
      </c>
      <c r="P77" s="35" t="s">
        <v>52</v>
      </c>
      <c r="Q77" s="35"/>
      <c r="R77" s="35" t="s">
        <v>168</v>
      </c>
      <c r="S77" s="35" t="s">
        <v>147</v>
      </c>
      <c r="T77" s="35">
        <v>0</v>
      </c>
      <c r="U77" s="35" t="s">
        <v>264</v>
      </c>
      <c r="V77" s="35">
        <v>0</v>
      </c>
      <c r="W77" s="35" t="s">
        <v>265</v>
      </c>
      <c r="X77" s="35">
        <v>79000</v>
      </c>
      <c r="Y77" s="35">
        <v>4.99</v>
      </c>
      <c r="Z77" s="38">
        <v>6004.0526666666656</v>
      </c>
      <c r="AA77" s="38">
        <v>4937.5</v>
      </c>
      <c r="AB77" s="35" t="s">
        <v>95</v>
      </c>
      <c r="AC77" s="38">
        <v>34562.53</v>
      </c>
      <c r="AD77" s="38">
        <v>34562.5</v>
      </c>
      <c r="AE77" s="38">
        <v>0.03</v>
      </c>
      <c r="AF77" s="38">
        <v>0</v>
      </c>
      <c r="AG77" s="38">
        <v>0</v>
      </c>
      <c r="AH77" s="38">
        <v>0</v>
      </c>
      <c r="AI77" s="38">
        <v>0.03</v>
      </c>
      <c r="AJ77" s="38">
        <v>6004.05</v>
      </c>
      <c r="AK77" s="35" t="s">
        <v>1899</v>
      </c>
      <c r="AL77" s="35" t="s">
        <v>494</v>
      </c>
      <c r="AM77" s="35" t="s">
        <v>744</v>
      </c>
      <c r="AN77" s="35" t="s">
        <v>2164</v>
      </c>
      <c r="AO77" s="35">
        <v>7</v>
      </c>
      <c r="AP77" s="35">
        <v>16</v>
      </c>
      <c r="AQ77" s="35" t="s">
        <v>631</v>
      </c>
      <c r="AR77" s="35" t="s">
        <v>631</v>
      </c>
      <c r="AS77" s="35" t="s">
        <v>631</v>
      </c>
      <c r="AT77" s="35" t="s">
        <v>763</v>
      </c>
      <c r="AU77" s="35"/>
      <c r="AV77" s="35" t="s">
        <v>764</v>
      </c>
      <c r="AW77" s="35" t="s">
        <v>765</v>
      </c>
      <c r="AX77" s="35" t="s">
        <v>313</v>
      </c>
      <c r="AY77" s="35" t="s">
        <v>271</v>
      </c>
      <c r="AZ77" s="35" t="s">
        <v>682</v>
      </c>
      <c r="BA77" s="35"/>
      <c r="BB77" s="35" t="s">
        <v>272</v>
      </c>
      <c r="BC77" s="35" t="s">
        <v>273</v>
      </c>
      <c r="BD77" s="35" t="s">
        <v>274</v>
      </c>
      <c r="BE77" s="35" t="s">
        <v>271</v>
      </c>
      <c r="BF77" s="35">
        <v>7900</v>
      </c>
      <c r="BG77" s="35"/>
      <c r="BH77" s="35">
        <v>0</v>
      </c>
      <c r="BI77" s="35">
        <v>0</v>
      </c>
      <c r="BJ77" s="35"/>
      <c r="BK77" s="35" t="s">
        <v>585</v>
      </c>
      <c r="BL77" s="35" t="s">
        <v>766</v>
      </c>
      <c r="BM77" s="35"/>
      <c r="BN77" s="35"/>
      <c r="BO77" s="35"/>
      <c r="BP77" s="35"/>
    </row>
    <row r="78" spans="1:68" x14ac:dyDescent="0.3">
      <c r="A78" s="35" t="s">
        <v>49</v>
      </c>
      <c r="B78" s="35" t="s">
        <v>450</v>
      </c>
      <c r="C78" s="35" t="s">
        <v>451</v>
      </c>
      <c r="D78" s="35" t="s">
        <v>388</v>
      </c>
      <c r="E78" s="35" t="s">
        <v>188</v>
      </c>
      <c r="F78" s="35" t="s">
        <v>190</v>
      </c>
      <c r="G78" s="35" t="s">
        <v>192</v>
      </c>
      <c r="H78" s="35" t="s">
        <v>179</v>
      </c>
      <c r="I78" s="35"/>
      <c r="J78" s="35" t="s">
        <v>47</v>
      </c>
      <c r="K78" s="35" t="s">
        <v>43</v>
      </c>
      <c r="L78" s="35"/>
      <c r="M78" s="35">
        <v>6</v>
      </c>
      <c r="N78" s="35" t="s">
        <v>262</v>
      </c>
      <c r="O78" s="35" t="s">
        <v>263</v>
      </c>
      <c r="P78" s="35" t="s">
        <v>52</v>
      </c>
      <c r="Q78" s="35"/>
      <c r="R78" s="35" t="s">
        <v>197</v>
      </c>
      <c r="S78" s="35" t="s">
        <v>198</v>
      </c>
      <c r="T78" s="35">
        <v>0</v>
      </c>
      <c r="U78" s="35" t="s">
        <v>264</v>
      </c>
      <c r="V78" s="35">
        <v>0</v>
      </c>
      <c r="W78" s="35" t="s">
        <v>265</v>
      </c>
      <c r="X78" s="35">
        <v>170000</v>
      </c>
      <c r="Y78" s="35">
        <v>4.99</v>
      </c>
      <c r="Z78" s="38">
        <v>12920.1133333333</v>
      </c>
      <c r="AA78" s="38">
        <v>10625</v>
      </c>
      <c r="AB78" s="35" t="s">
        <v>95</v>
      </c>
      <c r="AC78" s="38">
        <v>53125.04</v>
      </c>
      <c r="AD78" s="38">
        <v>53125</v>
      </c>
      <c r="AE78" s="38">
        <v>0.04</v>
      </c>
      <c r="AF78" s="38">
        <v>0</v>
      </c>
      <c r="AG78" s="38">
        <v>0</v>
      </c>
      <c r="AH78" s="38">
        <v>0</v>
      </c>
      <c r="AI78" s="38">
        <v>0.04</v>
      </c>
      <c r="AJ78" s="38">
        <v>12921</v>
      </c>
      <c r="AK78" s="35" t="s">
        <v>1884</v>
      </c>
      <c r="AL78" s="35" t="s">
        <v>324</v>
      </c>
      <c r="AM78" s="35" t="s">
        <v>325</v>
      </c>
      <c r="AN78" s="35" t="s">
        <v>2014</v>
      </c>
      <c r="AO78" s="35">
        <v>5</v>
      </c>
      <c r="AP78" s="35">
        <v>16</v>
      </c>
      <c r="AQ78" s="35" t="s">
        <v>334</v>
      </c>
      <c r="AR78" s="35" t="s">
        <v>335</v>
      </c>
      <c r="AS78" s="35" t="s">
        <v>336</v>
      </c>
      <c r="AT78" s="35" t="s">
        <v>196</v>
      </c>
      <c r="AU78" s="35"/>
      <c r="AV78" s="35" t="s">
        <v>179</v>
      </c>
      <c r="AW78" s="35" t="s">
        <v>337</v>
      </c>
      <c r="AX78" s="35" t="s">
        <v>338</v>
      </c>
      <c r="AY78" s="35" t="s">
        <v>338</v>
      </c>
      <c r="AZ78" s="35" t="s">
        <v>196</v>
      </c>
      <c r="BA78" s="35"/>
      <c r="BB78" s="35" t="s">
        <v>272</v>
      </c>
      <c r="BC78" s="35" t="s">
        <v>273</v>
      </c>
      <c r="BD78" s="35" t="s">
        <v>274</v>
      </c>
      <c r="BE78" s="35" t="s">
        <v>271</v>
      </c>
      <c r="BF78" s="35">
        <v>17000</v>
      </c>
      <c r="BG78" s="35"/>
      <c r="BH78" s="35">
        <v>0</v>
      </c>
      <c r="BI78" s="35">
        <v>0</v>
      </c>
      <c r="BJ78" s="35"/>
      <c r="BK78" s="35" t="s">
        <v>339</v>
      </c>
      <c r="BL78" s="35" t="s">
        <v>340</v>
      </c>
      <c r="BM78" s="35"/>
      <c r="BN78" s="35"/>
      <c r="BO78" s="35"/>
      <c r="BP78" s="35"/>
    </row>
    <row r="79" spans="1:68" x14ac:dyDescent="0.3">
      <c r="A79" s="35" t="s">
        <v>49</v>
      </c>
      <c r="B79" s="35" t="s">
        <v>450</v>
      </c>
      <c r="C79" s="35" t="s">
        <v>451</v>
      </c>
      <c r="D79" s="35" t="s">
        <v>388</v>
      </c>
      <c r="E79" s="35" t="s">
        <v>188</v>
      </c>
      <c r="F79" s="35" t="s">
        <v>190</v>
      </c>
      <c r="G79" s="35" t="s">
        <v>389</v>
      </c>
      <c r="H79" s="35" t="s">
        <v>182</v>
      </c>
      <c r="I79" s="35"/>
      <c r="J79" s="35" t="s">
        <v>47</v>
      </c>
      <c r="K79" s="35" t="s">
        <v>43</v>
      </c>
      <c r="L79" s="35"/>
      <c r="M79" s="35">
        <v>9</v>
      </c>
      <c r="N79" s="35" t="s">
        <v>262</v>
      </c>
      <c r="O79" s="35" t="s">
        <v>263</v>
      </c>
      <c r="P79" s="35" t="s">
        <v>52</v>
      </c>
      <c r="Q79" s="35"/>
      <c r="R79" s="35" t="s">
        <v>126</v>
      </c>
      <c r="S79" s="35" t="s">
        <v>185</v>
      </c>
      <c r="T79" s="35">
        <v>0</v>
      </c>
      <c r="U79" s="35" t="s">
        <v>264</v>
      </c>
      <c r="V79" s="35">
        <v>0</v>
      </c>
      <c r="W79" s="35" t="s">
        <v>265</v>
      </c>
      <c r="X79" s="35">
        <v>71000</v>
      </c>
      <c r="Y79" s="35">
        <v>4.99</v>
      </c>
      <c r="Z79" s="38">
        <v>5396.047333333333</v>
      </c>
      <c r="AA79" s="38">
        <v>4437.5</v>
      </c>
      <c r="AB79" s="35" t="s">
        <v>95</v>
      </c>
      <c r="AC79" s="38">
        <v>26625.420000000002</v>
      </c>
      <c r="AD79" s="38">
        <v>26625</v>
      </c>
      <c r="AE79" s="38">
        <v>0.42</v>
      </c>
      <c r="AF79" s="38">
        <v>0</v>
      </c>
      <c r="AG79" s="38">
        <v>0</v>
      </c>
      <c r="AH79" s="38">
        <v>0</v>
      </c>
      <c r="AI79" s="38">
        <v>0.42</v>
      </c>
      <c r="AJ79" s="38">
        <v>5396</v>
      </c>
      <c r="AK79" s="35" t="s">
        <v>1966</v>
      </c>
      <c r="AL79" s="35" t="s">
        <v>278</v>
      </c>
      <c r="AM79" s="35" t="s">
        <v>452</v>
      </c>
      <c r="AN79" s="35" t="s">
        <v>1965</v>
      </c>
      <c r="AO79" s="35">
        <v>6</v>
      </c>
      <c r="AP79" s="35">
        <v>16</v>
      </c>
      <c r="AQ79" s="35" t="s">
        <v>453</v>
      </c>
      <c r="AR79" s="35" t="s">
        <v>454</v>
      </c>
      <c r="AS79" s="35" t="s">
        <v>455</v>
      </c>
      <c r="AT79" s="35" t="s">
        <v>456</v>
      </c>
      <c r="AU79" s="35"/>
      <c r="AV79" s="35" t="s">
        <v>457</v>
      </c>
      <c r="AW79" s="35" t="s">
        <v>458</v>
      </c>
      <c r="AX79" s="35" t="s">
        <v>338</v>
      </c>
      <c r="AY79" s="35" t="s">
        <v>338</v>
      </c>
      <c r="AZ79" s="35" t="s">
        <v>390</v>
      </c>
      <c r="BA79" s="35"/>
      <c r="BB79" s="35" t="s">
        <v>272</v>
      </c>
      <c r="BC79" s="35" t="s">
        <v>273</v>
      </c>
      <c r="BD79" s="35" t="s">
        <v>274</v>
      </c>
      <c r="BE79" s="35" t="s">
        <v>271</v>
      </c>
      <c r="BF79" s="35">
        <v>7100</v>
      </c>
      <c r="BG79" s="35"/>
      <c r="BH79" s="35">
        <v>1</v>
      </c>
      <c r="BI79" s="35">
        <v>1</v>
      </c>
      <c r="BJ79" s="35"/>
      <c r="BK79" s="35" t="s">
        <v>448</v>
      </c>
      <c r="BL79" s="35" t="s">
        <v>459</v>
      </c>
      <c r="BM79" s="35"/>
      <c r="BN79" s="35"/>
      <c r="BO79" s="35"/>
      <c r="BP79" s="35"/>
    </row>
    <row r="80" spans="1:68" x14ac:dyDescent="0.3">
      <c r="A80" s="35" t="s">
        <v>49</v>
      </c>
      <c r="B80" s="35" t="s">
        <v>450</v>
      </c>
      <c r="C80" s="35" t="s">
        <v>451</v>
      </c>
      <c r="D80" s="35" t="s">
        <v>388</v>
      </c>
      <c r="E80" s="35" t="s">
        <v>188</v>
      </c>
      <c r="F80" s="35" t="s">
        <v>190</v>
      </c>
      <c r="G80" s="35" t="s">
        <v>852</v>
      </c>
      <c r="H80" s="35" t="s">
        <v>830</v>
      </c>
      <c r="I80" s="35"/>
      <c r="J80" s="35" t="s">
        <v>47</v>
      </c>
      <c r="K80" s="35" t="s">
        <v>43</v>
      </c>
      <c r="L80" s="35"/>
      <c r="M80" s="35">
        <v>6</v>
      </c>
      <c r="N80" s="35" t="s">
        <v>262</v>
      </c>
      <c r="O80" s="35" t="s">
        <v>263</v>
      </c>
      <c r="P80" s="35" t="s">
        <v>52</v>
      </c>
      <c r="Q80" s="35"/>
      <c r="R80" s="35" t="s">
        <v>126</v>
      </c>
      <c r="S80" s="35" t="s">
        <v>198</v>
      </c>
      <c r="T80" s="35">
        <v>0</v>
      </c>
      <c r="U80" s="35" t="s">
        <v>264</v>
      </c>
      <c r="V80" s="35">
        <v>0</v>
      </c>
      <c r="W80" s="35" t="s">
        <v>265</v>
      </c>
      <c r="X80" s="35">
        <v>85000</v>
      </c>
      <c r="Y80" s="35">
        <v>4.99</v>
      </c>
      <c r="Z80" s="38">
        <v>6460.0566666666655</v>
      </c>
      <c r="AA80" s="38">
        <v>5312.5</v>
      </c>
      <c r="AB80" s="35" t="s">
        <v>95</v>
      </c>
      <c r="AC80" s="38">
        <v>47812.91</v>
      </c>
      <c r="AD80" s="38">
        <v>47812.5</v>
      </c>
      <c r="AE80" s="38">
        <v>0.41</v>
      </c>
      <c r="AF80" s="38">
        <v>0</v>
      </c>
      <c r="AG80" s="38">
        <v>0</v>
      </c>
      <c r="AH80" s="38">
        <v>0</v>
      </c>
      <c r="AI80" s="38">
        <v>0.41</v>
      </c>
      <c r="AJ80" s="38">
        <v>6460</v>
      </c>
      <c r="AK80" s="35" t="s">
        <v>1966</v>
      </c>
      <c r="AL80" s="35" t="s">
        <v>805</v>
      </c>
      <c r="AM80" s="35" t="s">
        <v>900</v>
      </c>
      <c r="AN80" s="35" t="s">
        <v>1965</v>
      </c>
      <c r="AO80" s="35">
        <v>9</v>
      </c>
      <c r="AP80" s="35">
        <v>16</v>
      </c>
      <c r="AQ80" s="35" t="s">
        <v>915</v>
      </c>
      <c r="AR80" s="35" t="s">
        <v>916</v>
      </c>
      <c r="AS80" s="35" t="s">
        <v>917</v>
      </c>
      <c r="AT80" s="35" t="s">
        <v>918</v>
      </c>
      <c r="AU80" s="35"/>
      <c r="AV80" s="35" t="s">
        <v>919</v>
      </c>
      <c r="AW80" s="35" t="s">
        <v>920</v>
      </c>
      <c r="AX80" s="35" t="s">
        <v>338</v>
      </c>
      <c r="AY80" s="35" t="s">
        <v>338</v>
      </c>
      <c r="AZ80" s="35" t="s">
        <v>853</v>
      </c>
      <c r="BA80" s="35"/>
      <c r="BB80" s="35" t="s">
        <v>272</v>
      </c>
      <c r="BC80" s="35" t="s">
        <v>273</v>
      </c>
      <c r="BD80" s="35" t="s">
        <v>274</v>
      </c>
      <c r="BE80" s="35" t="s">
        <v>271</v>
      </c>
      <c r="BF80" s="35">
        <v>8500</v>
      </c>
      <c r="BG80" s="35"/>
      <c r="BH80" s="35">
        <v>1</v>
      </c>
      <c r="BI80" s="35">
        <v>1</v>
      </c>
      <c r="BJ80" s="35"/>
      <c r="BK80" s="35" t="s">
        <v>585</v>
      </c>
      <c r="BL80" s="35" t="s">
        <v>921</v>
      </c>
      <c r="BM80" s="35"/>
      <c r="BN80" s="35"/>
      <c r="BO80" s="35"/>
      <c r="BP80" s="35"/>
    </row>
    <row r="81" spans="1:68" x14ac:dyDescent="0.3">
      <c r="A81" s="35" t="s">
        <v>43</v>
      </c>
      <c r="B81" s="35" t="s">
        <v>44</v>
      </c>
      <c r="C81" s="35" t="s">
        <v>467</v>
      </c>
      <c r="D81" s="35" t="s">
        <v>424</v>
      </c>
      <c r="E81" s="35" t="s">
        <v>39</v>
      </c>
      <c r="F81" s="35" t="s">
        <v>40</v>
      </c>
      <c r="G81" s="35" t="s">
        <v>1083</v>
      </c>
      <c r="H81" s="35" t="s">
        <v>984</v>
      </c>
      <c r="I81" s="35"/>
      <c r="J81" s="35" t="s">
        <v>47</v>
      </c>
      <c r="K81" s="35" t="s">
        <v>43</v>
      </c>
      <c r="L81" s="35"/>
      <c r="M81" s="35">
        <v>6</v>
      </c>
      <c r="N81" s="35" t="s">
        <v>262</v>
      </c>
      <c r="O81" s="35" t="s">
        <v>263</v>
      </c>
      <c r="P81" s="35" t="s">
        <v>52</v>
      </c>
      <c r="Q81" s="35"/>
      <c r="R81" s="35" t="s">
        <v>126</v>
      </c>
      <c r="S81" s="35" t="s">
        <v>185</v>
      </c>
      <c r="T81" s="35">
        <v>0</v>
      </c>
      <c r="U81" s="35" t="s">
        <v>264</v>
      </c>
      <c r="V81" s="35">
        <v>0</v>
      </c>
      <c r="W81" s="35" t="s">
        <v>265</v>
      </c>
      <c r="X81" s="35">
        <v>155000</v>
      </c>
      <c r="Y81" s="35">
        <v>4.99</v>
      </c>
      <c r="Z81" s="38">
        <v>11780.1033333333</v>
      </c>
      <c r="AA81" s="38">
        <v>9687.5</v>
      </c>
      <c r="AB81" s="35" t="s">
        <v>95</v>
      </c>
      <c r="AC81" s="38">
        <v>96875.02</v>
      </c>
      <c r="AD81" s="38">
        <v>96875</v>
      </c>
      <c r="AE81" s="38">
        <v>0.02</v>
      </c>
      <c r="AF81" s="38">
        <v>0</v>
      </c>
      <c r="AG81" s="38">
        <v>0</v>
      </c>
      <c r="AH81" s="38">
        <v>0</v>
      </c>
      <c r="AI81" s="38">
        <v>0.02</v>
      </c>
      <c r="AJ81" s="38">
        <v>11780.1</v>
      </c>
      <c r="AK81" s="35" t="s">
        <v>1925</v>
      </c>
      <c r="AL81" s="35" t="s">
        <v>882</v>
      </c>
      <c r="AM81" s="35" t="s">
        <v>1119</v>
      </c>
      <c r="AN81" s="35" t="s">
        <v>1965</v>
      </c>
      <c r="AO81" s="35">
        <v>10</v>
      </c>
      <c r="AP81" s="35">
        <v>16</v>
      </c>
      <c r="AQ81" s="35" t="s">
        <v>842</v>
      </c>
      <c r="AR81" s="35" t="s">
        <v>842</v>
      </c>
      <c r="AS81" s="35" t="s">
        <v>869</v>
      </c>
      <c r="AT81" s="35" t="s">
        <v>1120</v>
      </c>
      <c r="AU81" s="35"/>
      <c r="AV81" s="35" t="s">
        <v>1121</v>
      </c>
      <c r="AW81" s="35" t="s">
        <v>1122</v>
      </c>
      <c r="AX81" s="35" t="s">
        <v>285</v>
      </c>
      <c r="AY81" s="35" t="s">
        <v>271</v>
      </c>
      <c r="AZ81" s="35" t="s">
        <v>1084</v>
      </c>
      <c r="BA81" s="35"/>
      <c r="BB81" s="35" t="s">
        <v>272</v>
      </c>
      <c r="BC81" s="35" t="s">
        <v>273</v>
      </c>
      <c r="BD81" s="35" t="s">
        <v>274</v>
      </c>
      <c r="BE81" s="35" t="s">
        <v>271</v>
      </c>
      <c r="BF81" s="35">
        <v>15500</v>
      </c>
      <c r="BG81" s="35"/>
      <c r="BH81" s="35">
        <v>1</v>
      </c>
      <c r="BI81" s="35">
        <v>1</v>
      </c>
      <c r="BJ81" s="35"/>
      <c r="BK81" s="35" t="s">
        <v>585</v>
      </c>
      <c r="BL81" s="35" t="s">
        <v>1123</v>
      </c>
      <c r="BM81" s="35"/>
      <c r="BN81" s="35"/>
      <c r="BO81" s="35"/>
      <c r="BP81" s="35"/>
    </row>
    <row r="82" spans="1:68" x14ac:dyDescent="0.3">
      <c r="A82" s="35" t="s">
        <v>49</v>
      </c>
      <c r="B82" s="35" t="s">
        <v>450</v>
      </c>
      <c r="C82" s="35" t="s">
        <v>451</v>
      </c>
      <c r="D82" s="35" t="s">
        <v>388</v>
      </c>
      <c r="E82" s="35" t="s">
        <v>170</v>
      </c>
      <c r="F82" s="35" t="s">
        <v>171</v>
      </c>
      <c r="G82" s="35" t="s">
        <v>814</v>
      </c>
      <c r="H82" s="35" t="s">
        <v>815</v>
      </c>
      <c r="I82" s="35"/>
      <c r="J82" s="35" t="s">
        <v>47</v>
      </c>
      <c r="K82" s="35" t="s">
        <v>43</v>
      </c>
      <c r="L82" s="35"/>
      <c r="M82" s="35">
        <v>6</v>
      </c>
      <c r="N82" s="35" t="s">
        <v>262</v>
      </c>
      <c r="O82" s="35" t="s">
        <v>263</v>
      </c>
      <c r="P82" s="35" t="s">
        <v>52</v>
      </c>
      <c r="Q82" s="35"/>
      <c r="R82" s="35" t="s">
        <v>197</v>
      </c>
      <c r="S82" s="35" t="s">
        <v>160</v>
      </c>
      <c r="T82" s="35">
        <v>0</v>
      </c>
      <c r="U82" s="35" t="s">
        <v>264</v>
      </c>
      <c r="V82" s="35">
        <v>0</v>
      </c>
      <c r="W82" s="35" t="s">
        <v>265</v>
      </c>
      <c r="X82" s="35">
        <v>144000</v>
      </c>
      <c r="Y82" s="35">
        <v>4.99</v>
      </c>
      <c r="Z82" s="38">
        <v>10944.096</v>
      </c>
      <c r="AA82" s="38">
        <v>9000</v>
      </c>
      <c r="AB82" s="35" t="s">
        <v>95</v>
      </c>
      <c r="AC82" s="38">
        <v>72000</v>
      </c>
      <c r="AD82" s="38">
        <v>72000</v>
      </c>
      <c r="AE82" s="38">
        <v>0</v>
      </c>
      <c r="AF82" s="38">
        <v>0</v>
      </c>
      <c r="AG82" s="38">
        <v>0</v>
      </c>
      <c r="AH82" s="38">
        <v>0</v>
      </c>
      <c r="AI82" s="38">
        <v>0</v>
      </c>
      <c r="AJ82" s="38">
        <v>10945</v>
      </c>
      <c r="AK82" s="35" t="s">
        <v>1884</v>
      </c>
      <c r="AL82" s="35" t="s">
        <v>690</v>
      </c>
      <c r="AM82" s="35" t="s">
        <v>833</v>
      </c>
      <c r="AN82" s="35" t="s">
        <v>2014</v>
      </c>
      <c r="AO82" s="35">
        <v>8</v>
      </c>
      <c r="AP82" s="35">
        <v>16</v>
      </c>
      <c r="AQ82" s="35" t="s">
        <v>834</v>
      </c>
      <c r="AR82" s="35" t="s">
        <v>835</v>
      </c>
      <c r="AS82" s="35" t="s">
        <v>836</v>
      </c>
      <c r="AT82" s="35" t="s">
        <v>837</v>
      </c>
      <c r="AU82" s="35"/>
      <c r="AV82" s="35" t="s">
        <v>838</v>
      </c>
      <c r="AW82" s="35" t="s">
        <v>626</v>
      </c>
      <c r="AX82" s="35" t="s">
        <v>627</v>
      </c>
      <c r="AY82" s="35" t="s">
        <v>338</v>
      </c>
      <c r="AZ82" s="35" t="s">
        <v>816</v>
      </c>
      <c r="BA82" s="35"/>
      <c r="BB82" s="35" t="s">
        <v>272</v>
      </c>
      <c r="BC82" s="35" t="s">
        <v>273</v>
      </c>
      <c r="BD82" s="35" t="s">
        <v>274</v>
      </c>
      <c r="BE82" s="35" t="s">
        <v>271</v>
      </c>
      <c r="BF82" s="35">
        <v>14400</v>
      </c>
      <c r="BG82" s="35"/>
      <c r="BH82" s="35">
        <v>0</v>
      </c>
      <c r="BI82" s="35">
        <v>0</v>
      </c>
      <c r="BJ82" s="35"/>
      <c r="BK82" s="35" t="s">
        <v>839</v>
      </c>
      <c r="BL82" s="35" t="s">
        <v>840</v>
      </c>
      <c r="BM82" s="35"/>
      <c r="BN82" s="35"/>
      <c r="BO82" s="35"/>
      <c r="BP82" s="35"/>
    </row>
    <row r="83" spans="1:68" x14ac:dyDescent="0.3">
      <c r="A83" s="35" t="s">
        <v>43</v>
      </c>
      <c r="B83" s="35" t="s">
        <v>44</v>
      </c>
      <c r="C83" s="35" t="s">
        <v>41</v>
      </c>
      <c r="D83" s="35" t="s">
        <v>42</v>
      </c>
      <c r="E83" s="35" t="s">
        <v>148</v>
      </c>
      <c r="F83" s="35" t="s">
        <v>149</v>
      </c>
      <c r="G83" s="35" t="s">
        <v>1144</v>
      </c>
      <c r="H83" s="35" t="s">
        <v>1127</v>
      </c>
      <c r="I83" s="35"/>
      <c r="J83" s="35" t="s">
        <v>47</v>
      </c>
      <c r="K83" s="35" t="s">
        <v>47</v>
      </c>
      <c r="L83" s="35"/>
      <c r="M83" s="35">
        <v>5</v>
      </c>
      <c r="N83" s="35" t="s">
        <v>262</v>
      </c>
      <c r="O83" s="35" t="s">
        <v>263</v>
      </c>
      <c r="P83" s="35" t="s">
        <v>52</v>
      </c>
      <c r="Q83" s="35"/>
      <c r="R83" s="35" t="s">
        <v>168</v>
      </c>
      <c r="S83" s="35" t="s">
        <v>198</v>
      </c>
      <c r="T83" s="35">
        <v>0</v>
      </c>
      <c r="U83" s="35" t="s">
        <v>264</v>
      </c>
      <c r="V83" s="35">
        <v>0</v>
      </c>
      <c r="W83" s="35" t="s">
        <v>265</v>
      </c>
      <c r="X83" s="35">
        <v>170000</v>
      </c>
      <c r="Y83" s="35">
        <v>4.99</v>
      </c>
      <c r="Z83" s="38">
        <v>12920.1133333333</v>
      </c>
      <c r="AA83" s="38">
        <v>10625</v>
      </c>
      <c r="AB83" s="35" t="s">
        <v>95</v>
      </c>
      <c r="AC83" s="38">
        <v>106250</v>
      </c>
      <c r="AD83" s="38">
        <v>106250</v>
      </c>
      <c r="AE83" s="38">
        <v>0</v>
      </c>
      <c r="AF83" s="38">
        <v>0</v>
      </c>
      <c r="AG83" s="38">
        <v>0</v>
      </c>
      <c r="AH83" s="38">
        <v>0</v>
      </c>
      <c r="AI83" s="38">
        <v>0</v>
      </c>
      <c r="AJ83" s="38">
        <v>12921</v>
      </c>
      <c r="AK83" s="35" t="s">
        <v>1899</v>
      </c>
      <c r="AL83" s="35" t="s">
        <v>985</v>
      </c>
      <c r="AM83" s="35" t="s">
        <v>1148</v>
      </c>
      <c r="AN83" s="35" t="s">
        <v>2164</v>
      </c>
      <c r="AO83" s="35">
        <v>10</v>
      </c>
      <c r="AP83" s="35">
        <v>16</v>
      </c>
      <c r="AQ83" s="35" t="s">
        <v>1229</v>
      </c>
      <c r="AR83" s="35" t="s">
        <v>1230</v>
      </c>
      <c r="AS83" s="35" t="s">
        <v>1231</v>
      </c>
      <c r="AT83" s="35" t="s">
        <v>1232</v>
      </c>
      <c r="AU83" s="35"/>
      <c r="AV83" s="35" t="s">
        <v>1233</v>
      </c>
      <c r="AW83" s="35" t="s">
        <v>592</v>
      </c>
      <c r="AX83" s="35" t="s">
        <v>274</v>
      </c>
      <c r="AY83" s="35" t="s">
        <v>271</v>
      </c>
      <c r="AZ83" s="35"/>
      <c r="BA83" s="35"/>
      <c r="BB83" s="35" t="s">
        <v>272</v>
      </c>
      <c r="BC83" s="35" t="s">
        <v>273</v>
      </c>
      <c r="BD83" s="35" t="s">
        <v>274</v>
      </c>
      <c r="BE83" s="35" t="s">
        <v>271</v>
      </c>
      <c r="BF83" s="35">
        <v>17000</v>
      </c>
      <c r="BG83" s="35"/>
      <c r="BH83" s="35">
        <v>0</v>
      </c>
      <c r="BI83" s="35">
        <v>0</v>
      </c>
      <c r="BJ83" s="35"/>
      <c r="BK83" s="35" t="s">
        <v>585</v>
      </c>
      <c r="BL83" s="35" t="s">
        <v>1234</v>
      </c>
      <c r="BM83" s="35"/>
      <c r="BN83" s="35"/>
      <c r="BO83" s="35"/>
      <c r="BP83" s="35"/>
    </row>
    <row r="84" spans="1:68" x14ac:dyDescent="0.3">
      <c r="A84" s="35" t="s">
        <v>43</v>
      </c>
      <c r="B84" s="35" t="s">
        <v>44</v>
      </c>
      <c r="C84" s="35" t="s">
        <v>460</v>
      </c>
      <c r="D84" s="35" t="s">
        <v>396</v>
      </c>
      <c r="E84" s="35" t="s">
        <v>154</v>
      </c>
      <c r="F84" s="35" t="s">
        <v>155</v>
      </c>
      <c r="G84" s="35" t="s">
        <v>660</v>
      </c>
      <c r="H84" s="35" t="s">
        <v>661</v>
      </c>
      <c r="I84" s="35"/>
      <c r="J84" s="35" t="s">
        <v>47</v>
      </c>
      <c r="K84" s="35" t="s">
        <v>43</v>
      </c>
      <c r="L84" s="35"/>
      <c r="M84" s="35">
        <v>7</v>
      </c>
      <c r="N84" s="35" t="s">
        <v>262</v>
      </c>
      <c r="O84" s="35" t="s">
        <v>263</v>
      </c>
      <c r="P84" s="35" t="s">
        <v>52</v>
      </c>
      <c r="Q84" s="35"/>
      <c r="R84" s="35" t="s">
        <v>197</v>
      </c>
      <c r="S84" s="35"/>
      <c r="T84" s="35">
        <v>0</v>
      </c>
      <c r="U84" s="35" t="s">
        <v>264</v>
      </c>
      <c r="V84" s="35">
        <v>0</v>
      </c>
      <c r="W84" s="35" t="s">
        <v>265</v>
      </c>
      <c r="X84" s="35">
        <v>85000</v>
      </c>
      <c r="Y84" s="35">
        <v>4.99</v>
      </c>
      <c r="Z84" s="38">
        <v>6460.0566666666655</v>
      </c>
      <c r="AA84" s="38">
        <v>5312.5</v>
      </c>
      <c r="AB84" s="35" t="s">
        <v>95</v>
      </c>
      <c r="AC84" s="38">
        <v>37187.5</v>
      </c>
      <c r="AD84" s="38">
        <v>37187.5</v>
      </c>
      <c r="AE84" s="38">
        <v>0</v>
      </c>
      <c r="AF84" s="38">
        <v>0</v>
      </c>
      <c r="AG84" s="38">
        <v>0</v>
      </c>
      <c r="AH84" s="38">
        <v>0</v>
      </c>
      <c r="AI84" s="38">
        <v>0</v>
      </c>
      <c r="AJ84" s="38">
        <v>6467</v>
      </c>
      <c r="AK84" s="35" t="s">
        <v>1843</v>
      </c>
      <c r="AL84" s="35" t="s">
        <v>441</v>
      </c>
      <c r="AM84" s="35" t="s">
        <v>691</v>
      </c>
      <c r="AN84" s="35" t="s">
        <v>2014</v>
      </c>
      <c r="AO84" s="35">
        <v>7</v>
      </c>
      <c r="AP84" s="35">
        <v>16</v>
      </c>
      <c r="AQ84" s="35" t="s">
        <v>706</v>
      </c>
      <c r="AR84" s="35" t="s">
        <v>707</v>
      </c>
      <c r="AS84" s="35" t="s">
        <v>708</v>
      </c>
      <c r="AT84" s="35" t="s">
        <v>709</v>
      </c>
      <c r="AU84" s="35"/>
      <c r="AV84" s="35" t="s">
        <v>710</v>
      </c>
      <c r="AW84" s="35" t="s">
        <v>711</v>
      </c>
      <c r="AX84" s="35" t="s">
        <v>322</v>
      </c>
      <c r="AY84" s="35" t="s">
        <v>271</v>
      </c>
      <c r="AZ84" s="35" t="s">
        <v>662</v>
      </c>
      <c r="BA84" s="35"/>
      <c r="BB84" s="35" t="s">
        <v>272</v>
      </c>
      <c r="BC84" s="35" t="s">
        <v>273</v>
      </c>
      <c r="BD84" s="35" t="s">
        <v>274</v>
      </c>
      <c r="BE84" s="35" t="s">
        <v>271</v>
      </c>
      <c r="BF84" s="35">
        <v>8500</v>
      </c>
      <c r="BG84" s="35"/>
      <c r="BH84" s="35">
        <v>0</v>
      </c>
      <c r="BI84" s="35">
        <v>0</v>
      </c>
      <c r="BJ84" s="35"/>
      <c r="BK84" s="35" t="s">
        <v>585</v>
      </c>
      <c r="BL84" s="35" t="s">
        <v>712</v>
      </c>
      <c r="BM84" s="35"/>
      <c r="BN84" s="35"/>
      <c r="BO84" s="35"/>
      <c r="BP84" s="35"/>
    </row>
    <row r="85" spans="1:68" x14ac:dyDescent="0.3">
      <c r="A85" s="35" t="s">
        <v>49</v>
      </c>
      <c r="B85" s="35" t="s">
        <v>450</v>
      </c>
      <c r="C85" s="35" t="s">
        <v>451</v>
      </c>
      <c r="D85" s="35" t="s">
        <v>388</v>
      </c>
      <c r="E85" s="35" t="s">
        <v>188</v>
      </c>
      <c r="F85" s="35" t="s">
        <v>190</v>
      </c>
      <c r="G85" s="35" t="s">
        <v>1174</v>
      </c>
      <c r="H85" s="35" t="s">
        <v>1126</v>
      </c>
      <c r="I85" s="35"/>
      <c r="J85" s="35" t="s">
        <v>47</v>
      </c>
      <c r="K85" s="35" t="s">
        <v>43</v>
      </c>
      <c r="L85" s="35"/>
      <c r="M85" s="35">
        <v>6</v>
      </c>
      <c r="N85" s="35" t="s">
        <v>262</v>
      </c>
      <c r="O85" s="35" t="s">
        <v>263</v>
      </c>
      <c r="P85" s="35" t="s">
        <v>52</v>
      </c>
      <c r="Q85" s="35"/>
      <c r="R85" s="35" t="s">
        <v>146</v>
      </c>
      <c r="S85" s="35" t="s">
        <v>1173</v>
      </c>
      <c r="T85" s="35">
        <v>0</v>
      </c>
      <c r="U85" s="35" t="s">
        <v>264</v>
      </c>
      <c r="V85" s="35">
        <v>0</v>
      </c>
      <c r="W85" s="35" t="s">
        <v>265</v>
      </c>
      <c r="X85" s="35">
        <v>90000</v>
      </c>
      <c r="Y85" s="35">
        <v>4.99</v>
      </c>
      <c r="Z85" s="38">
        <v>6840.06</v>
      </c>
      <c r="AA85" s="38">
        <v>5625</v>
      </c>
      <c r="AB85" s="35" t="s">
        <v>95</v>
      </c>
      <c r="AC85" s="38">
        <v>61875.29</v>
      </c>
      <c r="AD85" s="38">
        <v>61875</v>
      </c>
      <c r="AE85" s="38">
        <v>0.28999999999999998</v>
      </c>
      <c r="AF85" s="38">
        <v>0.01</v>
      </c>
      <c r="AG85" s="38">
        <v>0</v>
      </c>
      <c r="AH85" s="38">
        <v>0</v>
      </c>
      <c r="AI85" s="38">
        <v>0.3</v>
      </c>
      <c r="AJ85" s="38">
        <v>6840</v>
      </c>
      <c r="AK85" s="35" t="s">
        <v>1823</v>
      </c>
      <c r="AL85" s="35" t="s">
        <v>1109</v>
      </c>
      <c r="AM85" s="35" t="s">
        <v>1181</v>
      </c>
      <c r="AN85" s="35" t="s">
        <v>2004</v>
      </c>
      <c r="AO85" s="35">
        <v>11</v>
      </c>
      <c r="AP85" s="35">
        <v>16</v>
      </c>
      <c r="AQ85" s="35" t="s">
        <v>1187</v>
      </c>
      <c r="AR85" s="35" t="s">
        <v>1188</v>
      </c>
      <c r="AS85" s="35" t="s">
        <v>1189</v>
      </c>
      <c r="AT85" s="35" t="s">
        <v>1190</v>
      </c>
      <c r="AU85" s="35"/>
      <c r="AV85" s="35" t="s">
        <v>1191</v>
      </c>
      <c r="AW85" s="35" t="s">
        <v>732</v>
      </c>
      <c r="AX85" s="35" t="s">
        <v>338</v>
      </c>
      <c r="AY85" s="35" t="s">
        <v>338</v>
      </c>
      <c r="AZ85" s="35" t="s">
        <v>1175</v>
      </c>
      <c r="BA85" s="35"/>
      <c r="BB85" s="35" t="s">
        <v>272</v>
      </c>
      <c r="BC85" s="35" t="s">
        <v>273</v>
      </c>
      <c r="BD85" s="35" t="s">
        <v>274</v>
      </c>
      <c r="BE85" s="35" t="s">
        <v>271</v>
      </c>
      <c r="BF85" s="35">
        <v>9000</v>
      </c>
      <c r="BG85" s="35"/>
      <c r="BH85" s="35">
        <v>0</v>
      </c>
      <c r="BI85" s="35">
        <v>0</v>
      </c>
      <c r="BJ85" s="35"/>
      <c r="BK85" s="35" t="s">
        <v>585</v>
      </c>
      <c r="BL85" s="35" t="s">
        <v>1192</v>
      </c>
      <c r="BM85" s="35"/>
      <c r="BN85" s="35"/>
      <c r="BO85" s="35"/>
      <c r="BP85" s="35"/>
    </row>
    <row r="86" spans="1:68" x14ac:dyDescent="0.3">
      <c r="A86" s="35" t="s">
        <v>43</v>
      </c>
      <c r="B86" s="35" t="s">
        <v>44</v>
      </c>
      <c r="C86" s="35" t="s">
        <v>41</v>
      </c>
      <c r="D86" s="35" t="s">
        <v>42</v>
      </c>
      <c r="E86" s="35" t="s">
        <v>148</v>
      </c>
      <c r="F86" s="35" t="s">
        <v>149</v>
      </c>
      <c r="G86" s="35" t="s">
        <v>1208</v>
      </c>
      <c r="H86" s="35" t="s">
        <v>1200</v>
      </c>
      <c r="I86" s="35"/>
      <c r="J86" s="35" t="s">
        <v>47</v>
      </c>
      <c r="K86" s="35" t="s">
        <v>47</v>
      </c>
      <c r="L86" s="35"/>
      <c r="M86" s="35">
        <v>5</v>
      </c>
      <c r="N86" s="35" t="s">
        <v>262</v>
      </c>
      <c r="O86" s="35" t="s">
        <v>263</v>
      </c>
      <c r="P86" s="35" t="s">
        <v>52</v>
      </c>
      <c r="Q86" s="35"/>
      <c r="R86" s="35" t="s">
        <v>124</v>
      </c>
      <c r="S86" s="35" t="s">
        <v>198</v>
      </c>
      <c r="T86" s="35">
        <v>0</v>
      </c>
      <c r="U86" s="35" t="s">
        <v>264</v>
      </c>
      <c r="V86" s="35">
        <v>0</v>
      </c>
      <c r="W86" s="35" t="s">
        <v>265</v>
      </c>
      <c r="X86" s="35">
        <v>51000</v>
      </c>
      <c r="Y86" s="35">
        <v>4.99</v>
      </c>
      <c r="Z86" s="38">
        <v>3876.0340000000001</v>
      </c>
      <c r="AA86" s="38">
        <v>3187.5</v>
      </c>
      <c r="AB86" s="35" t="s">
        <v>95</v>
      </c>
      <c r="AC86" s="38">
        <v>35062.5</v>
      </c>
      <c r="AD86" s="38">
        <v>35062.5</v>
      </c>
      <c r="AE86" s="38">
        <v>0</v>
      </c>
      <c r="AF86" s="38">
        <v>0</v>
      </c>
      <c r="AG86" s="38">
        <v>0</v>
      </c>
      <c r="AH86" s="38">
        <v>0</v>
      </c>
      <c r="AI86" s="38">
        <v>0</v>
      </c>
      <c r="AJ86" s="38">
        <v>3877</v>
      </c>
      <c r="AK86" s="35" t="s">
        <v>1843</v>
      </c>
      <c r="AL86" s="35" t="s">
        <v>1107</v>
      </c>
      <c r="AM86" s="35" t="s">
        <v>1214</v>
      </c>
      <c r="AN86" s="35" t="s">
        <v>2042</v>
      </c>
      <c r="AO86" s="35">
        <v>11</v>
      </c>
      <c r="AP86" s="35">
        <v>16</v>
      </c>
      <c r="AQ86" s="35" t="s">
        <v>1235</v>
      </c>
      <c r="AR86" s="35" t="s">
        <v>1236</v>
      </c>
      <c r="AS86" s="35" t="s">
        <v>1237</v>
      </c>
      <c r="AT86" s="35" t="s">
        <v>1238</v>
      </c>
      <c r="AU86" s="35"/>
      <c r="AV86" s="35" t="s">
        <v>1239</v>
      </c>
      <c r="AW86" s="35" t="s">
        <v>592</v>
      </c>
      <c r="AX86" s="35" t="s">
        <v>274</v>
      </c>
      <c r="AY86" s="35" t="s">
        <v>271</v>
      </c>
      <c r="AZ86" s="35"/>
      <c r="BA86" s="35"/>
      <c r="BB86" s="35" t="s">
        <v>1240</v>
      </c>
      <c r="BC86" s="35" t="s">
        <v>1241</v>
      </c>
      <c r="BD86" s="35" t="s">
        <v>274</v>
      </c>
      <c r="BE86" s="35" t="s">
        <v>271</v>
      </c>
      <c r="BF86" s="35">
        <v>5100</v>
      </c>
      <c r="BG86" s="35"/>
      <c r="BH86" s="35">
        <v>0</v>
      </c>
      <c r="BI86" s="35">
        <v>0</v>
      </c>
      <c r="BJ86" s="35"/>
      <c r="BK86" s="35" t="s">
        <v>585</v>
      </c>
      <c r="BL86" s="35" t="s">
        <v>1242</v>
      </c>
      <c r="BM86" s="35"/>
      <c r="BN86" s="35"/>
      <c r="BO86" s="35"/>
      <c r="BP86" s="35"/>
    </row>
    <row r="87" spans="1:68" x14ac:dyDescent="0.3">
      <c r="A87" s="35" t="s">
        <v>49</v>
      </c>
      <c r="B87" s="35" t="s">
        <v>450</v>
      </c>
      <c r="C87" s="35" t="s">
        <v>451</v>
      </c>
      <c r="D87" s="35" t="s">
        <v>388</v>
      </c>
      <c r="E87" s="35" t="s">
        <v>188</v>
      </c>
      <c r="F87" s="35" t="s">
        <v>190</v>
      </c>
      <c r="G87" s="35" t="s">
        <v>685</v>
      </c>
      <c r="H87" s="35" t="s">
        <v>686</v>
      </c>
      <c r="I87" s="35"/>
      <c r="J87" s="35" t="s">
        <v>47</v>
      </c>
      <c r="K87" s="35" t="s">
        <v>43</v>
      </c>
      <c r="L87" s="35"/>
      <c r="M87" s="35">
        <v>6</v>
      </c>
      <c r="N87" s="35" t="s">
        <v>262</v>
      </c>
      <c r="O87" s="35" t="s">
        <v>263</v>
      </c>
      <c r="P87" s="35" t="s">
        <v>52</v>
      </c>
      <c r="Q87" s="35"/>
      <c r="R87" s="35" t="s">
        <v>168</v>
      </c>
      <c r="S87" s="35" t="s">
        <v>125</v>
      </c>
      <c r="T87" s="35">
        <v>0</v>
      </c>
      <c r="U87" s="35" t="s">
        <v>264</v>
      </c>
      <c r="V87" s="35">
        <v>0</v>
      </c>
      <c r="W87" s="35" t="s">
        <v>265</v>
      </c>
      <c r="X87" s="35">
        <v>119000</v>
      </c>
      <c r="Y87" s="35">
        <v>4.99</v>
      </c>
      <c r="Z87" s="38">
        <v>9044.0793333333349</v>
      </c>
      <c r="AA87" s="38">
        <v>7437.5</v>
      </c>
      <c r="AB87" s="35" t="s">
        <v>95</v>
      </c>
      <c r="AC87" s="38">
        <v>52062.5</v>
      </c>
      <c r="AD87" s="38">
        <v>52062.5</v>
      </c>
      <c r="AE87" s="38">
        <v>0</v>
      </c>
      <c r="AF87" s="38">
        <v>0</v>
      </c>
      <c r="AG87" s="38">
        <v>0</v>
      </c>
      <c r="AH87" s="38">
        <v>0</v>
      </c>
      <c r="AI87" s="38">
        <v>0</v>
      </c>
      <c r="AJ87" s="38">
        <v>9045</v>
      </c>
      <c r="AK87" s="35" t="s">
        <v>1898</v>
      </c>
      <c r="AL87" s="35" t="s">
        <v>494</v>
      </c>
      <c r="AM87" s="35" t="s">
        <v>744</v>
      </c>
      <c r="AN87" s="35" t="s">
        <v>2164</v>
      </c>
      <c r="AO87" s="35">
        <v>7</v>
      </c>
      <c r="AP87" s="35">
        <v>16</v>
      </c>
      <c r="AQ87" s="35" t="s">
        <v>767</v>
      </c>
      <c r="AR87" s="35" t="s">
        <v>768</v>
      </c>
      <c r="AS87" s="35" t="s">
        <v>769</v>
      </c>
      <c r="AT87" s="35" t="s">
        <v>770</v>
      </c>
      <c r="AU87" s="35"/>
      <c r="AV87" s="35" t="s">
        <v>771</v>
      </c>
      <c r="AW87" s="35" t="s">
        <v>772</v>
      </c>
      <c r="AX87" s="35" t="s">
        <v>338</v>
      </c>
      <c r="AY87" s="35" t="s">
        <v>338</v>
      </c>
      <c r="AZ87" s="35" t="s">
        <v>687</v>
      </c>
      <c r="BA87" s="35"/>
      <c r="BB87" s="35" t="s">
        <v>272</v>
      </c>
      <c r="BC87" s="35" t="s">
        <v>273</v>
      </c>
      <c r="BD87" s="35" t="s">
        <v>274</v>
      </c>
      <c r="BE87" s="35" t="s">
        <v>271</v>
      </c>
      <c r="BF87" s="35">
        <v>11900</v>
      </c>
      <c r="BG87" s="35"/>
      <c r="BH87" s="35">
        <v>0</v>
      </c>
      <c r="BI87" s="35">
        <v>0</v>
      </c>
      <c r="BJ87" s="35"/>
      <c r="BK87" s="35" t="s">
        <v>585</v>
      </c>
      <c r="BL87" s="35" t="s">
        <v>773</v>
      </c>
      <c r="BM87" s="35"/>
      <c r="BN87" s="35"/>
      <c r="BO87" s="35"/>
      <c r="BP87" s="35"/>
    </row>
    <row r="88" spans="1:68" x14ac:dyDescent="0.3">
      <c r="A88" s="35" t="s">
        <v>49</v>
      </c>
      <c r="B88" s="35" t="s">
        <v>450</v>
      </c>
      <c r="C88" s="35" t="s">
        <v>451</v>
      </c>
      <c r="D88" s="35" t="s">
        <v>388</v>
      </c>
      <c r="E88" s="35" t="s">
        <v>188</v>
      </c>
      <c r="F88" s="35" t="s">
        <v>190</v>
      </c>
      <c r="G88" s="35" t="s">
        <v>1591</v>
      </c>
      <c r="H88" s="35" t="s">
        <v>1354</v>
      </c>
      <c r="I88" s="35"/>
      <c r="J88" s="35" t="s">
        <v>47</v>
      </c>
      <c r="K88" s="35" t="s">
        <v>43</v>
      </c>
      <c r="L88" s="35"/>
      <c r="M88" s="35">
        <v>5</v>
      </c>
      <c r="N88" s="35" t="s">
        <v>262</v>
      </c>
      <c r="O88" s="35" t="s">
        <v>263</v>
      </c>
      <c r="P88" s="35" t="s">
        <v>52</v>
      </c>
      <c r="Q88" s="35"/>
      <c r="R88" s="35" t="s">
        <v>197</v>
      </c>
      <c r="S88" s="35" t="s">
        <v>1178</v>
      </c>
      <c r="T88" s="35">
        <v>0</v>
      </c>
      <c r="U88" s="35" t="s">
        <v>264</v>
      </c>
      <c r="V88" s="35">
        <v>0</v>
      </c>
      <c r="W88" s="35" t="s">
        <v>265</v>
      </c>
      <c r="X88" s="35">
        <v>60000</v>
      </c>
      <c r="Y88" s="35">
        <v>4.99</v>
      </c>
      <c r="Z88" s="38">
        <v>4560.04</v>
      </c>
      <c r="AA88" s="38">
        <v>3750</v>
      </c>
      <c r="AB88" s="35" t="s">
        <v>95</v>
      </c>
      <c r="AC88" s="38">
        <v>48750</v>
      </c>
      <c r="AD88" s="38">
        <v>48750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4561</v>
      </c>
      <c r="AK88" s="35" t="s">
        <v>1884</v>
      </c>
      <c r="AL88" s="35" t="s">
        <v>1479</v>
      </c>
      <c r="AM88" s="35" t="s">
        <v>1582</v>
      </c>
      <c r="AN88" s="35" t="s">
        <v>2014</v>
      </c>
      <c r="AO88" s="35">
        <v>13</v>
      </c>
      <c r="AP88" s="35">
        <v>16</v>
      </c>
      <c r="AQ88" s="35" t="s">
        <v>1616</v>
      </c>
      <c r="AR88" s="35" t="s">
        <v>1617</v>
      </c>
      <c r="AS88" s="35" t="s">
        <v>1618</v>
      </c>
      <c r="AT88" s="35" t="s">
        <v>1619</v>
      </c>
      <c r="AU88" s="35"/>
      <c r="AV88" s="35" t="s">
        <v>1620</v>
      </c>
      <c r="AW88" s="35" t="s">
        <v>1621</v>
      </c>
      <c r="AX88" s="35" t="s">
        <v>338</v>
      </c>
      <c r="AY88" s="35" t="s">
        <v>338</v>
      </c>
      <c r="AZ88" s="35" t="s">
        <v>1592</v>
      </c>
      <c r="BA88" s="35"/>
      <c r="BB88" s="35" t="s">
        <v>272</v>
      </c>
      <c r="BC88" s="35" t="s">
        <v>273</v>
      </c>
      <c r="BD88" s="35" t="s">
        <v>274</v>
      </c>
      <c r="BE88" s="35" t="s">
        <v>271</v>
      </c>
      <c r="BF88" s="35">
        <v>6000</v>
      </c>
      <c r="BG88" s="35"/>
      <c r="BH88" s="35">
        <v>0</v>
      </c>
      <c r="BI88" s="35">
        <v>0</v>
      </c>
      <c r="BJ88" s="35"/>
      <c r="BK88" s="35" t="s">
        <v>585</v>
      </c>
      <c r="BL88" s="35" t="s">
        <v>1622</v>
      </c>
      <c r="BM88" s="35"/>
      <c r="BN88" s="35"/>
      <c r="BO88" s="35"/>
      <c r="BP88" s="35"/>
    </row>
    <row r="89" spans="1:68" x14ac:dyDescent="0.3">
      <c r="A89" s="35" t="s">
        <v>43</v>
      </c>
      <c r="B89" s="35" t="s">
        <v>44</v>
      </c>
      <c r="C89" s="35" t="s">
        <v>41</v>
      </c>
      <c r="D89" s="35" t="s">
        <v>42</v>
      </c>
      <c r="E89" s="35" t="s">
        <v>663</v>
      </c>
      <c r="F89" s="35" t="s">
        <v>664</v>
      </c>
      <c r="G89" s="35" t="s">
        <v>1271</v>
      </c>
      <c r="H89" s="35" t="s">
        <v>1159</v>
      </c>
      <c r="I89" s="35"/>
      <c r="J89" s="35" t="s">
        <v>47</v>
      </c>
      <c r="K89" s="35" t="s">
        <v>43</v>
      </c>
      <c r="L89" s="35"/>
      <c r="M89" s="35">
        <v>6</v>
      </c>
      <c r="N89" s="35" t="s">
        <v>262</v>
      </c>
      <c r="O89" s="35" t="s">
        <v>263</v>
      </c>
      <c r="P89" s="35" t="s">
        <v>52</v>
      </c>
      <c r="Q89" s="35"/>
      <c r="R89" s="35" t="s">
        <v>197</v>
      </c>
      <c r="S89" s="35" t="s">
        <v>147</v>
      </c>
      <c r="T89" s="35">
        <v>0</v>
      </c>
      <c r="U89" s="35" t="s">
        <v>264</v>
      </c>
      <c r="V89" s="35">
        <v>0</v>
      </c>
      <c r="W89" s="35" t="s">
        <v>265</v>
      </c>
      <c r="X89" s="35">
        <v>60000</v>
      </c>
      <c r="Y89" s="35">
        <v>4.99</v>
      </c>
      <c r="Z89" s="38">
        <v>4560.04</v>
      </c>
      <c r="AA89" s="38">
        <v>3750</v>
      </c>
      <c r="AB89" s="35" t="s">
        <v>95</v>
      </c>
      <c r="AC89" s="38">
        <v>41250.14</v>
      </c>
      <c r="AD89" s="38">
        <v>41250</v>
      </c>
      <c r="AE89" s="38">
        <v>0.14000000000000001</v>
      </c>
      <c r="AF89" s="38">
        <v>0.02</v>
      </c>
      <c r="AG89" s="38">
        <v>0</v>
      </c>
      <c r="AH89" s="38">
        <v>0</v>
      </c>
      <c r="AI89" s="38">
        <v>0.16</v>
      </c>
      <c r="AJ89" s="38">
        <v>4560</v>
      </c>
      <c r="AK89" s="35" t="s">
        <v>1884</v>
      </c>
      <c r="AL89" s="35" t="s">
        <v>1132</v>
      </c>
      <c r="AM89" s="35" t="s">
        <v>1282</v>
      </c>
      <c r="AN89" s="35" t="s">
        <v>2014</v>
      </c>
      <c r="AO89" s="35">
        <v>11</v>
      </c>
      <c r="AP89" s="35">
        <v>16</v>
      </c>
      <c r="AQ89" s="35" t="s">
        <v>1299</v>
      </c>
      <c r="AR89" s="35" t="s">
        <v>1300</v>
      </c>
      <c r="AS89" s="35" t="s">
        <v>1301</v>
      </c>
      <c r="AT89" s="35" t="s">
        <v>1302</v>
      </c>
      <c r="AU89" s="35"/>
      <c r="AV89" s="35" t="s">
        <v>272</v>
      </c>
      <c r="AW89" s="35" t="s">
        <v>273</v>
      </c>
      <c r="AX89" s="35" t="s">
        <v>274</v>
      </c>
      <c r="AY89" s="35" t="s">
        <v>271</v>
      </c>
      <c r="AZ89" s="35" t="s">
        <v>1303</v>
      </c>
      <c r="BA89" s="35"/>
      <c r="BB89" s="35" t="s">
        <v>272</v>
      </c>
      <c r="BC89" s="35" t="s">
        <v>273</v>
      </c>
      <c r="BD89" s="35" t="s">
        <v>274</v>
      </c>
      <c r="BE89" s="35" t="s">
        <v>271</v>
      </c>
      <c r="BF89" s="35">
        <v>6000</v>
      </c>
      <c r="BG89" s="35"/>
      <c r="BH89" s="35">
        <v>0</v>
      </c>
      <c r="BI89" s="35">
        <v>0</v>
      </c>
      <c r="BJ89" s="35"/>
      <c r="BK89" s="35" t="s">
        <v>585</v>
      </c>
      <c r="BL89" s="35" t="s">
        <v>1304</v>
      </c>
      <c r="BM89" s="35"/>
      <c r="BN89" s="35"/>
      <c r="BO89" s="35"/>
      <c r="BP89" s="35"/>
    </row>
    <row r="90" spans="1:68" x14ac:dyDescent="0.3">
      <c r="A90" s="35" t="s">
        <v>43</v>
      </c>
      <c r="B90" s="35" t="s">
        <v>44</v>
      </c>
      <c r="C90" s="35" t="s">
        <v>41</v>
      </c>
      <c r="D90" s="35" t="s">
        <v>42</v>
      </c>
      <c r="E90" s="35" t="s">
        <v>663</v>
      </c>
      <c r="F90" s="35" t="s">
        <v>664</v>
      </c>
      <c r="G90" s="35" t="s">
        <v>1475</v>
      </c>
      <c r="H90" s="35" t="s">
        <v>1378</v>
      </c>
      <c r="I90" s="35"/>
      <c r="J90" s="35" t="s">
        <v>47</v>
      </c>
      <c r="K90" s="35" t="s">
        <v>47</v>
      </c>
      <c r="L90" s="35"/>
      <c r="M90" s="35">
        <v>6</v>
      </c>
      <c r="N90" s="35" t="s">
        <v>262</v>
      </c>
      <c r="O90" s="35" t="s">
        <v>263</v>
      </c>
      <c r="P90" s="35" t="s">
        <v>52</v>
      </c>
      <c r="Q90" s="35"/>
      <c r="R90" s="35" t="s">
        <v>197</v>
      </c>
      <c r="S90" s="35" t="s">
        <v>125</v>
      </c>
      <c r="T90" s="35">
        <v>0</v>
      </c>
      <c r="U90" s="35" t="s">
        <v>264</v>
      </c>
      <c r="V90" s="35">
        <v>0</v>
      </c>
      <c r="W90" s="35" t="s">
        <v>265</v>
      </c>
      <c r="X90" s="35">
        <v>62000</v>
      </c>
      <c r="Y90" s="35">
        <v>4.99</v>
      </c>
      <c r="Z90" s="38">
        <v>4712.0413333333327</v>
      </c>
      <c r="AA90" s="38">
        <v>3875</v>
      </c>
      <c r="AB90" s="35" t="s">
        <v>95</v>
      </c>
      <c r="AC90" s="38">
        <v>46500.18</v>
      </c>
      <c r="AD90" s="38">
        <v>46500</v>
      </c>
      <c r="AE90" s="38">
        <v>0.18</v>
      </c>
      <c r="AF90" s="38">
        <v>0</v>
      </c>
      <c r="AG90" s="38">
        <v>0</v>
      </c>
      <c r="AH90" s="38">
        <v>0</v>
      </c>
      <c r="AI90" s="38">
        <v>0.18</v>
      </c>
      <c r="AJ90" s="38">
        <v>4712</v>
      </c>
      <c r="AK90" s="35" t="s">
        <v>1884</v>
      </c>
      <c r="AL90" s="35" t="s">
        <v>1275</v>
      </c>
      <c r="AM90" s="35" t="s">
        <v>1480</v>
      </c>
      <c r="AN90" s="35" t="s">
        <v>2014</v>
      </c>
      <c r="AO90" s="35">
        <v>12</v>
      </c>
      <c r="AP90" s="35">
        <v>16</v>
      </c>
      <c r="AQ90" s="35" t="s">
        <v>1481</v>
      </c>
      <c r="AR90" s="35" t="s">
        <v>1482</v>
      </c>
      <c r="AS90" s="35" t="s">
        <v>1483</v>
      </c>
      <c r="AT90" s="35" t="s">
        <v>1484</v>
      </c>
      <c r="AU90" s="35"/>
      <c r="AV90" s="35" t="s">
        <v>1485</v>
      </c>
      <c r="AW90" s="35" t="s">
        <v>718</v>
      </c>
      <c r="AX90" s="35" t="s">
        <v>555</v>
      </c>
      <c r="AY90" s="35" t="s">
        <v>271</v>
      </c>
      <c r="AZ90" s="35"/>
      <c r="BA90" s="35"/>
      <c r="BB90" s="35" t="s">
        <v>272</v>
      </c>
      <c r="BC90" s="35" t="s">
        <v>273</v>
      </c>
      <c r="BD90" s="35" t="s">
        <v>274</v>
      </c>
      <c r="BE90" s="35" t="s">
        <v>271</v>
      </c>
      <c r="BF90" s="35">
        <v>6200</v>
      </c>
      <c r="BG90" s="35"/>
      <c r="BH90" s="35">
        <v>0</v>
      </c>
      <c r="BI90" s="35">
        <v>0</v>
      </c>
      <c r="BJ90" s="35"/>
      <c r="BK90" s="35" t="s">
        <v>585</v>
      </c>
      <c r="BL90" s="35" t="s">
        <v>1486</v>
      </c>
      <c r="BM90" s="35"/>
      <c r="BN90" s="35"/>
      <c r="BO90" s="35"/>
      <c r="BP90" s="35"/>
    </row>
    <row r="91" spans="1:68" x14ac:dyDescent="0.3">
      <c r="A91" s="35" t="s">
        <v>43</v>
      </c>
      <c r="B91" s="35" t="s">
        <v>44</v>
      </c>
      <c r="C91" s="35" t="s">
        <v>460</v>
      </c>
      <c r="D91" s="35" t="s">
        <v>396</v>
      </c>
      <c r="E91" s="35" t="s">
        <v>501</v>
      </c>
      <c r="F91" s="35" t="s">
        <v>502</v>
      </c>
      <c r="G91" s="35" t="s">
        <v>663</v>
      </c>
      <c r="H91" s="35" t="s">
        <v>942</v>
      </c>
      <c r="I91" s="35"/>
      <c r="J91" s="35" t="s">
        <v>47</v>
      </c>
      <c r="K91" s="35" t="s">
        <v>43</v>
      </c>
      <c r="L91" s="35"/>
      <c r="M91" s="35">
        <v>7</v>
      </c>
      <c r="N91" s="35" t="s">
        <v>262</v>
      </c>
      <c r="O91" s="35" t="s">
        <v>263</v>
      </c>
      <c r="P91" s="35" t="s">
        <v>52</v>
      </c>
      <c r="Q91" s="35"/>
      <c r="R91" s="35" t="s">
        <v>168</v>
      </c>
      <c r="S91" s="35" t="s">
        <v>147</v>
      </c>
      <c r="T91" s="35">
        <v>0</v>
      </c>
      <c r="U91" s="35" t="s">
        <v>264</v>
      </c>
      <c r="V91" s="35">
        <v>0</v>
      </c>
      <c r="W91" s="35" t="s">
        <v>265</v>
      </c>
      <c r="X91" s="35">
        <v>152000</v>
      </c>
      <c r="Y91" s="35">
        <v>4.99</v>
      </c>
      <c r="Z91" s="38">
        <v>11552.101333333301</v>
      </c>
      <c r="AA91" s="38">
        <v>9500</v>
      </c>
      <c r="AB91" s="35" t="s">
        <v>95</v>
      </c>
      <c r="AC91" s="38">
        <v>85500</v>
      </c>
      <c r="AD91" s="38">
        <v>85500</v>
      </c>
      <c r="AE91" s="38">
        <v>0</v>
      </c>
      <c r="AF91" s="38">
        <v>0</v>
      </c>
      <c r="AG91" s="38">
        <v>0</v>
      </c>
      <c r="AH91" s="38">
        <v>0</v>
      </c>
      <c r="AI91" s="38">
        <v>0</v>
      </c>
      <c r="AJ91" s="38">
        <v>11557</v>
      </c>
      <c r="AK91" s="35" t="s">
        <v>1884</v>
      </c>
      <c r="AL91" s="35" t="s">
        <v>854</v>
      </c>
      <c r="AM91" s="35" t="s">
        <v>991</v>
      </c>
      <c r="AN91" s="35" t="s">
        <v>2164</v>
      </c>
      <c r="AO91" s="35">
        <v>9</v>
      </c>
      <c r="AP91" s="35">
        <v>16</v>
      </c>
      <c r="AQ91" s="35" t="s">
        <v>1029</v>
      </c>
      <c r="AR91" s="35" t="s">
        <v>1030</v>
      </c>
      <c r="AS91" s="35" t="s">
        <v>1031</v>
      </c>
      <c r="AT91" s="35" t="s">
        <v>1032</v>
      </c>
      <c r="AU91" s="35"/>
      <c r="AV91" s="35" t="s">
        <v>1033</v>
      </c>
      <c r="AW91" s="35" t="s">
        <v>619</v>
      </c>
      <c r="AX91" s="35" t="s">
        <v>555</v>
      </c>
      <c r="AY91" s="35" t="s">
        <v>271</v>
      </c>
      <c r="AZ91" s="35"/>
      <c r="BA91" s="35"/>
      <c r="BB91" s="35" t="s">
        <v>272</v>
      </c>
      <c r="BC91" s="35" t="s">
        <v>273</v>
      </c>
      <c r="BD91" s="35" t="s">
        <v>274</v>
      </c>
      <c r="BE91" s="35" t="s">
        <v>271</v>
      </c>
      <c r="BF91" s="35">
        <v>15200</v>
      </c>
      <c r="BG91" s="35"/>
      <c r="BH91" s="35">
        <v>0</v>
      </c>
      <c r="BI91" s="35">
        <v>0</v>
      </c>
      <c r="BJ91" s="35"/>
      <c r="BK91" s="35" t="s">
        <v>585</v>
      </c>
      <c r="BL91" s="35" t="s">
        <v>1034</v>
      </c>
      <c r="BM91" s="35"/>
      <c r="BN91" s="35"/>
      <c r="BO91" s="35"/>
      <c r="BP91" s="35"/>
    </row>
    <row r="92" spans="1:68" x14ac:dyDescent="0.3">
      <c r="A92" s="35" t="s">
        <v>49</v>
      </c>
      <c r="B92" s="35" t="s">
        <v>450</v>
      </c>
      <c r="C92" s="35" t="s">
        <v>451</v>
      </c>
      <c r="D92" s="35" t="s">
        <v>388</v>
      </c>
      <c r="E92" s="35" t="s">
        <v>170</v>
      </c>
      <c r="F92" s="35" t="s">
        <v>171</v>
      </c>
      <c r="G92" s="35" t="s">
        <v>1575</v>
      </c>
      <c r="H92" s="35" t="s">
        <v>1564</v>
      </c>
      <c r="I92" s="35"/>
      <c r="J92" s="35" t="s">
        <v>47</v>
      </c>
      <c r="K92" s="35" t="s">
        <v>43</v>
      </c>
      <c r="L92" s="35"/>
      <c r="M92" s="35">
        <v>5</v>
      </c>
      <c r="N92" s="35" t="s">
        <v>262</v>
      </c>
      <c r="O92" s="35" t="s">
        <v>263</v>
      </c>
      <c r="P92" s="35" t="s">
        <v>52</v>
      </c>
      <c r="Q92" s="35"/>
      <c r="R92" s="35" t="s">
        <v>197</v>
      </c>
      <c r="S92" s="35" t="s">
        <v>185</v>
      </c>
      <c r="T92" s="35">
        <v>0</v>
      </c>
      <c r="U92" s="35" t="s">
        <v>264</v>
      </c>
      <c r="V92" s="35">
        <v>0</v>
      </c>
      <c r="W92" s="35" t="s">
        <v>265</v>
      </c>
      <c r="X92" s="35">
        <v>70000</v>
      </c>
      <c r="Y92" s="35">
        <v>4.99</v>
      </c>
      <c r="Z92" s="38">
        <v>5320.0466666666662</v>
      </c>
      <c r="AA92" s="38">
        <v>4375</v>
      </c>
      <c r="AB92" s="35" t="s">
        <v>95</v>
      </c>
      <c r="AC92" s="38">
        <v>56875</v>
      </c>
      <c r="AD92" s="38">
        <v>56875</v>
      </c>
      <c r="AE92" s="38">
        <v>0</v>
      </c>
      <c r="AF92" s="38">
        <v>0</v>
      </c>
      <c r="AG92" s="38">
        <v>0</v>
      </c>
      <c r="AH92" s="38">
        <v>0</v>
      </c>
      <c r="AI92" s="38">
        <v>0</v>
      </c>
      <c r="AJ92" s="38">
        <v>5321</v>
      </c>
      <c r="AK92" s="35" t="s">
        <v>1884</v>
      </c>
      <c r="AL92" s="35" t="s">
        <v>1479</v>
      </c>
      <c r="AM92" s="35" t="s">
        <v>1582</v>
      </c>
      <c r="AN92" s="35" t="s">
        <v>2014</v>
      </c>
      <c r="AO92" s="35">
        <v>13</v>
      </c>
      <c r="AP92" s="35">
        <v>16</v>
      </c>
      <c r="AQ92" s="35" t="s">
        <v>1583</v>
      </c>
      <c r="AR92" s="35" t="s">
        <v>1584</v>
      </c>
      <c r="AS92" s="35" t="s">
        <v>1585</v>
      </c>
      <c r="AT92" s="35" t="s">
        <v>1586</v>
      </c>
      <c r="AU92" s="35"/>
      <c r="AV92" s="35" t="s">
        <v>1587</v>
      </c>
      <c r="AW92" s="35" t="s">
        <v>1588</v>
      </c>
      <c r="AX92" s="35" t="s">
        <v>962</v>
      </c>
      <c r="AY92" s="35" t="s">
        <v>338</v>
      </c>
      <c r="AZ92" s="35" t="s">
        <v>1589</v>
      </c>
      <c r="BA92" s="35"/>
      <c r="BB92" s="35" t="s">
        <v>272</v>
      </c>
      <c r="BC92" s="35" t="s">
        <v>273</v>
      </c>
      <c r="BD92" s="35" t="s">
        <v>274</v>
      </c>
      <c r="BE92" s="35" t="s">
        <v>271</v>
      </c>
      <c r="BF92" s="35">
        <v>7000</v>
      </c>
      <c r="BG92" s="35"/>
      <c r="BH92" s="35">
        <v>0</v>
      </c>
      <c r="BI92" s="35">
        <v>0</v>
      </c>
      <c r="BJ92" s="35"/>
      <c r="BK92" s="35" t="s">
        <v>585</v>
      </c>
      <c r="BL92" s="35" t="s">
        <v>1590</v>
      </c>
      <c r="BM92" s="35"/>
      <c r="BN92" s="35"/>
      <c r="BO92" s="35"/>
      <c r="BP92" s="35"/>
    </row>
    <row r="93" spans="1:68" x14ac:dyDescent="0.3">
      <c r="A93" s="35" t="s">
        <v>49</v>
      </c>
      <c r="B93" s="35" t="s">
        <v>450</v>
      </c>
      <c r="C93" s="35" t="s">
        <v>451</v>
      </c>
      <c r="D93" s="35" t="s">
        <v>388</v>
      </c>
      <c r="E93" s="35" t="s">
        <v>188</v>
      </c>
      <c r="F93" s="35" t="s">
        <v>190</v>
      </c>
      <c r="G93" s="35" t="s">
        <v>657</v>
      </c>
      <c r="H93" s="35" t="s">
        <v>658</v>
      </c>
      <c r="I93" s="35"/>
      <c r="J93" s="35" t="s">
        <v>47</v>
      </c>
      <c r="K93" s="35" t="s">
        <v>43</v>
      </c>
      <c r="L93" s="35"/>
      <c r="M93" s="35">
        <v>8</v>
      </c>
      <c r="N93" s="35" t="s">
        <v>262</v>
      </c>
      <c r="O93" s="35" t="s">
        <v>263</v>
      </c>
      <c r="P93" s="35" t="s">
        <v>52</v>
      </c>
      <c r="Q93" s="35"/>
      <c r="R93" s="35" t="s">
        <v>197</v>
      </c>
      <c r="S93" s="35" t="s">
        <v>185</v>
      </c>
      <c r="T93" s="35">
        <v>0</v>
      </c>
      <c r="U93" s="35" t="s">
        <v>264</v>
      </c>
      <c r="V93" s="35">
        <v>0</v>
      </c>
      <c r="W93" s="35" t="s">
        <v>265</v>
      </c>
      <c r="X93" s="35">
        <v>85000</v>
      </c>
      <c r="Y93" s="35">
        <v>4.99</v>
      </c>
      <c r="Z93" s="38">
        <v>6460.0566666666655</v>
      </c>
      <c r="AA93" s="38">
        <v>5312.5</v>
      </c>
      <c r="AB93" s="35" t="s">
        <v>95</v>
      </c>
      <c r="AC93" s="38">
        <v>32812.980000000003</v>
      </c>
      <c r="AD93" s="38">
        <v>32812.980000000003</v>
      </c>
      <c r="AE93" s="38">
        <v>0</v>
      </c>
      <c r="AF93" s="38">
        <v>0</v>
      </c>
      <c r="AG93" s="38">
        <v>0</v>
      </c>
      <c r="AH93" s="38">
        <v>0</v>
      </c>
      <c r="AI93" s="38">
        <v>0</v>
      </c>
      <c r="AJ93" s="38">
        <v>5700</v>
      </c>
      <c r="AK93" s="35" t="s">
        <v>1884</v>
      </c>
      <c r="AL93" s="35" t="s">
        <v>441</v>
      </c>
      <c r="AM93" s="35" t="s">
        <v>691</v>
      </c>
      <c r="AN93" s="35" t="s">
        <v>2014</v>
      </c>
      <c r="AO93" s="35">
        <v>7</v>
      </c>
      <c r="AP93" s="35">
        <v>16</v>
      </c>
      <c r="AQ93" s="35" t="s">
        <v>720</v>
      </c>
      <c r="AR93" s="35" t="s">
        <v>721</v>
      </c>
      <c r="AS93" s="35" t="s">
        <v>722</v>
      </c>
      <c r="AT93" s="35" t="s">
        <v>723</v>
      </c>
      <c r="AU93" s="35"/>
      <c r="AV93" s="35" t="s">
        <v>724</v>
      </c>
      <c r="AW93" s="35" t="s">
        <v>725</v>
      </c>
      <c r="AX93" s="35" t="s">
        <v>338</v>
      </c>
      <c r="AY93" s="35" t="s">
        <v>338</v>
      </c>
      <c r="AZ93" s="35" t="s">
        <v>659</v>
      </c>
      <c r="BA93" s="35"/>
      <c r="BB93" s="35" t="s">
        <v>272</v>
      </c>
      <c r="BC93" s="35" t="s">
        <v>273</v>
      </c>
      <c r="BD93" s="35" t="s">
        <v>274</v>
      </c>
      <c r="BE93" s="35" t="s">
        <v>271</v>
      </c>
      <c r="BF93" s="35">
        <v>8500</v>
      </c>
      <c r="BG93" s="35"/>
      <c r="BH93" s="35">
        <v>0</v>
      </c>
      <c r="BI93" s="35">
        <v>0</v>
      </c>
      <c r="BJ93" s="35"/>
      <c r="BK93" s="35" t="s">
        <v>585</v>
      </c>
      <c r="BL93" s="35" t="s">
        <v>726</v>
      </c>
      <c r="BM93" s="35"/>
      <c r="BN93" s="35"/>
      <c r="BO93" s="35"/>
      <c r="BP93" s="35"/>
    </row>
    <row r="94" spans="1:68" x14ac:dyDescent="0.3">
      <c r="A94" s="35" t="s">
        <v>43</v>
      </c>
      <c r="B94" s="35" t="s">
        <v>44</v>
      </c>
      <c r="C94" s="35" t="s">
        <v>467</v>
      </c>
      <c r="D94" s="35" t="s">
        <v>424</v>
      </c>
      <c r="E94" s="35" t="s">
        <v>189</v>
      </c>
      <c r="F94" s="35" t="s">
        <v>191</v>
      </c>
      <c r="G94" s="35" t="s">
        <v>1273</v>
      </c>
      <c r="H94" s="35" t="s">
        <v>1206</v>
      </c>
      <c r="I94" s="35"/>
      <c r="J94" s="35" t="s">
        <v>47</v>
      </c>
      <c r="K94" s="35" t="s">
        <v>43</v>
      </c>
      <c r="L94" s="35"/>
      <c r="M94" s="35">
        <v>5</v>
      </c>
      <c r="N94" s="35" t="s">
        <v>262</v>
      </c>
      <c r="O94" s="35" t="s">
        <v>263</v>
      </c>
      <c r="P94" s="35" t="s">
        <v>52</v>
      </c>
      <c r="Q94" s="35"/>
      <c r="R94" s="35" t="s">
        <v>197</v>
      </c>
      <c r="S94" s="35"/>
      <c r="T94" s="35">
        <v>0</v>
      </c>
      <c r="U94" s="35" t="s">
        <v>264</v>
      </c>
      <c r="V94" s="35">
        <v>0</v>
      </c>
      <c r="W94" s="35" t="s">
        <v>265</v>
      </c>
      <c r="X94" s="35">
        <v>130000</v>
      </c>
      <c r="Y94" s="35">
        <v>4.99</v>
      </c>
      <c r="Z94" s="38">
        <v>9880.0866666666661</v>
      </c>
      <c r="AA94" s="38">
        <v>8125</v>
      </c>
      <c r="AB94" s="35" t="s">
        <v>95</v>
      </c>
      <c r="AC94" s="38">
        <v>89375</v>
      </c>
      <c r="AD94" s="38">
        <v>89375</v>
      </c>
      <c r="AE94" s="38">
        <v>0</v>
      </c>
      <c r="AF94" s="38">
        <v>0</v>
      </c>
      <c r="AG94" s="38">
        <v>0</v>
      </c>
      <c r="AH94" s="38">
        <v>0</v>
      </c>
      <c r="AI94" s="38">
        <v>0</v>
      </c>
      <c r="AJ94" s="38">
        <v>9880.09</v>
      </c>
      <c r="AK94" s="35" t="s">
        <v>1884</v>
      </c>
      <c r="AL94" s="35" t="s">
        <v>1132</v>
      </c>
      <c r="AM94" s="35" t="s">
        <v>1282</v>
      </c>
      <c r="AN94" s="35" t="s">
        <v>2014</v>
      </c>
      <c r="AO94" s="35">
        <v>11</v>
      </c>
      <c r="AP94" s="35">
        <v>16</v>
      </c>
      <c r="AQ94" s="35" t="s">
        <v>1149</v>
      </c>
      <c r="AR94" s="35" t="s">
        <v>1149</v>
      </c>
      <c r="AS94" s="35" t="s">
        <v>1149</v>
      </c>
      <c r="AT94" s="35" t="s">
        <v>1305</v>
      </c>
      <c r="AU94" s="35"/>
      <c r="AV94" s="35" t="s">
        <v>283</v>
      </c>
      <c r="AW94" s="35" t="s">
        <v>284</v>
      </c>
      <c r="AX94" s="35" t="s">
        <v>285</v>
      </c>
      <c r="AY94" s="35" t="s">
        <v>271</v>
      </c>
      <c r="AZ94" s="35" t="s">
        <v>1306</v>
      </c>
      <c r="BA94" s="35"/>
      <c r="BB94" s="35" t="s">
        <v>272</v>
      </c>
      <c r="BC94" s="35" t="s">
        <v>273</v>
      </c>
      <c r="BD94" s="35" t="s">
        <v>274</v>
      </c>
      <c r="BE94" s="35" t="s">
        <v>271</v>
      </c>
      <c r="BF94" s="35">
        <v>13000</v>
      </c>
      <c r="BG94" s="35"/>
      <c r="BH94" s="35">
        <v>0</v>
      </c>
      <c r="BI94" s="35">
        <v>0</v>
      </c>
      <c r="BJ94" s="35"/>
      <c r="BK94" s="35" t="s">
        <v>585</v>
      </c>
      <c r="BL94" s="35" t="s">
        <v>1307</v>
      </c>
      <c r="BM94" s="35"/>
      <c r="BN94" s="35"/>
      <c r="BO94" s="35"/>
      <c r="BP94" s="35"/>
    </row>
    <row r="95" spans="1:68" x14ac:dyDescent="0.3">
      <c r="A95" s="35" t="s">
        <v>49</v>
      </c>
      <c r="B95" s="35" t="s">
        <v>450</v>
      </c>
      <c r="C95" s="35" t="s">
        <v>451</v>
      </c>
      <c r="D95" s="35" t="s">
        <v>388</v>
      </c>
      <c r="E95" s="35" t="s">
        <v>188</v>
      </c>
      <c r="F95" s="35" t="s">
        <v>190</v>
      </c>
      <c r="G95" s="35" t="s">
        <v>1958</v>
      </c>
      <c r="H95" s="35" t="s">
        <v>1959</v>
      </c>
      <c r="I95" s="35"/>
      <c r="J95" s="35" t="s">
        <v>47</v>
      </c>
      <c r="K95" s="35" t="s">
        <v>43</v>
      </c>
      <c r="L95" s="35"/>
      <c r="M95" s="35">
        <v>7</v>
      </c>
      <c r="N95" s="35" t="s">
        <v>262</v>
      </c>
      <c r="O95" s="35" t="s">
        <v>263</v>
      </c>
      <c r="P95" s="35" t="s">
        <v>52</v>
      </c>
      <c r="Q95" s="35"/>
      <c r="R95" s="35" t="s">
        <v>126</v>
      </c>
      <c r="S95" s="35" t="s">
        <v>1178</v>
      </c>
      <c r="T95" s="35">
        <v>0</v>
      </c>
      <c r="U95" s="35" t="s">
        <v>264</v>
      </c>
      <c r="V95" s="35">
        <v>0</v>
      </c>
      <c r="W95" s="35" t="s">
        <v>265</v>
      </c>
      <c r="X95" s="35">
        <v>118500</v>
      </c>
      <c r="Y95" s="35">
        <v>4.99</v>
      </c>
      <c r="Z95" s="38">
        <v>9006.0789999999997</v>
      </c>
      <c r="AA95" s="38">
        <v>7406.25</v>
      </c>
      <c r="AB95" s="35" t="s">
        <v>95</v>
      </c>
      <c r="AC95" s="38">
        <v>111093.75</v>
      </c>
      <c r="AD95" s="38">
        <v>111093.75</v>
      </c>
      <c r="AE95" s="38">
        <v>0</v>
      </c>
      <c r="AF95" s="38">
        <v>0</v>
      </c>
      <c r="AG95" s="38">
        <v>0</v>
      </c>
      <c r="AH95" s="38">
        <v>0</v>
      </c>
      <c r="AI95" s="38">
        <v>0</v>
      </c>
      <c r="AJ95" s="38">
        <v>9007</v>
      </c>
      <c r="AK95" s="35" t="s">
        <v>1898</v>
      </c>
      <c r="AL95" s="35" t="s">
        <v>1823</v>
      </c>
      <c r="AM95" s="35" t="s">
        <v>1975</v>
      </c>
      <c r="AN95" s="35" t="s">
        <v>1965</v>
      </c>
      <c r="AO95" s="35">
        <v>16</v>
      </c>
      <c r="AP95" s="35">
        <v>16</v>
      </c>
      <c r="AQ95" s="35" t="s">
        <v>1976</v>
      </c>
      <c r="AR95" s="35" t="s">
        <v>1977</v>
      </c>
      <c r="AS95" s="35" t="s">
        <v>1978</v>
      </c>
      <c r="AT95" s="35" t="s">
        <v>1979</v>
      </c>
      <c r="AU95" s="35"/>
      <c r="AV95" s="35" t="s">
        <v>1980</v>
      </c>
      <c r="AW95" s="35" t="s">
        <v>1981</v>
      </c>
      <c r="AX95" s="35" t="s">
        <v>338</v>
      </c>
      <c r="AY95" s="35" t="s">
        <v>338</v>
      </c>
      <c r="AZ95" s="35" t="s">
        <v>1982</v>
      </c>
      <c r="BA95" s="35"/>
      <c r="BB95" s="35" t="s">
        <v>272</v>
      </c>
      <c r="BC95" s="35" t="s">
        <v>273</v>
      </c>
      <c r="BD95" s="35" t="s">
        <v>274</v>
      </c>
      <c r="BE95" s="35" t="s">
        <v>271</v>
      </c>
      <c r="BF95" s="35">
        <v>11850</v>
      </c>
      <c r="BG95" s="35"/>
      <c r="BH95" s="35">
        <v>0</v>
      </c>
      <c r="BI95" s="35">
        <v>0</v>
      </c>
      <c r="BJ95" s="35"/>
      <c r="BK95" s="35" t="s">
        <v>585</v>
      </c>
      <c r="BL95" s="35" t="s">
        <v>1983</v>
      </c>
      <c r="BM95" s="35"/>
      <c r="BN95" s="35"/>
      <c r="BO95" s="35"/>
      <c r="BP95" s="35"/>
    </row>
    <row r="96" spans="1:68" x14ac:dyDescent="0.3">
      <c r="A96" s="35" t="s">
        <v>43</v>
      </c>
      <c r="B96" s="35" t="s">
        <v>44</v>
      </c>
      <c r="C96" s="35" t="s">
        <v>460</v>
      </c>
      <c r="D96" s="35" t="s">
        <v>396</v>
      </c>
      <c r="E96" s="35" t="s">
        <v>164</v>
      </c>
      <c r="F96" s="35" t="s">
        <v>165</v>
      </c>
      <c r="G96" s="35" t="s">
        <v>397</v>
      </c>
      <c r="H96" s="35" t="s">
        <v>187</v>
      </c>
      <c r="I96" s="35"/>
      <c r="J96" s="35" t="s">
        <v>47</v>
      </c>
      <c r="K96" s="35" t="s">
        <v>297</v>
      </c>
      <c r="L96" s="35"/>
      <c r="M96" s="35">
        <v>10</v>
      </c>
      <c r="N96" s="35" t="s">
        <v>262</v>
      </c>
      <c r="O96" s="35" t="s">
        <v>263</v>
      </c>
      <c r="P96" s="35" t="s">
        <v>52</v>
      </c>
      <c r="Q96" s="35"/>
      <c r="R96" s="35" t="s">
        <v>146</v>
      </c>
      <c r="S96" s="35" t="s">
        <v>147</v>
      </c>
      <c r="T96" s="35">
        <v>17</v>
      </c>
      <c r="U96" s="35" t="s">
        <v>1699</v>
      </c>
      <c r="V96" s="35">
        <v>2.7</v>
      </c>
      <c r="W96" s="35" t="s">
        <v>265</v>
      </c>
      <c r="X96" s="35">
        <v>122000</v>
      </c>
      <c r="Y96" s="35">
        <v>4.99</v>
      </c>
      <c r="Z96" s="38">
        <v>9272.0813333333335</v>
      </c>
      <c r="AA96" s="38">
        <v>7625</v>
      </c>
      <c r="AB96" s="35" t="s">
        <v>95</v>
      </c>
      <c r="AC96" s="38">
        <v>66461.540000000008</v>
      </c>
      <c r="AD96" s="38">
        <v>45750</v>
      </c>
      <c r="AE96" s="38">
        <v>20711.54</v>
      </c>
      <c r="AF96" s="38">
        <v>3294.19</v>
      </c>
      <c r="AG96" s="38">
        <v>0</v>
      </c>
      <c r="AH96" s="38">
        <v>0</v>
      </c>
      <c r="AI96" s="38">
        <v>24005.73</v>
      </c>
      <c r="AJ96" s="38">
        <v>1360</v>
      </c>
      <c r="AK96" s="35" t="s">
        <v>1843</v>
      </c>
      <c r="AL96" s="35" t="s">
        <v>423</v>
      </c>
      <c r="AM96" s="35" t="s">
        <v>461</v>
      </c>
      <c r="AN96" s="35" t="s">
        <v>2004</v>
      </c>
      <c r="AO96" s="35">
        <v>6</v>
      </c>
      <c r="AP96" s="35">
        <v>16</v>
      </c>
      <c r="AQ96" s="35" t="s">
        <v>462</v>
      </c>
      <c r="AR96" s="35" t="s">
        <v>463</v>
      </c>
      <c r="AS96" s="35" t="s">
        <v>464</v>
      </c>
      <c r="AT96" s="35" t="s">
        <v>465</v>
      </c>
      <c r="AU96" s="35"/>
      <c r="AV96" s="35" t="s">
        <v>369</v>
      </c>
      <c r="AW96" s="35" t="s">
        <v>370</v>
      </c>
      <c r="AX96" s="35" t="s">
        <v>270</v>
      </c>
      <c r="AY96" s="35" t="s">
        <v>271</v>
      </c>
      <c r="AZ96" s="35" t="s">
        <v>739</v>
      </c>
      <c r="BA96" s="35"/>
      <c r="BB96" s="35" t="s">
        <v>272</v>
      </c>
      <c r="BC96" s="35" t="s">
        <v>273</v>
      </c>
      <c r="BD96" s="35" t="s">
        <v>274</v>
      </c>
      <c r="BE96" s="35" t="s">
        <v>271</v>
      </c>
      <c r="BF96" s="35">
        <v>12200</v>
      </c>
      <c r="BG96" s="35"/>
      <c r="BH96" s="35">
        <v>7</v>
      </c>
      <c r="BI96" s="35">
        <v>7</v>
      </c>
      <c r="BJ96" s="35"/>
      <c r="BK96" s="35" t="s">
        <v>448</v>
      </c>
      <c r="BL96" s="35" t="s">
        <v>466</v>
      </c>
      <c r="BM96" s="35"/>
      <c r="BN96" s="35"/>
      <c r="BO96" s="35"/>
      <c r="BP96" s="35"/>
    </row>
    <row r="97" spans="1:68" x14ac:dyDescent="0.3">
      <c r="A97" s="35" t="s">
        <v>43</v>
      </c>
      <c r="B97" s="35" t="s">
        <v>44</v>
      </c>
      <c r="C97" s="35" t="s">
        <v>41</v>
      </c>
      <c r="D97" s="35" t="s">
        <v>42</v>
      </c>
      <c r="E97" s="35" t="s">
        <v>883</v>
      </c>
      <c r="F97" s="35" t="s">
        <v>884</v>
      </c>
      <c r="G97" s="35" t="s">
        <v>501</v>
      </c>
      <c r="H97" s="35" t="s">
        <v>944</v>
      </c>
      <c r="I97" s="35"/>
      <c r="J97" s="35" t="s">
        <v>47</v>
      </c>
      <c r="K97" s="35" t="s">
        <v>297</v>
      </c>
      <c r="L97" s="35"/>
      <c r="M97" s="35">
        <v>8</v>
      </c>
      <c r="N97" s="35" t="s">
        <v>262</v>
      </c>
      <c r="O97" s="35" t="s">
        <v>263</v>
      </c>
      <c r="P97" s="35" t="s">
        <v>52</v>
      </c>
      <c r="Q97" s="35"/>
      <c r="R97" s="35" t="s">
        <v>168</v>
      </c>
      <c r="S97" s="35" t="s">
        <v>125</v>
      </c>
      <c r="T97" s="35">
        <v>0</v>
      </c>
      <c r="U97" s="35" t="s">
        <v>264</v>
      </c>
      <c r="V97" s="35">
        <v>0</v>
      </c>
      <c r="W97" s="35" t="s">
        <v>265</v>
      </c>
      <c r="X97" s="35">
        <v>198000</v>
      </c>
      <c r="Y97" s="35">
        <v>4.99</v>
      </c>
      <c r="Z97" s="38">
        <v>15048.132000000001</v>
      </c>
      <c r="AA97" s="38">
        <v>12375</v>
      </c>
      <c r="AB97" s="35" t="s">
        <v>95</v>
      </c>
      <c r="AC97" s="38">
        <v>111375</v>
      </c>
      <c r="AD97" s="38">
        <v>111375</v>
      </c>
      <c r="AE97" s="38">
        <v>0</v>
      </c>
      <c r="AF97" s="38">
        <v>0</v>
      </c>
      <c r="AG97" s="38">
        <v>0</v>
      </c>
      <c r="AH97" s="38">
        <v>0</v>
      </c>
      <c r="AI97" s="38">
        <v>0</v>
      </c>
      <c r="AJ97" s="38">
        <v>15089</v>
      </c>
      <c r="AK97" s="35" t="s">
        <v>1899</v>
      </c>
      <c r="AL97" s="35" t="s">
        <v>854</v>
      </c>
      <c r="AM97" s="35" t="s">
        <v>991</v>
      </c>
      <c r="AN97" s="35" t="s">
        <v>2164</v>
      </c>
      <c r="AO97" s="35">
        <v>9</v>
      </c>
      <c r="AP97" s="35">
        <v>16</v>
      </c>
      <c r="AQ97" s="35" t="s">
        <v>1035</v>
      </c>
      <c r="AR97" s="35" t="s">
        <v>1036</v>
      </c>
      <c r="AS97" s="35" t="s">
        <v>1037</v>
      </c>
      <c r="AT97" s="35" t="s">
        <v>1038</v>
      </c>
      <c r="AU97" s="35"/>
      <c r="AV97" s="35" t="s">
        <v>1004</v>
      </c>
      <c r="AW97" s="35" t="s">
        <v>1039</v>
      </c>
      <c r="AX97" s="35" t="s">
        <v>1040</v>
      </c>
      <c r="AY97" s="35" t="s">
        <v>271</v>
      </c>
      <c r="AZ97" s="35" t="s">
        <v>967</v>
      </c>
      <c r="BA97" s="35"/>
      <c r="BB97" s="35" t="s">
        <v>1004</v>
      </c>
      <c r="BC97" s="35" t="s">
        <v>1039</v>
      </c>
      <c r="BD97" s="35" t="s">
        <v>1040</v>
      </c>
      <c r="BE97" s="35" t="s">
        <v>271</v>
      </c>
      <c r="BF97" s="35">
        <v>19800</v>
      </c>
      <c r="BG97" s="35"/>
      <c r="BH97" s="35">
        <v>0</v>
      </c>
      <c r="BI97" s="35">
        <v>0</v>
      </c>
      <c r="BJ97" s="35"/>
      <c r="BK97" s="35" t="s">
        <v>585</v>
      </c>
      <c r="BL97" s="35" t="s">
        <v>1041</v>
      </c>
      <c r="BM97" s="35"/>
      <c r="BN97" s="35"/>
      <c r="BO97" s="35"/>
      <c r="BP97" s="35"/>
    </row>
    <row r="98" spans="1:68" x14ac:dyDescent="0.3">
      <c r="A98" s="35" t="s">
        <v>43</v>
      </c>
      <c r="B98" s="35" t="s">
        <v>44</v>
      </c>
      <c r="C98" s="35" t="s">
        <v>41</v>
      </c>
      <c r="D98" s="35" t="s">
        <v>42</v>
      </c>
      <c r="E98" s="35" t="s">
        <v>663</v>
      </c>
      <c r="F98" s="35" t="s">
        <v>664</v>
      </c>
      <c r="G98" s="35" t="s">
        <v>1145</v>
      </c>
      <c r="H98" s="35" t="s">
        <v>1146</v>
      </c>
      <c r="I98" s="35"/>
      <c r="J98" s="35" t="s">
        <v>47</v>
      </c>
      <c r="K98" s="35" t="s">
        <v>47</v>
      </c>
      <c r="L98" s="35"/>
      <c r="M98" s="35">
        <v>8</v>
      </c>
      <c r="N98" s="35" t="s">
        <v>262</v>
      </c>
      <c r="O98" s="35" t="s">
        <v>263</v>
      </c>
      <c r="P98" s="35" t="s">
        <v>52</v>
      </c>
      <c r="Q98" s="35"/>
      <c r="R98" s="35" t="s">
        <v>168</v>
      </c>
      <c r="S98" s="35" t="s">
        <v>198</v>
      </c>
      <c r="T98" s="35">
        <v>0</v>
      </c>
      <c r="U98" s="35" t="s">
        <v>264</v>
      </c>
      <c r="V98" s="35">
        <v>0</v>
      </c>
      <c r="W98" s="35" t="s">
        <v>265</v>
      </c>
      <c r="X98" s="35">
        <v>100000</v>
      </c>
      <c r="Y98" s="35">
        <v>4.99</v>
      </c>
      <c r="Z98" s="38">
        <v>7600.0666666666657</v>
      </c>
      <c r="AA98" s="38">
        <v>6250</v>
      </c>
      <c r="AB98" s="35" t="s">
        <v>95</v>
      </c>
      <c r="AC98" s="38">
        <v>62500.4</v>
      </c>
      <c r="AD98" s="38">
        <v>62500</v>
      </c>
      <c r="AE98" s="38">
        <v>0.4</v>
      </c>
      <c r="AF98" s="38">
        <v>0</v>
      </c>
      <c r="AG98" s="38">
        <v>0</v>
      </c>
      <c r="AH98" s="38">
        <v>0</v>
      </c>
      <c r="AI98" s="38">
        <v>0.4</v>
      </c>
      <c r="AJ98" s="38">
        <v>7600</v>
      </c>
      <c r="AK98" s="35" t="s">
        <v>1899</v>
      </c>
      <c r="AL98" s="35" t="s">
        <v>985</v>
      </c>
      <c r="AM98" s="35" t="s">
        <v>1148</v>
      </c>
      <c r="AN98" s="35" t="s">
        <v>2164</v>
      </c>
      <c r="AO98" s="35">
        <v>10</v>
      </c>
      <c r="AP98" s="35">
        <v>16</v>
      </c>
      <c r="AQ98" s="35" t="s">
        <v>1243</v>
      </c>
      <c r="AR98" s="35" t="s">
        <v>1244</v>
      </c>
      <c r="AS98" s="35" t="s">
        <v>1245</v>
      </c>
      <c r="AT98" s="35" t="s">
        <v>1246</v>
      </c>
      <c r="AU98" s="35"/>
      <c r="AV98" s="35" t="s">
        <v>1247</v>
      </c>
      <c r="AW98" s="35" t="s">
        <v>1248</v>
      </c>
      <c r="AX98" s="35" t="s">
        <v>555</v>
      </c>
      <c r="AY98" s="35" t="s">
        <v>271</v>
      </c>
      <c r="AZ98" s="35"/>
      <c r="BA98" s="35"/>
      <c r="BB98" s="35" t="s">
        <v>272</v>
      </c>
      <c r="BC98" s="35" t="s">
        <v>273</v>
      </c>
      <c r="BD98" s="35" t="s">
        <v>274</v>
      </c>
      <c r="BE98" s="35" t="s">
        <v>271</v>
      </c>
      <c r="BF98" s="35">
        <v>10000</v>
      </c>
      <c r="BG98" s="35"/>
      <c r="BH98" s="35">
        <v>0</v>
      </c>
      <c r="BI98" s="35">
        <v>0</v>
      </c>
      <c r="BJ98" s="35"/>
      <c r="BK98" s="35" t="s">
        <v>585</v>
      </c>
      <c r="BL98" s="35" t="s">
        <v>1249</v>
      </c>
      <c r="BM98" s="35"/>
      <c r="BN98" s="35"/>
      <c r="BO98" s="35"/>
      <c r="BP98" s="35"/>
    </row>
    <row r="99" spans="1:68" x14ac:dyDescent="0.3">
      <c r="A99" s="35" t="s">
        <v>43</v>
      </c>
      <c r="B99" s="35" t="s">
        <v>44</v>
      </c>
      <c r="C99" s="35" t="s">
        <v>41</v>
      </c>
      <c r="D99" s="35" t="s">
        <v>42</v>
      </c>
      <c r="E99" s="35" t="s">
        <v>148</v>
      </c>
      <c r="F99" s="35" t="s">
        <v>149</v>
      </c>
      <c r="G99" s="35" t="s">
        <v>158</v>
      </c>
      <c r="H99" s="35" t="s">
        <v>105</v>
      </c>
      <c r="I99" s="35"/>
      <c r="J99" s="35" t="s">
        <v>47</v>
      </c>
      <c r="K99" s="35" t="s">
        <v>43</v>
      </c>
      <c r="L99" s="35"/>
      <c r="M99" s="35">
        <v>12</v>
      </c>
      <c r="N99" s="35" t="s">
        <v>262</v>
      </c>
      <c r="O99" s="35" t="s">
        <v>263</v>
      </c>
      <c r="P99" s="35" t="s">
        <v>52</v>
      </c>
      <c r="Q99" s="35"/>
      <c r="R99" s="35" t="s">
        <v>126</v>
      </c>
      <c r="S99" s="35" t="s">
        <v>160</v>
      </c>
      <c r="T99" s="35">
        <v>0</v>
      </c>
      <c r="U99" s="35" t="s">
        <v>264</v>
      </c>
      <c r="V99" s="35">
        <v>0</v>
      </c>
      <c r="W99" s="35" t="s">
        <v>265</v>
      </c>
      <c r="X99" s="35">
        <v>125000</v>
      </c>
      <c r="Y99" s="35">
        <v>4.99</v>
      </c>
      <c r="Z99" s="38">
        <v>9500.0833333333339</v>
      </c>
      <c r="AA99" s="38">
        <v>7812.5</v>
      </c>
      <c r="AB99" s="35" t="s">
        <v>95</v>
      </c>
      <c r="AC99" s="38">
        <v>39063.26</v>
      </c>
      <c r="AD99" s="38">
        <v>39062.5</v>
      </c>
      <c r="AE99" s="38">
        <v>0.76</v>
      </c>
      <c r="AF99" s="38">
        <v>0</v>
      </c>
      <c r="AG99" s="38">
        <v>0</v>
      </c>
      <c r="AH99" s="38">
        <v>0</v>
      </c>
      <c r="AI99" s="38">
        <v>0.76</v>
      </c>
      <c r="AJ99" s="38">
        <v>9500</v>
      </c>
      <c r="AK99" s="35" t="s">
        <v>1823</v>
      </c>
      <c r="AL99" s="35" t="s">
        <v>266</v>
      </c>
      <c r="AM99" s="35" t="s">
        <v>277</v>
      </c>
      <c r="AN99" s="35" t="s">
        <v>1965</v>
      </c>
      <c r="AO99" s="35">
        <v>5</v>
      </c>
      <c r="AP99" s="35">
        <v>16</v>
      </c>
      <c r="AQ99" s="35" t="s">
        <v>341</v>
      </c>
      <c r="AR99" s="35" t="s">
        <v>342</v>
      </c>
      <c r="AS99" s="35" t="s">
        <v>343</v>
      </c>
      <c r="AT99" s="35" t="s">
        <v>344</v>
      </c>
      <c r="AU99" s="35"/>
      <c r="AV99" s="35" t="s">
        <v>345</v>
      </c>
      <c r="AW99" s="35" t="s">
        <v>273</v>
      </c>
      <c r="AX99" s="35" t="s">
        <v>274</v>
      </c>
      <c r="AY99" s="35" t="s">
        <v>271</v>
      </c>
      <c r="AZ99" s="35" t="s">
        <v>159</v>
      </c>
      <c r="BA99" s="35"/>
      <c r="BB99" s="35" t="s">
        <v>272</v>
      </c>
      <c r="BC99" s="35" t="s">
        <v>273</v>
      </c>
      <c r="BD99" s="35" t="s">
        <v>274</v>
      </c>
      <c r="BE99" s="35" t="s">
        <v>271</v>
      </c>
      <c r="BF99" s="35">
        <v>12500</v>
      </c>
      <c r="BG99" s="35"/>
      <c r="BH99" s="35">
        <v>1</v>
      </c>
      <c r="BI99" s="35">
        <v>1</v>
      </c>
      <c r="BJ99" s="35"/>
      <c r="BK99" s="35" t="s">
        <v>275</v>
      </c>
      <c r="BL99" s="35" t="s">
        <v>346</v>
      </c>
      <c r="BM99" s="35"/>
      <c r="BN99" s="35"/>
      <c r="BO99" s="35"/>
      <c r="BP99" s="35"/>
    </row>
    <row r="100" spans="1:68" x14ac:dyDescent="0.3">
      <c r="A100" s="35" t="s">
        <v>43</v>
      </c>
      <c r="B100" s="35" t="s">
        <v>44</v>
      </c>
      <c r="C100" s="35" t="s">
        <v>460</v>
      </c>
      <c r="D100" s="35" t="s">
        <v>396</v>
      </c>
      <c r="E100" s="35" t="s">
        <v>143</v>
      </c>
      <c r="F100" s="35" t="s">
        <v>144</v>
      </c>
      <c r="G100" s="35" t="s">
        <v>195</v>
      </c>
      <c r="H100" s="35" t="s">
        <v>181</v>
      </c>
      <c r="I100" s="35"/>
      <c r="J100" s="35" t="s">
        <v>47</v>
      </c>
      <c r="K100" s="35" t="s">
        <v>43</v>
      </c>
      <c r="L100" s="35"/>
      <c r="M100" s="35">
        <v>5</v>
      </c>
      <c r="N100" s="35" t="s">
        <v>262</v>
      </c>
      <c r="O100" s="35" t="s">
        <v>263</v>
      </c>
      <c r="P100" s="35" t="s">
        <v>52</v>
      </c>
      <c r="Q100" s="35"/>
      <c r="R100" s="35" t="s">
        <v>124</v>
      </c>
      <c r="S100" s="35" t="s">
        <v>147</v>
      </c>
      <c r="T100" s="35">
        <v>0</v>
      </c>
      <c r="U100" s="35" t="s">
        <v>264</v>
      </c>
      <c r="V100" s="35">
        <v>0</v>
      </c>
      <c r="W100" s="35" t="s">
        <v>265</v>
      </c>
      <c r="X100" s="35">
        <v>103000</v>
      </c>
      <c r="Y100" s="35">
        <v>4.99</v>
      </c>
      <c r="Z100" s="38">
        <v>7828.0686666666661</v>
      </c>
      <c r="AA100" s="38">
        <v>6437.5</v>
      </c>
      <c r="AB100" s="35" t="s">
        <v>95</v>
      </c>
      <c r="AC100" s="38">
        <v>38625</v>
      </c>
      <c r="AD100" s="38">
        <v>38625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7828</v>
      </c>
      <c r="AK100" s="35" t="s">
        <v>1823</v>
      </c>
      <c r="AL100" s="35" t="s">
        <v>324</v>
      </c>
      <c r="AM100" s="35" t="s">
        <v>347</v>
      </c>
      <c r="AN100" s="35" t="s">
        <v>2042</v>
      </c>
      <c r="AO100" s="35">
        <v>6</v>
      </c>
      <c r="AP100" s="35">
        <v>16</v>
      </c>
      <c r="AQ100" s="35" t="s">
        <v>349</v>
      </c>
      <c r="AR100" s="35" t="s">
        <v>350</v>
      </c>
      <c r="AS100" s="35" t="s">
        <v>351</v>
      </c>
      <c r="AT100" s="35" t="s">
        <v>201</v>
      </c>
      <c r="AU100" s="35"/>
      <c r="AV100" s="35" t="s">
        <v>352</v>
      </c>
      <c r="AW100" s="35" t="s">
        <v>269</v>
      </c>
      <c r="AX100" s="35" t="s">
        <v>353</v>
      </c>
      <c r="AY100" s="35" t="s">
        <v>271</v>
      </c>
      <c r="AZ100" s="35" t="s">
        <v>201</v>
      </c>
      <c r="BA100" s="35"/>
      <c r="BB100" s="35" t="s">
        <v>272</v>
      </c>
      <c r="BC100" s="35" t="s">
        <v>273</v>
      </c>
      <c r="BD100" s="35" t="s">
        <v>274</v>
      </c>
      <c r="BE100" s="35" t="s">
        <v>271</v>
      </c>
      <c r="BF100" s="35">
        <v>10300</v>
      </c>
      <c r="BG100" s="35"/>
      <c r="BH100" s="35">
        <v>0</v>
      </c>
      <c r="BI100" s="35">
        <v>0</v>
      </c>
      <c r="BJ100" s="35"/>
      <c r="BK100" s="35" t="s">
        <v>314</v>
      </c>
      <c r="BL100" s="35" t="s">
        <v>354</v>
      </c>
      <c r="BM100" s="35"/>
      <c r="BN100" s="35"/>
      <c r="BO100" s="35"/>
      <c r="BP100" s="35"/>
    </row>
    <row r="101" spans="1:68" x14ac:dyDescent="0.3">
      <c r="A101" s="35" t="s">
        <v>43</v>
      </c>
      <c r="B101" s="35" t="s">
        <v>44</v>
      </c>
      <c r="C101" s="35" t="s">
        <v>467</v>
      </c>
      <c r="D101" s="35" t="s">
        <v>424</v>
      </c>
      <c r="E101" s="35" t="s">
        <v>39</v>
      </c>
      <c r="F101" s="35" t="s">
        <v>40</v>
      </c>
      <c r="G101" s="35" t="s">
        <v>806</v>
      </c>
      <c r="H101" s="35" t="s">
        <v>807</v>
      </c>
      <c r="I101" s="35"/>
      <c r="J101" s="35" t="s">
        <v>47</v>
      </c>
      <c r="K101" s="35" t="s">
        <v>43</v>
      </c>
      <c r="L101" s="35"/>
      <c r="M101" s="35">
        <v>6</v>
      </c>
      <c r="N101" s="35" t="s">
        <v>262</v>
      </c>
      <c r="O101" s="35" t="s">
        <v>263</v>
      </c>
      <c r="P101" s="35" t="s">
        <v>52</v>
      </c>
      <c r="Q101" s="35"/>
      <c r="R101" s="35" t="s">
        <v>146</v>
      </c>
      <c r="S101" s="35" t="s">
        <v>127</v>
      </c>
      <c r="T101" s="35">
        <v>0</v>
      </c>
      <c r="U101" s="35" t="s">
        <v>264</v>
      </c>
      <c r="V101" s="35">
        <v>0</v>
      </c>
      <c r="W101" s="35" t="s">
        <v>265</v>
      </c>
      <c r="X101" s="35">
        <v>68000</v>
      </c>
      <c r="Y101" s="35">
        <v>4.99</v>
      </c>
      <c r="Z101" s="38">
        <v>5168.0453333333335</v>
      </c>
      <c r="AA101" s="38">
        <v>4250</v>
      </c>
      <c r="AB101" s="35" t="s">
        <v>95</v>
      </c>
      <c r="AC101" s="38">
        <v>34000</v>
      </c>
      <c r="AD101" s="38">
        <v>34000</v>
      </c>
      <c r="AE101" s="38">
        <v>0</v>
      </c>
      <c r="AF101" s="38">
        <v>0</v>
      </c>
      <c r="AG101" s="38">
        <v>0</v>
      </c>
      <c r="AH101" s="38">
        <v>0</v>
      </c>
      <c r="AI101" s="38">
        <v>0</v>
      </c>
      <c r="AJ101" s="38">
        <v>5168.05</v>
      </c>
      <c r="AK101" s="35" t="s">
        <v>1823</v>
      </c>
      <c r="AL101" s="35" t="s">
        <v>577</v>
      </c>
      <c r="AM101" s="35" t="s">
        <v>629</v>
      </c>
      <c r="AN101" s="35" t="s">
        <v>2004</v>
      </c>
      <c r="AO101" s="35">
        <v>8</v>
      </c>
      <c r="AP101" s="35">
        <v>16</v>
      </c>
      <c r="AQ101" s="35" t="s">
        <v>841</v>
      </c>
      <c r="AR101" s="35" t="s">
        <v>842</v>
      </c>
      <c r="AS101" s="35" t="s">
        <v>843</v>
      </c>
      <c r="AT101" s="35" t="s">
        <v>844</v>
      </c>
      <c r="AU101" s="35"/>
      <c r="AV101" s="35" t="s">
        <v>473</v>
      </c>
      <c r="AW101" s="35" t="s">
        <v>474</v>
      </c>
      <c r="AX101" s="35" t="s">
        <v>475</v>
      </c>
      <c r="AY101" s="35" t="s">
        <v>271</v>
      </c>
      <c r="AZ101" s="35" t="s">
        <v>808</v>
      </c>
      <c r="BA101" s="35"/>
      <c r="BB101" s="35" t="s">
        <v>272</v>
      </c>
      <c r="BC101" s="35" t="s">
        <v>273</v>
      </c>
      <c r="BD101" s="35" t="s">
        <v>274</v>
      </c>
      <c r="BE101" s="35" t="s">
        <v>271</v>
      </c>
      <c r="BF101" s="35">
        <v>6800</v>
      </c>
      <c r="BG101" s="35"/>
      <c r="BH101" s="35">
        <v>0</v>
      </c>
      <c r="BI101" s="35">
        <v>0</v>
      </c>
      <c r="BJ101" s="35"/>
      <c r="BK101" s="35" t="s">
        <v>585</v>
      </c>
      <c r="BL101" s="35" t="s">
        <v>845</v>
      </c>
      <c r="BM101" s="35"/>
      <c r="BN101" s="35"/>
      <c r="BO101" s="35"/>
      <c r="BP101" s="35"/>
    </row>
    <row r="102" spans="1:68" x14ac:dyDescent="0.3">
      <c r="A102" s="35" t="s">
        <v>43</v>
      </c>
      <c r="B102" s="35" t="s">
        <v>44</v>
      </c>
      <c r="C102" s="35" t="s">
        <v>467</v>
      </c>
      <c r="D102" s="35" t="s">
        <v>424</v>
      </c>
      <c r="E102" s="35" t="s">
        <v>189</v>
      </c>
      <c r="F102" s="35" t="s">
        <v>191</v>
      </c>
      <c r="G102" s="35" t="s">
        <v>1817</v>
      </c>
      <c r="H102" s="35" t="s">
        <v>1818</v>
      </c>
      <c r="I102" s="35"/>
      <c r="J102" s="35" t="s">
        <v>47</v>
      </c>
      <c r="K102" s="35" t="s">
        <v>43</v>
      </c>
      <c r="L102" s="35"/>
      <c r="M102" s="35">
        <v>6</v>
      </c>
      <c r="N102" s="35" t="s">
        <v>262</v>
      </c>
      <c r="O102" s="35" t="s">
        <v>263</v>
      </c>
      <c r="P102" s="35" t="s">
        <v>52</v>
      </c>
      <c r="Q102" s="35"/>
      <c r="R102" s="35" t="s">
        <v>126</v>
      </c>
      <c r="S102" s="35" t="s">
        <v>198</v>
      </c>
      <c r="T102" s="35">
        <v>0</v>
      </c>
      <c r="U102" s="35" t="s">
        <v>264</v>
      </c>
      <c r="V102" s="35">
        <v>0</v>
      </c>
      <c r="W102" s="35" t="s">
        <v>265</v>
      </c>
      <c r="X102" s="35">
        <v>85000</v>
      </c>
      <c r="Y102" s="35">
        <v>4.99</v>
      </c>
      <c r="Z102" s="38">
        <v>6460.0566666666655</v>
      </c>
      <c r="AA102" s="38">
        <v>5312.5</v>
      </c>
      <c r="AB102" s="35" t="s">
        <v>95</v>
      </c>
      <c r="AC102" s="38">
        <v>79687.5</v>
      </c>
      <c r="AD102" s="38">
        <v>79687.5</v>
      </c>
      <c r="AE102" s="38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6465</v>
      </c>
      <c r="AK102" s="35" t="s">
        <v>1925</v>
      </c>
      <c r="AL102" s="35" t="s">
        <v>1640</v>
      </c>
      <c r="AM102" s="35" t="s">
        <v>1824</v>
      </c>
      <c r="AN102" s="35" t="s">
        <v>1965</v>
      </c>
      <c r="AO102" s="35">
        <v>15</v>
      </c>
      <c r="AP102" s="35">
        <v>16</v>
      </c>
      <c r="AQ102" s="35" t="s">
        <v>1149</v>
      </c>
      <c r="AR102" s="35" t="s">
        <v>1149</v>
      </c>
      <c r="AS102" s="35" t="s">
        <v>1149</v>
      </c>
      <c r="AT102" s="35" t="s">
        <v>1827</v>
      </c>
      <c r="AU102" s="35"/>
      <c r="AV102" s="35" t="s">
        <v>1828</v>
      </c>
      <c r="AW102" s="35" t="s">
        <v>875</v>
      </c>
      <c r="AX102" s="35" t="s">
        <v>285</v>
      </c>
      <c r="AY102" s="35" t="s">
        <v>271</v>
      </c>
      <c r="AZ102" s="35" t="s">
        <v>1819</v>
      </c>
      <c r="BA102" s="35"/>
      <c r="BB102" s="35" t="s">
        <v>272</v>
      </c>
      <c r="BC102" s="35" t="s">
        <v>273</v>
      </c>
      <c r="BD102" s="35" t="s">
        <v>274</v>
      </c>
      <c r="BE102" s="35" t="s">
        <v>271</v>
      </c>
      <c r="BF102" s="35">
        <v>8500</v>
      </c>
      <c r="BG102" s="35"/>
      <c r="BH102" s="35">
        <v>1</v>
      </c>
      <c r="BI102" s="35">
        <v>1</v>
      </c>
      <c r="BJ102" s="35"/>
      <c r="BK102" s="35" t="s">
        <v>585</v>
      </c>
      <c r="BL102" s="35" t="s">
        <v>1829</v>
      </c>
      <c r="BM102" s="35"/>
      <c r="BN102" s="35"/>
      <c r="BO102" s="35"/>
      <c r="BP102" s="35"/>
    </row>
    <row r="103" spans="1:68" x14ac:dyDescent="0.3">
      <c r="A103" s="35" t="s">
        <v>43</v>
      </c>
      <c r="B103" s="35" t="s">
        <v>44</v>
      </c>
      <c r="C103" s="35" t="s">
        <v>41</v>
      </c>
      <c r="D103" s="35" t="s">
        <v>42</v>
      </c>
      <c r="E103" s="35" t="s">
        <v>1163</v>
      </c>
      <c r="F103" s="35" t="s">
        <v>1685</v>
      </c>
      <c r="G103" s="35" t="s">
        <v>1822</v>
      </c>
      <c r="H103" s="35" t="s">
        <v>1663</v>
      </c>
      <c r="I103" s="35"/>
      <c r="J103" s="35" t="s">
        <v>47</v>
      </c>
      <c r="K103" s="35" t="s">
        <v>47</v>
      </c>
      <c r="L103" s="35"/>
      <c r="M103" s="35">
        <v>5</v>
      </c>
      <c r="N103" s="35" t="s">
        <v>262</v>
      </c>
      <c r="O103" s="35" t="s">
        <v>263</v>
      </c>
      <c r="P103" s="35" t="s">
        <v>52</v>
      </c>
      <c r="Q103" s="35"/>
      <c r="R103" s="35" t="s">
        <v>126</v>
      </c>
      <c r="S103" s="35" t="s">
        <v>185</v>
      </c>
      <c r="T103" s="35">
        <v>0</v>
      </c>
      <c r="U103" s="35" t="s">
        <v>264</v>
      </c>
      <c r="V103" s="35">
        <v>0</v>
      </c>
      <c r="W103" s="35" t="s">
        <v>265</v>
      </c>
      <c r="X103" s="35">
        <v>56000</v>
      </c>
      <c r="Y103" s="35">
        <v>4.99</v>
      </c>
      <c r="Z103" s="38">
        <v>4256.0373333333328</v>
      </c>
      <c r="AA103" s="38">
        <v>3500</v>
      </c>
      <c r="AB103" s="35" t="s">
        <v>95</v>
      </c>
      <c r="AC103" s="38">
        <v>52500</v>
      </c>
      <c r="AD103" s="38">
        <v>52500</v>
      </c>
      <c r="AE103" s="38">
        <v>0</v>
      </c>
      <c r="AF103" s="38">
        <v>0</v>
      </c>
      <c r="AG103" s="38">
        <v>0</v>
      </c>
      <c r="AH103" s="38">
        <v>0</v>
      </c>
      <c r="AI103" s="38">
        <v>0</v>
      </c>
      <c r="AJ103" s="38">
        <v>4260</v>
      </c>
      <c r="AK103" s="35" t="s">
        <v>1925</v>
      </c>
      <c r="AL103" s="35" t="s">
        <v>1640</v>
      </c>
      <c r="AM103" s="35" t="s">
        <v>1824</v>
      </c>
      <c r="AN103" s="35" t="s">
        <v>1965</v>
      </c>
      <c r="AO103" s="35">
        <v>15</v>
      </c>
      <c r="AP103" s="35">
        <v>16</v>
      </c>
      <c r="AQ103" s="35" t="s">
        <v>1706</v>
      </c>
      <c r="AR103" s="35" t="s">
        <v>1706</v>
      </c>
      <c r="AS103" s="35" t="s">
        <v>1706</v>
      </c>
      <c r="AT103" s="35" t="s">
        <v>1825</v>
      </c>
      <c r="AU103" s="35"/>
      <c r="AV103" s="35" t="s">
        <v>1399</v>
      </c>
      <c r="AW103" s="35" t="s">
        <v>1400</v>
      </c>
      <c r="AX103" s="35" t="s">
        <v>274</v>
      </c>
      <c r="AY103" s="35" t="s">
        <v>271</v>
      </c>
      <c r="AZ103" s="35"/>
      <c r="BA103" s="35"/>
      <c r="BB103" s="35" t="s">
        <v>272</v>
      </c>
      <c r="BC103" s="35" t="s">
        <v>273</v>
      </c>
      <c r="BD103" s="35" t="s">
        <v>274</v>
      </c>
      <c r="BE103" s="35" t="s">
        <v>271</v>
      </c>
      <c r="BF103" s="35">
        <v>5600</v>
      </c>
      <c r="BG103" s="35"/>
      <c r="BH103" s="35">
        <v>1</v>
      </c>
      <c r="BI103" s="35">
        <v>1</v>
      </c>
      <c r="BJ103" s="35"/>
      <c r="BK103" s="35" t="s">
        <v>585</v>
      </c>
      <c r="BL103" s="35" t="s">
        <v>1826</v>
      </c>
      <c r="BM103" s="35"/>
      <c r="BN103" s="35"/>
      <c r="BO103" s="35"/>
      <c r="BP103" s="35"/>
    </row>
    <row r="104" spans="1:68" x14ac:dyDescent="0.3">
      <c r="A104" s="35" t="s">
        <v>49</v>
      </c>
      <c r="B104" s="35" t="s">
        <v>450</v>
      </c>
      <c r="C104" s="35" t="s">
        <v>451</v>
      </c>
      <c r="D104" s="35" t="s">
        <v>388</v>
      </c>
      <c r="E104" s="35" t="s">
        <v>188</v>
      </c>
      <c r="F104" s="35" t="s">
        <v>190</v>
      </c>
      <c r="G104" s="35" t="s">
        <v>1690</v>
      </c>
      <c r="H104" s="35" t="s">
        <v>1661</v>
      </c>
      <c r="I104" s="35"/>
      <c r="J104" s="35" t="s">
        <v>47</v>
      </c>
      <c r="K104" s="35" t="s">
        <v>43</v>
      </c>
      <c r="L104" s="35"/>
      <c r="M104" s="35">
        <v>8</v>
      </c>
      <c r="N104" s="35" t="s">
        <v>262</v>
      </c>
      <c r="O104" s="35" t="s">
        <v>263</v>
      </c>
      <c r="P104" s="35" t="s">
        <v>52</v>
      </c>
      <c r="Q104" s="35"/>
      <c r="R104" s="35" t="s">
        <v>124</v>
      </c>
      <c r="S104" s="35" t="s">
        <v>160</v>
      </c>
      <c r="T104" s="35">
        <v>0</v>
      </c>
      <c r="U104" s="35" t="s">
        <v>264</v>
      </c>
      <c r="V104" s="35">
        <v>0</v>
      </c>
      <c r="W104" s="35" t="s">
        <v>265</v>
      </c>
      <c r="X104" s="35">
        <v>125000</v>
      </c>
      <c r="Y104" s="35">
        <v>4.99</v>
      </c>
      <c r="Z104" s="38">
        <v>9500.0833333333339</v>
      </c>
      <c r="AA104" s="38">
        <v>7812.5</v>
      </c>
      <c r="AB104" s="35" t="s">
        <v>95</v>
      </c>
      <c r="AC104" s="38">
        <v>109375.17</v>
      </c>
      <c r="AD104" s="38">
        <v>109375</v>
      </c>
      <c r="AE104" s="38">
        <v>0.17</v>
      </c>
      <c r="AF104" s="38">
        <v>0</v>
      </c>
      <c r="AG104" s="38">
        <v>0</v>
      </c>
      <c r="AH104" s="38">
        <v>0</v>
      </c>
      <c r="AI104" s="38">
        <v>0.17</v>
      </c>
      <c r="AJ104" s="38">
        <v>9500</v>
      </c>
      <c r="AK104" s="35" t="s">
        <v>1843</v>
      </c>
      <c r="AL104" s="35" t="s">
        <v>1566</v>
      </c>
      <c r="AM104" s="35" t="s">
        <v>1700</v>
      </c>
      <c r="AN104" s="35" t="s">
        <v>2042</v>
      </c>
      <c r="AO104" s="35">
        <v>14</v>
      </c>
      <c r="AP104" s="35">
        <v>16</v>
      </c>
      <c r="AQ104" s="35" t="s">
        <v>1719</v>
      </c>
      <c r="AR104" s="35" t="s">
        <v>1720</v>
      </c>
      <c r="AS104" s="35" t="s">
        <v>1721</v>
      </c>
      <c r="AT104" s="35" t="s">
        <v>1722</v>
      </c>
      <c r="AU104" s="35"/>
      <c r="AV104" s="35" t="s">
        <v>1723</v>
      </c>
      <c r="AW104" s="35" t="s">
        <v>1724</v>
      </c>
      <c r="AX104" s="35" t="s">
        <v>1725</v>
      </c>
      <c r="AY104" s="35" t="s">
        <v>338</v>
      </c>
      <c r="AZ104" s="35" t="s">
        <v>1691</v>
      </c>
      <c r="BA104" s="35"/>
      <c r="BB104" s="35" t="s">
        <v>272</v>
      </c>
      <c r="BC104" s="35" t="s">
        <v>273</v>
      </c>
      <c r="BD104" s="35" t="s">
        <v>274</v>
      </c>
      <c r="BE104" s="35" t="s">
        <v>271</v>
      </c>
      <c r="BF104" s="35">
        <v>12500</v>
      </c>
      <c r="BG104" s="35"/>
      <c r="BH104" s="35">
        <v>0</v>
      </c>
      <c r="BI104" s="35">
        <v>0</v>
      </c>
      <c r="BJ104" s="35"/>
      <c r="BK104" s="35" t="s">
        <v>585</v>
      </c>
      <c r="BL104" s="35" t="s">
        <v>1726</v>
      </c>
      <c r="BM104" s="35"/>
      <c r="BN104" s="35"/>
      <c r="BO104" s="35"/>
      <c r="BP104" s="35"/>
    </row>
    <row r="105" spans="1:68" x14ac:dyDescent="0.3">
      <c r="A105" s="35" t="s">
        <v>43</v>
      </c>
      <c r="B105" s="35" t="s">
        <v>44</v>
      </c>
      <c r="C105" s="35" t="s">
        <v>467</v>
      </c>
      <c r="D105" s="35" t="s">
        <v>424</v>
      </c>
      <c r="E105" s="35" t="s">
        <v>189</v>
      </c>
      <c r="F105" s="35" t="s">
        <v>191</v>
      </c>
      <c r="G105" s="35" t="s">
        <v>1417</v>
      </c>
      <c r="H105" s="35" t="s">
        <v>1375</v>
      </c>
      <c r="I105" s="35"/>
      <c r="J105" s="35" t="s">
        <v>47</v>
      </c>
      <c r="K105" s="35" t="s">
        <v>43</v>
      </c>
      <c r="L105" s="35"/>
      <c r="M105" s="35">
        <v>5</v>
      </c>
      <c r="N105" s="35" t="s">
        <v>262</v>
      </c>
      <c r="O105" s="35" t="s">
        <v>263</v>
      </c>
      <c r="P105" s="35" t="s">
        <v>52</v>
      </c>
      <c r="Q105" s="35"/>
      <c r="R105" s="35" t="s">
        <v>146</v>
      </c>
      <c r="S105" s="35" t="s">
        <v>147</v>
      </c>
      <c r="T105" s="35">
        <v>3</v>
      </c>
      <c r="U105" s="35" t="s">
        <v>2043</v>
      </c>
      <c r="V105" s="35">
        <v>0.9</v>
      </c>
      <c r="W105" s="35" t="s">
        <v>265</v>
      </c>
      <c r="X105" s="35">
        <v>65000</v>
      </c>
      <c r="Y105" s="35">
        <v>4.99</v>
      </c>
      <c r="Z105" s="38">
        <v>4940.0433333333331</v>
      </c>
      <c r="AA105" s="38">
        <v>4062.5</v>
      </c>
      <c r="AB105" s="35" t="s">
        <v>95</v>
      </c>
      <c r="AC105" s="38">
        <v>52330.130000000005</v>
      </c>
      <c r="AD105" s="38">
        <v>48750</v>
      </c>
      <c r="AE105" s="38">
        <v>3580.13</v>
      </c>
      <c r="AF105" s="38">
        <v>0</v>
      </c>
      <c r="AG105" s="38">
        <v>0</v>
      </c>
      <c r="AH105" s="38">
        <v>0</v>
      </c>
      <c r="AI105" s="38">
        <v>3580.13</v>
      </c>
      <c r="AJ105" s="38">
        <v>1305</v>
      </c>
      <c r="AK105" s="35" t="s">
        <v>1967</v>
      </c>
      <c r="AL105" s="35" t="s">
        <v>1180</v>
      </c>
      <c r="AM105" s="35" t="s">
        <v>1387</v>
      </c>
      <c r="AN105" s="35" t="s">
        <v>2004</v>
      </c>
      <c r="AO105" s="35">
        <v>12</v>
      </c>
      <c r="AP105" s="35">
        <v>16</v>
      </c>
      <c r="AQ105" s="35" t="s">
        <v>1149</v>
      </c>
      <c r="AR105" s="35" t="s">
        <v>1149</v>
      </c>
      <c r="AS105" s="35" t="s">
        <v>1149</v>
      </c>
      <c r="AT105" s="35" t="s">
        <v>1418</v>
      </c>
      <c r="AU105" s="35"/>
      <c r="AV105" s="35" t="s">
        <v>1419</v>
      </c>
      <c r="AW105" s="35" t="s">
        <v>1420</v>
      </c>
      <c r="AX105" s="35" t="s">
        <v>546</v>
      </c>
      <c r="AY105" s="35" t="s">
        <v>271</v>
      </c>
      <c r="AZ105" s="35" t="s">
        <v>1421</v>
      </c>
      <c r="BA105" s="35"/>
      <c r="BB105" s="35" t="s">
        <v>272</v>
      </c>
      <c r="BC105" s="35" t="s">
        <v>273</v>
      </c>
      <c r="BD105" s="35" t="s">
        <v>274</v>
      </c>
      <c r="BE105" s="35" t="s">
        <v>271</v>
      </c>
      <c r="BF105" s="35">
        <v>6500</v>
      </c>
      <c r="BG105" s="35"/>
      <c r="BH105" s="35">
        <v>1</v>
      </c>
      <c r="BI105" s="35">
        <v>2</v>
      </c>
      <c r="BJ105" s="35"/>
      <c r="BK105" s="35" t="s">
        <v>585</v>
      </c>
      <c r="BL105" s="35" t="s">
        <v>1422</v>
      </c>
      <c r="BM105" s="35"/>
      <c r="BN105" s="35"/>
      <c r="BO105" s="35"/>
      <c r="BP105" s="35"/>
    </row>
    <row r="106" spans="1:68" x14ac:dyDescent="0.3">
      <c r="A106" s="35" t="s">
        <v>43</v>
      </c>
      <c r="B106" s="35" t="s">
        <v>44</v>
      </c>
      <c r="C106" s="35" t="s">
        <v>460</v>
      </c>
      <c r="D106" s="35" t="s">
        <v>396</v>
      </c>
      <c r="E106" s="35" t="s">
        <v>154</v>
      </c>
      <c r="F106" s="35" t="s">
        <v>155</v>
      </c>
      <c r="G106" s="35" t="s">
        <v>934</v>
      </c>
      <c r="H106" s="35" t="s">
        <v>880</v>
      </c>
      <c r="I106" s="35"/>
      <c r="J106" s="35" t="s">
        <v>47</v>
      </c>
      <c r="K106" s="35" t="s">
        <v>43</v>
      </c>
      <c r="L106" s="35"/>
      <c r="M106" s="35">
        <v>7</v>
      </c>
      <c r="N106" s="35" t="s">
        <v>262</v>
      </c>
      <c r="O106" s="35" t="s">
        <v>263</v>
      </c>
      <c r="P106" s="35" t="s">
        <v>52</v>
      </c>
      <c r="Q106" s="35"/>
      <c r="R106" s="35" t="s">
        <v>126</v>
      </c>
      <c r="S106" s="35" t="s">
        <v>125</v>
      </c>
      <c r="T106" s="35">
        <v>0</v>
      </c>
      <c r="U106" s="35" t="s">
        <v>264</v>
      </c>
      <c r="V106" s="35">
        <v>0</v>
      </c>
      <c r="W106" s="35" t="s">
        <v>265</v>
      </c>
      <c r="X106" s="35">
        <v>150000</v>
      </c>
      <c r="Y106" s="35">
        <v>4.99</v>
      </c>
      <c r="Z106" s="38">
        <v>11400.1</v>
      </c>
      <c r="AA106" s="38">
        <v>9375</v>
      </c>
      <c r="AB106" s="35" t="s">
        <v>95</v>
      </c>
      <c r="AC106" s="38">
        <v>84375</v>
      </c>
      <c r="AD106" s="38">
        <v>84375</v>
      </c>
      <c r="AE106" s="38">
        <v>0</v>
      </c>
      <c r="AF106" s="38">
        <v>0</v>
      </c>
      <c r="AG106" s="38">
        <v>0</v>
      </c>
      <c r="AH106" s="38">
        <v>0</v>
      </c>
      <c r="AI106" s="38">
        <v>0</v>
      </c>
      <c r="AJ106" s="38">
        <v>11407</v>
      </c>
      <c r="AK106" s="35" t="s">
        <v>1899</v>
      </c>
      <c r="AL106" s="35" t="s">
        <v>832</v>
      </c>
      <c r="AM106" s="35" t="s">
        <v>1119</v>
      </c>
      <c r="AN106" s="35" t="s">
        <v>1965</v>
      </c>
      <c r="AO106" s="35">
        <v>10</v>
      </c>
      <c r="AP106" s="35">
        <v>16</v>
      </c>
      <c r="AQ106" s="35" t="s">
        <v>1042</v>
      </c>
      <c r="AR106" s="35" t="s">
        <v>1043</v>
      </c>
      <c r="AS106" s="35" t="s">
        <v>1044</v>
      </c>
      <c r="AT106" s="35" t="s">
        <v>1045</v>
      </c>
      <c r="AU106" s="35"/>
      <c r="AV106" s="35" t="s">
        <v>1046</v>
      </c>
      <c r="AW106" s="35" t="s">
        <v>639</v>
      </c>
      <c r="AX106" s="35" t="s">
        <v>274</v>
      </c>
      <c r="AY106" s="35" t="s">
        <v>271</v>
      </c>
      <c r="AZ106" s="35" t="s">
        <v>935</v>
      </c>
      <c r="BA106" s="35"/>
      <c r="BB106" s="35" t="s">
        <v>272</v>
      </c>
      <c r="BC106" s="35" t="s">
        <v>273</v>
      </c>
      <c r="BD106" s="35" t="s">
        <v>274</v>
      </c>
      <c r="BE106" s="35" t="s">
        <v>271</v>
      </c>
      <c r="BF106" s="35">
        <v>15000</v>
      </c>
      <c r="BG106" s="35"/>
      <c r="BH106" s="35">
        <v>0</v>
      </c>
      <c r="BI106" s="35">
        <v>0</v>
      </c>
      <c r="BJ106" s="35"/>
      <c r="BK106" s="35" t="s">
        <v>585</v>
      </c>
      <c r="BL106" s="35" t="s">
        <v>1047</v>
      </c>
      <c r="BM106" s="35"/>
      <c r="BN106" s="35"/>
      <c r="BO106" s="35"/>
      <c r="BP106" s="35"/>
    </row>
    <row r="107" spans="1:68" x14ac:dyDescent="0.3">
      <c r="A107" s="35" t="s">
        <v>43</v>
      </c>
      <c r="B107" s="35" t="s">
        <v>44</v>
      </c>
      <c r="C107" s="35" t="s">
        <v>460</v>
      </c>
      <c r="D107" s="35" t="s">
        <v>396</v>
      </c>
      <c r="E107" s="35" t="s">
        <v>154</v>
      </c>
      <c r="F107" s="35" t="s">
        <v>155</v>
      </c>
      <c r="G107" s="35" t="s">
        <v>1477</v>
      </c>
      <c r="H107" s="35" t="s">
        <v>1382</v>
      </c>
      <c r="I107" s="35"/>
      <c r="J107" s="35" t="s">
        <v>47</v>
      </c>
      <c r="K107" s="35" t="s">
        <v>43</v>
      </c>
      <c r="L107" s="35"/>
      <c r="M107" s="35">
        <v>6</v>
      </c>
      <c r="N107" s="35" t="s">
        <v>262</v>
      </c>
      <c r="O107" s="35" t="s">
        <v>263</v>
      </c>
      <c r="P107" s="35" t="s">
        <v>52</v>
      </c>
      <c r="Q107" s="35"/>
      <c r="R107" s="35" t="s">
        <v>197</v>
      </c>
      <c r="S107" s="35" t="s">
        <v>198</v>
      </c>
      <c r="T107" s="35">
        <v>0</v>
      </c>
      <c r="U107" s="35" t="s">
        <v>264</v>
      </c>
      <c r="V107" s="35">
        <v>0</v>
      </c>
      <c r="W107" s="35" t="s">
        <v>265</v>
      </c>
      <c r="X107" s="35">
        <v>67000</v>
      </c>
      <c r="Y107" s="35">
        <v>4.99</v>
      </c>
      <c r="Z107" s="38">
        <v>5092.0446666666658</v>
      </c>
      <c r="AA107" s="38">
        <v>4187.5</v>
      </c>
      <c r="AB107" s="35" t="s">
        <v>95</v>
      </c>
      <c r="AC107" s="38">
        <v>50250</v>
      </c>
      <c r="AD107" s="38">
        <v>50250</v>
      </c>
      <c r="AE107" s="38">
        <v>0</v>
      </c>
      <c r="AF107" s="38">
        <v>0</v>
      </c>
      <c r="AG107" s="38">
        <v>0</v>
      </c>
      <c r="AH107" s="38">
        <v>0</v>
      </c>
      <c r="AI107" s="38">
        <v>0</v>
      </c>
      <c r="AJ107" s="38">
        <v>5098</v>
      </c>
      <c r="AK107" s="35" t="s">
        <v>1884</v>
      </c>
      <c r="AL107" s="35" t="s">
        <v>1275</v>
      </c>
      <c r="AM107" s="35" t="s">
        <v>1480</v>
      </c>
      <c r="AN107" s="35" t="s">
        <v>2014</v>
      </c>
      <c r="AO107" s="35">
        <v>12</v>
      </c>
      <c r="AP107" s="35">
        <v>16</v>
      </c>
      <c r="AQ107" s="35" t="s">
        <v>1487</v>
      </c>
      <c r="AR107" s="35" t="s">
        <v>1488</v>
      </c>
      <c r="AS107" s="35" t="s">
        <v>1489</v>
      </c>
      <c r="AT107" s="35" t="s">
        <v>1490</v>
      </c>
      <c r="AU107" s="35"/>
      <c r="AV107" s="35" t="s">
        <v>1491</v>
      </c>
      <c r="AW107" s="35" t="s">
        <v>1465</v>
      </c>
      <c r="AX107" s="35" t="s">
        <v>322</v>
      </c>
      <c r="AY107" s="35" t="s">
        <v>271</v>
      </c>
      <c r="AZ107" s="35" t="s">
        <v>1492</v>
      </c>
      <c r="BA107" s="35"/>
      <c r="BB107" s="35" t="s">
        <v>272</v>
      </c>
      <c r="BC107" s="35" t="s">
        <v>273</v>
      </c>
      <c r="BD107" s="35" t="s">
        <v>274</v>
      </c>
      <c r="BE107" s="35" t="s">
        <v>271</v>
      </c>
      <c r="BF107" s="35">
        <v>6700</v>
      </c>
      <c r="BG107" s="35"/>
      <c r="BH107" s="35">
        <v>0</v>
      </c>
      <c r="BI107" s="35">
        <v>0</v>
      </c>
      <c r="BJ107" s="35"/>
      <c r="BK107" s="35" t="s">
        <v>585</v>
      </c>
      <c r="BL107" s="35" t="s">
        <v>1493</v>
      </c>
      <c r="BM107" s="35"/>
      <c r="BN107" s="35"/>
      <c r="BO107" s="35"/>
      <c r="BP107" s="35"/>
    </row>
    <row r="108" spans="1:68" x14ac:dyDescent="0.3">
      <c r="A108" s="35" t="s">
        <v>43</v>
      </c>
      <c r="B108" s="35" t="s">
        <v>44</v>
      </c>
      <c r="C108" s="35" t="s">
        <v>467</v>
      </c>
      <c r="D108" s="35" t="s">
        <v>424</v>
      </c>
      <c r="E108" s="35" t="s">
        <v>189</v>
      </c>
      <c r="F108" s="35" t="s">
        <v>191</v>
      </c>
      <c r="G108" s="35" t="s">
        <v>979</v>
      </c>
      <c r="H108" s="35" t="s">
        <v>980</v>
      </c>
      <c r="I108" s="35"/>
      <c r="J108" s="35" t="s">
        <v>47</v>
      </c>
      <c r="K108" s="35" t="s">
        <v>43</v>
      </c>
      <c r="L108" s="35"/>
      <c r="M108" s="35">
        <v>5</v>
      </c>
      <c r="N108" s="35" t="s">
        <v>262</v>
      </c>
      <c r="O108" s="35" t="s">
        <v>263</v>
      </c>
      <c r="P108" s="35" t="s">
        <v>52</v>
      </c>
      <c r="Q108" s="35"/>
      <c r="R108" s="35" t="s">
        <v>168</v>
      </c>
      <c r="S108" s="35" t="s">
        <v>982</v>
      </c>
      <c r="T108" s="35">
        <v>0</v>
      </c>
      <c r="U108" s="35" t="s">
        <v>264</v>
      </c>
      <c r="V108" s="35">
        <v>0</v>
      </c>
      <c r="W108" s="35" t="s">
        <v>265</v>
      </c>
      <c r="X108" s="35">
        <v>44000</v>
      </c>
      <c r="Y108" s="35">
        <v>4.99</v>
      </c>
      <c r="Z108" s="38">
        <v>3344.0293333333329</v>
      </c>
      <c r="AA108" s="38">
        <v>2750</v>
      </c>
      <c r="AB108" s="35" t="s">
        <v>95</v>
      </c>
      <c r="AC108" s="38">
        <v>24750.010000000002</v>
      </c>
      <c r="AD108" s="38">
        <v>24750</v>
      </c>
      <c r="AE108" s="38">
        <v>0.01</v>
      </c>
      <c r="AF108" s="38">
        <v>0</v>
      </c>
      <c r="AG108" s="38">
        <v>0</v>
      </c>
      <c r="AH108" s="38">
        <v>0</v>
      </c>
      <c r="AI108" s="38">
        <v>0.01</v>
      </c>
      <c r="AJ108" s="38">
        <v>3344.03</v>
      </c>
      <c r="AK108" s="35" t="s">
        <v>1899</v>
      </c>
      <c r="AL108" s="35" t="s">
        <v>854</v>
      </c>
      <c r="AM108" s="35" t="s">
        <v>991</v>
      </c>
      <c r="AN108" s="35" t="s">
        <v>2164</v>
      </c>
      <c r="AO108" s="35">
        <v>9</v>
      </c>
      <c r="AP108" s="35">
        <v>16</v>
      </c>
      <c r="AQ108" s="35" t="s">
        <v>631</v>
      </c>
      <c r="AR108" s="35" t="s">
        <v>631</v>
      </c>
      <c r="AS108" s="35" t="s">
        <v>631</v>
      </c>
      <c r="AT108" s="35" t="s">
        <v>1061</v>
      </c>
      <c r="AU108" s="35"/>
      <c r="AV108" s="35" t="s">
        <v>980</v>
      </c>
      <c r="AW108" s="35" t="s">
        <v>1062</v>
      </c>
      <c r="AX108" s="35" t="s">
        <v>285</v>
      </c>
      <c r="AY108" s="35" t="s">
        <v>271</v>
      </c>
      <c r="AZ108" s="35" t="s">
        <v>981</v>
      </c>
      <c r="BA108" s="35"/>
      <c r="BB108" s="35" t="s">
        <v>272</v>
      </c>
      <c r="BC108" s="35" t="s">
        <v>273</v>
      </c>
      <c r="BD108" s="35" t="s">
        <v>274</v>
      </c>
      <c r="BE108" s="35" t="s">
        <v>271</v>
      </c>
      <c r="BF108" s="35">
        <v>4400</v>
      </c>
      <c r="BG108" s="35"/>
      <c r="BH108" s="35">
        <v>0</v>
      </c>
      <c r="BI108" s="35">
        <v>0</v>
      </c>
      <c r="BJ108" s="35"/>
      <c r="BK108" s="35" t="s">
        <v>585</v>
      </c>
      <c r="BL108" s="35" t="s">
        <v>1063</v>
      </c>
      <c r="BM108" s="35"/>
      <c r="BN108" s="35"/>
      <c r="BO108" s="35"/>
      <c r="BP108" s="35"/>
    </row>
    <row r="109" spans="1:68" x14ac:dyDescent="0.3">
      <c r="A109" s="35" t="s">
        <v>43</v>
      </c>
      <c r="B109" s="35" t="s">
        <v>44</v>
      </c>
      <c r="C109" s="35" t="s">
        <v>467</v>
      </c>
      <c r="D109" s="35" t="s">
        <v>424</v>
      </c>
      <c r="E109" s="35" t="s">
        <v>189</v>
      </c>
      <c r="F109" s="35" t="s">
        <v>191</v>
      </c>
      <c r="G109" s="35" t="s">
        <v>492</v>
      </c>
      <c r="H109" s="35" t="s">
        <v>435</v>
      </c>
      <c r="I109" s="35"/>
      <c r="J109" s="35" t="s">
        <v>47</v>
      </c>
      <c r="K109" s="35" t="s">
        <v>43</v>
      </c>
      <c r="L109" s="35"/>
      <c r="M109" s="35">
        <v>5</v>
      </c>
      <c r="N109" s="35" t="s">
        <v>262</v>
      </c>
      <c r="O109" s="35" t="s">
        <v>263</v>
      </c>
      <c r="P109" s="35" t="s">
        <v>52</v>
      </c>
      <c r="Q109" s="35"/>
      <c r="R109" s="35" t="s">
        <v>168</v>
      </c>
      <c r="S109" s="35" t="s">
        <v>185</v>
      </c>
      <c r="T109" s="35">
        <v>0</v>
      </c>
      <c r="U109" s="35" t="s">
        <v>264</v>
      </c>
      <c r="V109" s="35">
        <v>0</v>
      </c>
      <c r="W109" s="35" t="s">
        <v>265</v>
      </c>
      <c r="X109" s="35">
        <v>51000</v>
      </c>
      <c r="Y109" s="35">
        <v>4.99</v>
      </c>
      <c r="Z109" s="38">
        <v>3876.0340000000001</v>
      </c>
      <c r="AA109" s="38">
        <v>3187.5</v>
      </c>
      <c r="AB109" s="35" t="s">
        <v>95</v>
      </c>
      <c r="AC109" s="38">
        <v>19125.03</v>
      </c>
      <c r="AD109" s="38">
        <v>19125</v>
      </c>
      <c r="AE109" s="38">
        <v>0.03</v>
      </c>
      <c r="AF109" s="38">
        <v>0.01</v>
      </c>
      <c r="AG109" s="38">
        <v>0</v>
      </c>
      <c r="AH109" s="38">
        <v>0</v>
      </c>
      <c r="AI109" s="38">
        <v>0.04</v>
      </c>
      <c r="AJ109" s="38">
        <v>3876.03</v>
      </c>
      <c r="AK109" s="35" t="s">
        <v>1899</v>
      </c>
      <c r="AL109" s="35" t="s">
        <v>356</v>
      </c>
      <c r="AM109" s="35" t="s">
        <v>517</v>
      </c>
      <c r="AN109" s="35" t="s">
        <v>2164</v>
      </c>
      <c r="AO109" s="35">
        <v>6</v>
      </c>
      <c r="AP109" s="35">
        <v>16</v>
      </c>
      <c r="AQ109" s="35" t="s">
        <v>533</v>
      </c>
      <c r="AR109" s="35" t="s">
        <v>534</v>
      </c>
      <c r="AS109" s="35" t="s">
        <v>535</v>
      </c>
      <c r="AT109" s="35" t="s">
        <v>536</v>
      </c>
      <c r="AU109" s="35"/>
      <c r="AV109" s="35" t="s">
        <v>537</v>
      </c>
      <c r="AW109" s="35" t="s">
        <v>312</v>
      </c>
      <c r="AX109" s="35" t="s">
        <v>313</v>
      </c>
      <c r="AY109" s="35" t="s">
        <v>271</v>
      </c>
      <c r="AZ109" s="35" t="s">
        <v>493</v>
      </c>
      <c r="BA109" s="35"/>
      <c r="BB109" s="35" t="s">
        <v>272</v>
      </c>
      <c r="BC109" s="35" t="s">
        <v>273</v>
      </c>
      <c r="BD109" s="35" t="s">
        <v>274</v>
      </c>
      <c r="BE109" s="35" t="s">
        <v>271</v>
      </c>
      <c r="BF109" s="35">
        <v>5100</v>
      </c>
      <c r="BG109" s="35"/>
      <c r="BH109" s="35">
        <v>0</v>
      </c>
      <c r="BI109" s="35">
        <v>0</v>
      </c>
      <c r="BJ109" s="35"/>
      <c r="BK109" s="35" t="s">
        <v>538</v>
      </c>
      <c r="BL109" s="35" t="s">
        <v>539</v>
      </c>
      <c r="BM109" s="35"/>
      <c r="BN109" s="35"/>
      <c r="BO109" s="35"/>
      <c r="BP109" s="35"/>
    </row>
    <row r="110" spans="1:68" x14ac:dyDescent="0.3">
      <c r="A110" s="35" t="s">
        <v>43</v>
      </c>
      <c r="B110" s="35" t="s">
        <v>44</v>
      </c>
      <c r="C110" s="35" t="s">
        <v>467</v>
      </c>
      <c r="D110" s="35" t="s">
        <v>424</v>
      </c>
      <c r="E110" s="35" t="s">
        <v>39</v>
      </c>
      <c r="F110" s="35" t="s">
        <v>40</v>
      </c>
      <c r="G110" s="35" t="s">
        <v>1048</v>
      </c>
      <c r="H110" s="35" t="s">
        <v>943</v>
      </c>
      <c r="I110" s="35"/>
      <c r="J110" s="35" t="s">
        <v>47</v>
      </c>
      <c r="K110" s="35" t="s">
        <v>43</v>
      </c>
      <c r="L110" s="35"/>
      <c r="M110" s="35">
        <v>5</v>
      </c>
      <c r="N110" s="35" t="s">
        <v>262</v>
      </c>
      <c r="O110" s="35" t="s">
        <v>263</v>
      </c>
      <c r="P110" s="35" t="s">
        <v>52</v>
      </c>
      <c r="Q110" s="35"/>
      <c r="R110" s="35" t="s">
        <v>168</v>
      </c>
      <c r="S110" s="35" t="s">
        <v>965</v>
      </c>
      <c r="T110" s="35">
        <v>0</v>
      </c>
      <c r="U110" s="35" t="s">
        <v>264</v>
      </c>
      <c r="V110" s="35">
        <v>0</v>
      </c>
      <c r="W110" s="35" t="s">
        <v>265</v>
      </c>
      <c r="X110" s="35">
        <v>91000</v>
      </c>
      <c r="Y110" s="35">
        <v>4.99</v>
      </c>
      <c r="Z110" s="38">
        <v>6916.0606666666663</v>
      </c>
      <c r="AA110" s="38">
        <v>5687.5</v>
      </c>
      <c r="AB110" s="35" t="s">
        <v>95</v>
      </c>
      <c r="AC110" s="38">
        <v>51187.5</v>
      </c>
      <c r="AD110" s="38">
        <v>51187.5</v>
      </c>
      <c r="AE110" s="38">
        <v>0</v>
      </c>
      <c r="AF110" s="38">
        <v>0</v>
      </c>
      <c r="AG110" s="38">
        <v>0</v>
      </c>
      <c r="AH110" s="38">
        <v>0</v>
      </c>
      <c r="AI110" s="38">
        <v>0</v>
      </c>
      <c r="AJ110" s="38">
        <v>6916.06</v>
      </c>
      <c r="AK110" s="35" t="s">
        <v>1899</v>
      </c>
      <c r="AL110" s="35" t="s">
        <v>854</v>
      </c>
      <c r="AM110" s="35" t="s">
        <v>991</v>
      </c>
      <c r="AN110" s="35" t="s">
        <v>2164</v>
      </c>
      <c r="AO110" s="35">
        <v>9</v>
      </c>
      <c r="AP110" s="35">
        <v>16</v>
      </c>
      <c r="AQ110" s="35" t="s">
        <v>869</v>
      </c>
      <c r="AR110" s="35" t="s">
        <v>842</v>
      </c>
      <c r="AS110" s="35" t="s">
        <v>869</v>
      </c>
      <c r="AT110" s="35" t="s">
        <v>1049</v>
      </c>
      <c r="AU110" s="35"/>
      <c r="AV110" s="35" t="s">
        <v>1050</v>
      </c>
      <c r="AW110" s="35" t="s">
        <v>294</v>
      </c>
      <c r="AX110" s="35" t="s">
        <v>295</v>
      </c>
      <c r="AY110" s="35" t="s">
        <v>271</v>
      </c>
      <c r="AZ110" s="35" t="s">
        <v>964</v>
      </c>
      <c r="BA110" s="35"/>
      <c r="BB110" s="35" t="s">
        <v>272</v>
      </c>
      <c r="BC110" s="35" t="s">
        <v>273</v>
      </c>
      <c r="BD110" s="35" t="s">
        <v>274</v>
      </c>
      <c r="BE110" s="35" t="s">
        <v>271</v>
      </c>
      <c r="BF110" s="35">
        <v>9100</v>
      </c>
      <c r="BG110" s="35"/>
      <c r="BH110" s="35">
        <v>0</v>
      </c>
      <c r="BI110" s="35">
        <v>0</v>
      </c>
      <c r="BJ110" s="35"/>
      <c r="BK110" s="35" t="s">
        <v>585</v>
      </c>
      <c r="BL110" s="35" t="s">
        <v>1051</v>
      </c>
      <c r="BM110" s="35"/>
      <c r="BN110" s="35"/>
      <c r="BO110" s="35"/>
      <c r="BP110" s="35"/>
    </row>
    <row r="111" spans="1:68" x14ac:dyDescent="0.3">
      <c r="A111" s="35" t="s">
        <v>43</v>
      </c>
      <c r="B111" s="35" t="s">
        <v>44</v>
      </c>
      <c r="C111" s="35" t="s">
        <v>41</v>
      </c>
      <c r="D111" s="35" t="s">
        <v>42</v>
      </c>
      <c r="E111" s="35" t="s">
        <v>883</v>
      </c>
      <c r="F111" s="35" t="s">
        <v>884</v>
      </c>
      <c r="G111" s="35" t="s">
        <v>1052</v>
      </c>
      <c r="H111" s="35" t="s">
        <v>945</v>
      </c>
      <c r="I111" s="35"/>
      <c r="J111" s="35" t="s">
        <v>47</v>
      </c>
      <c r="K111" s="35" t="s">
        <v>47</v>
      </c>
      <c r="L111" s="35"/>
      <c r="M111" s="35">
        <v>6</v>
      </c>
      <c r="N111" s="35" t="s">
        <v>262</v>
      </c>
      <c r="O111" s="35" t="s">
        <v>263</v>
      </c>
      <c r="P111" s="35" t="s">
        <v>52</v>
      </c>
      <c r="Q111" s="35"/>
      <c r="R111" s="35" t="s">
        <v>168</v>
      </c>
      <c r="S111" s="35" t="s">
        <v>185</v>
      </c>
      <c r="T111" s="35">
        <v>0</v>
      </c>
      <c r="U111" s="35" t="s">
        <v>264</v>
      </c>
      <c r="V111" s="35">
        <v>0</v>
      </c>
      <c r="W111" s="35" t="s">
        <v>265</v>
      </c>
      <c r="X111" s="35">
        <v>60000</v>
      </c>
      <c r="Y111" s="35">
        <v>4.99</v>
      </c>
      <c r="Z111" s="38">
        <v>4560.04</v>
      </c>
      <c r="AA111" s="38">
        <v>3750</v>
      </c>
      <c r="AB111" s="35" t="s">
        <v>95</v>
      </c>
      <c r="AC111" s="38">
        <v>33750</v>
      </c>
      <c r="AD111" s="38">
        <v>33750</v>
      </c>
      <c r="AE111" s="38">
        <v>0</v>
      </c>
      <c r="AF111" s="38">
        <v>0</v>
      </c>
      <c r="AG111" s="38">
        <v>0</v>
      </c>
      <c r="AH111" s="38">
        <v>0</v>
      </c>
      <c r="AI111" s="38">
        <v>0</v>
      </c>
      <c r="AJ111" s="38">
        <v>4560</v>
      </c>
      <c r="AK111" s="35" t="s">
        <v>1899</v>
      </c>
      <c r="AL111" s="35" t="s">
        <v>854</v>
      </c>
      <c r="AM111" s="35" t="s">
        <v>991</v>
      </c>
      <c r="AN111" s="35" t="s">
        <v>2164</v>
      </c>
      <c r="AO111" s="35">
        <v>9</v>
      </c>
      <c r="AP111" s="35">
        <v>16</v>
      </c>
      <c r="AQ111" s="35" t="s">
        <v>1053</v>
      </c>
      <c r="AR111" s="35" t="s">
        <v>1054</v>
      </c>
      <c r="AS111" s="35" t="s">
        <v>1055</v>
      </c>
      <c r="AT111" s="35" t="s">
        <v>1056</v>
      </c>
      <c r="AU111" s="35"/>
      <c r="AV111" s="35" t="s">
        <v>1057</v>
      </c>
      <c r="AW111" s="35" t="s">
        <v>1058</v>
      </c>
      <c r="AX111" s="35" t="s">
        <v>555</v>
      </c>
      <c r="AY111" s="35" t="s">
        <v>271</v>
      </c>
      <c r="AZ111" s="35"/>
      <c r="BA111" s="35"/>
      <c r="BB111" s="35" t="s">
        <v>1059</v>
      </c>
      <c r="BC111" s="35" t="s">
        <v>273</v>
      </c>
      <c r="BD111" s="35" t="s">
        <v>270</v>
      </c>
      <c r="BE111" s="35" t="s">
        <v>271</v>
      </c>
      <c r="BF111" s="35">
        <v>6000</v>
      </c>
      <c r="BG111" s="35"/>
      <c r="BH111" s="35">
        <v>0</v>
      </c>
      <c r="BI111" s="35">
        <v>0</v>
      </c>
      <c r="BJ111" s="35"/>
      <c r="BK111" s="35" t="s">
        <v>585</v>
      </c>
      <c r="BL111" s="35" t="s">
        <v>1060</v>
      </c>
      <c r="BM111" s="35"/>
      <c r="BN111" s="35"/>
      <c r="BO111" s="35"/>
      <c r="BP111" s="35"/>
    </row>
    <row r="112" spans="1:68" x14ac:dyDescent="0.3">
      <c r="A112" s="35" t="s">
        <v>49</v>
      </c>
      <c r="B112" s="35" t="s">
        <v>450</v>
      </c>
      <c r="C112" s="35" t="s">
        <v>451</v>
      </c>
      <c r="D112" s="35" t="s">
        <v>388</v>
      </c>
      <c r="E112" s="35" t="s">
        <v>188</v>
      </c>
      <c r="F112" s="35" t="s">
        <v>190</v>
      </c>
      <c r="G112" s="35" t="s">
        <v>1312</v>
      </c>
      <c r="H112" s="35" t="s">
        <v>1201</v>
      </c>
      <c r="I112" s="35"/>
      <c r="J112" s="35" t="s">
        <v>47</v>
      </c>
      <c r="K112" s="35" t="s">
        <v>43</v>
      </c>
      <c r="L112" s="35"/>
      <c r="M112" s="35">
        <v>5</v>
      </c>
      <c r="N112" s="35" t="s">
        <v>262</v>
      </c>
      <c r="O112" s="35" t="s">
        <v>263</v>
      </c>
      <c r="P112" s="35" t="s">
        <v>52</v>
      </c>
      <c r="Q112" s="35"/>
      <c r="R112" s="35" t="s">
        <v>168</v>
      </c>
      <c r="S112" s="35" t="s">
        <v>1178</v>
      </c>
      <c r="T112" s="35">
        <v>0</v>
      </c>
      <c r="U112" s="35" t="s">
        <v>264</v>
      </c>
      <c r="V112" s="35">
        <v>0</v>
      </c>
      <c r="W112" s="35" t="s">
        <v>265</v>
      </c>
      <c r="X112" s="35">
        <v>43000</v>
      </c>
      <c r="Y112" s="35">
        <v>4.99</v>
      </c>
      <c r="Z112" s="38">
        <v>3268.0286666666661</v>
      </c>
      <c r="AA112" s="38">
        <v>2687.5</v>
      </c>
      <c r="AB112" s="35" t="s">
        <v>95</v>
      </c>
      <c r="AC112" s="38">
        <v>29562.5</v>
      </c>
      <c r="AD112" s="38">
        <v>29562.5</v>
      </c>
      <c r="AE112" s="38">
        <v>0</v>
      </c>
      <c r="AF112" s="38">
        <v>0</v>
      </c>
      <c r="AG112" s="38">
        <v>0</v>
      </c>
      <c r="AH112" s="38">
        <v>0</v>
      </c>
      <c r="AI112" s="38">
        <v>0</v>
      </c>
      <c r="AJ112" s="38">
        <v>3269</v>
      </c>
      <c r="AK112" s="35" t="s">
        <v>1899</v>
      </c>
      <c r="AL112" s="35" t="s">
        <v>1132</v>
      </c>
      <c r="AM112" s="35" t="s">
        <v>1327</v>
      </c>
      <c r="AN112" s="35" t="s">
        <v>2164</v>
      </c>
      <c r="AO112" s="35">
        <v>11</v>
      </c>
      <c r="AP112" s="35">
        <v>16</v>
      </c>
      <c r="AQ112" s="35" t="s">
        <v>1333</v>
      </c>
      <c r="AR112" s="35" t="s">
        <v>1334</v>
      </c>
      <c r="AS112" s="35" t="s">
        <v>1335</v>
      </c>
      <c r="AT112" s="35" t="s">
        <v>1336</v>
      </c>
      <c r="AU112" s="35"/>
      <c r="AV112" s="35" t="s">
        <v>1337</v>
      </c>
      <c r="AW112" s="35" t="s">
        <v>1338</v>
      </c>
      <c r="AX112" s="35" t="s">
        <v>338</v>
      </c>
      <c r="AY112" s="35" t="s">
        <v>338</v>
      </c>
      <c r="AZ112" s="35" t="s">
        <v>1313</v>
      </c>
      <c r="BA112" s="35"/>
      <c r="BB112" s="35" t="s">
        <v>1339</v>
      </c>
      <c r="BC112" s="35" t="s">
        <v>1340</v>
      </c>
      <c r="BD112" s="35" t="s">
        <v>1339</v>
      </c>
      <c r="BE112" s="35" t="s">
        <v>271</v>
      </c>
      <c r="BF112" s="35">
        <v>4300</v>
      </c>
      <c r="BG112" s="35"/>
      <c r="BH112" s="35">
        <v>0</v>
      </c>
      <c r="BI112" s="35">
        <v>0</v>
      </c>
      <c r="BJ112" s="35"/>
      <c r="BK112" s="35" t="s">
        <v>585</v>
      </c>
      <c r="BL112" s="35" t="s">
        <v>1341</v>
      </c>
      <c r="BM112" s="35"/>
      <c r="BN112" s="35"/>
      <c r="BO112" s="35"/>
      <c r="BP112" s="35"/>
    </row>
    <row r="113" spans="1:68" x14ac:dyDescent="0.3">
      <c r="A113" s="35" t="s">
        <v>43</v>
      </c>
      <c r="B113" s="35" t="s">
        <v>44</v>
      </c>
      <c r="C113" s="35" t="s">
        <v>41</v>
      </c>
      <c r="D113" s="35" t="s">
        <v>42</v>
      </c>
      <c r="E113" s="35" t="s">
        <v>663</v>
      </c>
      <c r="F113" s="35" t="s">
        <v>664</v>
      </c>
      <c r="G113" s="35" t="s">
        <v>1780</v>
      </c>
      <c r="H113" s="35" t="s">
        <v>1633</v>
      </c>
      <c r="I113" s="35"/>
      <c r="J113" s="35" t="s">
        <v>47</v>
      </c>
      <c r="K113" s="35" t="s">
        <v>47</v>
      </c>
      <c r="L113" s="35"/>
      <c r="M113" s="35">
        <v>5</v>
      </c>
      <c r="N113" s="35" t="s">
        <v>262</v>
      </c>
      <c r="O113" s="35" t="s">
        <v>263</v>
      </c>
      <c r="P113" s="35" t="s">
        <v>52</v>
      </c>
      <c r="Q113" s="35"/>
      <c r="R113" s="35" t="s">
        <v>168</v>
      </c>
      <c r="S113" s="35" t="s">
        <v>125</v>
      </c>
      <c r="T113" s="35">
        <v>0</v>
      </c>
      <c r="U113" s="35" t="s">
        <v>264</v>
      </c>
      <c r="V113" s="35">
        <v>0</v>
      </c>
      <c r="W113" s="35" t="s">
        <v>265</v>
      </c>
      <c r="X113" s="35">
        <v>58000</v>
      </c>
      <c r="Y113" s="35">
        <v>4.99</v>
      </c>
      <c r="Z113" s="38">
        <v>4408.0386666666654</v>
      </c>
      <c r="AA113" s="38">
        <v>3625</v>
      </c>
      <c r="AB113" s="35" t="s">
        <v>95</v>
      </c>
      <c r="AC113" s="38">
        <v>50750</v>
      </c>
      <c r="AD113" s="38">
        <v>50750</v>
      </c>
      <c r="AE113" s="38">
        <v>0</v>
      </c>
      <c r="AF113" s="38">
        <v>0</v>
      </c>
      <c r="AG113" s="38">
        <v>0</v>
      </c>
      <c r="AH113" s="38">
        <v>0</v>
      </c>
      <c r="AI113" s="38">
        <v>0</v>
      </c>
      <c r="AJ113" s="38">
        <v>4408.05</v>
      </c>
      <c r="AK113" s="35" t="s">
        <v>1899</v>
      </c>
      <c r="AL113" s="35" t="s">
        <v>1603</v>
      </c>
      <c r="AM113" s="35" t="s">
        <v>1775</v>
      </c>
      <c r="AN113" s="35" t="s">
        <v>2164</v>
      </c>
      <c r="AO113" s="35">
        <v>14</v>
      </c>
      <c r="AP113" s="35">
        <v>16</v>
      </c>
      <c r="AQ113" s="35" t="s">
        <v>1781</v>
      </c>
      <c r="AR113" s="35" t="s">
        <v>1782</v>
      </c>
      <c r="AS113" s="35" t="s">
        <v>1783</v>
      </c>
      <c r="AT113" s="35" t="s">
        <v>1784</v>
      </c>
      <c r="AU113" s="35"/>
      <c r="AV113" s="35" t="s">
        <v>1785</v>
      </c>
      <c r="AW113" s="35" t="s">
        <v>554</v>
      </c>
      <c r="AX113" s="35" t="s">
        <v>555</v>
      </c>
      <c r="AY113" s="35" t="s">
        <v>271</v>
      </c>
      <c r="AZ113" s="35"/>
      <c r="BA113" s="35"/>
      <c r="BB113" s="35" t="s">
        <v>272</v>
      </c>
      <c r="BC113" s="35" t="s">
        <v>273</v>
      </c>
      <c r="BD113" s="35" t="s">
        <v>274</v>
      </c>
      <c r="BE113" s="35" t="s">
        <v>271</v>
      </c>
      <c r="BF113" s="35">
        <v>5800</v>
      </c>
      <c r="BG113" s="35"/>
      <c r="BH113" s="35">
        <v>0</v>
      </c>
      <c r="BI113" s="35">
        <v>0</v>
      </c>
      <c r="BJ113" s="35"/>
      <c r="BK113" s="35" t="s">
        <v>585</v>
      </c>
      <c r="BL113" s="35" t="s">
        <v>1786</v>
      </c>
      <c r="BM113" s="35"/>
      <c r="BN113" s="35"/>
      <c r="BO113" s="35"/>
      <c r="BP113" s="35"/>
    </row>
    <row r="114" spans="1:68" x14ac:dyDescent="0.3">
      <c r="A114" s="35" t="s">
        <v>49</v>
      </c>
      <c r="B114" s="35" t="s">
        <v>450</v>
      </c>
      <c r="C114" s="35" t="s">
        <v>451</v>
      </c>
      <c r="D114" s="35" t="s">
        <v>388</v>
      </c>
      <c r="E114" s="35" t="s">
        <v>170</v>
      </c>
      <c r="F114" s="35" t="s">
        <v>171</v>
      </c>
      <c r="G114" s="35" t="s">
        <v>172</v>
      </c>
      <c r="H114" s="35" t="s">
        <v>106</v>
      </c>
      <c r="I114" s="35"/>
      <c r="J114" s="35" t="s">
        <v>47</v>
      </c>
      <c r="K114" s="35" t="s">
        <v>43</v>
      </c>
      <c r="L114" s="35"/>
      <c r="M114" s="35">
        <v>6</v>
      </c>
      <c r="N114" s="35" t="s">
        <v>262</v>
      </c>
      <c r="O114" s="35" t="s">
        <v>263</v>
      </c>
      <c r="P114" s="35" t="s">
        <v>52</v>
      </c>
      <c r="Q114" s="35"/>
      <c r="R114" s="35" t="s">
        <v>146</v>
      </c>
      <c r="S114" s="35" t="s">
        <v>125</v>
      </c>
      <c r="T114" s="35">
        <v>0</v>
      </c>
      <c r="U114" s="35" t="s">
        <v>264</v>
      </c>
      <c r="V114" s="35">
        <v>0</v>
      </c>
      <c r="W114" s="35" t="s">
        <v>265</v>
      </c>
      <c r="X114" s="35">
        <v>184000</v>
      </c>
      <c r="Y114" s="35">
        <v>4.99</v>
      </c>
      <c r="Z114" s="38">
        <v>13984.122666666701</v>
      </c>
      <c r="AA114" s="38">
        <v>11500</v>
      </c>
      <c r="AB114" s="35" t="s">
        <v>95</v>
      </c>
      <c r="AC114" s="38">
        <v>57501.1</v>
      </c>
      <c r="AD114" s="38">
        <v>57500</v>
      </c>
      <c r="AE114" s="38">
        <v>1.1000000000000001</v>
      </c>
      <c r="AF114" s="38">
        <v>0.01</v>
      </c>
      <c r="AG114" s="38">
        <v>0</v>
      </c>
      <c r="AH114" s="38">
        <v>0</v>
      </c>
      <c r="AI114" s="38">
        <v>1.1100000000000001</v>
      </c>
      <c r="AJ114" s="38">
        <v>13984</v>
      </c>
      <c r="AK114" s="35" t="s">
        <v>1823</v>
      </c>
      <c r="AL114" s="35" t="s">
        <v>287</v>
      </c>
      <c r="AM114" s="35" t="s">
        <v>268</v>
      </c>
      <c r="AN114" s="35" t="s">
        <v>2004</v>
      </c>
      <c r="AO114" s="35">
        <v>5</v>
      </c>
      <c r="AP114" s="35">
        <v>16</v>
      </c>
      <c r="AQ114" s="35" t="s">
        <v>357</v>
      </c>
      <c r="AR114" s="35" t="s">
        <v>358</v>
      </c>
      <c r="AS114" s="35" t="s">
        <v>359</v>
      </c>
      <c r="AT114" s="35" t="s">
        <v>360</v>
      </c>
      <c r="AU114" s="35"/>
      <c r="AV114" s="35" t="s">
        <v>361</v>
      </c>
      <c r="AW114" s="35" t="s">
        <v>362</v>
      </c>
      <c r="AX114" s="35" t="s">
        <v>363</v>
      </c>
      <c r="AY114" s="35" t="s">
        <v>338</v>
      </c>
      <c r="AZ114" s="35" t="s">
        <v>173</v>
      </c>
      <c r="BA114" s="35"/>
      <c r="BB114" s="35" t="s">
        <v>272</v>
      </c>
      <c r="BC114" s="35" t="s">
        <v>273</v>
      </c>
      <c r="BD114" s="35" t="s">
        <v>274</v>
      </c>
      <c r="BE114" s="35" t="s">
        <v>271</v>
      </c>
      <c r="BF114" s="35">
        <v>18400</v>
      </c>
      <c r="BG114" s="35"/>
      <c r="BH114" s="35">
        <v>0</v>
      </c>
      <c r="BI114" s="35">
        <v>0</v>
      </c>
      <c r="BJ114" s="35"/>
      <c r="BK114" s="35" t="s">
        <v>275</v>
      </c>
      <c r="BL114" s="35" t="s">
        <v>364</v>
      </c>
      <c r="BM114" s="35"/>
      <c r="BN114" s="35"/>
      <c r="BO114" s="35"/>
      <c r="BP114" s="35"/>
    </row>
    <row r="115" spans="1:68" x14ac:dyDescent="0.3">
      <c r="A115" s="35" t="s">
        <v>43</v>
      </c>
      <c r="B115" s="35" t="s">
        <v>44</v>
      </c>
      <c r="C115" s="35" t="s">
        <v>41</v>
      </c>
      <c r="D115" s="35" t="s">
        <v>42</v>
      </c>
      <c r="E115" s="35" t="s">
        <v>148</v>
      </c>
      <c r="F115" s="35" t="s">
        <v>149</v>
      </c>
      <c r="G115" s="35" t="s">
        <v>568</v>
      </c>
      <c r="H115" s="35" t="s">
        <v>569</v>
      </c>
      <c r="I115" s="35"/>
      <c r="J115" s="35" t="s">
        <v>47</v>
      </c>
      <c r="K115" s="35" t="s">
        <v>297</v>
      </c>
      <c r="L115" s="35"/>
      <c r="M115" s="35">
        <v>7</v>
      </c>
      <c r="N115" s="35" t="s">
        <v>262</v>
      </c>
      <c r="O115" s="35" t="s">
        <v>263</v>
      </c>
      <c r="P115" s="35" t="s">
        <v>52</v>
      </c>
      <c r="Q115" s="35"/>
      <c r="R115" s="35" t="s">
        <v>146</v>
      </c>
      <c r="S115" s="35" t="s">
        <v>571</v>
      </c>
      <c r="T115" s="35">
        <v>0</v>
      </c>
      <c r="U115" s="35" t="s">
        <v>264</v>
      </c>
      <c r="V115" s="35">
        <v>0</v>
      </c>
      <c r="W115" s="35" t="s">
        <v>265</v>
      </c>
      <c r="X115" s="35">
        <v>129000</v>
      </c>
      <c r="Y115" s="35">
        <v>4.99</v>
      </c>
      <c r="Z115" s="38">
        <v>9804.0860000000011</v>
      </c>
      <c r="AA115" s="38">
        <v>8062.5</v>
      </c>
      <c r="AB115" s="35" t="s">
        <v>95</v>
      </c>
      <c r="AC115" s="38">
        <v>56438.26</v>
      </c>
      <c r="AD115" s="38">
        <v>56437.5</v>
      </c>
      <c r="AE115" s="38">
        <v>0.76</v>
      </c>
      <c r="AF115" s="38">
        <v>0.01</v>
      </c>
      <c r="AG115" s="38">
        <v>0</v>
      </c>
      <c r="AH115" s="38">
        <v>0</v>
      </c>
      <c r="AI115" s="38">
        <v>0.77</v>
      </c>
      <c r="AJ115" s="38">
        <v>9804</v>
      </c>
      <c r="AK115" s="35" t="s">
        <v>1843</v>
      </c>
      <c r="AL115" s="35" t="s">
        <v>400</v>
      </c>
      <c r="AM115" s="35" t="s">
        <v>578</v>
      </c>
      <c r="AN115" s="35" t="s">
        <v>2004</v>
      </c>
      <c r="AO115" s="35">
        <v>7</v>
      </c>
      <c r="AP115" s="35">
        <v>16</v>
      </c>
      <c r="AQ115" s="35" t="s">
        <v>587</v>
      </c>
      <c r="AR115" s="35" t="s">
        <v>588</v>
      </c>
      <c r="AS115" s="35" t="s">
        <v>589</v>
      </c>
      <c r="AT115" s="35" t="s">
        <v>590</v>
      </c>
      <c r="AU115" s="35"/>
      <c r="AV115" s="35" t="s">
        <v>591</v>
      </c>
      <c r="AW115" s="35" t="s">
        <v>592</v>
      </c>
      <c r="AX115" s="35" t="s">
        <v>274</v>
      </c>
      <c r="AY115" s="35" t="s">
        <v>271</v>
      </c>
      <c r="AZ115" s="35" t="s">
        <v>570</v>
      </c>
      <c r="BA115" s="35"/>
      <c r="BB115" s="35" t="s">
        <v>591</v>
      </c>
      <c r="BC115" s="35" t="s">
        <v>592</v>
      </c>
      <c r="BD115" s="35" t="s">
        <v>274</v>
      </c>
      <c r="BE115" s="35" t="s">
        <v>271</v>
      </c>
      <c r="BF115" s="35">
        <v>12900</v>
      </c>
      <c r="BG115" s="35"/>
      <c r="BH115" s="35">
        <v>0</v>
      </c>
      <c r="BI115" s="35">
        <v>0</v>
      </c>
      <c r="BJ115" s="35"/>
      <c r="BK115" s="35" t="s">
        <v>585</v>
      </c>
      <c r="BL115" s="35" t="s">
        <v>593</v>
      </c>
      <c r="BM115" s="35"/>
      <c r="BN115" s="35"/>
      <c r="BO115" s="35"/>
      <c r="BP115" s="35"/>
    </row>
    <row r="116" spans="1:68" x14ac:dyDescent="0.3">
      <c r="A116" s="35" t="s">
        <v>43</v>
      </c>
      <c r="B116" s="35" t="s">
        <v>44</v>
      </c>
      <c r="C116" s="35" t="s">
        <v>467</v>
      </c>
      <c r="D116" s="35" t="s">
        <v>424</v>
      </c>
      <c r="E116" s="35" t="s">
        <v>189</v>
      </c>
      <c r="F116" s="35" t="s">
        <v>191</v>
      </c>
      <c r="G116" s="35" t="s">
        <v>605</v>
      </c>
      <c r="H116" s="35" t="s">
        <v>606</v>
      </c>
      <c r="I116" s="35"/>
      <c r="J116" s="35" t="s">
        <v>47</v>
      </c>
      <c r="K116" s="35" t="s">
        <v>43</v>
      </c>
      <c r="L116" s="35"/>
      <c r="M116" s="35">
        <v>6</v>
      </c>
      <c r="N116" s="35" t="s">
        <v>262</v>
      </c>
      <c r="O116" s="35" t="s">
        <v>263</v>
      </c>
      <c r="P116" s="35" t="s">
        <v>52</v>
      </c>
      <c r="Q116" s="35"/>
      <c r="R116" s="35" t="s">
        <v>124</v>
      </c>
      <c r="S116" s="35" t="s">
        <v>185</v>
      </c>
      <c r="T116" s="35">
        <v>0</v>
      </c>
      <c r="U116" s="35" t="s">
        <v>264</v>
      </c>
      <c r="V116" s="35">
        <v>0</v>
      </c>
      <c r="W116" s="35" t="s">
        <v>265</v>
      </c>
      <c r="X116" s="35">
        <v>57000</v>
      </c>
      <c r="Y116" s="35">
        <v>4.99</v>
      </c>
      <c r="Z116" s="38">
        <v>4332.0380000000005</v>
      </c>
      <c r="AA116" s="38">
        <v>3562.5</v>
      </c>
      <c r="AB116" s="35" t="s">
        <v>95</v>
      </c>
      <c r="AC116" s="38">
        <v>24937.5</v>
      </c>
      <c r="AD116" s="38">
        <v>24937.5</v>
      </c>
      <c r="AE116" s="38">
        <v>0</v>
      </c>
      <c r="AF116" s="38">
        <v>0</v>
      </c>
      <c r="AG116" s="38">
        <v>0</v>
      </c>
      <c r="AH116" s="38">
        <v>0</v>
      </c>
      <c r="AI116" s="38">
        <v>0</v>
      </c>
      <c r="AJ116" s="38">
        <v>4332.04</v>
      </c>
      <c r="AK116" s="35" t="s">
        <v>1843</v>
      </c>
      <c r="AL116" s="35" t="s">
        <v>348</v>
      </c>
      <c r="AM116" s="35" t="s">
        <v>613</v>
      </c>
      <c r="AN116" s="35" t="s">
        <v>2042</v>
      </c>
      <c r="AO116" s="35">
        <v>7</v>
      </c>
      <c r="AP116" s="35">
        <v>16</v>
      </c>
      <c r="AQ116" s="35" t="s">
        <v>631</v>
      </c>
      <c r="AR116" s="35" t="s">
        <v>631</v>
      </c>
      <c r="AS116" s="35" t="s">
        <v>631</v>
      </c>
      <c r="AT116" s="35" t="s">
        <v>632</v>
      </c>
      <c r="AU116" s="35"/>
      <c r="AV116" s="35" t="s">
        <v>311</v>
      </c>
      <c r="AW116" s="35" t="s">
        <v>312</v>
      </c>
      <c r="AX116" s="35" t="s">
        <v>313</v>
      </c>
      <c r="AY116" s="35" t="s">
        <v>271</v>
      </c>
      <c r="AZ116" s="35" t="s">
        <v>607</v>
      </c>
      <c r="BA116" s="35"/>
      <c r="BB116" s="35" t="s">
        <v>272</v>
      </c>
      <c r="BC116" s="35" t="s">
        <v>273</v>
      </c>
      <c r="BD116" s="35" t="s">
        <v>274</v>
      </c>
      <c r="BE116" s="35" t="s">
        <v>271</v>
      </c>
      <c r="BF116" s="35">
        <v>5700</v>
      </c>
      <c r="BG116" s="35"/>
      <c r="BH116" s="35">
        <v>0</v>
      </c>
      <c r="BI116" s="35">
        <v>0</v>
      </c>
      <c r="BJ116" s="35"/>
      <c r="BK116" s="35" t="s">
        <v>585</v>
      </c>
      <c r="BL116" s="35" t="s">
        <v>633</v>
      </c>
      <c r="BM116" s="35"/>
      <c r="BN116" s="35"/>
      <c r="BO116" s="35"/>
      <c r="BP116" s="35"/>
    </row>
    <row r="117" spans="1:68" x14ac:dyDescent="0.3">
      <c r="A117" s="35" t="s">
        <v>43</v>
      </c>
      <c r="B117" s="35" t="s">
        <v>44</v>
      </c>
      <c r="C117" s="35" t="s">
        <v>460</v>
      </c>
      <c r="D117" s="35" t="s">
        <v>396</v>
      </c>
      <c r="E117" s="35" t="s">
        <v>164</v>
      </c>
      <c r="F117" s="35" t="s">
        <v>165</v>
      </c>
      <c r="G117" s="35" t="s">
        <v>166</v>
      </c>
      <c r="H117" s="35" t="s">
        <v>103</v>
      </c>
      <c r="I117" s="35"/>
      <c r="J117" s="35" t="s">
        <v>47</v>
      </c>
      <c r="K117" s="35" t="s">
        <v>43</v>
      </c>
      <c r="L117" s="35"/>
      <c r="M117" s="35">
        <v>7</v>
      </c>
      <c r="N117" s="35" t="s">
        <v>262</v>
      </c>
      <c r="O117" s="35" t="s">
        <v>263</v>
      </c>
      <c r="P117" s="35" t="s">
        <v>52</v>
      </c>
      <c r="Q117" s="35"/>
      <c r="R117" s="35" t="s">
        <v>168</v>
      </c>
      <c r="S117" s="35" t="s">
        <v>169</v>
      </c>
      <c r="T117" s="35">
        <v>0</v>
      </c>
      <c r="U117" s="35" t="s">
        <v>264</v>
      </c>
      <c r="V117" s="35">
        <v>1</v>
      </c>
      <c r="W117" s="35" t="s">
        <v>265</v>
      </c>
      <c r="X117" s="35">
        <v>78000</v>
      </c>
      <c r="Y117" s="35">
        <v>4.99</v>
      </c>
      <c r="Z117" s="38">
        <v>5928.0520000000006</v>
      </c>
      <c r="AA117" s="38">
        <v>4875</v>
      </c>
      <c r="AB117" s="35" t="s">
        <v>95</v>
      </c>
      <c r="AC117" s="38">
        <v>29250</v>
      </c>
      <c r="AD117" s="38">
        <v>24375</v>
      </c>
      <c r="AE117" s="38">
        <v>4875</v>
      </c>
      <c r="AF117" s="38">
        <v>1007.47</v>
      </c>
      <c r="AG117" s="38">
        <v>0</v>
      </c>
      <c r="AH117" s="38">
        <v>0</v>
      </c>
      <c r="AI117" s="38">
        <v>5882.47</v>
      </c>
      <c r="AJ117" s="38">
        <v>5935</v>
      </c>
      <c r="AK117" s="35" t="s">
        <v>1640</v>
      </c>
      <c r="AL117" s="35" t="s">
        <v>287</v>
      </c>
      <c r="AM117" s="35" t="s">
        <v>355</v>
      </c>
      <c r="AN117" s="35" t="s">
        <v>2164</v>
      </c>
      <c r="AO117" s="35">
        <v>5</v>
      </c>
      <c r="AP117" s="35">
        <v>16</v>
      </c>
      <c r="AQ117" s="35" t="s">
        <v>365</v>
      </c>
      <c r="AR117" s="35" t="s">
        <v>366</v>
      </c>
      <c r="AS117" s="35" t="s">
        <v>367</v>
      </c>
      <c r="AT117" s="35" t="s">
        <v>368</v>
      </c>
      <c r="AU117" s="35"/>
      <c r="AV117" s="35" t="s">
        <v>369</v>
      </c>
      <c r="AW117" s="35" t="s">
        <v>370</v>
      </c>
      <c r="AX117" s="35" t="s">
        <v>270</v>
      </c>
      <c r="AY117" s="35" t="s">
        <v>271</v>
      </c>
      <c r="AZ117" s="35" t="s">
        <v>167</v>
      </c>
      <c r="BA117" s="35"/>
      <c r="BB117" s="35" t="s">
        <v>272</v>
      </c>
      <c r="BC117" s="35" t="s">
        <v>273</v>
      </c>
      <c r="BD117" s="35" t="s">
        <v>274</v>
      </c>
      <c r="BE117" s="35" t="s">
        <v>271</v>
      </c>
      <c r="BF117" s="35">
        <v>7800</v>
      </c>
      <c r="BG117" s="35"/>
      <c r="BH117" s="35">
        <v>1</v>
      </c>
      <c r="BI117" s="35">
        <v>1</v>
      </c>
      <c r="BJ117" s="35"/>
      <c r="BK117" s="35" t="s">
        <v>275</v>
      </c>
      <c r="BL117" s="35" t="s">
        <v>371</v>
      </c>
      <c r="BM117" s="35"/>
      <c r="BN117" s="35"/>
      <c r="BO117" s="35"/>
      <c r="BP117" s="35"/>
    </row>
    <row r="118" spans="1:68" x14ac:dyDescent="0.3">
      <c r="A118" s="35" t="s">
        <v>43</v>
      </c>
      <c r="B118" s="35" t="s">
        <v>44</v>
      </c>
      <c r="C118" s="35" t="s">
        <v>41</v>
      </c>
      <c r="D118" s="35" t="s">
        <v>42</v>
      </c>
      <c r="E118" s="35" t="s">
        <v>883</v>
      </c>
      <c r="F118" s="35" t="s">
        <v>884</v>
      </c>
      <c r="G118" s="35" t="s">
        <v>1635</v>
      </c>
      <c r="H118" s="35" t="s">
        <v>1599</v>
      </c>
      <c r="I118" s="35"/>
      <c r="J118" s="35" t="s">
        <v>47</v>
      </c>
      <c r="K118" s="35" t="s">
        <v>47</v>
      </c>
      <c r="L118" s="35"/>
      <c r="M118" s="35">
        <v>5</v>
      </c>
      <c r="N118" s="35" t="s">
        <v>262</v>
      </c>
      <c r="O118" s="35" t="s">
        <v>263</v>
      </c>
      <c r="P118" s="35" t="s">
        <v>52</v>
      </c>
      <c r="Q118" s="35"/>
      <c r="R118" s="35" t="s">
        <v>126</v>
      </c>
      <c r="S118" s="35" t="s">
        <v>198</v>
      </c>
      <c r="T118" s="35">
        <v>0</v>
      </c>
      <c r="U118" s="35" t="s">
        <v>264</v>
      </c>
      <c r="V118" s="35">
        <v>0</v>
      </c>
      <c r="W118" s="35" t="s">
        <v>265</v>
      </c>
      <c r="X118" s="35">
        <v>52000</v>
      </c>
      <c r="Y118" s="35">
        <v>4.99</v>
      </c>
      <c r="Z118" s="38">
        <v>3952.0346666666665</v>
      </c>
      <c r="AA118" s="38">
        <v>3250</v>
      </c>
      <c r="AB118" s="35" t="s">
        <v>95</v>
      </c>
      <c r="AC118" s="38">
        <v>45500.05</v>
      </c>
      <c r="AD118" s="38">
        <v>45500</v>
      </c>
      <c r="AE118" s="38">
        <v>0.05</v>
      </c>
      <c r="AF118" s="38">
        <v>0.02</v>
      </c>
      <c r="AG118" s="38">
        <v>0</v>
      </c>
      <c r="AH118" s="38">
        <v>0</v>
      </c>
      <c r="AI118" s="38">
        <v>7.0000000000000007E-2</v>
      </c>
      <c r="AJ118" s="38">
        <v>3952</v>
      </c>
      <c r="AK118" s="35" t="s">
        <v>1925</v>
      </c>
      <c r="AL118" s="35" t="s">
        <v>1534</v>
      </c>
      <c r="AM118" s="35" t="s">
        <v>1641</v>
      </c>
      <c r="AN118" s="35" t="s">
        <v>1965</v>
      </c>
      <c r="AO118" s="35">
        <v>14</v>
      </c>
      <c r="AP118" s="35">
        <v>16</v>
      </c>
      <c r="AQ118" s="35" t="s">
        <v>1642</v>
      </c>
      <c r="AR118" s="35" t="s">
        <v>1643</v>
      </c>
      <c r="AS118" s="35" t="s">
        <v>1644</v>
      </c>
      <c r="AT118" s="35" t="s">
        <v>1645</v>
      </c>
      <c r="AU118" s="35"/>
      <c r="AV118" s="35" t="s">
        <v>1040</v>
      </c>
      <c r="AW118" s="35" t="s">
        <v>1646</v>
      </c>
      <c r="AX118" s="35" t="s">
        <v>1040</v>
      </c>
      <c r="AY118" s="35" t="s">
        <v>271</v>
      </c>
      <c r="AZ118" s="35"/>
      <c r="BA118" s="35"/>
      <c r="BB118" s="35" t="s">
        <v>272</v>
      </c>
      <c r="BC118" s="35" t="s">
        <v>273</v>
      </c>
      <c r="BD118" s="35" t="s">
        <v>274</v>
      </c>
      <c r="BE118" s="35" t="s">
        <v>271</v>
      </c>
      <c r="BF118" s="35">
        <v>5200</v>
      </c>
      <c r="BG118" s="35"/>
      <c r="BH118" s="35">
        <v>1</v>
      </c>
      <c r="BI118" s="35">
        <v>1</v>
      </c>
      <c r="BJ118" s="35"/>
      <c r="BK118" s="35" t="s">
        <v>585</v>
      </c>
      <c r="BL118" s="35" t="s">
        <v>1647</v>
      </c>
      <c r="BM118" s="35"/>
      <c r="BN118" s="35"/>
      <c r="BO118" s="35"/>
      <c r="BP118" s="35"/>
    </row>
    <row r="119" spans="1:68" x14ac:dyDescent="0.3">
      <c r="A119" s="35" t="s">
        <v>43</v>
      </c>
      <c r="B119" s="35" t="s">
        <v>44</v>
      </c>
      <c r="C119" s="35" t="s">
        <v>41</v>
      </c>
      <c r="D119" s="35" t="s">
        <v>42</v>
      </c>
      <c r="E119" s="35" t="s">
        <v>663</v>
      </c>
      <c r="F119" s="35" t="s">
        <v>664</v>
      </c>
      <c r="G119" s="35" t="s">
        <v>683</v>
      </c>
      <c r="H119" s="35" t="s">
        <v>684</v>
      </c>
      <c r="I119" s="35"/>
      <c r="J119" s="35" t="s">
        <v>47</v>
      </c>
      <c r="K119" s="35" t="s">
        <v>47</v>
      </c>
      <c r="L119" s="35"/>
      <c r="M119" s="35">
        <v>6</v>
      </c>
      <c r="N119" s="35" t="s">
        <v>262</v>
      </c>
      <c r="O119" s="35" t="s">
        <v>263</v>
      </c>
      <c r="P119" s="35" t="s">
        <v>52</v>
      </c>
      <c r="Q119" s="35"/>
      <c r="R119" s="35" t="s">
        <v>168</v>
      </c>
      <c r="S119" s="35" t="s">
        <v>147</v>
      </c>
      <c r="T119" s="35">
        <v>0</v>
      </c>
      <c r="U119" s="35" t="s">
        <v>264</v>
      </c>
      <c r="V119" s="35">
        <v>0</v>
      </c>
      <c r="W119" s="35" t="s">
        <v>265</v>
      </c>
      <c r="X119" s="35">
        <v>100000</v>
      </c>
      <c r="Y119" s="35">
        <v>4.99</v>
      </c>
      <c r="Z119" s="38">
        <v>7600.0666666666657</v>
      </c>
      <c r="AA119" s="38">
        <v>6250</v>
      </c>
      <c r="AB119" s="35" t="s">
        <v>95</v>
      </c>
      <c r="AC119" s="38">
        <v>43750.61</v>
      </c>
      <c r="AD119" s="38">
        <v>43750</v>
      </c>
      <c r="AE119" s="38">
        <v>0.61</v>
      </c>
      <c r="AF119" s="38">
        <v>0</v>
      </c>
      <c r="AG119" s="38">
        <v>0</v>
      </c>
      <c r="AH119" s="38">
        <v>0</v>
      </c>
      <c r="AI119" s="38">
        <v>0.61</v>
      </c>
      <c r="AJ119" s="38">
        <v>7600</v>
      </c>
      <c r="AK119" s="35" t="s">
        <v>1899</v>
      </c>
      <c r="AL119" s="35" t="s">
        <v>494</v>
      </c>
      <c r="AM119" s="35" t="s">
        <v>744</v>
      </c>
      <c r="AN119" s="35" t="s">
        <v>2164</v>
      </c>
      <c r="AO119" s="35">
        <v>7</v>
      </c>
      <c r="AP119" s="35">
        <v>16</v>
      </c>
      <c r="AQ119" s="35" t="s">
        <v>774</v>
      </c>
      <c r="AR119" s="35" t="s">
        <v>775</v>
      </c>
      <c r="AS119" s="35" t="s">
        <v>776</v>
      </c>
      <c r="AT119" s="35" t="s">
        <v>777</v>
      </c>
      <c r="AU119" s="35"/>
      <c r="AV119" s="35" t="s">
        <v>778</v>
      </c>
      <c r="AW119" s="35" t="s">
        <v>779</v>
      </c>
      <c r="AX119" s="35" t="s">
        <v>274</v>
      </c>
      <c r="AY119" s="35" t="s">
        <v>271</v>
      </c>
      <c r="AZ119" s="35"/>
      <c r="BA119" s="35"/>
      <c r="BB119" s="35" t="s">
        <v>272</v>
      </c>
      <c r="BC119" s="35" t="s">
        <v>273</v>
      </c>
      <c r="BD119" s="35" t="s">
        <v>274</v>
      </c>
      <c r="BE119" s="35" t="s">
        <v>271</v>
      </c>
      <c r="BF119" s="35">
        <v>10000</v>
      </c>
      <c r="BG119" s="35"/>
      <c r="BH119" s="35">
        <v>0</v>
      </c>
      <c r="BI119" s="35">
        <v>0</v>
      </c>
      <c r="BJ119" s="35"/>
      <c r="BK119" s="35" t="s">
        <v>585</v>
      </c>
      <c r="BL119" s="35" t="s">
        <v>780</v>
      </c>
      <c r="BM119" s="35"/>
      <c r="BN119" s="35"/>
      <c r="BO119" s="35"/>
      <c r="BP119" s="35"/>
    </row>
    <row r="120" spans="1:68" x14ac:dyDescent="0.3">
      <c r="A120" s="35" t="s">
        <v>43</v>
      </c>
      <c r="B120" s="35" t="s">
        <v>44</v>
      </c>
      <c r="C120" s="35" t="s">
        <v>460</v>
      </c>
      <c r="D120" s="35" t="s">
        <v>396</v>
      </c>
      <c r="E120" s="35" t="s">
        <v>143</v>
      </c>
      <c r="F120" s="35" t="s">
        <v>144</v>
      </c>
      <c r="G120" s="35" t="s">
        <v>1176</v>
      </c>
      <c r="H120" s="35" t="s">
        <v>1129</v>
      </c>
      <c r="I120" s="35"/>
      <c r="J120" s="35" t="s">
        <v>47</v>
      </c>
      <c r="K120" s="35" t="s">
        <v>43</v>
      </c>
      <c r="L120" s="35"/>
      <c r="M120" s="35">
        <v>9</v>
      </c>
      <c r="N120" s="35" t="s">
        <v>262</v>
      </c>
      <c r="O120" s="35" t="s">
        <v>263</v>
      </c>
      <c r="P120" s="35" t="s">
        <v>52</v>
      </c>
      <c r="Q120" s="35"/>
      <c r="R120" s="35" t="s">
        <v>146</v>
      </c>
      <c r="S120" s="35" t="s">
        <v>1178</v>
      </c>
      <c r="T120" s="35">
        <v>0</v>
      </c>
      <c r="U120" s="35" t="s">
        <v>264</v>
      </c>
      <c r="V120" s="35">
        <v>0</v>
      </c>
      <c r="W120" s="35" t="s">
        <v>265</v>
      </c>
      <c r="X120" s="35">
        <v>114000</v>
      </c>
      <c r="Y120" s="35">
        <v>4.99</v>
      </c>
      <c r="Z120" s="38">
        <v>8664.0760000000009</v>
      </c>
      <c r="AA120" s="38">
        <v>7125</v>
      </c>
      <c r="AB120" s="35" t="s">
        <v>95</v>
      </c>
      <c r="AC120" s="38">
        <v>78375</v>
      </c>
      <c r="AD120" s="38">
        <v>78375</v>
      </c>
      <c r="AE120" s="38">
        <v>0</v>
      </c>
      <c r="AF120" s="38">
        <v>0</v>
      </c>
      <c r="AG120" s="38">
        <v>0</v>
      </c>
      <c r="AH120" s="38">
        <v>0</v>
      </c>
      <c r="AI120" s="38">
        <v>0</v>
      </c>
      <c r="AJ120" s="38">
        <v>8672.1</v>
      </c>
      <c r="AK120" s="35" t="s">
        <v>1967</v>
      </c>
      <c r="AL120" s="35" t="s">
        <v>1109</v>
      </c>
      <c r="AM120" s="35" t="s">
        <v>1181</v>
      </c>
      <c r="AN120" s="35" t="s">
        <v>2004</v>
      </c>
      <c r="AO120" s="35">
        <v>11</v>
      </c>
      <c r="AP120" s="35">
        <v>16</v>
      </c>
      <c r="AQ120" s="35" t="s">
        <v>1193</v>
      </c>
      <c r="AR120" s="35" t="s">
        <v>1194</v>
      </c>
      <c r="AS120" s="35" t="s">
        <v>1195</v>
      </c>
      <c r="AT120" s="35" t="s">
        <v>1196</v>
      </c>
      <c r="AU120" s="35"/>
      <c r="AV120" s="35" t="s">
        <v>926</v>
      </c>
      <c r="AW120" s="35" t="s">
        <v>927</v>
      </c>
      <c r="AX120" s="35" t="s">
        <v>353</v>
      </c>
      <c r="AY120" s="35" t="s">
        <v>271</v>
      </c>
      <c r="AZ120" s="35" t="s">
        <v>1177</v>
      </c>
      <c r="BA120" s="35"/>
      <c r="BB120" s="35" t="s">
        <v>272</v>
      </c>
      <c r="BC120" s="35" t="s">
        <v>273</v>
      </c>
      <c r="BD120" s="35" t="s">
        <v>274</v>
      </c>
      <c r="BE120" s="35" t="s">
        <v>271</v>
      </c>
      <c r="BF120" s="35">
        <v>11400</v>
      </c>
      <c r="BG120" s="35"/>
      <c r="BH120" s="35">
        <v>0</v>
      </c>
      <c r="BI120" s="35">
        <v>0</v>
      </c>
      <c r="BJ120" s="35"/>
      <c r="BK120" s="35" t="s">
        <v>585</v>
      </c>
      <c r="BL120" s="35" t="s">
        <v>1197</v>
      </c>
      <c r="BM120" s="35"/>
      <c r="BN120" s="35"/>
      <c r="BO120" s="35"/>
      <c r="BP120" s="35"/>
    </row>
    <row r="121" spans="1:68" x14ac:dyDescent="0.3">
      <c r="A121" s="35" t="s">
        <v>43</v>
      </c>
      <c r="B121" s="35" t="s">
        <v>44</v>
      </c>
      <c r="C121" s="35" t="s">
        <v>467</v>
      </c>
      <c r="D121" s="35" t="s">
        <v>424</v>
      </c>
      <c r="E121" s="35" t="s">
        <v>39</v>
      </c>
      <c r="F121" s="35" t="s">
        <v>40</v>
      </c>
      <c r="G121" s="35" t="s">
        <v>1874</v>
      </c>
      <c r="H121" s="35" t="s">
        <v>1875</v>
      </c>
      <c r="I121" s="35"/>
      <c r="J121" s="35" t="s">
        <v>47</v>
      </c>
      <c r="K121" s="35" t="s">
        <v>43</v>
      </c>
      <c r="L121" s="35"/>
      <c r="M121" s="35">
        <v>7</v>
      </c>
      <c r="N121" s="35" t="s">
        <v>262</v>
      </c>
      <c r="O121" s="35" t="s">
        <v>263</v>
      </c>
      <c r="P121" s="35" t="s">
        <v>52</v>
      </c>
      <c r="Q121" s="35"/>
      <c r="R121" s="35" t="s">
        <v>146</v>
      </c>
      <c r="S121" s="35" t="s">
        <v>147</v>
      </c>
      <c r="T121" s="35">
        <v>0</v>
      </c>
      <c r="U121" s="35" t="s">
        <v>264</v>
      </c>
      <c r="V121" s="35">
        <v>0</v>
      </c>
      <c r="W121" s="35" t="s">
        <v>265</v>
      </c>
      <c r="X121" s="35">
        <v>155000</v>
      </c>
      <c r="Y121" s="35">
        <v>4.99</v>
      </c>
      <c r="Z121" s="38">
        <v>11780.1033333333</v>
      </c>
      <c r="AA121" s="38">
        <v>9687.5</v>
      </c>
      <c r="AB121" s="35" t="s">
        <v>95</v>
      </c>
      <c r="AC121" s="38">
        <v>145312.5</v>
      </c>
      <c r="AD121" s="38">
        <v>145312.5</v>
      </c>
      <c r="AE121" s="38">
        <v>0</v>
      </c>
      <c r="AF121" s="38">
        <v>0</v>
      </c>
      <c r="AG121" s="38">
        <v>0</v>
      </c>
      <c r="AH121" s="38">
        <v>0</v>
      </c>
      <c r="AI121" s="38">
        <v>0</v>
      </c>
      <c r="AJ121" s="38">
        <v>11787</v>
      </c>
      <c r="AK121" s="35" t="s">
        <v>1823</v>
      </c>
      <c r="AL121" s="35" t="s">
        <v>1667</v>
      </c>
      <c r="AM121" s="35" t="s">
        <v>1852</v>
      </c>
      <c r="AN121" s="35" t="s">
        <v>2004</v>
      </c>
      <c r="AO121" s="35">
        <v>15</v>
      </c>
      <c r="AP121" s="35">
        <v>16</v>
      </c>
      <c r="AQ121" s="35" t="s">
        <v>842</v>
      </c>
      <c r="AR121" s="35" t="s">
        <v>842</v>
      </c>
      <c r="AS121" s="35" t="s">
        <v>842</v>
      </c>
      <c r="AT121" s="35" t="s">
        <v>1877</v>
      </c>
      <c r="AU121" s="35"/>
      <c r="AV121" s="35" t="s">
        <v>1878</v>
      </c>
      <c r="AW121" s="35" t="s">
        <v>1879</v>
      </c>
      <c r="AX121" s="35" t="s">
        <v>1880</v>
      </c>
      <c r="AY121" s="35" t="s">
        <v>271</v>
      </c>
      <c r="AZ121" s="35" t="s">
        <v>1876</v>
      </c>
      <c r="BA121" s="35"/>
      <c r="BB121" s="35" t="s">
        <v>272</v>
      </c>
      <c r="BC121" s="35" t="s">
        <v>273</v>
      </c>
      <c r="BD121" s="35" t="s">
        <v>274</v>
      </c>
      <c r="BE121" s="35" t="s">
        <v>271</v>
      </c>
      <c r="BF121" s="35">
        <v>15500</v>
      </c>
      <c r="BG121" s="35"/>
      <c r="BH121" s="35">
        <v>0</v>
      </c>
      <c r="BI121" s="35">
        <v>0</v>
      </c>
      <c r="BJ121" s="35"/>
      <c r="BK121" s="35" t="s">
        <v>585</v>
      </c>
      <c r="BL121" s="35" t="s">
        <v>1881</v>
      </c>
      <c r="BM121" s="35"/>
      <c r="BN121" s="35"/>
      <c r="BO121" s="35"/>
      <c r="BP121" s="35"/>
    </row>
    <row r="122" spans="1:68" x14ac:dyDescent="0.3">
      <c r="A122" s="35" t="s">
        <v>43</v>
      </c>
      <c r="B122" s="35" t="s">
        <v>44</v>
      </c>
      <c r="C122" s="35" t="s">
        <v>41</v>
      </c>
      <c r="D122" s="35" t="s">
        <v>42</v>
      </c>
      <c r="E122" s="35" t="s">
        <v>148</v>
      </c>
      <c r="F122" s="35" t="s">
        <v>149</v>
      </c>
      <c r="G122" s="35" t="s">
        <v>1634</v>
      </c>
      <c r="H122" s="35" t="s">
        <v>1563</v>
      </c>
      <c r="I122" s="35"/>
      <c r="J122" s="35" t="s">
        <v>47</v>
      </c>
      <c r="K122" s="35" t="s">
        <v>47</v>
      </c>
      <c r="L122" s="35"/>
      <c r="M122" s="35">
        <v>6</v>
      </c>
      <c r="N122" s="35" t="s">
        <v>262</v>
      </c>
      <c r="O122" s="35" t="s">
        <v>263</v>
      </c>
      <c r="P122" s="35" t="s">
        <v>52</v>
      </c>
      <c r="Q122" s="35"/>
      <c r="R122" s="35" t="s">
        <v>126</v>
      </c>
      <c r="S122" s="35" t="s">
        <v>198</v>
      </c>
      <c r="T122" s="35">
        <v>0</v>
      </c>
      <c r="U122" s="35" t="s">
        <v>264</v>
      </c>
      <c r="V122" s="35">
        <v>0</v>
      </c>
      <c r="W122" s="35" t="s">
        <v>265</v>
      </c>
      <c r="X122" s="35">
        <v>58000</v>
      </c>
      <c r="Y122" s="35">
        <v>4.99</v>
      </c>
      <c r="Z122" s="38">
        <v>4408.0386666666654</v>
      </c>
      <c r="AA122" s="38">
        <v>3625</v>
      </c>
      <c r="AB122" s="35" t="s">
        <v>95</v>
      </c>
      <c r="AC122" s="38">
        <v>50731.12</v>
      </c>
      <c r="AD122" s="38">
        <v>50731.12</v>
      </c>
      <c r="AE122" s="38">
        <v>0</v>
      </c>
      <c r="AF122" s="38">
        <v>0</v>
      </c>
      <c r="AG122" s="38">
        <v>0</v>
      </c>
      <c r="AH122" s="38">
        <v>0</v>
      </c>
      <c r="AI122" s="38">
        <v>0</v>
      </c>
      <c r="AJ122" s="38">
        <v>4809</v>
      </c>
      <c r="AK122" s="35" t="s">
        <v>1925</v>
      </c>
      <c r="AL122" s="35" t="s">
        <v>1534</v>
      </c>
      <c r="AM122" s="35" t="s">
        <v>1641</v>
      </c>
      <c r="AN122" s="35" t="s">
        <v>1965</v>
      </c>
      <c r="AO122" s="35">
        <v>14</v>
      </c>
      <c r="AP122" s="35">
        <v>16</v>
      </c>
      <c r="AQ122" s="35" t="s">
        <v>1648</v>
      </c>
      <c r="AR122" s="35" t="s">
        <v>1649</v>
      </c>
      <c r="AS122" s="35" t="s">
        <v>1252</v>
      </c>
      <c r="AT122" s="35" t="s">
        <v>1650</v>
      </c>
      <c r="AU122" s="35"/>
      <c r="AV122" s="35" t="s">
        <v>1651</v>
      </c>
      <c r="AW122" s="35" t="s">
        <v>1652</v>
      </c>
      <c r="AX122" s="35" t="s">
        <v>274</v>
      </c>
      <c r="AY122" s="35" t="s">
        <v>271</v>
      </c>
      <c r="AZ122" s="35"/>
      <c r="BA122" s="35"/>
      <c r="BB122" s="35" t="s">
        <v>272</v>
      </c>
      <c r="BC122" s="35" t="s">
        <v>273</v>
      </c>
      <c r="BD122" s="35" t="s">
        <v>274</v>
      </c>
      <c r="BE122" s="35" t="s">
        <v>271</v>
      </c>
      <c r="BF122" s="35">
        <v>5800</v>
      </c>
      <c r="BG122" s="35"/>
      <c r="BH122" s="35">
        <v>1</v>
      </c>
      <c r="BI122" s="35">
        <v>1</v>
      </c>
      <c r="BJ122" s="35"/>
      <c r="BK122" s="35" t="s">
        <v>585</v>
      </c>
      <c r="BL122" s="35" t="s">
        <v>1653</v>
      </c>
      <c r="BM122" s="35"/>
      <c r="BN122" s="35"/>
      <c r="BO122" s="35"/>
      <c r="BP122" s="35"/>
    </row>
    <row r="123" spans="1:68" x14ac:dyDescent="0.3">
      <c r="A123" s="35" t="s">
        <v>43</v>
      </c>
      <c r="B123" s="35" t="s">
        <v>44</v>
      </c>
      <c r="C123" s="35" t="s">
        <v>467</v>
      </c>
      <c r="D123" s="35" t="s">
        <v>424</v>
      </c>
      <c r="E123" s="35" t="s">
        <v>39</v>
      </c>
      <c r="F123" s="35" t="s">
        <v>40</v>
      </c>
      <c r="G123" s="35" t="s">
        <v>45</v>
      </c>
      <c r="H123" s="35" t="s">
        <v>46</v>
      </c>
      <c r="I123" s="35"/>
      <c r="J123" s="35" t="s">
        <v>47</v>
      </c>
      <c r="K123" s="35" t="s">
        <v>43</v>
      </c>
      <c r="L123" s="35"/>
      <c r="M123" s="35">
        <v>6</v>
      </c>
      <c r="N123" s="35" t="s">
        <v>262</v>
      </c>
      <c r="O123" s="35" t="s">
        <v>263</v>
      </c>
      <c r="P123" s="35" t="s">
        <v>52</v>
      </c>
      <c r="Q123" s="35"/>
      <c r="R123" s="35" t="s">
        <v>124</v>
      </c>
      <c r="S123" s="35" t="s">
        <v>127</v>
      </c>
      <c r="T123" s="35">
        <v>0</v>
      </c>
      <c r="U123" s="35" t="s">
        <v>264</v>
      </c>
      <c r="V123" s="35">
        <v>0</v>
      </c>
      <c r="W123" s="35" t="s">
        <v>265</v>
      </c>
      <c r="X123" s="35">
        <v>136000</v>
      </c>
      <c r="Y123" s="35">
        <v>4.99</v>
      </c>
      <c r="Z123" s="38">
        <v>10336.0906666667</v>
      </c>
      <c r="AA123" s="38">
        <v>8500</v>
      </c>
      <c r="AB123" s="35" t="s">
        <v>95</v>
      </c>
      <c r="AC123" s="38">
        <v>34000.01</v>
      </c>
      <c r="AD123" s="38">
        <v>34000</v>
      </c>
      <c r="AE123" s="38">
        <v>0.01</v>
      </c>
      <c r="AF123" s="38">
        <v>0</v>
      </c>
      <c r="AG123" s="38">
        <v>0</v>
      </c>
      <c r="AH123" s="38">
        <v>0</v>
      </c>
      <c r="AI123" s="38">
        <v>0.01</v>
      </c>
      <c r="AJ123" s="38">
        <v>10336.09</v>
      </c>
      <c r="AK123" s="35" t="s">
        <v>1843</v>
      </c>
      <c r="AL123" s="35" t="s">
        <v>276</v>
      </c>
      <c r="AM123" s="35" t="s">
        <v>288</v>
      </c>
      <c r="AN123" s="35" t="s">
        <v>2042</v>
      </c>
      <c r="AO123" s="35">
        <v>4</v>
      </c>
      <c r="AP123" s="35">
        <v>16</v>
      </c>
      <c r="AQ123" s="35" t="s">
        <v>279</v>
      </c>
      <c r="AR123" s="35" t="s">
        <v>280</v>
      </c>
      <c r="AS123" s="35" t="s">
        <v>281</v>
      </c>
      <c r="AT123" s="35" t="s">
        <v>282</v>
      </c>
      <c r="AU123" s="35"/>
      <c r="AV123" s="35" t="s">
        <v>283</v>
      </c>
      <c r="AW123" s="35" t="s">
        <v>284</v>
      </c>
      <c r="AX123" s="35" t="s">
        <v>285</v>
      </c>
      <c r="AY123" s="35" t="s">
        <v>271</v>
      </c>
      <c r="AZ123" s="35" t="s">
        <v>97</v>
      </c>
      <c r="BA123" s="35"/>
      <c r="BB123" s="35" t="s">
        <v>272</v>
      </c>
      <c r="BC123" s="35" t="s">
        <v>273</v>
      </c>
      <c r="BD123" s="35" t="s">
        <v>274</v>
      </c>
      <c r="BE123" s="35" t="s">
        <v>271</v>
      </c>
      <c r="BF123" s="35">
        <v>13600</v>
      </c>
      <c r="BG123" s="35"/>
      <c r="BH123" s="35">
        <v>0</v>
      </c>
      <c r="BI123" s="35">
        <v>0</v>
      </c>
      <c r="BJ123" s="35"/>
      <c r="BK123" s="35" t="s">
        <v>275</v>
      </c>
      <c r="BL123" s="35" t="s">
        <v>286</v>
      </c>
      <c r="BM123" s="35"/>
      <c r="BN123" s="35"/>
      <c r="BO123" s="35"/>
      <c r="BP123" s="35"/>
    </row>
    <row r="124" spans="1:68" x14ac:dyDescent="0.3">
      <c r="A124" s="35" t="s">
        <v>49</v>
      </c>
      <c r="B124" s="35" t="s">
        <v>450</v>
      </c>
      <c r="C124" s="35" t="s">
        <v>451</v>
      </c>
      <c r="D124" s="35" t="s">
        <v>388</v>
      </c>
      <c r="E124" s="35" t="s">
        <v>487</v>
      </c>
      <c r="F124" s="35" t="s">
        <v>488</v>
      </c>
      <c r="G124" s="35" t="s">
        <v>1787</v>
      </c>
      <c r="H124" s="35" t="s">
        <v>1665</v>
      </c>
      <c r="I124" s="35"/>
      <c r="J124" s="35" t="s">
        <v>47</v>
      </c>
      <c r="K124" s="35" t="s">
        <v>43</v>
      </c>
      <c r="L124" s="35"/>
      <c r="M124" s="35">
        <v>5</v>
      </c>
      <c r="N124" s="35" t="s">
        <v>262</v>
      </c>
      <c r="O124" s="35" t="s">
        <v>263</v>
      </c>
      <c r="P124" s="35" t="s">
        <v>52</v>
      </c>
      <c r="Q124" s="35"/>
      <c r="R124" s="35" t="s">
        <v>168</v>
      </c>
      <c r="S124" s="35" t="s">
        <v>160</v>
      </c>
      <c r="T124" s="35">
        <v>0</v>
      </c>
      <c r="U124" s="35" t="s">
        <v>264</v>
      </c>
      <c r="V124" s="35">
        <v>0</v>
      </c>
      <c r="W124" s="35" t="s">
        <v>265</v>
      </c>
      <c r="X124" s="35">
        <v>60000</v>
      </c>
      <c r="Y124" s="35">
        <v>4.99</v>
      </c>
      <c r="Z124" s="38">
        <v>4560.04</v>
      </c>
      <c r="AA124" s="38">
        <v>3750</v>
      </c>
      <c r="AB124" s="35" t="s">
        <v>95</v>
      </c>
      <c r="AC124" s="38">
        <v>52500.08</v>
      </c>
      <c r="AD124" s="38">
        <v>52500</v>
      </c>
      <c r="AE124" s="38">
        <v>0.08</v>
      </c>
      <c r="AF124" s="38">
        <v>0</v>
      </c>
      <c r="AG124" s="38">
        <v>0</v>
      </c>
      <c r="AH124" s="38">
        <v>0</v>
      </c>
      <c r="AI124" s="38">
        <v>0.08</v>
      </c>
      <c r="AJ124" s="38">
        <v>4560</v>
      </c>
      <c r="AK124" s="35" t="s">
        <v>1899</v>
      </c>
      <c r="AL124" s="35" t="s">
        <v>1603</v>
      </c>
      <c r="AM124" s="35" t="s">
        <v>1775</v>
      </c>
      <c r="AN124" s="35" t="s">
        <v>2164</v>
      </c>
      <c r="AO124" s="35">
        <v>14</v>
      </c>
      <c r="AP124" s="35">
        <v>16</v>
      </c>
      <c r="AQ124" s="35" t="s">
        <v>1788</v>
      </c>
      <c r="AR124" s="35" t="s">
        <v>1789</v>
      </c>
      <c r="AS124" s="35" t="s">
        <v>1790</v>
      </c>
      <c r="AT124" s="35" t="s">
        <v>1791</v>
      </c>
      <c r="AU124" s="35"/>
      <c r="AV124" s="35" t="s">
        <v>1792</v>
      </c>
      <c r="AW124" s="35" t="s">
        <v>1793</v>
      </c>
      <c r="AX124" s="35" t="s">
        <v>555</v>
      </c>
      <c r="AY124" s="35" t="s">
        <v>271</v>
      </c>
      <c r="AZ124" s="35" t="s">
        <v>1794</v>
      </c>
      <c r="BA124" s="35"/>
      <c r="BB124" s="35" t="s">
        <v>272</v>
      </c>
      <c r="BC124" s="35" t="s">
        <v>273</v>
      </c>
      <c r="BD124" s="35" t="s">
        <v>274</v>
      </c>
      <c r="BE124" s="35" t="s">
        <v>271</v>
      </c>
      <c r="BF124" s="35">
        <v>6000</v>
      </c>
      <c r="BG124" s="35"/>
      <c r="BH124" s="35">
        <v>0</v>
      </c>
      <c r="BI124" s="35">
        <v>0</v>
      </c>
      <c r="BJ124" s="35"/>
      <c r="BK124" s="35" t="s">
        <v>585</v>
      </c>
      <c r="BL124" s="35" t="s">
        <v>1795</v>
      </c>
      <c r="BM124" s="35"/>
      <c r="BN124" s="35"/>
      <c r="BO124" s="35"/>
      <c r="BP124" s="35"/>
    </row>
    <row r="125" spans="1:68" x14ac:dyDescent="0.3">
      <c r="A125" s="35" t="s">
        <v>43</v>
      </c>
      <c r="B125" s="35" t="s">
        <v>44</v>
      </c>
      <c r="C125" s="35" t="s">
        <v>460</v>
      </c>
      <c r="D125" s="35" t="s">
        <v>396</v>
      </c>
      <c r="E125" s="35" t="s">
        <v>501</v>
      </c>
      <c r="F125" s="35" t="s">
        <v>502</v>
      </c>
      <c r="G125" s="35" t="s">
        <v>1459</v>
      </c>
      <c r="H125" s="35" t="s">
        <v>686</v>
      </c>
      <c r="I125" s="35"/>
      <c r="J125" s="35" t="s">
        <v>47</v>
      </c>
      <c r="K125" s="35" t="s">
        <v>43</v>
      </c>
      <c r="L125" s="35"/>
      <c r="M125" s="35">
        <v>6</v>
      </c>
      <c r="N125" s="35" t="s">
        <v>262</v>
      </c>
      <c r="O125" s="35" t="s">
        <v>263</v>
      </c>
      <c r="P125" s="35" t="s">
        <v>52</v>
      </c>
      <c r="Q125" s="35"/>
      <c r="R125" s="35" t="s">
        <v>124</v>
      </c>
      <c r="S125" s="35" t="s">
        <v>185</v>
      </c>
      <c r="T125" s="35">
        <v>0</v>
      </c>
      <c r="U125" s="35" t="s">
        <v>264</v>
      </c>
      <c r="V125" s="35">
        <v>0</v>
      </c>
      <c r="W125" s="35" t="s">
        <v>265</v>
      </c>
      <c r="X125" s="35">
        <v>92000</v>
      </c>
      <c r="Y125" s="35">
        <v>4.99</v>
      </c>
      <c r="Z125" s="38">
        <v>6992.0613333333331</v>
      </c>
      <c r="AA125" s="38">
        <v>5750</v>
      </c>
      <c r="AB125" s="35" t="s">
        <v>95</v>
      </c>
      <c r="AC125" s="38">
        <v>69000</v>
      </c>
      <c r="AD125" s="38">
        <v>69000</v>
      </c>
      <c r="AE125" s="38">
        <v>0</v>
      </c>
      <c r="AF125" s="38">
        <v>0</v>
      </c>
      <c r="AG125" s="38">
        <v>0</v>
      </c>
      <c r="AH125" s="38">
        <v>0</v>
      </c>
      <c r="AI125" s="38">
        <v>0</v>
      </c>
      <c r="AJ125" s="38">
        <v>6998</v>
      </c>
      <c r="AK125" s="35" t="s">
        <v>1843</v>
      </c>
      <c r="AL125" s="35" t="s">
        <v>1213</v>
      </c>
      <c r="AM125" s="35" t="s">
        <v>1450</v>
      </c>
      <c r="AN125" s="35" t="s">
        <v>2042</v>
      </c>
      <c r="AO125" s="35">
        <v>12</v>
      </c>
      <c r="AP125" s="35">
        <v>16</v>
      </c>
      <c r="AQ125" s="35" t="s">
        <v>1460</v>
      </c>
      <c r="AR125" s="35" t="s">
        <v>1461</v>
      </c>
      <c r="AS125" s="35" t="s">
        <v>1462</v>
      </c>
      <c r="AT125" s="35" t="s">
        <v>1463</v>
      </c>
      <c r="AU125" s="35"/>
      <c r="AV125" s="35" t="s">
        <v>1464</v>
      </c>
      <c r="AW125" s="35" t="s">
        <v>1465</v>
      </c>
      <c r="AX125" s="35" t="s">
        <v>322</v>
      </c>
      <c r="AY125" s="35" t="s">
        <v>271</v>
      </c>
      <c r="AZ125" s="35" t="s">
        <v>1466</v>
      </c>
      <c r="BA125" s="35"/>
      <c r="BB125" s="35" t="s">
        <v>272</v>
      </c>
      <c r="BC125" s="35" t="s">
        <v>273</v>
      </c>
      <c r="BD125" s="35" t="s">
        <v>274</v>
      </c>
      <c r="BE125" s="35" t="s">
        <v>271</v>
      </c>
      <c r="BF125" s="35">
        <v>9200</v>
      </c>
      <c r="BG125" s="35"/>
      <c r="BH125" s="35">
        <v>0</v>
      </c>
      <c r="BI125" s="35">
        <v>0</v>
      </c>
      <c r="BJ125" s="35"/>
      <c r="BK125" s="35" t="s">
        <v>585</v>
      </c>
      <c r="BL125" s="35" t="s">
        <v>1467</v>
      </c>
      <c r="BM125" s="35"/>
      <c r="BN125" s="35"/>
      <c r="BO125" s="35"/>
      <c r="BP125" s="35"/>
    </row>
    <row r="126" spans="1:68" x14ac:dyDescent="0.3">
      <c r="A126" s="35" t="s">
        <v>49</v>
      </c>
      <c r="B126" s="35" t="s">
        <v>450</v>
      </c>
      <c r="C126" s="35" t="s">
        <v>451</v>
      </c>
      <c r="D126" s="35" t="s">
        <v>388</v>
      </c>
      <c r="E126" s="35" t="s">
        <v>170</v>
      </c>
      <c r="F126" s="35" t="s">
        <v>171</v>
      </c>
      <c r="G126" s="35" t="s">
        <v>1533</v>
      </c>
      <c r="H126" s="35" t="s">
        <v>1516</v>
      </c>
      <c r="I126" s="35"/>
      <c r="J126" s="35" t="s">
        <v>47</v>
      </c>
      <c r="K126" s="35" t="s">
        <v>43</v>
      </c>
      <c r="L126" s="35"/>
      <c r="M126" s="35">
        <v>8</v>
      </c>
      <c r="N126" s="35" t="s">
        <v>262</v>
      </c>
      <c r="O126" s="35" t="s">
        <v>263</v>
      </c>
      <c r="P126" s="35" t="s">
        <v>52</v>
      </c>
      <c r="Q126" s="35"/>
      <c r="R126" s="35" t="s">
        <v>146</v>
      </c>
      <c r="S126" s="35" t="s">
        <v>185</v>
      </c>
      <c r="T126" s="35">
        <v>0</v>
      </c>
      <c r="U126" s="35" t="s">
        <v>264</v>
      </c>
      <c r="V126" s="35">
        <v>0</v>
      </c>
      <c r="W126" s="35" t="s">
        <v>265</v>
      </c>
      <c r="X126" s="35">
        <v>113000</v>
      </c>
      <c r="Y126" s="35">
        <v>4.99</v>
      </c>
      <c r="Z126" s="38">
        <v>8588.0753333333341</v>
      </c>
      <c r="AA126" s="38">
        <v>7062.5</v>
      </c>
      <c r="AB126" s="35" t="s">
        <v>95</v>
      </c>
      <c r="AC126" s="38">
        <v>91812.72</v>
      </c>
      <c r="AD126" s="38">
        <v>91812.5</v>
      </c>
      <c r="AE126" s="38">
        <v>0.22</v>
      </c>
      <c r="AF126" s="38">
        <v>0.01</v>
      </c>
      <c r="AG126" s="38">
        <v>0</v>
      </c>
      <c r="AH126" s="38">
        <v>0</v>
      </c>
      <c r="AI126" s="38">
        <v>0.23</v>
      </c>
      <c r="AJ126" s="38">
        <v>8588</v>
      </c>
      <c r="AK126" s="35" t="s">
        <v>1925</v>
      </c>
      <c r="AL126" s="35" t="s">
        <v>1385</v>
      </c>
      <c r="AM126" s="35" t="s">
        <v>1543</v>
      </c>
      <c r="AN126" s="35" t="s">
        <v>2004</v>
      </c>
      <c r="AO126" s="35">
        <v>13</v>
      </c>
      <c r="AP126" s="35">
        <v>16</v>
      </c>
      <c r="AQ126" s="35" t="s">
        <v>1550</v>
      </c>
      <c r="AR126" s="35" t="s">
        <v>1551</v>
      </c>
      <c r="AS126" s="35" t="s">
        <v>1552</v>
      </c>
      <c r="AT126" s="35" t="s">
        <v>1553</v>
      </c>
      <c r="AU126" s="35"/>
      <c r="AV126" s="35" t="s">
        <v>960</v>
      </c>
      <c r="AW126" s="35" t="s">
        <v>961</v>
      </c>
      <c r="AX126" s="35" t="s">
        <v>962</v>
      </c>
      <c r="AY126" s="35" t="s">
        <v>338</v>
      </c>
      <c r="AZ126" s="35" t="s">
        <v>1554</v>
      </c>
      <c r="BA126" s="35"/>
      <c r="BB126" s="35" t="s">
        <v>272</v>
      </c>
      <c r="BC126" s="35" t="s">
        <v>273</v>
      </c>
      <c r="BD126" s="35" t="s">
        <v>274</v>
      </c>
      <c r="BE126" s="35" t="s">
        <v>271</v>
      </c>
      <c r="BF126" s="35">
        <v>11300</v>
      </c>
      <c r="BG126" s="35"/>
      <c r="BH126" s="35">
        <v>0</v>
      </c>
      <c r="BI126" s="35">
        <v>0</v>
      </c>
      <c r="BJ126" s="35"/>
      <c r="BK126" s="35" t="s">
        <v>585</v>
      </c>
      <c r="BL126" s="35" t="s">
        <v>1555</v>
      </c>
      <c r="BM126" s="35"/>
      <c r="BN126" s="35"/>
      <c r="BO126" s="35"/>
      <c r="BP126" s="35"/>
    </row>
    <row r="127" spans="1:68" x14ac:dyDescent="0.3">
      <c r="A127" s="35" t="s">
        <v>49</v>
      </c>
      <c r="B127" s="35" t="s">
        <v>450</v>
      </c>
      <c r="C127" s="35" t="s">
        <v>451</v>
      </c>
      <c r="D127" s="35" t="s">
        <v>388</v>
      </c>
      <c r="E127" s="35" t="s">
        <v>1145</v>
      </c>
      <c r="F127" s="35" t="s">
        <v>1840</v>
      </c>
      <c r="G127" s="35" t="s">
        <v>1841</v>
      </c>
      <c r="H127" s="35" t="s">
        <v>1842</v>
      </c>
      <c r="I127" s="35"/>
      <c r="J127" s="35" t="s">
        <v>47</v>
      </c>
      <c r="K127" s="35" t="s">
        <v>43</v>
      </c>
      <c r="L127" s="35"/>
      <c r="M127" s="35">
        <v>5</v>
      </c>
      <c r="N127" s="35" t="s">
        <v>262</v>
      </c>
      <c r="O127" s="35" t="s">
        <v>263</v>
      </c>
      <c r="P127" s="35" t="s">
        <v>52</v>
      </c>
      <c r="Q127" s="35"/>
      <c r="R127" s="35" t="s">
        <v>146</v>
      </c>
      <c r="S127" s="35" t="s">
        <v>160</v>
      </c>
      <c r="T127" s="35">
        <v>0</v>
      </c>
      <c r="U127" s="35" t="s">
        <v>264</v>
      </c>
      <c r="V127" s="35">
        <v>0</v>
      </c>
      <c r="W127" s="35" t="s">
        <v>265</v>
      </c>
      <c r="X127" s="35">
        <v>74000</v>
      </c>
      <c r="Y127" s="35">
        <v>4.99</v>
      </c>
      <c r="Z127" s="38">
        <v>5624.0493333333334</v>
      </c>
      <c r="AA127" s="38">
        <v>4625</v>
      </c>
      <c r="AB127" s="35" t="s">
        <v>95</v>
      </c>
      <c r="AC127" s="38">
        <v>69375.06</v>
      </c>
      <c r="AD127" s="38">
        <v>69375</v>
      </c>
      <c r="AE127" s="38">
        <v>0.06</v>
      </c>
      <c r="AF127" s="38">
        <v>0</v>
      </c>
      <c r="AG127" s="38">
        <v>0</v>
      </c>
      <c r="AH127" s="38">
        <v>0</v>
      </c>
      <c r="AI127" s="38">
        <v>0.06</v>
      </c>
      <c r="AJ127" s="38">
        <v>5624</v>
      </c>
      <c r="AK127" s="35" t="s">
        <v>1823</v>
      </c>
      <c r="AL127" s="35" t="s">
        <v>1667</v>
      </c>
      <c r="AM127" s="35" t="s">
        <v>1852</v>
      </c>
      <c r="AN127" s="35" t="s">
        <v>2004</v>
      </c>
      <c r="AO127" s="35">
        <v>15</v>
      </c>
      <c r="AP127" s="35">
        <v>16</v>
      </c>
      <c r="AQ127" s="35" t="s">
        <v>1853</v>
      </c>
      <c r="AR127" s="35" t="s">
        <v>1854</v>
      </c>
      <c r="AS127" s="35" t="s">
        <v>1855</v>
      </c>
      <c r="AT127" s="35" t="s">
        <v>1856</v>
      </c>
      <c r="AU127" s="35"/>
      <c r="AV127" s="35" t="s">
        <v>1857</v>
      </c>
      <c r="AW127" s="35" t="s">
        <v>718</v>
      </c>
      <c r="AX127" s="35" t="s">
        <v>555</v>
      </c>
      <c r="AY127" s="35" t="s">
        <v>271</v>
      </c>
      <c r="AZ127" s="35" t="s">
        <v>1858</v>
      </c>
      <c r="BA127" s="35"/>
      <c r="BB127" s="35" t="s">
        <v>272</v>
      </c>
      <c r="BC127" s="35" t="s">
        <v>273</v>
      </c>
      <c r="BD127" s="35" t="s">
        <v>274</v>
      </c>
      <c r="BE127" s="35" t="s">
        <v>271</v>
      </c>
      <c r="BF127" s="35">
        <v>7400</v>
      </c>
      <c r="BG127" s="35"/>
      <c r="BH127" s="35">
        <v>0</v>
      </c>
      <c r="BI127" s="35">
        <v>0</v>
      </c>
      <c r="BJ127" s="35"/>
      <c r="BK127" s="35" t="s">
        <v>585</v>
      </c>
      <c r="BL127" s="35" t="s">
        <v>1859</v>
      </c>
      <c r="BM127" s="35"/>
      <c r="BN127" s="35"/>
      <c r="BO127" s="35"/>
      <c r="BP127" s="35"/>
    </row>
    <row r="128" spans="1:68" x14ac:dyDescent="0.3">
      <c r="A128" s="35" t="s">
        <v>43</v>
      </c>
      <c r="B128" s="35" t="s">
        <v>44</v>
      </c>
      <c r="C128" s="35" t="s">
        <v>467</v>
      </c>
      <c r="D128" s="35" t="s">
        <v>424</v>
      </c>
      <c r="E128" s="35" t="s">
        <v>39</v>
      </c>
      <c r="F128" s="35" t="s">
        <v>40</v>
      </c>
      <c r="G128" s="35" t="s">
        <v>1689</v>
      </c>
      <c r="H128" s="35" t="s">
        <v>572</v>
      </c>
      <c r="I128" s="35"/>
      <c r="J128" s="35" t="s">
        <v>47</v>
      </c>
      <c r="K128" s="35" t="s">
        <v>43</v>
      </c>
      <c r="L128" s="35"/>
      <c r="M128" s="35">
        <v>6</v>
      </c>
      <c r="N128" s="35" t="s">
        <v>262</v>
      </c>
      <c r="O128" s="35" t="s">
        <v>263</v>
      </c>
      <c r="P128" s="35" t="s">
        <v>52</v>
      </c>
      <c r="Q128" s="35"/>
      <c r="R128" s="35" t="s">
        <v>124</v>
      </c>
      <c r="S128" s="35" t="s">
        <v>147</v>
      </c>
      <c r="T128" s="35">
        <v>0</v>
      </c>
      <c r="U128" s="35" t="s">
        <v>264</v>
      </c>
      <c r="V128" s="35">
        <v>0</v>
      </c>
      <c r="W128" s="35" t="s">
        <v>265</v>
      </c>
      <c r="X128" s="35">
        <v>65000</v>
      </c>
      <c r="Y128" s="35">
        <v>4.99</v>
      </c>
      <c r="Z128" s="38">
        <v>4940.0433333333331</v>
      </c>
      <c r="AA128" s="38">
        <v>4062.5</v>
      </c>
      <c r="AB128" s="35" t="s">
        <v>95</v>
      </c>
      <c r="AC128" s="38">
        <v>56875</v>
      </c>
      <c r="AD128" s="38">
        <v>56875</v>
      </c>
      <c r="AE128" s="38">
        <v>0</v>
      </c>
      <c r="AF128" s="38">
        <v>0.01</v>
      </c>
      <c r="AG128" s="38">
        <v>0</v>
      </c>
      <c r="AH128" s="38">
        <v>0</v>
      </c>
      <c r="AI128" s="38">
        <v>0.01</v>
      </c>
      <c r="AJ128" s="38">
        <v>4940.04</v>
      </c>
      <c r="AK128" s="35" t="s">
        <v>1843</v>
      </c>
      <c r="AL128" s="35" t="s">
        <v>1566</v>
      </c>
      <c r="AM128" s="35" t="s">
        <v>1700</v>
      </c>
      <c r="AN128" s="35" t="s">
        <v>2042</v>
      </c>
      <c r="AO128" s="35">
        <v>14</v>
      </c>
      <c r="AP128" s="35">
        <v>16</v>
      </c>
      <c r="AQ128" s="35" t="s">
        <v>842</v>
      </c>
      <c r="AR128" s="35" t="s">
        <v>842</v>
      </c>
      <c r="AS128" s="35" t="s">
        <v>842</v>
      </c>
      <c r="AT128" s="35" t="s">
        <v>1733</v>
      </c>
      <c r="AU128" s="35"/>
      <c r="AV128" s="35" t="s">
        <v>1734</v>
      </c>
      <c r="AW128" s="35" t="s">
        <v>1420</v>
      </c>
      <c r="AX128" s="35" t="s">
        <v>546</v>
      </c>
      <c r="AY128" s="35" t="s">
        <v>271</v>
      </c>
      <c r="AZ128" s="35" t="s">
        <v>1692</v>
      </c>
      <c r="BA128" s="35"/>
      <c r="BB128" s="35" t="s">
        <v>272</v>
      </c>
      <c r="BC128" s="35" t="s">
        <v>273</v>
      </c>
      <c r="BD128" s="35" t="s">
        <v>274</v>
      </c>
      <c r="BE128" s="35" t="s">
        <v>271</v>
      </c>
      <c r="BF128" s="35">
        <v>6500</v>
      </c>
      <c r="BG128" s="35"/>
      <c r="BH128" s="35">
        <v>0</v>
      </c>
      <c r="BI128" s="35">
        <v>0</v>
      </c>
      <c r="BJ128" s="35"/>
      <c r="BK128" s="35" t="s">
        <v>585</v>
      </c>
      <c r="BL128" s="35" t="s">
        <v>1735</v>
      </c>
      <c r="BM128" s="35"/>
      <c r="BN128" s="35"/>
      <c r="BO128" s="35"/>
      <c r="BP128" s="35"/>
    </row>
    <row r="129" spans="1:68" x14ac:dyDescent="0.3">
      <c r="A129" s="35" t="s">
        <v>43</v>
      </c>
      <c r="B129" s="35" t="s">
        <v>44</v>
      </c>
      <c r="C129" s="35" t="s">
        <v>41</v>
      </c>
      <c r="D129" s="35" t="s">
        <v>42</v>
      </c>
      <c r="E129" s="35" t="s">
        <v>148</v>
      </c>
      <c r="F129" s="35" t="s">
        <v>149</v>
      </c>
      <c r="G129" s="35" t="s">
        <v>1684</v>
      </c>
      <c r="H129" s="35" t="s">
        <v>1662</v>
      </c>
      <c r="I129" s="35"/>
      <c r="J129" s="35" t="s">
        <v>47</v>
      </c>
      <c r="K129" s="35" t="s">
        <v>47</v>
      </c>
      <c r="L129" s="35"/>
      <c r="M129" s="35">
        <v>5</v>
      </c>
      <c r="N129" s="35" t="s">
        <v>262</v>
      </c>
      <c r="O129" s="35" t="s">
        <v>263</v>
      </c>
      <c r="P129" s="35" t="s">
        <v>52</v>
      </c>
      <c r="Q129" s="35"/>
      <c r="R129" s="35" t="s">
        <v>124</v>
      </c>
      <c r="S129" s="35" t="s">
        <v>1178</v>
      </c>
      <c r="T129" s="35">
        <v>0</v>
      </c>
      <c r="U129" s="35" t="s">
        <v>264</v>
      </c>
      <c r="V129" s="35">
        <v>0</v>
      </c>
      <c r="W129" s="35" t="s">
        <v>265</v>
      </c>
      <c r="X129" s="35">
        <v>87000</v>
      </c>
      <c r="Y129" s="35">
        <v>4.99</v>
      </c>
      <c r="Z129" s="38">
        <v>6612.058</v>
      </c>
      <c r="AA129" s="38">
        <v>5437.5</v>
      </c>
      <c r="AB129" s="35" t="s">
        <v>95</v>
      </c>
      <c r="AC129" s="38">
        <v>76125</v>
      </c>
      <c r="AD129" s="38">
        <v>76125</v>
      </c>
      <c r="AE129" s="38">
        <v>0</v>
      </c>
      <c r="AF129" s="38">
        <v>0</v>
      </c>
      <c r="AG129" s="38">
        <v>0</v>
      </c>
      <c r="AH129" s="38">
        <v>0</v>
      </c>
      <c r="AI129" s="38">
        <v>0</v>
      </c>
      <c r="AJ129" s="38">
        <v>6613</v>
      </c>
      <c r="AK129" s="35" t="s">
        <v>1843</v>
      </c>
      <c r="AL129" s="35" t="s">
        <v>1566</v>
      </c>
      <c r="AM129" s="35" t="s">
        <v>1700</v>
      </c>
      <c r="AN129" s="35" t="s">
        <v>2042</v>
      </c>
      <c r="AO129" s="35">
        <v>14</v>
      </c>
      <c r="AP129" s="35">
        <v>16</v>
      </c>
      <c r="AQ129" s="35" t="s">
        <v>1727</v>
      </c>
      <c r="AR129" s="35" t="s">
        <v>1728</v>
      </c>
      <c r="AS129" s="35" t="s">
        <v>1727</v>
      </c>
      <c r="AT129" s="35" t="s">
        <v>1729</v>
      </c>
      <c r="AU129" s="35"/>
      <c r="AV129" s="35" t="s">
        <v>1730</v>
      </c>
      <c r="AW129" s="35" t="s">
        <v>1731</v>
      </c>
      <c r="AX129" s="35" t="s">
        <v>322</v>
      </c>
      <c r="AY129" s="35" t="s">
        <v>271</v>
      </c>
      <c r="AZ129" s="35"/>
      <c r="BA129" s="35"/>
      <c r="BB129" s="35" t="s">
        <v>272</v>
      </c>
      <c r="BC129" s="35" t="s">
        <v>273</v>
      </c>
      <c r="BD129" s="35" t="s">
        <v>274</v>
      </c>
      <c r="BE129" s="35" t="s">
        <v>271</v>
      </c>
      <c r="BF129" s="35">
        <v>8700</v>
      </c>
      <c r="BG129" s="35"/>
      <c r="BH129" s="35">
        <v>0</v>
      </c>
      <c r="BI129" s="35">
        <v>0</v>
      </c>
      <c r="BJ129" s="35"/>
      <c r="BK129" s="35" t="s">
        <v>585</v>
      </c>
      <c r="BL129" s="35" t="s">
        <v>1732</v>
      </c>
      <c r="BM129" s="35"/>
      <c r="BN129" s="35"/>
      <c r="BO129" s="35"/>
      <c r="BP129" s="35"/>
    </row>
    <row r="130" spans="1:68" x14ac:dyDescent="0.3">
      <c r="A130" s="35" t="s">
        <v>43</v>
      </c>
      <c r="B130" s="35" t="s">
        <v>44</v>
      </c>
      <c r="C130" s="35" t="s">
        <v>41</v>
      </c>
      <c r="D130" s="35" t="s">
        <v>42</v>
      </c>
      <c r="E130" s="35" t="s">
        <v>663</v>
      </c>
      <c r="F130" s="35" t="s">
        <v>664</v>
      </c>
      <c r="G130" s="35" t="s">
        <v>1796</v>
      </c>
      <c r="H130" s="35" t="s">
        <v>572</v>
      </c>
      <c r="I130" s="35"/>
      <c r="J130" s="35" t="s">
        <v>47</v>
      </c>
      <c r="K130" s="35" t="s">
        <v>47</v>
      </c>
      <c r="L130" s="35"/>
      <c r="M130" s="35">
        <v>5</v>
      </c>
      <c r="N130" s="35" t="s">
        <v>262</v>
      </c>
      <c r="O130" s="35" t="s">
        <v>263</v>
      </c>
      <c r="P130" s="35" t="s">
        <v>52</v>
      </c>
      <c r="Q130" s="35"/>
      <c r="R130" s="35" t="s">
        <v>168</v>
      </c>
      <c r="S130" s="35" t="s">
        <v>127</v>
      </c>
      <c r="T130" s="35">
        <v>0</v>
      </c>
      <c r="U130" s="35" t="s">
        <v>264</v>
      </c>
      <c r="V130" s="35">
        <v>0</v>
      </c>
      <c r="W130" s="35" t="s">
        <v>265</v>
      </c>
      <c r="X130" s="35">
        <v>42000</v>
      </c>
      <c r="Y130" s="35">
        <v>4.99</v>
      </c>
      <c r="Z130" s="38">
        <v>3192.0280000000002</v>
      </c>
      <c r="AA130" s="38">
        <v>2625</v>
      </c>
      <c r="AB130" s="35" t="s">
        <v>95</v>
      </c>
      <c r="AC130" s="38">
        <v>36750.050000000003</v>
      </c>
      <c r="AD130" s="38">
        <v>36750</v>
      </c>
      <c r="AE130" s="38">
        <v>0.05</v>
      </c>
      <c r="AF130" s="38">
        <v>0.01</v>
      </c>
      <c r="AG130" s="38">
        <v>0</v>
      </c>
      <c r="AH130" s="38">
        <v>0</v>
      </c>
      <c r="AI130" s="38">
        <v>0.06</v>
      </c>
      <c r="AJ130" s="38">
        <v>3192</v>
      </c>
      <c r="AK130" s="35" t="s">
        <v>1899</v>
      </c>
      <c r="AL130" s="35" t="s">
        <v>1603</v>
      </c>
      <c r="AM130" s="35" t="s">
        <v>1775</v>
      </c>
      <c r="AN130" s="35" t="s">
        <v>2164</v>
      </c>
      <c r="AO130" s="35">
        <v>14</v>
      </c>
      <c r="AP130" s="35">
        <v>16</v>
      </c>
      <c r="AQ130" s="35" t="s">
        <v>1797</v>
      </c>
      <c r="AR130" s="35" t="s">
        <v>1798</v>
      </c>
      <c r="AS130" s="35" t="s">
        <v>1799</v>
      </c>
      <c r="AT130" s="35" t="s">
        <v>1800</v>
      </c>
      <c r="AU130" s="35"/>
      <c r="AV130" s="35" t="s">
        <v>785</v>
      </c>
      <c r="AW130" s="35" t="s">
        <v>786</v>
      </c>
      <c r="AX130" s="35" t="s">
        <v>555</v>
      </c>
      <c r="AY130" s="35" t="s">
        <v>271</v>
      </c>
      <c r="AZ130" s="35"/>
      <c r="BA130" s="35"/>
      <c r="BB130" s="35" t="s">
        <v>272</v>
      </c>
      <c r="BC130" s="35" t="s">
        <v>273</v>
      </c>
      <c r="BD130" s="35" t="s">
        <v>274</v>
      </c>
      <c r="BE130" s="35" t="s">
        <v>271</v>
      </c>
      <c r="BF130" s="35">
        <v>4200</v>
      </c>
      <c r="BG130" s="35"/>
      <c r="BH130" s="35">
        <v>0</v>
      </c>
      <c r="BI130" s="35">
        <v>0</v>
      </c>
      <c r="BJ130" s="35"/>
      <c r="BK130" s="35" t="s">
        <v>585</v>
      </c>
      <c r="BL130" s="35" t="s">
        <v>1801</v>
      </c>
      <c r="BM130" s="35"/>
      <c r="BN130" s="35"/>
      <c r="BO130" s="35"/>
      <c r="BP130" s="35"/>
    </row>
    <row r="131" spans="1:68" x14ac:dyDescent="0.3">
      <c r="A131" s="35" t="s">
        <v>43</v>
      </c>
      <c r="B131" s="35" t="s">
        <v>44</v>
      </c>
      <c r="C131" s="35" t="s">
        <v>41</v>
      </c>
      <c r="D131" s="35" t="s">
        <v>42</v>
      </c>
      <c r="E131" s="35" t="s">
        <v>148</v>
      </c>
      <c r="F131" s="35" t="s">
        <v>149</v>
      </c>
      <c r="G131" s="35" t="s">
        <v>1820</v>
      </c>
      <c r="H131" s="35" t="s">
        <v>1821</v>
      </c>
      <c r="I131" s="35"/>
      <c r="J131" s="35" t="s">
        <v>47</v>
      </c>
      <c r="K131" s="35" t="s">
        <v>47</v>
      </c>
      <c r="L131" s="35"/>
      <c r="M131" s="35">
        <v>5</v>
      </c>
      <c r="N131" s="35" t="s">
        <v>262</v>
      </c>
      <c r="O131" s="35" t="s">
        <v>263</v>
      </c>
      <c r="P131" s="35" t="s">
        <v>52</v>
      </c>
      <c r="Q131" s="35"/>
      <c r="R131" s="35" t="s">
        <v>168</v>
      </c>
      <c r="S131" s="35" t="s">
        <v>185</v>
      </c>
      <c r="T131" s="35">
        <v>0</v>
      </c>
      <c r="U131" s="35" t="s">
        <v>264</v>
      </c>
      <c r="V131" s="35">
        <v>0</v>
      </c>
      <c r="W131" s="35" t="s">
        <v>265</v>
      </c>
      <c r="X131" s="35">
        <v>46000</v>
      </c>
      <c r="Y131" s="35">
        <v>4.99</v>
      </c>
      <c r="Z131" s="38">
        <v>3496.0306666666661</v>
      </c>
      <c r="AA131" s="38">
        <v>2875</v>
      </c>
      <c r="AB131" s="35" t="s">
        <v>95</v>
      </c>
      <c r="AC131" s="38">
        <v>40250</v>
      </c>
      <c r="AD131" s="38">
        <v>40250</v>
      </c>
      <c r="AE131" s="38">
        <v>0</v>
      </c>
      <c r="AF131" s="38">
        <v>0</v>
      </c>
      <c r="AG131" s="38">
        <v>0</v>
      </c>
      <c r="AH131" s="38">
        <v>0</v>
      </c>
      <c r="AI131" s="38">
        <v>0</v>
      </c>
      <c r="AJ131" s="38">
        <v>3497</v>
      </c>
      <c r="AK131" s="35" t="s">
        <v>1899</v>
      </c>
      <c r="AL131" s="35" t="s">
        <v>1603</v>
      </c>
      <c r="AM131" s="35" t="s">
        <v>1775</v>
      </c>
      <c r="AN131" s="35" t="s">
        <v>2164</v>
      </c>
      <c r="AO131" s="35">
        <v>14</v>
      </c>
      <c r="AP131" s="35">
        <v>16</v>
      </c>
      <c r="AQ131" s="35" t="s">
        <v>1830</v>
      </c>
      <c r="AR131" s="35" t="s">
        <v>1364</v>
      </c>
      <c r="AS131" s="35" t="s">
        <v>1831</v>
      </c>
      <c r="AT131" s="35" t="s">
        <v>1832</v>
      </c>
      <c r="AU131" s="35"/>
      <c r="AV131" s="35" t="s">
        <v>1833</v>
      </c>
      <c r="AW131" s="35" t="s">
        <v>447</v>
      </c>
      <c r="AX131" s="35" t="s">
        <v>274</v>
      </c>
      <c r="AY131" s="35" t="s">
        <v>271</v>
      </c>
      <c r="AZ131" s="35"/>
      <c r="BA131" s="35"/>
      <c r="BB131" s="35" t="s">
        <v>272</v>
      </c>
      <c r="BC131" s="35" t="s">
        <v>273</v>
      </c>
      <c r="BD131" s="35" t="s">
        <v>274</v>
      </c>
      <c r="BE131" s="35" t="s">
        <v>271</v>
      </c>
      <c r="BF131" s="35">
        <v>4600</v>
      </c>
      <c r="BG131" s="35"/>
      <c r="BH131" s="35">
        <v>0</v>
      </c>
      <c r="BI131" s="35">
        <v>0</v>
      </c>
      <c r="BJ131" s="35"/>
      <c r="BK131" s="35" t="s">
        <v>585</v>
      </c>
      <c r="BL131" s="35" t="s">
        <v>1834</v>
      </c>
      <c r="BM131" s="35"/>
      <c r="BN131" s="35"/>
      <c r="BO131" s="35"/>
      <c r="BP131" s="35"/>
    </row>
    <row r="132" spans="1:68" x14ac:dyDescent="0.3">
      <c r="A132" s="35" t="s">
        <v>49</v>
      </c>
      <c r="B132" s="35" t="s">
        <v>450</v>
      </c>
      <c r="C132" s="35" t="s">
        <v>451</v>
      </c>
      <c r="D132" s="35" t="s">
        <v>388</v>
      </c>
      <c r="E132" s="35" t="s">
        <v>170</v>
      </c>
      <c r="F132" s="35" t="s">
        <v>171</v>
      </c>
      <c r="G132" s="35" t="s">
        <v>678</v>
      </c>
      <c r="H132" s="35" t="s">
        <v>395</v>
      </c>
      <c r="I132" s="35"/>
      <c r="J132" s="35" t="s">
        <v>47</v>
      </c>
      <c r="K132" s="35" t="s">
        <v>43</v>
      </c>
      <c r="L132" s="35"/>
      <c r="M132" s="35">
        <v>7</v>
      </c>
      <c r="N132" s="35" t="s">
        <v>262</v>
      </c>
      <c r="O132" s="35" t="s">
        <v>263</v>
      </c>
      <c r="P132" s="35" t="s">
        <v>52</v>
      </c>
      <c r="Q132" s="35"/>
      <c r="R132" s="35" t="s">
        <v>168</v>
      </c>
      <c r="S132" s="35" t="s">
        <v>160</v>
      </c>
      <c r="T132" s="35">
        <v>0</v>
      </c>
      <c r="U132" s="35" t="s">
        <v>264</v>
      </c>
      <c r="V132" s="35">
        <v>1</v>
      </c>
      <c r="W132" s="35" t="s">
        <v>265</v>
      </c>
      <c r="X132" s="35">
        <v>76000</v>
      </c>
      <c r="Y132" s="35">
        <v>4.99</v>
      </c>
      <c r="Z132" s="38">
        <v>5776.0506666666661</v>
      </c>
      <c r="AA132" s="38">
        <v>4750</v>
      </c>
      <c r="AB132" s="35" t="s">
        <v>95</v>
      </c>
      <c r="AC132" s="38">
        <v>38000</v>
      </c>
      <c r="AD132" s="38">
        <v>33250</v>
      </c>
      <c r="AE132" s="38">
        <v>4750</v>
      </c>
      <c r="AF132" s="38">
        <v>970.46</v>
      </c>
      <c r="AG132" s="38">
        <v>0</v>
      </c>
      <c r="AH132" s="38">
        <v>0</v>
      </c>
      <c r="AI132" s="38">
        <v>5720.46</v>
      </c>
      <c r="AJ132" s="38">
        <v>5783</v>
      </c>
      <c r="AK132" s="35" t="s">
        <v>1737</v>
      </c>
      <c r="AL132" s="35" t="s">
        <v>494</v>
      </c>
      <c r="AM132" s="35" t="s">
        <v>744</v>
      </c>
      <c r="AN132" s="35" t="s">
        <v>2164</v>
      </c>
      <c r="AO132" s="35">
        <v>7</v>
      </c>
      <c r="AP132" s="35">
        <v>16</v>
      </c>
      <c r="AQ132" s="35" t="s">
        <v>788</v>
      </c>
      <c r="AR132" s="35" t="s">
        <v>789</v>
      </c>
      <c r="AS132" s="35" t="s">
        <v>790</v>
      </c>
      <c r="AT132" s="35" t="s">
        <v>791</v>
      </c>
      <c r="AU132" s="35"/>
      <c r="AV132" s="35" t="s">
        <v>792</v>
      </c>
      <c r="AW132" s="35" t="s">
        <v>793</v>
      </c>
      <c r="AX132" s="35" t="s">
        <v>794</v>
      </c>
      <c r="AY132" s="35" t="s">
        <v>338</v>
      </c>
      <c r="AZ132" s="35" t="s">
        <v>679</v>
      </c>
      <c r="BA132" s="35"/>
      <c r="BB132" s="35" t="s">
        <v>272</v>
      </c>
      <c r="BC132" s="35" t="s">
        <v>273</v>
      </c>
      <c r="BD132" s="35" t="s">
        <v>274</v>
      </c>
      <c r="BE132" s="35" t="s">
        <v>271</v>
      </c>
      <c r="BF132" s="35">
        <v>7600</v>
      </c>
      <c r="BG132" s="35"/>
      <c r="BH132" s="35">
        <v>1</v>
      </c>
      <c r="BI132" s="35">
        <v>1</v>
      </c>
      <c r="BJ132" s="35"/>
      <c r="BK132" s="35" t="s">
        <v>585</v>
      </c>
      <c r="BL132" s="35" t="s">
        <v>795</v>
      </c>
      <c r="BM132" s="35"/>
      <c r="BN132" s="35"/>
      <c r="BO132" s="35"/>
      <c r="BP132" s="35"/>
    </row>
    <row r="133" spans="1:68" x14ac:dyDescent="0.3">
      <c r="A133" s="35" t="s">
        <v>43</v>
      </c>
      <c r="B133" s="35" t="s">
        <v>44</v>
      </c>
      <c r="C133" s="35" t="s">
        <v>41</v>
      </c>
      <c r="D133" s="35" t="s">
        <v>42</v>
      </c>
      <c r="E133" s="35" t="s">
        <v>663</v>
      </c>
      <c r="F133" s="35" t="s">
        <v>664</v>
      </c>
      <c r="G133" s="35" t="s">
        <v>1311</v>
      </c>
      <c r="H133" s="35" t="s">
        <v>1207</v>
      </c>
      <c r="I133" s="35"/>
      <c r="J133" s="35" t="s">
        <v>47</v>
      </c>
      <c r="K133" s="35" t="s">
        <v>47</v>
      </c>
      <c r="L133" s="35"/>
      <c r="M133" s="35">
        <v>6</v>
      </c>
      <c r="N133" s="35" t="s">
        <v>262</v>
      </c>
      <c r="O133" s="35" t="s">
        <v>263</v>
      </c>
      <c r="P133" s="35" t="s">
        <v>52</v>
      </c>
      <c r="Q133" s="35"/>
      <c r="R133" s="35" t="s">
        <v>197</v>
      </c>
      <c r="S133" s="35" t="s">
        <v>160</v>
      </c>
      <c r="T133" s="35">
        <v>0</v>
      </c>
      <c r="U133" s="35" t="s">
        <v>264</v>
      </c>
      <c r="V133" s="35">
        <v>0</v>
      </c>
      <c r="W133" s="35" t="s">
        <v>265</v>
      </c>
      <c r="X133" s="35">
        <v>66000</v>
      </c>
      <c r="Y133" s="35">
        <v>4.99</v>
      </c>
      <c r="Z133" s="38">
        <v>5016.0439999999999</v>
      </c>
      <c r="AA133" s="38">
        <v>4125</v>
      </c>
      <c r="AB133" s="35" t="s">
        <v>95</v>
      </c>
      <c r="AC133" s="38">
        <v>45375.21</v>
      </c>
      <c r="AD133" s="38">
        <v>45375</v>
      </c>
      <c r="AE133" s="38">
        <v>0.21</v>
      </c>
      <c r="AF133" s="38">
        <v>0.01</v>
      </c>
      <c r="AG133" s="38">
        <v>0</v>
      </c>
      <c r="AH133" s="38">
        <v>0</v>
      </c>
      <c r="AI133" s="38">
        <v>0.22</v>
      </c>
      <c r="AJ133" s="38">
        <v>5016</v>
      </c>
      <c r="AK133" s="35" t="s">
        <v>1884</v>
      </c>
      <c r="AL133" s="35" t="s">
        <v>1132</v>
      </c>
      <c r="AM133" s="35" t="s">
        <v>1282</v>
      </c>
      <c r="AN133" s="35" t="s">
        <v>2014</v>
      </c>
      <c r="AO133" s="35">
        <v>11</v>
      </c>
      <c r="AP133" s="35">
        <v>16</v>
      </c>
      <c r="AQ133" s="35" t="s">
        <v>1348</v>
      </c>
      <c r="AR133" s="35" t="s">
        <v>1349</v>
      </c>
      <c r="AS133" s="35" t="s">
        <v>1350</v>
      </c>
      <c r="AT133" s="35" t="s">
        <v>1351</v>
      </c>
      <c r="AU133" s="35"/>
      <c r="AV133" s="35" t="s">
        <v>272</v>
      </c>
      <c r="AW133" s="35" t="s">
        <v>273</v>
      </c>
      <c r="AX133" s="35" t="s">
        <v>274</v>
      </c>
      <c r="AY133" s="35" t="s">
        <v>271</v>
      </c>
      <c r="AZ133" s="35"/>
      <c r="BA133" s="35"/>
      <c r="BB133" s="35" t="s">
        <v>272</v>
      </c>
      <c r="BC133" s="35" t="s">
        <v>273</v>
      </c>
      <c r="BD133" s="35" t="s">
        <v>274</v>
      </c>
      <c r="BE133" s="35" t="s">
        <v>271</v>
      </c>
      <c r="BF133" s="35">
        <v>6600</v>
      </c>
      <c r="BG133" s="35"/>
      <c r="BH133" s="35">
        <v>0</v>
      </c>
      <c r="BI133" s="35">
        <v>0</v>
      </c>
      <c r="BJ133" s="35"/>
      <c r="BK133" s="35" t="s">
        <v>585</v>
      </c>
      <c r="BL133" s="35" t="s">
        <v>1352</v>
      </c>
      <c r="BM133" s="35"/>
      <c r="BN133" s="35"/>
      <c r="BO133" s="35"/>
      <c r="BP133" s="35"/>
    </row>
    <row r="134" spans="1:68" x14ac:dyDescent="0.3">
      <c r="A134" s="35" t="s">
        <v>43</v>
      </c>
      <c r="B134" s="35" t="s">
        <v>44</v>
      </c>
      <c r="C134" s="35" t="s">
        <v>41</v>
      </c>
      <c r="D134" s="35" t="s">
        <v>42</v>
      </c>
      <c r="E134" s="35" t="s">
        <v>148</v>
      </c>
      <c r="F134" s="35" t="s">
        <v>149</v>
      </c>
      <c r="G134" s="35" t="s">
        <v>1423</v>
      </c>
      <c r="H134" s="35" t="s">
        <v>103</v>
      </c>
      <c r="I134" s="35"/>
      <c r="J134" s="35" t="s">
        <v>47</v>
      </c>
      <c r="K134" s="35" t="s">
        <v>47</v>
      </c>
      <c r="L134" s="35"/>
      <c r="M134" s="35">
        <v>5</v>
      </c>
      <c r="N134" s="35" t="s">
        <v>262</v>
      </c>
      <c r="O134" s="35" t="s">
        <v>263</v>
      </c>
      <c r="P134" s="35" t="s">
        <v>52</v>
      </c>
      <c r="Q134" s="35"/>
      <c r="R134" s="35" t="s">
        <v>146</v>
      </c>
      <c r="S134" s="35" t="s">
        <v>185</v>
      </c>
      <c r="T134" s="35">
        <v>0</v>
      </c>
      <c r="U134" s="35" t="s">
        <v>264</v>
      </c>
      <c r="V134" s="35">
        <v>0</v>
      </c>
      <c r="W134" s="35" t="s">
        <v>265</v>
      </c>
      <c r="X134" s="35">
        <v>57000</v>
      </c>
      <c r="Y134" s="35">
        <v>4.99</v>
      </c>
      <c r="Z134" s="38">
        <v>4332.0380000000005</v>
      </c>
      <c r="AA134" s="38">
        <v>3562.5</v>
      </c>
      <c r="AB134" s="35" t="s">
        <v>95</v>
      </c>
      <c r="AC134" s="38">
        <v>42750</v>
      </c>
      <c r="AD134" s="38">
        <v>42750</v>
      </c>
      <c r="AE134" s="38">
        <v>0</v>
      </c>
      <c r="AF134" s="38">
        <v>0</v>
      </c>
      <c r="AG134" s="38">
        <v>0</v>
      </c>
      <c r="AH134" s="38">
        <v>0</v>
      </c>
      <c r="AI134" s="38">
        <v>0</v>
      </c>
      <c r="AJ134" s="38">
        <v>4333</v>
      </c>
      <c r="AK134" s="35" t="s">
        <v>1823</v>
      </c>
      <c r="AL134" s="35" t="s">
        <v>1180</v>
      </c>
      <c r="AM134" s="35" t="s">
        <v>1387</v>
      </c>
      <c r="AN134" s="35" t="s">
        <v>2004</v>
      </c>
      <c r="AO134" s="35">
        <v>12</v>
      </c>
      <c r="AP134" s="35">
        <v>16</v>
      </c>
      <c r="AQ134" s="35" t="s">
        <v>1424</v>
      </c>
      <c r="AR134" s="35" t="s">
        <v>1425</v>
      </c>
      <c r="AS134" s="35" t="s">
        <v>1426</v>
      </c>
      <c r="AT134" s="35" t="s">
        <v>1427</v>
      </c>
      <c r="AU134" s="35"/>
      <c r="AV134" s="35" t="s">
        <v>1057</v>
      </c>
      <c r="AW134" s="35" t="s">
        <v>1058</v>
      </c>
      <c r="AX134" s="35" t="s">
        <v>555</v>
      </c>
      <c r="AY134" s="35" t="s">
        <v>271</v>
      </c>
      <c r="AZ134" s="35"/>
      <c r="BA134" s="35"/>
      <c r="BB134" s="35" t="s">
        <v>272</v>
      </c>
      <c r="BC134" s="35" t="s">
        <v>273</v>
      </c>
      <c r="BD134" s="35" t="s">
        <v>274</v>
      </c>
      <c r="BE134" s="35" t="s">
        <v>271</v>
      </c>
      <c r="BF134" s="35">
        <v>5700</v>
      </c>
      <c r="BG134" s="35"/>
      <c r="BH134" s="35">
        <v>0</v>
      </c>
      <c r="BI134" s="35">
        <v>0</v>
      </c>
      <c r="BJ134" s="35"/>
      <c r="BK134" s="35" t="s">
        <v>585</v>
      </c>
      <c r="BL134" s="35" t="s">
        <v>1428</v>
      </c>
      <c r="BM134" s="35"/>
      <c r="BN134" s="35"/>
      <c r="BO134" s="35"/>
      <c r="BP134" s="35"/>
    </row>
    <row r="135" spans="1:68" x14ac:dyDescent="0.3">
      <c r="A135" s="35" t="s">
        <v>43</v>
      </c>
      <c r="B135" s="35" t="s">
        <v>44</v>
      </c>
      <c r="C135" s="35" t="s">
        <v>467</v>
      </c>
      <c r="D135" s="35" t="s">
        <v>424</v>
      </c>
      <c r="E135" s="35" t="s">
        <v>189</v>
      </c>
      <c r="F135" s="35" t="s">
        <v>191</v>
      </c>
      <c r="G135" s="35" t="s">
        <v>1911</v>
      </c>
      <c r="H135" s="35" t="s">
        <v>1912</v>
      </c>
      <c r="I135" s="35"/>
      <c r="J135" s="35" t="s">
        <v>47</v>
      </c>
      <c r="K135" s="35" t="s">
        <v>43</v>
      </c>
      <c r="L135" s="35"/>
      <c r="M135" s="35">
        <v>5</v>
      </c>
      <c r="N135" s="35" t="s">
        <v>262</v>
      </c>
      <c r="O135" s="35" t="s">
        <v>263</v>
      </c>
      <c r="P135" s="35" t="s">
        <v>52</v>
      </c>
      <c r="Q135" s="35"/>
      <c r="R135" s="35" t="s">
        <v>168</v>
      </c>
      <c r="S135" s="35" t="s">
        <v>198</v>
      </c>
      <c r="T135" s="35">
        <v>0</v>
      </c>
      <c r="U135" s="35" t="s">
        <v>264</v>
      </c>
      <c r="V135" s="35">
        <v>0</v>
      </c>
      <c r="W135" s="35" t="s">
        <v>265</v>
      </c>
      <c r="X135" s="35">
        <v>32000</v>
      </c>
      <c r="Y135" s="35">
        <v>4.99</v>
      </c>
      <c r="Z135" s="38">
        <v>2432.0213333333331</v>
      </c>
      <c r="AA135" s="38">
        <v>2000</v>
      </c>
      <c r="AB135" s="35" t="s">
        <v>95</v>
      </c>
      <c r="AC135" s="38">
        <v>30000</v>
      </c>
      <c r="AD135" s="38">
        <v>30000</v>
      </c>
      <c r="AE135" s="38">
        <v>0</v>
      </c>
      <c r="AF135" s="38">
        <v>0</v>
      </c>
      <c r="AG135" s="38">
        <v>0</v>
      </c>
      <c r="AH135" s="38">
        <v>0</v>
      </c>
      <c r="AI135" s="38">
        <v>0</v>
      </c>
      <c r="AJ135" s="38">
        <v>2432.02</v>
      </c>
      <c r="AK135" s="35" t="s">
        <v>1898</v>
      </c>
      <c r="AL135" s="35" t="s">
        <v>1925</v>
      </c>
      <c r="AM135" s="35" t="s">
        <v>1926</v>
      </c>
      <c r="AN135" s="35" t="s">
        <v>2164</v>
      </c>
      <c r="AO135" s="35">
        <v>15</v>
      </c>
      <c r="AP135" s="35">
        <v>16</v>
      </c>
      <c r="AQ135" s="35" t="s">
        <v>1149</v>
      </c>
      <c r="AR135" s="35" t="s">
        <v>1149</v>
      </c>
      <c r="AS135" s="35" t="s">
        <v>1149</v>
      </c>
      <c r="AT135" s="35" t="s">
        <v>1949</v>
      </c>
      <c r="AU135" s="35"/>
      <c r="AV135" s="35" t="s">
        <v>1419</v>
      </c>
      <c r="AW135" s="35" t="s">
        <v>1420</v>
      </c>
      <c r="AX135" s="35" t="s">
        <v>546</v>
      </c>
      <c r="AY135" s="35" t="s">
        <v>271</v>
      </c>
      <c r="AZ135" s="35" t="s">
        <v>1920</v>
      </c>
      <c r="BA135" s="35"/>
      <c r="BB135" s="35" t="s">
        <v>272</v>
      </c>
      <c r="BC135" s="35" t="s">
        <v>273</v>
      </c>
      <c r="BD135" s="35" t="s">
        <v>274</v>
      </c>
      <c r="BE135" s="35" t="s">
        <v>271</v>
      </c>
      <c r="BF135" s="35">
        <v>3200</v>
      </c>
      <c r="BG135" s="35"/>
      <c r="BH135" s="35">
        <v>0</v>
      </c>
      <c r="BI135" s="35">
        <v>0</v>
      </c>
      <c r="BJ135" s="35"/>
      <c r="BK135" s="35" t="s">
        <v>585</v>
      </c>
      <c r="BL135" s="35" t="s">
        <v>1950</v>
      </c>
      <c r="BM135" s="35"/>
      <c r="BN135" s="35"/>
      <c r="BO135" s="35"/>
      <c r="BP135" s="35"/>
    </row>
    <row r="136" spans="1:68" x14ac:dyDescent="0.3">
      <c r="A136" s="35" t="s">
        <v>43</v>
      </c>
      <c r="B136" s="35" t="s">
        <v>44</v>
      </c>
      <c r="C136" s="35" t="s">
        <v>460</v>
      </c>
      <c r="D136" s="35" t="s">
        <v>396</v>
      </c>
      <c r="E136" s="35" t="s">
        <v>154</v>
      </c>
      <c r="F136" s="35" t="s">
        <v>155</v>
      </c>
      <c r="G136" s="35" t="s">
        <v>1922</v>
      </c>
      <c r="H136" s="35" t="s">
        <v>1923</v>
      </c>
      <c r="I136" s="35"/>
      <c r="J136" s="35" t="s">
        <v>47</v>
      </c>
      <c r="K136" s="35" t="s">
        <v>43</v>
      </c>
      <c r="L136" s="35"/>
      <c r="M136" s="35">
        <v>7</v>
      </c>
      <c r="N136" s="35" t="s">
        <v>262</v>
      </c>
      <c r="O136" s="35" t="s">
        <v>263</v>
      </c>
      <c r="P136" s="35" t="s">
        <v>52</v>
      </c>
      <c r="Q136" s="35"/>
      <c r="R136" s="35" t="s">
        <v>168</v>
      </c>
      <c r="S136" s="35" t="s">
        <v>147</v>
      </c>
      <c r="T136" s="35">
        <v>0</v>
      </c>
      <c r="U136" s="35" t="s">
        <v>264</v>
      </c>
      <c r="V136" s="35">
        <v>0</v>
      </c>
      <c r="W136" s="35" t="s">
        <v>265</v>
      </c>
      <c r="X136" s="35">
        <v>173000</v>
      </c>
      <c r="Y136" s="35">
        <v>4.99</v>
      </c>
      <c r="Z136" s="38">
        <v>13148.1153333333</v>
      </c>
      <c r="AA136" s="38">
        <v>10812.5</v>
      </c>
      <c r="AB136" s="35" t="s">
        <v>95</v>
      </c>
      <c r="AC136" s="38">
        <v>162187.5</v>
      </c>
      <c r="AD136" s="38">
        <v>162187.5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13150</v>
      </c>
      <c r="AK136" s="35" t="s">
        <v>1899</v>
      </c>
      <c r="AL136" s="35" t="s">
        <v>1925</v>
      </c>
      <c r="AM136" s="35" t="s">
        <v>1926</v>
      </c>
      <c r="AN136" s="35" t="s">
        <v>2164</v>
      </c>
      <c r="AO136" s="35">
        <v>15</v>
      </c>
      <c r="AP136" s="35">
        <v>16</v>
      </c>
      <c r="AQ136" s="35" t="s">
        <v>1944</v>
      </c>
      <c r="AR136" s="35" t="s">
        <v>1945</v>
      </c>
      <c r="AS136" s="35" t="s">
        <v>1946</v>
      </c>
      <c r="AT136" s="35" t="s">
        <v>1947</v>
      </c>
      <c r="AU136" s="35"/>
      <c r="AV136" s="35" t="s">
        <v>1905</v>
      </c>
      <c r="AW136" s="35" t="s">
        <v>321</v>
      </c>
      <c r="AX136" s="35" t="s">
        <v>322</v>
      </c>
      <c r="AY136" s="35" t="s">
        <v>271</v>
      </c>
      <c r="AZ136" s="35" t="s">
        <v>1924</v>
      </c>
      <c r="BA136" s="35"/>
      <c r="BB136" s="35" t="s">
        <v>272</v>
      </c>
      <c r="BC136" s="35" t="s">
        <v>273</v>
      </c>
      <c r="BD136" s="35" t="s">
        <v>274</v>
      </c>
      <c r="BE136" s="35" t="s">
        <v>271</v>
      </c>
      <c r="BF136" s="35">
        <v>17300</v>
      </c>
      <c r="BG136" s="35"/>
      <c r="BH136" s="35">
        <v>0</v>
      </c>
      <c r="BI136" s="35">
        <v>0</v>
      </c>
      <c r="BJ136" s="35"/>
      <c r="BK136" s="35" t="s">
        <v>585</v>
      </c>
      <c r="BL136" s="35" t="s">
        <v>1948</v>
      </c>
      <c r="BM136" s="35"/>
      <c r="BN136" s="35"/>
      <c r="BO136" s="35"/>
      <c r="BP136" s="35"/>
    </row>
    <row r="137" spans="1:68" x14ac:dyDescent="0.3">
      <c r="A137" s="35" t="s">
        <v>43</v>
      </c>
      <c r="B137" s="35" t="s">
        <v>44</v>
      </c>
      <c r="C137" s="35" t="s">
        <v>41</v>
      </c>
      <c r="D137" s="35" t="s">
        <v>42</v>
      </c>
      <c r="E137" s="35" t="s">
        <v>663</v>
      </c>
      <c r="F137" s="35" t="s">
        <v>664</v>
      </c>
      <c r="G137" s="35" t="s">
        <v>688</v>
      </c>
      <c r="H137" s="35" t="s">
        <v>689</v>
      </c>
      <c r="I137" s="35"/>
      <c r="J137" s="35" t="s">
        <v>47</v>
      </c>
      <c r="K137" s="35" t="s">
        <v>47</v>
      </c>
      <c r="L137" s="35"/>
      <c r="M137" s="35">
        <v>5</v>
      </c>
      <c r="N137" s="35" t="s">
        <v>262</v>
      </c>
      <c r="O137" s="35" t="s">
        <v>263</v>
      </c>
      <c r="P137" s="35" t="s">
        <v>52</v>
      </c>
      <c r="Q137" s="35"/>
      <c r="R137" s="35" t="s">
        <v>168</v>
      </c>
      <c r="S137" s="35" t="s">
        <v>125</v>
      </c>
      <c r="T137" s="35">
        <v>0</v>
      </c>
      <c r="U137" s="35" t="s">
        <v>264</v>
      </c>
      <c r="V137" s="35">
        <v>0</v>
      </c>
      <c r="W137" s="35" t="s">
        <v>265</v>
      </c>
      <c r="X137" s="35">
        <v>40000</v>
      </c>
      <c r="Y137" s="35">
        <v>4.99</v>
      </c>
      <c r="Z137" s="38">
        <v>3040.0266666666662</v>
      </c>
      <c r="AA137" s="38">
        <v>2500</v>
      </c>
      <c r="AB137" s="35" t="s">
        <v>95</v>
      </c>
      <c r="AC137" s="38">
        <v>17500</v>
      </c>
      <c r="AD137" s="38">
        <v>17500</v>
      </c>
      <c r="AE137" s="38">
        <v>0</v>
      </c>
      <c r="AF137" s="38">
        <v>0</v>
      </c>
      <c r="AG137" s="38">
        <v>0</v>
      </c>
      <c r="AH137" s="38">
        <v>0</v>
      </c>
      <c r="AI137" s="38">
        <v>0</v>
      </c>
      <c r="AJ137" s="38">
        <v>3040.05</v>
      </c>
      <c r="AK137" s="35" t="s">
        <v>1899</v>
      </c>
      <c r="AL137" s="35" t="s">
        <v>494</v>
      </c>
      <c r="AM137" s="35" t="s">
        <v>744</v>
      </c>
      <c r="AN137" s="35" t="s">
        <v>2164</v>
      </c>
      <c r="AO137" s="35">
        <v>7</v>
      </c>
      <c r="AP137" s="35">
        <v>16</v>
      </c>
      <c r="AQ137" s="35" t="s">
        <v>781</v>
      </c>
      <c r="AR137" s="35" t="s">
        <v>782</v>
      </c>
      <c r="AS137" s="35" t="s">
        <v>783</v>
      </c>
      <c r="AT137" s="35" t="s">
        <v>784</v>
      </c>
      <c r="AU137" s="35"/>
      <c r="AV137" s="35" t="s">
        <v>785</v>
      </c>
      <c r="AW137" s="35" t="s">
        <v>786</v>
      </c>
      <c r="AX137" s="35" t="s">
        <v>555</v>
      </c>
      <c r="AY137" s="35" t="s">
        <v>271</v>
      </c>
      <c r="AZ137" s="35"/>
      <c r="BA137" s="35"/>
      <c r="BB137" s="35" t="s">
        <v>272</v>
      </c>
      <c r="BC137" s="35" t="s">
        <v>273</v>
      </c>
      <c r="BD137" s="35" t="s">
        <v>274</v>
      </c>
      <c r="BE137" s="35" t="s">
        <v>271</v>
      </c>
      <c r="BF137" s="35">
        <v>4000</v>
      </c>
      <c r="BG137" s="35"/>
      <c r="BH137" s="35">
        <v>0</v>
      </c>
      <c r="BI137" s="35">
        <v>0</v>
      </c>
      <c r="BJ137" s="35"/>
      <c r="BK137" s="35" t="s">
        <v>585</v>
      </c>
      <c r="BL137" s="35" t="s">
        <v>787</v>
      </c>
      <c r="BM137" s="35"/>
      <c r="BN137" s="35"/>
      <c r="BO137" s="35"/>
      <c r="BP137" s="35"/>
    </row>
    <row r="138" spans="1:68" x14ac:dyDescent="0.3">
      <c r="A138" s="35" t="s">
        <v>43</v>
      </c>
      <c r="B138" s="35" t="s">
        <v>44</v>
      </c>
      <c r="C138" s="35" t="s">
        <v>41</v>
      </c>
      <c r="D138" s="35" t="s">
        <v>42</v>
      </c>
      <c r="E138" s="35" t="s">
        <v>148</v>
      </c>
      <c r="F138" s="35" t="s">
        <v>149</v>
      </c>
      <c r="G138" s="35" t="s">
        <v>598</v>
      </c>
      <c r="H138" s="35" t="s">
        <v>599</v>
      </c>
      <c r="I138" s="35"/>
      <c r="J138" s="35" t="s">
        <v>47</v>
      </c>
      <c r="K138" s="35" t="s">
        <v>43</v>
      </c>
      <c r="L138" s="35"/>
      <c r="M138" s="35">
        <v>5</v>
      </c>
      <c r="N138" s="35" t="s">
        <v>262</v>
      </c>
      <c r="O138" s="35" t="s">
        <v>263</v>
      </c>
      <c r="P138" s="35" t="s">
        <v>52</v>
      </c>
      <c r="Q138" s="35"/>
      <c r="R138" s="35" t="s">
        <v>124</v>
      </c>
      <c r="S138" s="35" t="s">
        <v>147</v>
      </c>
      <c r="T138" s="35">
        <v>0</v>
      </c>
      <c r="U138" s="35" t="s">
        <v>264</v>
      </c>
      <c r="V138" s="35">
        <v>0</v>
      </c>
      <c r="W138" s="35" t="s">
        <v>265</v>
      </c>
      <c r="X138" s="35">
        <v>95000</v>
      </c>
      <c r="Y138" s="35">
        <v>4.99</v>
      </c>
      <c r="Z138" s="38">
        <v>7220.0633333333335</v>
      </c>
      <c r="AA138" s="38">
        <v>5937.5</v>
      </c>
      <c r="AB138" s="35" t="s">
        <v>95</v>
      </c>
      <c r="AC138" s="38">
        <v>41563.07</v>
      </c>
      <c r="AD138" s="38">
        <v>41562.5</v>
      </c>
      <c r="AE138" s="38">
        <v>0.56999999999999995</v>
      </c>
      <c r="AF138" s="38">
        <v>0</v>
      </c>
      <c r="AG138" s="38">
        <v>0</v>
      </c>
      <c r="AH138" s="38">
        <v>0</v>
      </c>
      <c r="AI138" s="38">
        <v>0.56999999999999995</v>
      </c>
      <c r="AJ138" s="38">
        <v>7220</v>
      </c>
      <c r="AK138" s="35" t="s">
        <v>1843</v>
      </c>
      <c r="AL138" s="35" t="s">
        <v>348</v>
      </c>
      <c r="AM138" s="35" t="s">
        <v>613</v>
      </c>
      <c r="AN138" s="35" t="s">
        <v>2042</v>
      </c>
      <c r="AO138" s="35">
        <v>7</v>
      </c>
      <c r="AP138" s="35">
        <v>16</v>
      </c>
      <c r="AQ138" s="35" t="s">
        <v>645</v>
      </c>
      <c r="AR138" s="35" t="s">
        <v>646</v>
      </c>
      <c r="AS138" s="35" t="s">
        <v>647</v>
      </c>
      <c r="AT138" s="35" t="s">
        <v>2005</v>
      </c>
      <c r="AU138" s="35"/>
      <c r="AV138" s="35" t="s">
        <v>2006</v>
      </c>
      <c r="AW138" s="35" t="s">
        <v>648</v>
      </c>
      <c r="AX138" s="35" t="s">
        <v>385</v>
      </c>
      <c r="AY138" s="35" t="s">
        <v>271</v>
      </c>
      <c r="AZ138" s="35" t="s">
        <v>600</v>
      </c>
      <c r="BA138" s="35"/>
      <c r="BB138" s="35" t="s">
        <v>272</v>
      </c>
      <c r="BC138" s="35" t="s">
        <v>273</v>
      </c>
      <c r="BD138" s="35" t="s">
        <v>274</v>
      </c>
      <c r="BE138" s="35" t="s">
        <v>271</v>
      </c>
      <c r="BF138" s="35">
        <v>9500</v>
      </c>
      <c r="BG138" s="35"/>
      <c r="BH138" s="35">
        <v>0</v>
      </c>
      <c r="BI138" s="35">
        <v>0</v>
      </c>
      <c r="BJ138" s="35"/>
      <c r="BK138" s="35" t="s">
        <v>585</v>
      </c>
      <c r="BL138" s="35" t="s">
        <v>649</v>
      </c>
      <c r="BM138" s="35"/>
      <c r="BN138" s="35"/>
      <c r="BO138" s="35"/>
      <c r="BP138" s="35"/>
    </row>
    <row r="139" spans="1:68" x14ac:dyDescent="0.3">
      <c r="A139" s="35" t="s">
        <v>43</v>
      </c>
      <c r="B139" s="35" t="s">
        <v>44</v>
      </c>
      <c r="C139" s="35" t="s">
        <v>467</v>
      </c>
      <c r="D139" s="35" t="s">
        <v>424</v>
      </c>
      <c r="E139" s="35" t="s">
        <v>189</v>
      </c>
      <c r="F139" s="35" t="s">
        <v>191</v>
      </c>
      <c r="G139" s="35" t="s">
        <v>608</v>
      </c>
      <c r="H139" s="35" t="s">
        <v>573</v>
      </c>
      <c r="I139" s="35"/>
      <c r="J139" s="35" t="s">
        <v>47</v>
      </c>
      <c r="K139" s="35" t="s">
        <v>43</v>
      </c>
      <c r="L139" s="35"/>
      <c r="M139" s="35">
        <v>11</v>
      </c>
      <c r="N139" s="35" t="s">
        <v>262</v>
      </c>
      <c r="O139" s="35" t="s">
        <v>263</v>
      </c>
      <c r="P139" s="35" t="s">
        <v>52</v>
      </c>
      <c r="Q139" s="35"/>
      <c r="R139" s="35" t="s">
        <v>124</v>
      </c>
      <c r="S139" s="35"/>
      <c r="T139" s="35">
        <v>0</v>
      </c>
      <c r="U139" s="35" t="s">
        <v>264</v>
      </c>
      <c r="V139" s="35">
        <v>0</v>
      </c>
      <c r="W139" s="35" t="s">
        <v>265</v>
      </c>
      <c r="X139" s="35">
        <v>625000</v>
      </c>
      <c r="Y139" s="35">
        <v>4.99</v>
      </c>
      <c r="Z139" s="38">
        <v>47500.416666666708</v>
      </c>
      <c r="AA139" s="38">
        <v>39062.5</v>
      </c>
      <c r="AB139" s="35" t="s">
        <v>95</v>
      </c>
      <c r="AC139" s="38">
        <v>273437.5</v>
      </c>
      <c r="AD139" s="38">
        <v>273437.5</v>
      </c>
      <c r="AE139" s="38">
        <v>0</v>
      </c>
      <c r="AF139" s="38">
        <v>0</v>
      </c>
      <c r="AG139" s="38">
        <v>0</v>
      </c>
      <c r="AH139" s="38">
        <v>0</v>
      </c>
      <c r="AI139" s="38">
        <v>0</v>
      </c>
      <c r="AJ139" s="38">
        <v>47500.42</v>
      </c>
      <c r="AK139" s="35" t="s">
        <v>1843</v>
      </c>
      <c r="AL139" s="35" t="s">
        <v>348</v>
      </c>
      <c r="AM139" s="35" t="s">
        <v>613</v>
      </c>
      <c r="AN139" s="35" t="s">
        <v>2042</v>
      </c>
      <c r="AO139" s="35">
        <v>7</v>
      </c>
      <c r="AP139" s="35">
        <v>16</v>
      </c>
      <c r="AQ139" s="35" t="s">
        <v>631</v>
      </c>
      <c r="AR139" s="35" t="s">
        <v>641</v>
      </c>
      <c r="AS139" s="35" t="s">
        <v>642</v>
      </c>
      <c r="AT139" s="35" t="s">
        <v>643</v>
      </c>
      <c r="AU139" s="35"/>
      <c r="AV139" s="35" t="s">
        <v>283</v>
      </c>
      <c r="AW139" s="35" t="s">
        <v>284</v>
      </c>
      <c r="AX139" s="35" t="s">
        <v>285</v>
      </c>
      <c r="AY139" s="35" t="s">
        <v>271</v>
      </c>
      <c r="AZ139" s="35" t="s">
        <v>609</v>
      </c>
      <c r="BA139" s="35"/>
      <c r="BB139" s="35" t="s">
        <v>272</v>
      </c>
      <c r="BC139" s="35" t="s">
        <v>273</v>
      </c>
      <c r="BD139" s="35" t="s">
        <v>274</v>
      </c>
      <c r="BE139" s="35" t="s">
        <v>271</v>
      </c>
      <c r="BF139" s="35">
        <v>62500</v>
      </c>
      <c r="BG139" s="35"/>
      <c r="BH139" s="35">
        <v>0</v>
      </c>
      <c r="BI139" s="35">
        <v>0</v>
      </c>
      <c r="BJ139" s="35"/>
      <c r="BK139" s="35" t="s">
        <v>585</v>
      </c>
      <c r="BL139" s="35" t="s">
        <v>644</v>
      </c>
      <c r="BM139" s="35"/>
      <c r="BN139" s="35"/>
      <c r="BO139" s="35"/>
      <c r="BP139" s="35"/>
    </row>
    <row r="140" spans="1:68" x14ac:dyDescent="0.3">
      <c r="A140" s="35" t="s">
        <v>43</v>
      </c>
      <c r="B140" s="35" t="s">
        <v>44</v>
      </c>
      <c r="C140" s="35" t="s">
        <v>467</v>
      </c>
      <c r="D140" s="35" t="s">
        <v>424</v>
      </c>
      <c r="E140" s="35" t="s">
        <v>39</v>
      </c>
      <c r="F140" s="35" t="s">
        <v>40</v>
      </c>
      <c r="G140" s="35" t="s">
        <v>498</v>
      </c>
      <c r="H140" s="35" t="s">
        <v>440</v>
      </c>
      <c r="I140" s="35"/>
      <c r="J140" s="35" t="s">
        <v>47</v>
      </c>
      <c r="K140" s="35" t="s">
        <v>43</v>
      </c>
      <c r="L140" s="35"/>
      <c r="M140" s="35">
        <v>7</v>
      </c>
      <c r="N140" s="35" t="s">
        <v>262</v>
      </c>
      <c r="O140" s="35" t="s">
        <v>263</v>
      </c>
      <c r="P140" s="35" t="s">
        <v>52</v>
      </c>
      <c r="Q140" s="35"/>
      <c r="R140" s="35" t="s">
        <v>126</v>
      </c>
      <c r="S140" s="35" t="s">
        <v>500</v>
      </c>
      <c r="T140" s="35">
        <v>0</v>
      </c>
      <c r="U140" s="35" t="s">
        <v>264</v>
      </c>
      <c r="V140" s="35">
        <v>0</v>
      </c>
      <c r="W140" s="35" t="s">
        <v>265</v>
      </c>
      <c r="X140" s="35">
        <v>134000</v>
      </c>
      <c r="Y140" s="35">
        <v>4.99</v>
      </c>
      <c r="Z140" s="38">
        <v>10184.089333333301</v>
      </c>
      <c r="AA140" s="38">
        <v>8375</v>
      </c>
      <c r="AB140" s="35" t="s">
        <v>95</v>
      </c>
      <c r="AC140" s="38">
        <v>58625.03</v>
      </c>
      <c r="AD140" s="38">
        <v>58625</v>
      </c>
      <c r="AE140" s="38">
        <v>0.03</v>
      </c>
      <c r="AF140" s="38">
        <v>0</v>
      </c>
      <c r="AG140" s="38">
        <v>0</v>
      </c>
      <c r="AH140" s="38">
        <v>0</v>
      </c>
      <c r="AI140" s="38">
        <v>0.03</v>
      </c>
      <c r="AJ140" s="38">
        <v>10184.09</v>
      </c>
      <c r="AK140" s="35" t="s">
        <v>1925</v>
      </c>
      <c r="AL140" s="35" t="s">
        <v>387</v>
      </c>
      <c r="AM140" s="35" t="s">
        <v>508</v>
      </c>
      <c r="AN140" s="35" t="s">
        <v>1965</v>
      </c>
      <c r="AO140" s="35">
        <v>7</v>
      </c>
      <c r="AP140" s="35">
        <v>16</v>
      </c>
      <c r="AQ140" s="35" t="s">
        <v>540</v>
      </c>
      <c r="AR140" s="35" t="s">
        <v>541</v>
      </c>
      <c r="AS140" s="35" t="s">
        <v>542</v>
      </c>
      <c r="AT140" s="35" t="s">
        <v>543</v>
      </c>
      <c r="AU140" s="35"/>
      <c r="AV140" s="35" t="s">
        <v>544</v>
      </c>
      <c r="AW140" s="35" t="s">
        <v>545</v>
      </c>
      <c r="AX140" s="35" t="s">
        <v>546</v>
      </c>
      <c r="AY140" s="35" t="s">
        <v>271</v>
      </c>
      <c r="AZ140" s="35" t="s">
        <v>499</v>
      </c>
      <c r="BA140" s="35"/>
      <c r="BB140" s="35" t="s">
        <v>272</v>
      </c>
      <c r="BC140" s="35" t="s">
        <v>273</v>
      </c>
      <c r="BD140" s="35" t="s">
        <v>274</v>
      </c>
      <c r="BE140" s="35" t="s">
        <v>271</v>
      </c>
      <c r="BF140" s="35">
        <v>13400</v>
      </c>
      <c r="BG140" s="35"/>
      <c r="BH140" s="35">
        <v>1</v>
      </c>
      <c r="BI140" s="35">
        <v>1</v>
      </c>
      <c r="BJ140" s="35"/>
      <c r="BK140" s="35" t="s">
        <v>547</v>
      </c>
      <c r="BL140" s="35" t="s">
        <v>548</v>
      </c>
      <c r="BM140" s="35"/>
      <c r="BN140" s="35"/>
      <c r="BO140" s="35"/>
      <c r="BP140" s="35"/>
    </row>
    <row r="141" spans="1:68" x14ac:dyDescent="0.3">
      <c r="A141" s="35" t="s">
        <v>43</v>
      </c>
      <c r="B141" s="35" t="s">
        <v>44</v>
      </c>
      <c r="C141" s="35" t="s">
        <v>460</v>
      </c>
      <c r="D141" s="35" t="s">
        <v>396</v>
      </c>
      <c r="E141" s="35" t="s">
        <v>154</v>
      </c>
      <c r="F141" s="35" t="s">
        <v>155</v>
      </c>
      <c r="G141" s="35" t="s">
        <v>610</v>
      </c>
      <c r="H141" s="35" t="s">
        <v>391</v>
      </c>
      <c r="I141" s="35"/>
      <c r="J141" s="35" t="s">
        <v>47</v>
      </c>
      <c r="K141" s="35" t="s">
        <v>43</v>
      </c>
      <c r="L141" s="35"/>
      <c r="M141" s="35">
        <v>7</v>
      </c>
      <c r="N141" s="35" t="s">
        <v>262</v>
      </c>
      <c r="O141" s="35" t="s">
        <v>263</v>
      </c>
      <c r="P141" s="35" t="s">
        <v>52</v>
      </c>
      <c r="Q141" s="35"/>
      <c r="R141" s="35" t="s">
        <v>124</v>
      </c>
      <c r="S141" s="35" t="s">
        <v>185</v>
      </c>
      <c r="T141" s="35">
        <v>0</v>
      </c>
      <c r="U141" s="35" t="s">
        <v>264</v>
      </c>
      <c r="V141" s="35">
        <v>0</v>
      </c>
      <c r="W141" s="35" t="s">
        <v>265</v>
      </c>
      <c r="X141" s="35">
        <v>150000</v>
      </c>
      <c r="Y141" s="35">
        <v>4.99</v>
      </c>
      <c r="Z141" s="38">
        <v>11400.1</v>
      </c>
      <c r="AA141" s="38">
        <v>9375</v>
      </c>
      <c r="AB141" s="35" t="s">
        <v>95</v>
      </c>
      <c r="AC141" s="38">
        <v>65625</v>
      </c>
      <c r="AD141" s="38">
        <v>65625</v>
      </c>
      <c r="AE141" s="38">
        <v>0</v>
      </c>
      <c r="AF141" s="38">
        <v>0</v>
      </c>
      <c r="AG141" s="38">
        <v>0</v>
      </c>
      <c r="AH141" s="38">
        <v>0</v>
      </c>
      <c r="AI141" s="38">
        <v>0</v>
      </c>
      <c r="AJ141" s="38">
        <v>11401</v>
      </c>
      <c r="AK141" s="35" t="s">
        <v>1843</v>
      </c>
      <c r="AL141" s="35" t="s">
        <v>348</v>
      </c>
      <c r="AM141" s="35" t="s">
        <v>613</v>
      </c>
      <c r="AN141" s="35" t="s">
        <v>2042</v>
      </c>
      <c r="AO141" s="35">
        <v>7</v>
      </c>
      <c r="AP141" s="35">
        <v>16</v>
      </c>
      <c r="AQ141" s="35" t="s">
        <v>634</v>
      </c>
      <c r="AR141" s="35" t="s">
        <v>635</v>
      </c>
      <c r="AS141" s="35" t="s">
        <v>636</v>
      </c>
      <c r="AT141" s="35" t="s">
        <v>637</v>
      </c>
      <c r="AU141" s="35"/>
      <c r="AV141" s="35" t="s">
        <v>638</v>
      </c>
      <c r="AW141" s="35" t="s">
        <v>639</v>
      </c>
      <c r="AX141" s="35" t="s">
        <v>274</v>
      </c>
      <c r="AY141" s="35" t="s">
        <v>271</v>
      </c>
      <c r="AZ141" s="35" t="s">
        <v>611</v>
      </c>
      <c r="BA141" s="35"/>
      <c r="BB141" s="35" t="s">
        <v>272</v>
      </c>
      <c r="BC141" s="35" t="s">
        <v>273</v>
      </c>
      <c r="BD141" s="35" t="s">
        <v>274</v>
      </c>
      <c r="BE141" s="35" t="s">
        <v>271</v>
      </c>
      <c r="BF141" s="35">
        <v>15000</v>
      </c>
      <c r="BG141" s="35"/>
      <c r="BH141" s="35">
        <v>0</v>
      </c>
      <c r="BI141" s="35">
        <v>0</v>
      </c>
      <c r="BJ141" s="35"/>
      <c r="BK141" s="35" t="s">
        <v>585</v>
      </c>
      <c r="BL141" s="35" t="s">
        <v>640</v>
      </c>
      <c r="BM141" s="35"/>
      <c r="BN141" s="35"/>
      <c r="BO141" s="35"/>
      <c r="BP141" s="35"/>
    </row>
    <row r="142" spans="1:68" x14ac:dyDescent="0.3">
      <c r="A142" s="35" t="s">
        <v>43</v>
      </c>
      <c r="B142" s="35" t="s">
        <v>44</v>
      </c>
      <c r="C142" s="35" t="s">
        <v>460</v>
      </c>
      <c r="D142" s="35" t="s">
        <v>396</v>
      </c>
      <c r="E142" s="35" t="s">
        <v>143</v>
      </c>
      <c r="F142" s="35" t="s">
        <v>144</v>
      </c>
      <c r="G142" s="35" t="s">
        <v>154</v>
      </c>
      <c r="H142" s="35" t="s">
        <v>827</v>
      </c>
      <c r="I142" s="35"/>
      <c r="J142" s="35" t="s">
        <v>47</v>
      </c>
      <c r="K142" s="35" t="s">
        <v>43</v>
      </c>
      <c r="L142" s="35"/>
      <c r="M142" s="35">
        <v>6</v>
      </c>
      <c r="N142" s="35" t="s">
        <v>262</v>
      </c>
      <c r="O142" s="35" t="s">
        <v>263</v>
      </c>
      <c r="P142" s="35" t="s">
        <v>52</v>
      </c>
      <c r="Q142" s="35"/>
      <c r="R142" s="35" t="s">
        <v>146</v>
      </c>
      <c r="S142" s="35" t="s">
        <v>160</v>
      </c>
      <c r="T142" s="35">
        <v>0</v>
      </c>
      <c r="U142" s="35" t="s">
        <v>264</v>
      </c>
      <c r="V142" s="35">
        <v>0</v>
      </c>
      <c r="W142" s="35" t="s">
        <v>265</v>
      </c>
      <c r="X142" s="35">
        <v>97000</v>
      </c>
      <c r="Y142" s="35">
        <v>4.99</v>
      </c>
      <c r="Z142" s="38">
        <v>7372.0646666666662</v>
      </c>
      <c r="AA142" s="38">
        <v>6062.5</v>
      </c>
      <c r="AB142" s="35" t="s">
        <v>95</v>
      </c>
      <c r="AC142" s="38">
        <v>54562.5</v>
      </c>
      <c r="AD142" s="38">
        <v>54562.5</v>
      </c>
      <c r="AE142" s="38">
        <v>0</v>
      </c>
      <c r="AF142" s="38">
        <v>0</v>
      </c>
      <c r="AG142" s="38">
        <v>0</v>
      </c>
      <c r="AH142" s="38">
        <v>0</v>
      </c>
      <c r="AI142" s="38">
        <v>0</v>
      </c>
      <c r="AJ142" s="38">
        <v>7376</v>
      </c>
      <c r="AK142" s="35" t="s">
        <v>1823</v>
      </c>
      <c r="AL142" s="35" t="s">
        <v>630</v>
      </c>
      <c r="AM142" s="35" t="s">
        <v>892</v>
      </c>
      <c r="AN142" s="35" t="s">
        <v>2004</v>
      </c>
      <c r="AO142" s="35">
        <v>9</v>
      </c>
      <c r="AP142" s="35">
        <v>16</v>
      </c>
      <c r="AQ142" s="35" t="s">
        <v>922</v>
      </c>
      <c r="AR142" s="35" t="s">
        <v>923</v>
      </c>
      <c r="AS142" s="35" t="s">
        <v>924</v>
      </c>
      <c r="AT142" s="35" t="s">
        <v>925</v>
      </c>
      <c r="AU142" s="35"/>
      <c r="AV142" s="35" t="s">
        <v>926</v>
      </c>
      <c r="AW142" s="35" t="s">
        <v>927</v>
      </c>
      <c r="AX142" s="35" t="s">
        <v>353</v>
      </c>
      <c r="AY142" s="35" t="s">
        <v>271</v>
      </c>
      <c r="AZ142" s="35" t="s">
        <v>890</v>
      </c>
      <c r="BA142" s="35"/>
      <c r="BB142" s="35" t="s">
        <v>272</v>
      </c>
      <c r="BC142" s="35" t="s">
        <v>273</v>
      </c>
      <c r="BD142" s="35" t="s">
        <v>274</v>
      </c>
      <c r="BE142" s="35" t="s">
        <v>271</v>
      </c>
      <c r="BF142" s="35">
        <v>9700</v>
      </c>
      <c r="BG142" s="35"/>
      <c r="BH142" s="35">
        <v>0</v>
      </c>
      <c r="BI142" s="35">
        <v>0</v>
      </c>
      <c r="BJ142" s="35"/>
      <c r="BK142" s="35" t="s">
        <v>585</v>
      </c>
      <c r="BL142" s="35" t="s">
        <v>928</v>
      </c>
      <c r="BM142" s="35"/>
      <c r="BN142" s="35"/>
      <c r="BO142" s="35"/>
      <c r="BP142" s="35"/>
    </row>
    <row r="143" spans="1:68" x14ac:dyDescent="0.3">
      <c r="A143" s="35" t="s">
        <v>49</v>
      </c>
      <c r="B143" s="35" t="s">
        <v>450</v>
      </c>
      <c r="C143" s="35" t="s">
        <v>451</v>
      </c>
      <c r="D143" s="35" t="s">
        <v>388</v>
      </c>
      <c r="E143" s="35" t="s">
        <v>188</v>
      </c>
      <c r="F143" s="35" t="s">
        <v>190</v>
      </c>
      <c r="G143" s="35" t="s">
        <v>1838</v>
      </c>
      <c r="H143" s="35" t="s">
        <v>1839</v>
      </c>
      <c r="I143" s="35"/>
      <c r="J143" s="35" t="s">
        <v>47</v>
      </c>
      <c r="K143" s="35" t="s">
        <v>43</v>
      </c>
      <c r="L143" s="35"/>
      <c r="M143" s="35">
        <v>6</v>
      </c>
      <c r="N143" s="35" t="s">
        <v>262</v>
      </c>
      <c r="O143" s="35" t="s">
        <v>263</v>
      </c>
      <c r="P143" s="35" t="s">
        <v>52</v>
      </c>
      <c r="Q143" s="35"/>
      <c r="R143" s="35" t="s">
        <v>146</v>
      </c>
      <c r="S143" s="35" t="s">
        <v>982</v>
      </c>
      <c r="T143" s="35">
        <v>0</v>
      </c>
      <c r="U143" s="35" t="s">
        <v>264</v>
      </c>
      <c r="V143" s="35">
        <v>0</v>
      </c>
      <c r="W143" s="35" t="s">
        <v>265</v>
      </c>
      <c r="X143" s="35">
        <v>123500</v>
      </c>
      <c r="Y143" s="35">
        <v>4.99</v>
      </c>
      <c r="Z143" s="38">
        <v>9386.0823333333337</v>
      </c>
      <c r="AA143" s="38">
        <v>7718.75</v>
      </c>
      <c r="AB143" s="35" t="s">
        <v>95</v>
      </c>
      <c r="AC143" s="38">
        <v>115781.35</v>
      </c>
      <c r="AD143" s="38">
        <v>115781.25</v>
      </c>
      <c r="AE143" s="38">
        <v>0.1</v>
      </c>
      <c r="AF143" s="38">
        <v>0</v>
      </c>
      <c r="AG143" s="38">
        <v>0</v>
      </c>
      <c r="AH143" s="38">
        <v>0</v>
      </c>
      <c r="AI143" s="38">
        <v>0.1</v>
      </c>
      <c r="AJ143" s="38">
        <v>9386</v>
      </c>
      <c r="AK143" s="35" t="s">
        <v>1823</v>
      </c>
      <c r="AL143" s="35" t="s">
        <v>1667</v>
      </c>
      <c r="AM143" s="35" t="s">
        <v>1852</v>
      </c>
      <c r="AN143" s="35" t="s">
        <v>2004</v>
      </c>
      <c r="AO143" s="35">
        <v>15</v>
      </c>
      <c r="AP143" s="35">
        <v>16</v>
      </c>
      <c r="AQ143" s="35" t="s">
        <v>1860</v>
      </c>
      <c r="AR143" s="35" t="s">
        <v>1861</v>
      </c>
      <c r="AS143" s="35" t="s">
        <v>1862</v>
      </c>
      <c r="AT143" s="35" t="s">
        <v>1863</v>
      </c>
      <c r="AU143" s="35"/>
      <c r="AV143" s="35" t="s">
        <v>1864</v>
      </c>
      <c r="AW143" s="35" t="s">
        <v>1865</v>
      </c>
      <c r="AX143" s="35" t="s">
        <v>338</v>
      </c>
      <c r="AY143" s="35" t="s">
        <v>338</v>
      </c>
      <c r="AZ143" s="35" t="s">
        <v>1866</v>
      </c>
      <c r="BA143" s="35"/>
      <c r="BB143" s="35" t="s">
        <v>272</v>
      </c>
      <c r="BC143" s="35" t="s">
        <v>273</v>
      </c>
      <c r="BD143" s="35" t="s">
        <v>274</v>
      </c>
      <c r="BE143" s="35" t="s">
        <v>271</v>
      </c>
      <c r="BF143" s="35">
        <v>12350</v>
      </c>
      <c r="BG143" s="35"/>
      <c r="BH143" s="35">
        <v>0</v>
      </c>
      <c r="BI143" s="35">
        <v>0</v>
      </c>
      <c r="BJ143" s="35"/>
      <c r="BK143" s="35" t="s">
        <v>585</v>
      </c>
      <c r="BL143" s="35" t="s">
        <v>1867</v>
      </c>
      <c r="BM143" s="35"/>
      <c r="BN143" s="35"/>
      <c r="BO143" s="35"/>
      <c r="BP143" s="35"/>
    </row>
    <row r="144" spans="1:68" x14ac:dyDescent="0.3">
      <c r="A144" s="35" t="s">
        <v>43</v>
      </c>
      <c r="B144" s="35" t="s">
        <v>44</v>
      </c>
      <c r="C144" s="35" t="s">
        <v>41</v>
      </c>
      <c r="D144" s="35" t="s">
        <v>42</v>
      </c>
      <c r="E144" s="35" t="s">
        <v>883</v>
      </c>
      <c r="F144" s="35" t="s">
        <v>884</v>
      </c>
      <c r="G144" s="35" t="s">
        <v>1429</v>
      </c>
      <c r="H144" s="35" t="s">
        <v>1377</v>
      </c>
      <c r="I144" s="35"/>
      <c r="J144" s="35" t="s">
        <v>47</v>
      </c>
      <c r="K144" s="35" t="s">
        <v>47</v>
      </c>
      <c r="L144" s="35"/>
      <c r="M144" s="35">
        <v>5</v>
      </c>
      <c r="N144" s="35" t="s">
        <v>262</v>
      </c>
      <c r="O144" s="35" t="s">
        <v>263</v>
      </c>
      <c r="P144" s="35" t="s">
        <v>52</v>
      </c>
      <c r="Q144" s="35"/>
      <c r="R144" s="35" t="s">
        <v>146</v>
      </c>
      <c r="S144" s="35" t="s">
        <v>160</v>
      </c>
      <c r="T144" s="35">
        <v>0</v>
      </c>
      <c r="U144" s="35" t="s">
        <v>264</v>
      </c>
      <c r="V144" s="35">
        <v>0</v>
      </c>
      <c r="W144" s="35" t="s">
        <v>265</v>
      </c>
      <c r="X144" s="35">
        <v>215000</v>
      </c>
      <c r="Y144" s="35">
        <v>4.99</v>
      </c>
      <c r="Z144" s="38">
        <v>16340.143333333301</v>
      </c>
      <c r="AA144" s="38">
        <v>13437.5</v>
      </c>
      <c r="AB144" s="35" t="s">
        <v>95</v>
      </c>
      <c r="AC144" s="38">
        <v>161250</v>
      </c>
      <c r="AD144" s="38">
        <v>161250</v>
      </c>
      <c r="AE144" s="38">
        <v>0</v>
      </c>
      <c r="AF144" s="38">
        <v>0</v>
      </c>
      <c r="AG144" s="38">
        <v>0</v>
      </c>
      <c r="AH144" s="38">
        <v>0</v>
      </c>
      <c r="AI144" s="38">
        <v>0</v>
      </c>
      <c r="AJ144" s="38">
        <v>16340</v>
      </c>
      <c r="AK144" s="35" t="s">
        <v>1823</v>
      </c>
      <c r="AL144" s="35" t="s">
        <v>1180</v>
      </c>
      <c r="AM144" s="35" t="s">
        <v>1387</v>
      </c>
      <c r="AN144" s="35" t="s">
        <v>2004</v>
      </c>
      <c r="AO144" s="35">
        <v>12</v>
      </c>
      <c r="AP144" s="35">
        <v>16</v>
      </c>
      <c r="AQ144" s="35" t="s">
        <v>1364</v>
      </c>
      <c r="AR144" s="35" t="s">
        <v>1364</v>
      </c>
      <c r="AS144" s="35" t="s">
        <v>1364</v>
      </c>
      <c r="AT144" s="35" t="s">
        <v>1430</v>
      </c>
      <c r="AU144" s="35"/>
      <c r="AV144" s="35" t="s">
        <v>1431</v>
      </c>
      <c r="AW144" s="35" t="s">
        <v>1432</v>
      </c>
      <c r="AX144" s="35" t="s">
        <v>1433</v>
      </c>
      <c r="AY144" s="35" t="s">
        <v>271</v>
      </c>
      <c r="AZ144" s="35"/>
      <c r="BA144" s="35"/>
      <c r="BB144" s="35" t="s">
        <v>272</v>
      </c>
      <c r="BC144" s="35" t="s">
        <v>273</v>
      </c>
      <c r="BD144" s="35" t="s">
        <v>274</v>
      </c>
      <c r="BE144" s="35" t="s">
        <v>271</v>
      </c>
      <c r="BF144" s="35">
        <v>21500</v>
      </c>
      <c r="BG144" s="35"/>
      <c r="BH144" s="35">
        <v>0</v>
      </c>
      <c r="BI144" s="35">
        <v>0</v>
      </c>
      <c r="BJ144" s="35"/>
      <c r="BK144" s="35" t="s">
        <v>585</v>
      </c>
      <c r="BL144" s="35" t="s">
        <v>1434</v>
      </c>
      <c r="BM144" s="35"/>
      <c r="BN144" s="35"/>
      <c r="BO144" s="35"/>
      <c r="BP144" s="35"/>
    </row>
    <row r="145" spans="1:67" x14ac:dyDescent="0.3">
      <c r="A145" s="35" t="s">
        <v>43</v>
      </c>
      <c r="B145" s="35" t="s">
        <v>44</v>
      </c>
      <c r="C145" s="35" t="s">
        <v>41</v>
      </c>
      <c r="D145" s="35" t="s">
        <v>42</v>
      </c>
      <c r="E145" s="35" t="s">
        <v>148</v>
      </c>
      <c r="F145" s="35" t="s">
        <v>149</v>
      </c>
      <c r="G145" s="35" t="s">
        <v>150</v>
      </c>
      <c r="H145" s="35" t="s">
        <v>110</v>
      </c>
      <c r="I145" s="35"/>
      <c r="J145" s="35" t="s">
        <v>47</v>
      </c>
      <c r="K145" s="35" t="s">
        <v>43</v>
      </c>
      <c r="L145" s="35"/>
      <c r="M145" s="35">
        <v>6</v>
      </c>
      <c r="N145" s="35" t="s">
        <v>262</v>
      </c>
      <c r="O145" s="35" t="s">
        <v>263</v>
      </c>
      <c r="P145" s="35" t="s">
        <v>52</v>
      </c>
      <c r="Q145" s="35"/>
      <c r="R145" s="35" t="s">
        <v>126</v>
      </c>
      <c r="S145" s="35" t="s">
        <v>151</v>
      </c>
      <c r="T145" s="35">
        <v>0</v>
      </c>
      <c r="U145" s="35" t="s">
        <v>264</v>
      </c>
      <c r="V145" s="35">
        <v>0</v>
      </c>
      <c r="W145" s="35" t="s">
        <v>265</v>
      </c>
      <c r="X145" s="35">
        <v>154000</v>
      </c>
      <c r="Y145" s="35">
        <v>4.99</v>
      </c>
      <c r="Z145" s="38">
        <v>11704.1026666667</v>
      </c>
      <c r="AA145" s="38">
        <v>9625</v>
      </c>
      <c r="AB145" s="35" t="s">
        <v>95</v>
      </c>
      <c r="AC145" s="38">
        <v>48125</v>
      </c>
      <c r="AD145" s="38">
        <v>48125</v>
      </c>
      <c r="AE145" s="38">
        <v>0</v>
      </c>
      <c r="AF145" s="38">
        <v>0</v>
      </c>
      <c r="AG145" s="38">
        <v>0</v>
      </c>
      <c r="AH145" s="38">
        <v>0</v>
      </c>
      <c r="AI145" s="38">
        <v>0</v>
      </c>
      <c r="AJ145" s="38">
        <v>11704</v>
      </c>
      <c r="AK145" s="35" t="s">
        <v>1823</v>
      </c>
      <c r="AL145" s="35" t="s">
        <v>266</v>
      </c>
      <c r="AM145" s="35" t="s">
        <v>277</v>
      </c>
      <c r="AN145" s="35" t="s">
        <v>1965</v>
      </c>
      <c r="AO145" s="35">
        <v>5</v>
      </c>
      <c r="AP145" s="35">
        <v>16</v>
      </c>
      <c r="AQ145" s="35" t="s">
        <v>372</v>
      </c>
      <c r="AR145" s="35" t="s">
        <v>373</v>
      </c>
      <c r="AS145" s="35" t="s">
        <v>374</v>
      </c>
      <c r="AT145" s="35" t="s">
        <v>375</v>
      </c>
      <c r="AU145" s="35"/>
      <c r="AV145" s="35" t="s">
        <v>376</v>
      </c>
      <c r="AW145" s="35" t="s">
        <v>377</v>
      </c>
      <c r="AX145" s="35" t="s">
        <v>274</v>
      </c>
      <c r="AY145" s="35" t="s">
        <v>271</v>
      </c>
      <c r="AZ145" s="35" t="s">
        <v>740</v>
      </c>
      <c r="BA145" s="35"/>
      <c r="BB145" s="35" t="s">
        <v>272</v>
      </c>
      <c r="BC145" s="35" t="s">
        <v>273</v>
      </c>
      <c r="BD145" s="35" t="s">
        <v>274</v>
      </c>
      <c r="BE145" s="35" t="s">
        <v>271</v>
      </c>
      <c r="BF145" s="35">
        <v>15400</v>
      </c>
      <c r="BG145" s="35"/>
      <c r="BH145" s="35">
        <v>1</v>
      </c>
      <c r="BI145" s="35">
        <v>1</v>
      </c>
      <c r="BJ145" s="35"/>
      <c r="BK145" s="35" t="s">
        <v>275</v>
      </c>
      <c r="BL145" s="35" t="s">
        <v>378</v>
      </c>
      <c r="BM145" s="35"/>
      <c r="BN145" s="35"/>
      <c r="BO145" s="35"/>
    </row>
    <row r="146" spans="1:67" x14ac:dyDescent="0.3">
      <c r="A146" s="35" t="s">
        <v>49</v>
      </c>
      <c r="B146" s="35" t="s">
        <v>450</v>
      </c>
      <c r="C146" s="35" t="s">
        <v>451</v>
      </c>
      <c r="D146" s="35" t="s">
        <v>388</v>
      </c>
      <c r="E146" s="35" t="s">
        <v>170</v>
      </c>
      <c r="F146" s="35" t="s">
        <v>171</v>
      </c>
      <c r="G146" s="35" t="s">
        <v>1468</v>
      </c>
      <c r="H146" s="35" t="s">
        <v>1384</v>
      </c>
      <c r="I146" s="35"/>
      <c r="J146" s="35" t="s">
        <v>47</v>
      </c>
      <c r="K146" s="35" t="s">
        <v>43</v>
      </c>
      <c r="L146" s="35"/>
      <c r="M146" s="35">
        <v>7</v>
      </c>
      <c r="N146" s="35" t="s">
        <v>262</v>
      </c>
      <c r="O146" s="35" t="s">
        <v>263</v>
      </c>
      <c r="P146" s="35" t="s">
        <v>52</v>
      </c>
      <c r="Q146" s="35"/>
      <c r="R146" s="35" t="s">
        <v>124</v>
      </c>
      <c r="S146" s="35" t="s">
        <v>185</v>
      </c>
      <c r="T146" s="35">
        <v>0</v>
      </c>
      <c r="U146" s="35" t="s">
        <v>264</v>
      </c>
      <c r="V146" s="35">
        <v>0</v>
      </c>
      <c r="W146" s="35" t="s">
        <v>265</v>
      </c>
      <c r="X146" s="35">
        <v>59000</v>
      </c>
      <c r="Y146" s="35">
        <v>4.99</v>
      </c>
      <c r="Z146" s="38">
        <v>4484.0393333333332</v>
      </c>
      <c r="AA146" s="38">
        <v>3687.5</v>
      </c>
      <c r="AB146" s="35" t="s">
        <v>95</v>
      </c>
      <c r="AC146" s="38">
        <v>44250.15</v>
      </c>
      <c r="AD146" s="38">
        <v>44250</v>
      </c>
      <c r="AE146" s="38">
        <v>0.15</v>
      </c>
      <c r="AF146" s="38">
        <v>0.01</v>
      </c>
      <c r="AG146" s="38">
        <v>0</v>
      </c>
      <c r="AH146" s="38">
        <v>0</v>
      </c>
      <c r="AI146" s="38">
        <v>0.16</v>
      </c>
      <c r="AJ146" s="38">
        <v>4484</v>
      </c>
      <c r="AK146" s="35" t="s">
        <v>1843</v>
      </c>
      <c r="AL146" s="35" t="s">
        <v>1213</v>
      </c>
      <c r="AM146" s="35" t="s">
        <v>1450</v>
      </c>
      <c r="AN146" s="35" t="s">
        <v>2042</v>
      </c>
      <c r="AO146" s="35">
        <v>12</v>
      </c>
      <c r="AP146" s="35">
        <v>16</v>
      </c>
      <c r="AQ146" s="35" t="s">
        <v>1469</v>
      </c>
      <c r="AR146" s="35" t="s">
        <v>1470</v>
      </c>
      <c r="AS146" s="35" t="s">
        <v>1471</v>
      </c>
      <c r="AT146" s="35" t="s">
        <v>1472</v>
      </c>
      <c r="AU146" s="35"/>
      <c r="AV146" s="35" t="s">
        <v>960</v>
      </c>
      <c r="AW146" s="35" t="s">
        <v>961</v>
      </c>
      <c r="AX146" s="35" t="s">
        <v>962</v>
      </c>
      <c r="AY146" s="35" t="s">
        <v>338</v>
      </c>
      <c r="AZ146" s="35" t="s">
        <v>1473</v>
      </c>
      <c r="BA146" s="35"/>
      <c r="BB146" s="35" t="s">
        <v>272</v>
      </c>
      <c r="BC146" s="35" t="s">
        <v>273</v>
      </c>
      <c r="BD146" s="35" t="s">
        <v>274</v>
      </c>
      <c r="BE146" s="35" t="s">
        <v>271</v>
      </c>
      <c r="BF146" s="35">
        <v>5900</v>
      </c>
      <c r="BG146" s="35"/>
      <c r="BH146" s="35">
        <v>0</v>
      </c>
      <c r="BI146" s="35">
        <v>0</v>
      </c>
      <c r="BJ146" s="35"/>
      <c r="BK146" s="35" t="s">
        <v>585</v>
      </c>
      <c r="BL146" s="35" t="s">
        <v>1474</v>
      </c>
      <c r="BM146" s="35"/>
      <c r="BN146" s="35"/>
      <c r="BO146" s="35"/>
    </row>
    <row r="147" spans="1:67" x14ac:dyDescent="0.3">
      <c r="A147" s="35" t="s">
        <v>43</v>
      </c>
      <c r="B147" s="35" t="s">
        <v>44</v>
      </c>
      <c r="C147" s="35" t="s">
        <v>467</v>
      </c>
      <c r="D147" s="35" t="s">
        <v>424</v>
      </c>
      <c r="E147" s="35" t="s">
        <v>39</v>
      </c>
      <c r="F147" s="35" t="s">
        <v>40</v>
      </c>
      <c r="G147" s="35" t="s">
        <v>1478</v>
      </c>
      <c r="H147" s="35" t="s">
        <v>1445</v>
      </c>
      <c r="I147" s="35"/>
      <c r="J147" s="35" t="s">
        <v>47</v>
      </c>
      <c r="K147" s="35" t="s">
        <v>43</v>
      </c>
      <c r="L147" s="35"/>
      <c r="M147" s="35">
        <v>6</v>
      </c>
      <c r="N147" s="35" t="s">
        <v>262</v>
      </c>
      <c r="O147" s="35" t="s">
        <v>263</v>
      </c>
      <c r="P147" s="35" t="s">
        <v>52</v>
      </c>
      <c r="Q147" s="35"/>
      <c r="R147" s="35" t="s">
        <v>197</v>
      </c>
      <c r="S147" s="35" t="s">
        <v>198</v>
      </c>
      <c r="T147" s="35">
        <v>0</v>
      </c>
      <c r="U147" s="35" t="s">
        <v>264</v>
      </c>
      <c r="V147" s="35">
        <v>0</v>
      </c>
      <c r="W147" s="35" t="s">
        <v>265</v>
      </c>
      <c r="X147" s="35">
        <v>83000</v>
      </c>
      <c r="Y147" s="35">
        <v>4.99</v>
      </c>
      <c r="Z147" s="38">
        <v>6308.0553333333328</v>
      </c>
      <c r="AA147" s="38">
        <v>5187.5</v>
      </c>
      <c r="AB147" s="35" t="s">
        <v>95</v>
      </c>
      <c r="AC147" s="38">
        <v>62250</v>
      </c>
      <c r="AD147" s="38">
        <v>62250</v>
      </c>
      <c r="AE147" s="38">
        <v>0</v>
      </c>
      <c r="AF147" s="38">
        <v>0</v>
      </c>
      <c r="AG147" s="38">
        <v>0</v>
      </c>
      <c r="AH147" s="38">
        <v>0</v>
      </c>
      <c r="AI147" s="38">
        <v>0</v>
      </c>
      <c r="AJ147" s="38">
        <v>6308.06</v>
      </c>
      <c r="AK147" s="35" t="s">
        <v>1884</v>
      </c>
      <c r="AL147" s="35" t="s">
        <v>1275</v>
      </c>
      <c r="AM147" s="35" t="s">
        <v>1480</v>
      </c>
      <c r="AN147" s="35" t="s">
        <v>2014</v>
      </c>
      <c r="AO147" s="35">
        <v>12</v>
      </c>
      <c r="AP147" s="35">
        <v>16</v>
      </c>
      <c r="AQ147" s="35" t="s">
        <v>842</v>
      </c>
      <c r="AR147" s="35" t="s">
        <v>1308</v>
      </c>
      <c r="AS147" s="35" t="s">
        <v>1308</v>
      </c>
      <c r="AT147" s="35" t="s">
        <v>1494</v>
      </c>
      <c r="AU147" s="35"/>
      <c r="AV147" s="35" t="s">
        <v>1050</v>
      </c>
      <c r="AW147" s="35" t="s">
        <v>294</v>
      </c>
      <c r="AX147" s="35" t="s">
        <v>295</v>
      </c>
      <c r="AY147" s="35" t="s">
        <v>271</v>
      </c>
      <c r="AZ147" s="35" t="s">
        <v>1495</v>
      </c>
      <c r="BA147" s="35"/>
      <c r="BB147" s="35" t="s">
        <v>272</v>
      </c>
      <c r="BC147" s="35" t="s">
        <v>273</v>
      </c>
      <c r="BD147" s="35" t="s">
        <v>274</v>
      </c>
      <c r="BE147" s="35" t="s">
        <v>271</v>
      </c>
      <c r="BF147" s="35">
        <v>8300</v>
      </c>
      <c r="BG147" s="35"/>
      <c r="BH147" s="35">
        <v>0</v>
      </c>
      <c r="BI147" s="35">
        <v>0</v>
      </c>
      <c r="BJ147" s="35"/>
      <c r="BK147" s="35" t="s">
        <v>585</v>
      </c>
      <c r="BL147" s="35" t="s">
        <v>1496</v>
      </c>
      <c r="BM147" s="35"/>
      <c r="BN147" s="35"/>
      <c r="BO147" s="35"/>
    </row>
    <row r="148" spans="1:67" x14ac:dyDescent="0.3">
      <c r="A148" s="35" t="s">
        <v>49</v>
      </c>
      <c r="B148" s="35" t="s">
        <v>450</v>
      </c>
      <c r="C148" s="35" t="s">
        <v>451</v>
      </c>
      <c r="D148" s="35" t="s">
        <v>388</v>
      </c>
      <c r="E148" s="35" t="s">
        <v>487</v>
      </c>
      <c r="F148" s="35" t="s">
        <v>488</v>
      </c>
      <c r="G148" s="35" t="s">
        <v>1323</v>
      </c>
      <c r="H148" s="35" t="s">
        <v>1324</v>
      </c>
      <c r="I148" s="35"/>
      <c r="J148" s="35" t="s">
        <v>47</v>
      </c>
      <c r="K148" s="35" t="s">
        <v>43</v>
      </c>
      <c r="L148" s="35"/>
      <c r="M148" s="35">
        <v>7</v>
      </c>
      <c r="N148" s="35" t="s">
        <v>262</v>
      </c>
      <c r="O148" s="35" t="s">
        <v>263</v>
      </c>
      <c r="P148" s="35" t="s">
        <v>52</v>
      </c>
      <c r="Q148" s="35"/>
      <c r="R148" s="35" t="s">
        <v>168</v>
      </c>
      <c r="S148" s="35" t="s">
        <v>1178</v>
      </c>
      <c r="T148" s="35">
        <v>0</v>
      </c>
      <c r="U148" s="35" t="s">
        <v>264</v>
      </c>
      <c r="V148" s="35">
        <v>0</v>
      </c>
      <c r="W148" s="35" t="s">
        <v>265</v>
      </c>
      <c r="X148" s="35">
        <v>112000</v>
      </c>
      <c r="Y148" s="35">
        <v>4.99</v>
      </c>
      <c r="Z148" s="38">
        <v>8512.0746666666655</v>
      </c>
      <c r="AA148" s="38">
        <v>7000</v>
      </c>
      <c r="AB148" s="35" t="s">
        <v>95</v>
      </c>
      <c r="AC148" s="38">
        <v>77000.38</v>
      </c>
      <c r="AD148" s="38">
        <v>77000</v>
      </c>
      <c r="AE148" s="38">
        <v>0.38</v>
      </c>
      <c r="AF148" s="38">
        <v>0</v>
      </c>
      <c r="AG148" s="38">
        <v>0</v>
      </c>
      <c r="AH148" s="38">
        <v>0</v>
      </c>
      <c r="AI148" s="38">
        <v>0.38</v>
      </c>
      <c r="AJ148" s="38">
        <v>8512</v>
      </c>
      <c r="AK148" s="35" t="s">
        <v>1899</v>
      </c>
      <c r="AL148" s="35" t="s">
        <v>1147</v>
      </c>
      <c r="AM148" s="35" t="s">
        <v>1327</v>
      </c>
      <c r="AN148" s="35" t="s">
        <v>2164</v>
      </c>
      <c r="AO148" s="35">
        <v>11</v>
      </c>
      <c r="AP148" s="35">
        <v>16</v>
      </c>
      <c r="AQ148" s="35" t="s">
        <v>1342</v>
      </c>
      <c r="AR148" s="35" t="s">
        <v>1343</v>
      </c>
      <c r="AS148" s="35" t="s">
        <v>1344</v>
      </c>
      <c r="AT148" s="35" t="s">
        <v>1345</v>
      </c>
      <c r="AU148" s="35"/>
      <c r="AV148" s="35" t="s">
        <v>1346</v>
      </c>
      <c r="AW148" s="35" t="s">
        <v>592</v>
      </c>
      <c r="AX148" s="35" t="s">
        <v>274</v>
      </c>
      <c r="AY148" s="35" t="s">
        <v>271</v>
      </c>
      <c r="AZ148" s="35" t="s">
        <v>1325</v>
      </c>
      <c r="BA148" s="35"/>
      <c r="BB148" s="35" t="s">
        <v>272</v>
      </c>
      <c r="BC148" s="35" t="s">
        <v>273</v>
      </c>
      <c r="BD148" s="35" t="s">
        <v>274</v>
      </c>
      <c r="BE148" s="35" t="s">
        <v>271</v>
      </c>
      <c r="BF148" s="35">
        <v>11200</v>
      </c>
      <c r="BG148" s="35"/>
      <c r="BH148" s="35">
        <v>0</v>
      </c>
      <c r="BI148" s="35">
        <v>0</v>
      </c>
      <c r="BJ148" s="35"/>
      <c r="BK148" s="35" t="s">
        <v>585</v>
      </c>
      <c r="BL148" s="35" t="s">
        <v>1347</v>
      </c>
      <c r="BM148" s="35"/>
      <c r="BN148" s="35"/>
      <c r="BO148" s="35"/>
    </row>
    <row r="149" spans="1:67" x14ac:dyDescent="0.3">
      <c r="A149" s="35" t="s">
        <v>43</v>
      </c>
      <c r="B149" s="35" t="s">
        <v>44</v>
      </c>
      <c r="C149" s="35" t="s">
        <v>460</v>
      </c>
      <c r="D149" s="35" t="s">
        <v>396</v>
      </c>
      <c r="E149" s="35" t="s">
        <v>143</v>
      </c>
      <c r="F149" s="35" t="s">
        <v>144</v>
      </c>
      <c r="G149" s="35" t="s">
        <v>1802</v>
      </c>
      <c r="H149" s="35" t="s">
        <v>1574</v>
      </c>
      <c r="I149" s="35"/>
      <c r="J149" s="35" t="s">
        <v>47</v>
      </c>
      <c r="K149" s="35" t="s">
        <v>43</v>
      </c>
      <c r="L149" s="35"/>
      <c r="M149" s="35">
        <v>5</v>
      </c>
      <c r="N149" s="35" t="s">
        <v>262</v>
      </c>
      <c r="O149" s="35" t="s">
        <v>263</v>
      </c>
      <c r="P149" s="35" t="s">
        <v>52</v>
      </c>
      <c r="Q149" s="35"/>
      <c r="R149" s="35" t="s">
        <v>168</v>
      </c>
      <c r="S149" s="35" t="s">
        <v>198</v>
      </c>
      <c r="T149" s="35">
        <v>0</v>
      </c>
      <c r="U149" s="35" t="s">
        <v>264</v>
      </c>
      <c r="V149" s="35">
        <v>0</v>
      </c>
      <c r="W149" s="35" t="s">
        <v>265</v>
      </c>
      <c r="X149" s="35">
        <v>109000</v>
      </c>
      <c r="Y149" s="35">
        <v>4.99</v>
      </c>
      <c r="Z149" s="38">
        <v>8284.0726666666651</v>
      </c>
      <c r="AA149" s="38">
        <v>6812.5</v>
      </c>
      <c r="AB149" s="35" t="s">
        <v>95</v>
      </c>
      <c r="AC149" s="38">
        <v>95375</v>
      </c>
      <c r="AD149" s="38">
        <v>95375</v>
      </c>
      <c r="AE149" s="38">
        <v>0</v>
      </c>
      <c r="AF149" s="38">
        <v>0</v>
      </c>
      <c r="AG149" s="38">
        <v>0</v>
      </c>
      <c r="AH149" s="38">
        <v>0</v>
      </c>
      <c r="AI149" s="38">
        <v>0</v>
      </c>
      <c r="AJ149" s="38">
        <v>8285</v>
      </c>
      <c r="AK149" s="35" t="s">
        <v>1899</v>
      </c>
      <c r="AL149" s="35" t="s">
        <v>1603</v>
      </c>
      <c r="AM149" s="35" t="s">
        <v>1775</v>
      </c>
      <c r="AN149" s="35" t="s">
        <v>2164</v>
      </c>
      <c r="AO149" s="35">
        <v>14</v>
      </c>
      <c r="AP149" s="35">
        <v>16</v>
      </c>
      <c r="AQ149" s="35" t="s">
        <v>1803</v>
      </c>
      <c r="AR149" s="35" t="s">
        <v>1804</v>
      </c>
      <c r="AS149" s="35" t="s">
        <v>1805</v>
      </c>
      <c r="AT149" s="35" t="s">
        <v>1806</v>
      </c>
      <c r="AU149" s="35"/>
      <c r="AV149" s="35" t="s">
        <v>905</v>
      </c>
      <c r="AW149" s="35" t="s">
        <v>906</v>
      </c>
      <c r="AX149" s="35" t="s">
        <v>353</v>
      </c>
      <c r="AY149" s="35" t="s">
        <v>271</v>
      </c>
      <c r="AZ149" s="35" t="s">
        <v>1807</v>
      </c>
      <c r="BA149" s="35"/>
      <c r="BB149" s="35" t="s">
        <v>272</v>
      </c>
      <c r="BC149" s="35" t="s">
        <v>273</v>
      </c>
      <c r="BD149" s="35" t="s">
        <v>274</v>
      </c>
      <c r="BE149" s="35" t="s">
        <v>271</v>
      </c>
      <c r="BF149" s="35">
        <v>10900</v>
      </c>
      <c r="BG149" s="35"/>
      <c r="BH149" s="35">
        <v>0</v>
      </c>
      <c r="BI149" s="35">
        <v>0</v>
      </c>
      <c r="BJ149" s="35"/>
      <c r="BK149" s="35" t="s">
        <v>585</v>
      </c>
      <c r="BL149" s="35" t="s">
        <v>1808</v>
      </c>
      <c r="BM149" s="35"/>
      <c r="BN149" s="35"/>
      <c r="BO149" s="35"/>
    </row>
    <row r="150" spans="1:67" x14ac:dyDescent="0.3">
      <c r="A150" s="35" t="s">
        <v>49</v>
      </c>
      <c r="B150" s="35" t="s">
        <v>450</v>
      </c>
      <c r="C150" s="35" t="s">
        <v>451</v>
      </c>
      <c r="D150" s="35" t="s">
        <v>388</v>
      </c>
      <c r="E150" s="35" t="s">
        <v>170</v>
      </c>
      <c r="F150" s="35" t="s">
        <v>171</v>
      </c>
      <c r="G150" s="35" t="s">
        <v>189</v>
      </c>
      <c r="H150" s="35" t="s">
        <v>932</v>
      </c>
      <c r="I150" s="35"/>
      <c r="J150" s="35" t="s">
        <v>47</v>
      </c>
      <c r="K150" s="35" t="s">
        <v>43</v>
      </c>
      <c r="L150" s="35"/>
      <c r="M150" s="35">
        <v>6</v>
      </c>
      <c r="N150" s="35" t="s">
        <v>262</v>
      </c>
      <c r="O150" s="35" t="s">
        <v>263</v>
      </c>
      <c r="P150" s="35" t="s">
        <v>52</v>
      </c>
      <c r="Q150" s="35"/>
      <c r="R150" s="35" t="s">
        <v>197</v>
      </c>
      <c r="S150" s="35" t="s">
        <v>656</v>
      </c>
      <c r="T150" s="35">
        <v>0</v>
      </c>
      <c r="U150" s="35" t="s">
        <v>264</v>
      </c>
      <c r="V150" s="35">
        <v>0</v>
      </c>
      <c r="W150" s="35" t="s">
        <v>265</v>
      </c>
      <c r="X150" s="35">
        <v>116000</v>
      </c>
      <c r="Y150" s="35">
        <v>4.99</v>
      </c>
      <c r="Z150" s="38">
        <v>8816.0773333333345</v>
      </c>
      <c r="AA150" s="38">
        <v>7250</v>
      </c>
      <c r="AB150" s="35" t="s">
        <v>95</v>
      </c>
      <c r="AC150" s="38">
        <v>65250</v>
      </c>
      <c r="AD150" s="38">
        <v>65250</v>
      </c>
      <c r="AE150" s="38">
        <v>0</v>
      </c>
      <c r="AF150" s="38">
        <v>0</v>
      </c>
      <c r="AG150" s="38">
        <v>0</v>
      </c>
      <c r="AH150" s="38">
        <v>0</v>
      </c>
      <c r="AI150" s="38">
        <v>0</v>
      </c>
      <c r="AJ150" s="38">
        <v>8822</v>
      </c>
      <c r="AK150" s="35" t="s">
        <v>1884</v>
      </c>
      <c r="AL150" s="35" t="s">
        <v>832</v>
      </c>
      <c r="AM150" s="35" t="s">
        <v>948</v>
      </c>
      <c r="AN150" s="35" t="s">
        <v>2014</v>
      </c>
      <c r="AO150" s="35">
        <v>9</v>
      </c>
      <c r="AP150" s="35">
        <v>16</v>
      </c>
      <c r="AQ150" s="35" t="s">
        <v>956</v>
      </c>
      <c r="AR150" s="35" t="s">
        <v>957</v>
      </c>
      <c r="AS150" s="35" t="s">
        <v>958</v>
      </c>
      <c r="AT150" s="35" t="s">
        <v>959</v>
      </c>
      <c r="AU150" s="35"/>
      <c r="AV150" s="35" t="s">
        <v>960</v>
      </c>
      <c r="AW150" s="35" t="s">
        <v>961</v>
      </c>
      <c r="AX150" s="35" t="s">
        <v>962</v>
      </c>
      <c r="AY150" s="35" t="s">
        <v>338</v>
      </c>
      <c r="AZ150" s="35" t="s">
        <v>933</v>
      </c>
      <c r="BA150" s="35"/>
      <c r="BB150" s="35" t="s">
        <v>272</v>
      </c>
      <c r="BC150" s="35" t="s">
        <v>273</v>
      </c>
      <c r="BD150" s="35" t="s">
        <v>274</v>
      </c>
      <c r="BE150" s="35" t="s">
        <v>271</v>
      </c>
      <c r="BF150" s="35">
        <v>11600</v>
      </c>
      <c r="BG150" s="35"/>
      <c r="BH150" s="35">
        <v>0</v>
      </c>
      <c r="BI150" s="35">
        <v>0</v>
      </c>
      <c r="BJ150" s="35"/>
      <c r="BK150" s="35" t="s">
        <v>585</v>
      </c>
      <c r="BL150" s="35" t="s">
        <v>963</v>
      </c>
      <c r="BM150" s="35"/>
      <c r="BN150" s="35"/>
      <c r="BO150" s="35"/>
    </row>
    <row r="151" spans="1:67" x14ac:dyDescent="0.3">
      <c r="A151" s="35" t="s">
        <v>43</v>
      </c>
      <c r="B151" s="35" t="s">
        <v>44</v>
      </c>
      <c r="C151" s="35" t="s">
        <v>460</v>
      </c>
      <c r="D151" s="35" t="s">
        <v>396</v>
      </c>
      <c r="E151" s="35" t="s">
        <v>143</v>
      </c>
      <c r="F151" s="35" t="s">
        <v>144</v>
      </c>
      <c r="G151" s="35" t="s">
        <v>1476</v>
      </c>
      <c r="H151" s="35" t="s">
        <v>1103</v>
      </c>
      <c r="I151" s="35"/>
      <c r="J151" s="35" t="s">
        <v>47</v>
      </c>
      <c r="K151" s="35" t="s">
        <v>43</v>
      </c>
      <c r="L151" s="35"/>
      <c r="M151" s="35">
        <v>6</v>
      </c>
      <c r="N151" s="35" t="s">
        <v>262</v>
      </c>
      <c r="O151" s="35" t="s">
        <v>263</v>
      </c>
      <c r="P151" s="35" t="s">
        <v>52</v>
      </c>
      <c r="Q151" s="35"/>
      <c r="R151" s="35" t="s">
        <v>197</v>
      </c>
      <c r="S151" s="35" t="s">
        <v>127</v>
      </c>
      <c r="T151" s="35">
        <v>0</v>
      </c>
      <c r="U151" s="35" t="s">
        <v>264</v>
      </c>
      <c r="V151" s="35">
        <v>0</v>
      </c>
      <c r="W151" s="35" t="s">
        <v>265</v>
      </c>
      <c r="X151" s="35">
        <v>70000</v>
      </c>
      <c r="Y151" s="35">
        <v>4.99</v>
      </c>
      <c r="Z151" s="38">
        <v>5320.0466666666662</v>
      </c>
      <c r="AA151" s="38">
        <v>4375</v>
      </c>
      <c r="AB151" s="35" t="s">
        <v>95</v>
      </c>
      <c r="AC151" s="38">
        <v>52500</v>
      </c>
      <c r="AD151" s="38">
        <v>52500</v>
      </c>
      <c r="AE151" s="38">
        <v>0</v>
      </c>
      <c r="AF151" s="38">
        <v>0</v>
      </c>
      <c r="AG151" s="38">
        <v>0</v>
      </c>
      <c r="AH151" s="38">
        <v>0</v>
      </c>
      <c r="AI151" s="38">
        <v>0</v>
      </c>
      <c r="AJ151" s="38">
        <v>5325</v>
      </c>
      <c r="AK151" s="35" t="s">
        <v>1884</v>
      </c>
      <c r="AL151" s="35" t="s">
        <v>1275</v>
      </c>
      <c r="AM151" s="35" t="s">
        <v>1480</v>
      </c>
      <c r="AN151" s="35" t="s">
        <v>2014</v>
      </c>
      <c r="AO151" s="35">
        <v>12</v>
      </c>
      <c r="AP151" s="35">
        <v>16</v>
      </c>
      <c r="AQ151" s="35" t="s">
        <v>1497</v>
      </c>
      <c r="AR151" s="35" t="s">
        <v>1498</v>
      </c>
      <c r="AS151" s="35" t="s">
        <v>1499</v>
      </c>
      <c r="AT151" s="35" t="s">
        <v>1500</v>
      </c>
      <c r="AU151" s="35"/>
      <c r="AV151" s="35" t="s">
        <v>1501</v>
      </c>
      <c r="AW151" s="35" t="s">
        <v>1502</v>
      </c>
      <c r="AX151" s="35" t="s">
        <v>1503</v>
      </c>
      <c r="AY151" s="35" t="s">
        <v>271</v>
      </c>
      <c r="AZ151" s="35" t="s">
        <v>1504</v>
      </c>
      <c r="BA151" s="35"/>
      <c r="BB151" s="35" t="s">
        <v>272</v>
      </c>
      <c r="BC151" s="35" t="s">
        <v>273</v>
      </c>
      <c r="BD151" s="35" t="s">
        <v>274</v>
      </c>
      <c r="BE151" s="35" t="s">
        <v>271</v>
      </c>
      <c r="BF151" s="35">
        <v>7000</v>
      </c>
      <c r="BG151" s="35"/>
      <c r="BH151" s="35">
        <v>0</v>
      </c>
      <c r="BI151" s="35">
        <v>0</v>
      </c>
      <c r="BJ151" s="35"/>
      <c r="BK151" s="35" t="s">
        <v>585</v>
      </c>
      <c r="BL151" s="35" t="s">
        <v>1505</v>
      </c>
      <c r="BM151" s="35"/>
      <c r="BN151" s="35"/>
      <c r="BO151" s="35"/>
    </row>
    <row r="152" spans="1:67" x14ac:dyDescent="0.3">
      <c r="A152" s="35" t="s">
        <v>43</v>
      </c>
      <c r="B152" s="35" t="s">
        <v>44</v>
      </c>
      <c r="C152" s="35" t="s">
        <v>460</v>
      </c>
      <c r="D152" s="35" t="s">
        <v>396</v>
      </c>
      <c r="E152" s="35" t="s">
        <v>143</v>
      </c>
      <c r="F152" s="35" t="s">
        <v>144</v>
      </c>
      <c r="G152" s="35" t="s">
        <v>973</v>
      </c>
      <c r="H152" s="35" t="s">
        <v>881</v>
      </c>
      <c r="I152" s="35"/>
      <c r="J152" s="35" t="s">
        <v>47</v>
      </c>
      <c r="K152" s="35" t="s">
        <v>43</v>
      </c>
      <c r="L152" s="35"/>
      <c r="M152" s="35">
        <v>5</v>
      </c>
      <c r="N152" s="35" t="s">
        <v>262</v>
      </c>
      <c r="O152" s="35" t="s">
        <v>263</v>
      </c>
      <c r="P152" s="35" t="s">
        <v>52</v>
      </c>
      <c r="Q152" s="35"/>
      <c r="R152" s="35" t="s">
        <v>197</v>
      </c>
      <c r="S152" s="35" t="s">
        <v>185</v>
      </c>
      <c r="T152" s="35">
        <v>0</v>
      </c>
      <c r="U152" s="35" t="s">
        <v>264</v>
      </c>
      <c r="V152" s="35">
        <v>0</v>
      </c>
      <c r="W152" s="35" t="s">
        <v>265</v>
      </c>
      <c r="X152" s="35">
        <v>61000</v>
      </c>
      <c r="Y152" s="35">
        <v>4.99</v>
      </c>
      <c r="Z152" s="38">
        <v>4636.0406666666659</v>
      </c>
      <c r="AA152" s="38">
        <v>3812.5</v>
      </c>
      <c r="AB152" s="35" t="s">
        <v>95</v>
      </c>
      <c r="AC152" s="38">
        <v>34312.5</v>
      </c>
      <c r="AD152" s="38">
        <v>34312.5</v>
      </c>
      <c r="AE152" s="38">
        <v>0</v>
      </c>
      <c r="AF152" s="38">
        <v>0</v>
      </c>
      <c r="AG152" s="38">
        <v>0</v>
      </c>
      <c r="AH152" s="38">
        <v>0</v>
      </c>
      <c r="AI152" s="38">
        <v>0</v>
      </c>
      <c r="AJ152" s="38">
        <v>4637</v>
      </c>
      <c r="AK152" s="35" t="s">
        <v>1884</v>
      </c>
      <c r="AL152" s="35" t="s">
        <v>832</v>
      </c>
      <c r="AM152" s="35" t="s">
        <v>948</v>
      </c>
      <c r="AN152" s="35" t="s">
        <v>2014</v>
      </c>
      <c r="AO152" s="35">
        <v>9</v>
      </c>
      <c r="AP152" s="35">
        <v>16</v>
      </c>
      <c r="AQ152" s="35" t="s">
        <v>1064</v>
      </c>
      <c r="AR152" s="35" t="s">
        <v>1065</v>
      </c>
      <c r="AS152" s="35" t="s">
        <v>1066</v>
      </c>
      <c r="AT152" s="35" t="s">
        <v>1067</v>
      </c>
      <c r="AU152" s="35"/>
      <c r="AV152" s="35" t="s">
        <v>926</v>
      </c>
      <c r="AW152" s="35" t="s">
        <v>927</v>
      </c>
      <c r="AX152" s="35" t="s">
        <v>353</v>
      </c>
      <c r="AY152" s="35" t="s">
        <v>271</v>
      </c>
      <c r="AZ152" s="35" t="s">
        <v>974</v>
      </c>
      <c r="BA152" s="35"/>
      <c r="BB152" s="35" t="s">
        <v>272</v>
      </c>
      <c r="BC152" s="35" t="s">
        <v>273</v>
      </c>
      <c r="BD152" s="35" t="s">
        <v>274</v>
      </c>
      <c r="BE152" s="35" t="s">
        <v>271</v>
      </c>
      <c r="BF152" s="35">
        <v>6100</v>
      </c>
      <c r="BG152" s="35"/>
      <c r="BH152" s="35">
        <v>0</v>
      </c>
      <c r="BI152" s="35">
        <v>0</v>
      </c>
      <c r="BJ152" s="35"/>
      <c r="BK152" s="35" t="s">
        <v>585</v>
      </c>
      <c r="BL152" s="35" t="s">
        <v>1068</v>
      </c>
      <c r="BM152" s="35"/>
      <c r="BN152" s="35"/>
      <c r="BO152" s="35"/>
    </row>
    <row r="153" spans="1:67" x14ac:dyDescent="0.3">
      <c r="A153" s="35" t="s">
        <v>43</v>
      </c>
      <c r="B153" s="35" t="s">
        <v>44</v>
      </c>
      <c r="C153" s="35" t="s">
        <v>460</v>
      </c>
      <c r="D153" s="35" t="s">
        <v>396</v>
      </c>
      <c r="E153" s="35" t="s">
        <v>164</v>
      </c>
      <c r="F153" s="35" t="s">
        <v>165</v>
      </c>
      <c r="G153" s="35" t="s">
        <v>675</v>
      </c>
      <c r="H153" s="35" t="s">
        <v>676</v>
      </c>
      <c r="I153" s="35"/>
      <c r="J153" s="35" t="s">
        <v>47</v>
      </c>
      <c r="K153" s="35" t="s">
        <v>43</v>
      </c>
      <c r="L153" s="35"/>
      <c r="M153" s="35">
        <v>7</v>
      </c>
      <c r="N153" s="35" t="s">
        <v>262</v>
      </c>
      <c r="O153" s="35" t="s">
        <v>263</v>
      </c>
      <c r="P153" s="35" t="s">
        <v>52</v>
      </c>
      <c r="Q153" s="35"/>
      <c r="R153" s="35" t="s">
        <v>168</v>
      </c>
      <c r="S153" s="35" t="s">
        <v>160</v>
      </c>
      <c r="T153" s="35">
        <v>14</v>
      </c>
      <c r="U153" s="35" t="s">
        <v>1699</v>
      </c>
      <c r="V153" s="35">
        <v>2.7</v>
      </c>
      <c r="W153" s="35" t="s">
        <v>265</v>
      </c>
      <c r="X153" s="35">
        <v>140000</v>
      </c>
      <c r="Y153" s="35">
        <v>4.99</v>
      </c>
      <c r="Z153" s="38">
        <v>10640.0933333333</v>
      </c>
      <c r="AA153" s="38">
        <v>8750</v>
      </c>
      <c r="AB153" s="35" t="s">
        <v>95</v>
      </c>
      <c r="AC153" s="38">
        <v>84622.650000000009</v>
      </c>
      <c r="AD153" s="38">
        <v>61250</v>
      </c>
      <c r="AE153" s="38">
        <v>23372.65</v>
      </c>
      <c r="AF153" s="38">
        <v>3780.19</v>
      </c>
      <c r="AG153" s="38">
        <v>0</v>
      </c>
      <c r="AH153" s="38">
        <v>0</v>
      </c>
      <c r="AI153" s="38">
        <v>27152.84</v>
      </c>
      <c r="AJ153" s="38">
        <v>5050</v>
      </c>
      <c r="AK153" s="35" t="s">
        <v>1737</v>
      </c>
      <c r="AL153" s="35" t="s">
        <v>494</v>
      </c>
      <c r="AM153" s="35" t="s">
        <v>744</v>
      </c>
      <c r="AN153" s="35" t="s">
        <v>2164</v>
      </c>
      <c r="AO153" s="35">
        <v>7</v>
      </c>
      <c r="AP153" s="35">
        <v>16</v>
      </c>
      <c r="AQ153" s="35" t="s">
        <v>796</v>
      </c>
      <c r="AR153" s="35" t="s">
        <v>797</v>
      </c>
      <c r="AS153" s="35" t="s">
        <v>798</v>
      </c>
      <c r="AT153" s="35" t="s">
        <v>799</v>
      </c>
      <c r="AU153" s="35"/>
      <c r="AV153" s="35" t="s">
        <v>800</v>
      </c>
      <c r="AW153" s="35" t="s">
        <v>269</v>
      </c>
      <c r="AX153" s="35" t="s">
        <v>353</v>
      </c>
      <c r="AY153" s="35" t="s">
        <v>271</v>
      </c>
      <c r="AZ153" s="35" t="s">
        <v>677</v>
      </c>
      <c r="BA153" s="35"/>
      <c r="BB153" s="35" t="s">
        <v>272</v>
      </c>
      <c r="BC153" s="35" t="s">
        <v>273</v>
      </c>
      <c r="BD153" s="35" t="s">
        <v>274</v>
      </c>
      <c r="BE153" s="35" t="s">
        <v>271</v>
      </c>
      <c r="BF153" s="35">
        <v>14000</v>
      </c>
      <c r="BG153" s="35"/>
      <c r="BH153" s="35">
        <v>4</v>
      </c>
      <c r="BI153" s="35">
        <v>4</v>
      </c>
      <c r="BJ153" s="35"/>
      <c r="BK153" s="35" t="s">
        <v>585</v>
      </c>
      <c r="BL153" s="35" t="s">
        <v>801</v>
      </c>
      <c r="BM153" s="35"/>
      <c r="BN153" s="35"/>
      <c r="BO153" s="35"/>
    </row>
    <row r="154" spans="1:67" x14ac:dyDescent="0.3">
      <c r="A154" s="35" t="s">
        <v>43</v>
      </c>
      <c r="B154" s="35" t="s">
        <v>44</v>
      </c>
      <c r="C154" s="35" t="s">
        <v>467</v>
      </c>
      <c r="D154" s="35" t="s">
        <v>424</v>
      </c>
      <c r="E154" s="35" t="s">
        <v>39</v>
      </c>
      <c r="F154" s="35" t="s">
        <v>40</v>
      </c>
      <c r="G154" s="35" t="s">
        <v>817</v>
      </c>
      <c r="H154" s="35" t="s">
        <v>803</v>
      </c>
      <c r="I154" s="35"/>
      <c r="J154" s="35" t="s">
        <v>47</v>
      </c>
      <c r="K154" s="35" t="s">
        <v>43</v>
      </c>
      <c r="L154" s="35"/>
      <c r="M154" s="35">
        <v>7</v>
      </c>
      <c r="N154" s="35" t="s">
        <v>262</v>
      </c>
      <c r="O154" s="35" t="s">
        <v>263</v>
      </c>
      <c r="P154" s="35" t="s">
        <v>52</v>
      </c>
      <c r="Q154" s="35"/>
      <c r="R154" s="35" t="s">
        <v>197</v>
      </c>
      <c r="S154" s="35" t="s">
        <v>127</v>
      </c>
      <c r="T154" s="35">
        <v>0</v>
      </c>
      <c r="U154" s="35" t="s">
        <v>264</v>
      </c>
      <c r="V154" s="35">
        <v>0</v>
      </c>
      <c r="W154" s="35" t="s">
        <v>265</v>
      </c>
      <c r="X154" s="35">
        <v>110000</v>
      </c>
      <c r="Y154" s="35">
        <v>4.99</v>
      </c>
      <c r="Z154" s="38">
        <v>8360.0733333333337</v>
      </c>
      <c r="AA154" s="38">
        <v>6875</v>
      </c>
      <c r="AB154" s="35" t="s">
        <v>95</v>
      </c>
      <c r="AC154" s="38">
        <v>55000.020000000004</v>
      </c>
      <c r="AD154" s="38">
        <v>55000</v>
      </c>
      <c r="AE154" s="38">
        <v>0.02</v>
      </c>
      <c r="AF154" s="38">
        <v>0.01</v>
      </c>
      <c r="AG154" s="38">
        <v>0</v>
      </c>
      <c r="AH154" s="38">
        <v>0</v>
      </c>
      <c r="AI154" s="38">
        <v>0.03</v>
      </c>
      <c r="AJ154" s="38">
        <v>8360.07</v>
      </c>
      <c r="AK154" s="35" t="s">
        <v>1884</v>
      </c>
      <c r="AL154" s="35" t="s">
        <v>690</v>
      </c>
      <c r="AM154" s="35" t="s">
        <v>833</v>
      </c>
      <c r="AN154" s="35" t="s">
        <v>2014</v>
      </c>
      <c r="AO154" s="35">
        <v>8</v>
      </c>
      <c r="AP154" s="35">
        <v>16</v>
      </c>
      <c r="AQ154" s="35" t="s">
        <v>869</v>
      </c>
      <c r="AR154" s="35" t="s">
        <v>869</v>
      </c>
      <c r="AS154" s="35" t="s">
        <v>869</v>
      </c>
      <c r="AT154" s="35" t="s">
        <v>818</v>
      </c>
      <c r="AU154" s="35"/>
      <c r="AV154" s="35" t="s">
        <v>870</v>
      </c>
      <c r="AW154" s="35" t="s">
        <v>871</v>
      </c>
      <c r="AX154" s="35" t="s">
        <v>285</v>
      </c>
      <c r="AY154" s="35" t="s">
        <v>271</v>
      </c>
      <c r="AZ154" s="35" t="s">
        <v>818</v>
      </c>
      <c r="BA154" s="35"/>
      <c r="BB154" s="35" t="s">
        <v>272</v>
      </c>
      <c r="BC154" s="35" t="s">
        <v>273</v>
      </c>
      <c r="BD154" s="35" t="s">
        <v>274</v>
      </c>
      <c r="BE154" s="35" t="s">
        <v>271</v>
      </c>
      <c r="BF154" s="35">
        <v>11000</v>
      </c>
      <c r="BG154" s="35"/>
      <c r="BH154" s="35">
        <v>0</v>
      </c>
      <c r="BI154" s="35">
        <v>0</v>
      </c>
      <c r="BJ154" s="35"/>
      <c r="BK154" s="35" t="s">
        <v>585</v>
      </c>
      <c r="BL154" s="35" t="s">
        <v>872</v>
      </c>
      <c r="BM154" s="35"/>
      <c r="BN154" s="35"/>
      <c r="BO154" s="35"/>
    </row>
    <row r="155" spans="1:67" x14ac:dyDescent="0.3">
      <c r="A155" s="35" t="s">
        <v>43</v>
      </c>
      <c r="B155" s="35" t="s">
        <v>44</v>
      </c>
      <c r="C155" s="35" t="s">
        <v>467</v>
      </c>
      <c r="D155" s="35" t="s">
        <v>424</v>
      </c>
      <c r="E155" s="35" t="s">
        <v>189</v>
      </c>
      <c r="F155" s="35" t="s">
        <v>191</v>
      </c>
      <c r="G155" s="35" t="s">
        <v>850</v>
      </c>
      <c r="H155" s="35" t="s">
        <v>810</v>
      </c>
      <c r="I155" s="35"/>
      <c r="J155" s="35" t="s">
        <v>47</v>
      </c>
      <c r="K155" s="35" t="s">
        <v>43</v>
      </c>
      <c r="L155" s="35"/>
      <c r="M155" s="35">
        <v>7</v>
      </c>
      <c r="N155" s="35" t="s">
        <v>262</v>
      </c>
      <c r="O155" s="35" t="s">
        <v>263</v>
      </c>
      <c r="P155" s="35" t="s">
        <v>52</v>
      </c>
      <c r="Q155" s="35"/>
      <c r="R155" s="35" t="s">
        <v>197</v>
      </c>
      <c r="S155" s="35" t="s">
        <v>125</v>
      </c>
      <c r="T155" s="35">
        <v>1</v>
      </c>
      <c r="U155" s="35" t="s">
        <v>2043</v>
      </c>
      <c r="V155" s="35">
        <v>1</v>
      </c>
      <c r="W155" s="35" t="s">
        <v>265</v>
      </c>
      <c r="X155" s="35">
        <v>114000</v>
      </c>
      <c r="Y155" s="35">
        <v>4.99</v>
      </c>
      <c r="Z155" s="38">
        <v>8664.0760000000009</v>
      </c>
      <c r="AA155" s="38">
        <v>7125</v>
      </c>
      <c r="AB155" s="35" t="s">
        <v>95</v>
      </c>
      <c r="AC155" s="38">
        <v>64125</v>
      </c>
      <c r="AD155" s="38">
        <v>57000</v>
      </c>
      <c r="AE155" s="38">
        <v>7125</v>
      </c>
      <c r="AF155" s="38">
        <v>1539.05</v>
      </c>
      <c r="AG155" s="38">
        <v>0</v>
      </c>
      <c r="AH155" s="38">
        <v>0</v>
      </c>
      <c r="AI155" s="38">
        <v>8664.0499999999993</v>
      </c>
      <c r="AJ155" s="38">
        <v>8664.08</v>
      </c>
      <c r="AK155" s="35" t="s">
        <v>1698</v>
      </c>
      <c r="AL155" s="35" t="s">
        <v>690</v>
      </c>
      <c r="AM155" s="35" t="s">
        <v>833</v>
      </c>
      <c r="AN155" s="35" t="s">
        <v>2014</v>
      </c>
      <c r="AO155" s="35">
        <v>8</v>
      </c>
      <c r="AP155" s="35">
        <v>16</v>
      </c>
      <c r="AQ155" s="35" t="s">
        <v>631</v>
      </c>
      <c r="AR155" s="35" t="s">
        <v>631</v>
      </c>
      <c r="AS155" s="35" t="s">
        <v>631</v>
      </c>
      <c r="AT155" s="35" t="s">
        <v>873</v>
      </c>
      <c r="AU155" s="35"/>
      <c r="AV155" s="35" t="s">
        <v>874</v>
      </c>
      <c r="AW155" s="35" t="s">
        <v>875</v>
      </c>
      <c r="AX155" s="35" t="s">
        <v>285</v>
      </c>
      <c r="AY155" s="35" t="s">
        <v>271</v>
      </c>
      <c r="AZ155" s="35" t="s">
        <v>851</v>
      </c>
      <c r="BA155" s="35"/>
      <c r="BB155" s="35" t="s">
        <v>272</v>
      </c>
      <c r="BC155" s="35" t="s">
        <v>273</v>
      </c>
      <c r="BD155" s="35" t="s">
        <v>274</v>
      </c>
      <c r="BE155" s="35" t="s">
        <v>271</v>
      </c>
      <c r="BF155" s="35">
        <v>11400</v>
      </c>
      <c r="BG155" s="35"/>
      <c r="BH155" s="35">
        <v>1</v>
      </c>
      <c r="BI155" s="35">
        <v>1</v>
      </c>
      <c r="BJ155" s="35"/>
      <c r="BK155" s="35" t="s">
        <v>585</v>
      </c>
      <c r="BL155" s="35" t="s">
        <v>876</v>
      </c>
      <c r="BM155" s="35"/>
      <c r="BN155" s="35"/>
      <c r="BO155" s="35"/>
    </row>
    <row r="156" spans="1:67" x14ac:dyDescent="0.3">
      <c r="A156" s="35" t="s">
        <v>49</v>
      </c>
      <c r="B156" s="35" t="s">
        <v>450</v>
      </c>
      <c r="C156" s="35" t="s">
        <v>451</v>
      </c>
      <c r="D156" s="35" t="s">
        <v>388</v>
      </c>
      <c r="E156" s="35" t="s">
        <v>170</v>
      </c>
      <c r="F156" s="35" t="s">
        <v>171</v>
      </c>
      <c r="G156" s="35" t="s">
        <v>432</v>
      </c>
      <c r="H156" s="35" t="s">
        <v>399</v>
      </c>
      <c r="I156" s="35"/>
      <c r="J156" s="35" t="s">
        <v>47</v>
      </c>
      <c r="K156" s="35" t="s">
        <v>43</v>
      </c>
      <c r="L156" s="35"/>
      <c r="M156" s="35">
        <v>5</v>
      </c>
      <c r="N156" s="35" t="s">
        <v>262</v>
      </c>
      <c r="O156" s="35" t="s">
        <v>263</v>
      </c>
      <c r="P156" s="35" t="s">
        <v>52</v>
      </c>
      <c r="Q156" s="35"/>
      <c r="R156" s="35" t="s">
        <v>197</v>
      </c>
      <c r="S156" s="35" t="s">
        <v>147</v>
      </c>
      <c r="T156" s="35">
        <v>0</v>
      </c>
      <c r="U156" s="35" t="s">
        <v>264</v>
      </c>
      <c r="V156" s="35">
        <v>0</v>
      </c>
      <c r="W156" s="35" t="s">
        <v>265</v>
      </c>
      <c r="X156" s="35">
        <v>77000</v>
      </c>
      <c r="Y156" s="35">
        <v>4.99</v>
      </c>
      <c r="Z156" s="38">
        <v>5852.0513333333329</v>
      </c>
      <c r="AA156" s="38">
        <v>4812.5</v>
      </c>
      <c r="AB156" s="35" t="s">
        <v>95</v>
      </c>
      <c r="AC156" s="38">
        <v>28875.48</v>
      </c>
      <c r="AD156" s="38">
        <v>28875</v>
      </c>
      <c r="AE156" s="38">
        <v>0.48</v>
      </c>
      <c r="AF156" s="38">
        <v>0</v>
      </c>
      <c r="AG156" s="38">
        <v>0</v>
      </c>
      <c r="AH156" s="38">
        <v>0</v>
      </c>
      <c r="AI156" s="38">
        <v>0.48</v>
      </c>
      <c r="AJ156" s="38">
        <v>5852</v>
      </c>
      <c r="AK156" s="35" t="s">
        <v>1884</v>
      </c>
      <c r="AL156" s="35" t="s">
        <v>326</v>
      </c>
      <c r="AM156" s="35" t="s">
        <v>477</v>
      </c>
      <c r="AN156" s="35" t="s">
        <v>2014</v>
      </c>
      <c r="AO156" s="35">
        <v>6</v>
      </c>
      <c r="AP156" s="35">
        <v>16</v>
      </c>
      <c r="AQ156" s="35" t="s">
        <v>478</v>
      </c>
      <c r="AR156" s="35" t="s">
        <v>479</v>
      </c>
      <c r="AS156" s="35" t="s">
        <v>480</v>
      </c>
      <c r="AT156" s="35" t="s">
        <v>481</v>
      </c>
      <c r="AU156" s="35"/>
      <c r="AV156" s="35" t="s">
        <v>482</v>
      </c>
      <c r="AW156" s="35" t="s">
        <v>483</v>
      </c>
      <c r="AX156" s="35" t="s">
        <v>484</v>
      </c>
      <c r="AY156" s="35" t="s">
        <v>338</v>
      </c>
      <c r="AZ156" s="35" t="s">
        <v>433</v>
      </c>
      <c r="BA156" s="35"/>
      <c r="BB156" s="35" t="s">
        <v>272</v>
      </c>
      <c r="BC156" s="35" t="s">
        <v>273</v>
      </c>
      <c r="BD156" s="35" t="s">
        <v>274</v>
      </c>
      <c r="BE156" s="35" t="s">
        <v>271</v>
      </c>
      <c r="BF156" s="35">
        <v>7700</v>
      </c>
      <c r="BG156" s="35"/>
      <c r="BH156" s="35">
        <v>0</v>
      </c>
      <c r="BI156" s="35">
        <v>0</v>
      </c>
      <c r="BJ156" s="35"/>
      <c r="BK156" s="35" t="s">
        <v>448</v>
      </c>
      <c r="BL156" s="35" t="s">
        <v>485</v>
      </c>
      <c r="BM156" s="35"/>
      <c r="BN156" s="35"/>
      <c r="BO156" s="35"/>
    </row>
    <row r="157" spans="1:67" x14ac:dyDescent="0.3">
      <c r="A157" s="35" t="s">
        <v>43</v>
      </c>
      <c r="B157" s="35" t="s">
        <v>44</v>
      </c>
      <c r="C157" s="35" t="s">
        <v>460</v>
      </c>
      <c r="D157" s="35" t="s">
        <v>396</v>
      </c>
      <c r="E157" s="35" t="s">
        <v>501</v>
      </c>
      <c r="F157" s="35" t="s">
        <v>502</v>
      </c>
      <c r="G157" s="35" t="s">
        <v>503</v>
      </c>
      <c r="H157" s="35" t="s">
        <v>429</v>
      </c>
      <c r="I157" s="35"/>
      <c r="J157" s="35" t="s">
        <v>47</v>
      </c>
      <c r="K157" s="35" t="s">
        <v>43</v>
      </c>
      <c r="L157" s="35"/>
      <c r="M157" s="35">
        <v>5</v>
      </c>
      <c r="N157" s="35" t="s">
        <v>262</v>
      </c>
      <c r="O157" s="35" t="s">
        <v>263</v>
      </c>
      <c r="P157" s="35" t="s">
        <v>52</v>
      </c>
      <c r="Q157" s="35"/>
      <c r="R157" s="35" t="s">
        <v>126</v>
      </c>
      <c r="S157" s="35" t="s">
        <v>505</v>
      </c>
      <c r="T157" s="35">
        <v>0</v>
      </c>
      <c r="U157" s="35" t="s">
        <v>264</v>
      </c>
      <c r="V157" s="35">
        <v>0</v>
      </c>
      <c r="W157" s="35" t="s">
        <v>265</v>
      </c>
      <c r="X157" s="35">
        <v>70000</v>
      </c>
      <c r="Y157" s="35">
        <v>4.99</v>
      </c>
      <c r="Z157" s="38">
        <v>5320.0466666666662</v>
      </c>
      <c r="AA157" s="38">
        <v>4375</v>
      </c>
      <c r="AB157" s="35" t="s">
        <v>95</v>
      </c>
      <c r="AC157" s="38">
        <v>24375</v>
      </c>
      <c r="AD157" s="38">
        <v>24375</v>
      </c>
      <c r="AE157" s="38">
        <v>0</v>
      </c>
      <c r="AF157" s="38">
        <v>0</v>
      </c>
      <c r="AG157" s="38">
        <v>0</v>
      </c>
      <c r="AH157" s="38">
        <v>0</v>
      </c>
      <c r="AI157" s="38">
        <v>0</v>
      </c>
      <c r="AJ157" s="38">
        <v>5324</v>
      </c>
      <c r="AK157" s="35" t="s">
        <v>1925</v>
      </c>
      <c r="AL157" s="35" t="s">
        <v>387</v>
      </c>
      <c r="AM157" s="35" t="s">
        <v>508</v>
      </c>
      <c r="AN157" s="35" t="s">
        <v>1965</v>
      </c>
      <c r="AO157" s="35">
        <v>7</v>
      </c>
      <c r="AP157" s="35">
        <v>16</v>
      </c>
      <c r="AQ157" s="35" t="s">
        <v>549</v>
      </c>
      <c r="AR157" s="35" t="s">
        <v>550</v>
      </c>
      <c r="AS157" s="35" t="s">
        <v>551</v>
      </c>
      <c r="AT157" s="35" t="s">
        <v>552</v>
      </c>
      <c r="AU157" s="35"/>
      <c r="AV157" s="35" t="s">
        <v>553</v>
      </c>
      <c r="AW157" s="35" t="s">
        <v>554</v>
      </c>
      <c r="AX157" s="35" t="s">
        <v>555</v>
      </c>
      <c r="AY157" s="35" t="s">
        <v>271</v>
      </c>
      <c r="AZ157" s="35" t="s">
        <v>504</v>
      </c>
      <c r="BA157" s="35"/>
      <c r="BB157" s="35" t="s">
        <v>272</v>
      </c>
      <c r="BC157" s="35" t="s">
        <v>273</v>
      </c>
      <c r="BD157" s="35" t="s">
        <v>274</v>
      </c>
      <c r="BE157" s="35" t="s">
        <v>271</v>
      </c>
      <c r="BF157" s="35">
        <v>7000</v>
      </c>
      <c r="BG157" s="35"/>
      <c r="BH157" s="35">
        <v>0</v>
      </c>
      <c r="BI157" s="35">
        <v>0</v>
      </c>
      <c r="BJ157" s="35"/>
      <c r="BK157" s="35" t="s">
        <v>556</v>
      </c>
      <c r="BL157" s="35" t="s">
        <v>557</v>
      </c>
      <c r="BM157" s="35"/>
      <c r="BN157" s="35"/>
      <c r="BO157" s="35"/>
    </row>
    <row r="158" spans="1:67" x14ac:dyDescent="0.3">
      <c r="A158" s="35" t="s">
        <v>43</v>
      </c>
      <c r="B158" s="35" t="s">
        <v>44</v>
      </c>
      <c r="C158" s="35" t="s">
        <v>467</v>
      </c>
      <c r="D158" s="35" t="s">
        <v>424</v>
      </c>
      <c r="E158" s="35" t="s">
        <v>189</v>
      </c>
      <c r="F158" s="35" t="s">
        <v>191</v>
      </c>
      <c r="G158" s="35" t="s">
        <v>1140</v>
      </c>
      <c r="H158" s="35" t="s">
        <v>1130</v>
      </c>
      <c r="I158" s="35"/>
      <c r="J158" s="35" t="s">
        <v>47</v>
      </c>
      <c r="K158" s="35" t="s">
        <v>43</v>
      </c>
      <c r="L158" s="35"/>
      <c r="M158" s="35">
        <v>5</v>
      </c>
      <c r="N158" s="35" t="s">
        <v>262</v>
      </c>
      <c r="O158" s="35" t="s">
        <v>263</v>
      </c>
      <c r="P158" s="35" t="s">
        <v>52</v>
      </c>
      <c r="Q158" s="35"/>
      <c r="R158" s="35" t="s">
        <v>168</v>
      </c>
      <c r="S158" s="35" t="s">
        <v>198</v>
      </c>
      <c r="T158" s="35">
        <v>0</v>
      </c>
      <c r="U158" s="35" t="s">
        <v>264</v>
      </c>
      <c r="V158" s="35">
        <v>0</v>
      </c>
      <c r="W158" s="35" t="s">
        <v>265</v>
      </c>
      <c r="X158" s="35">
        <v>55000</v>
      </c>
      <c r="Y158" s="35">
        <v>4.99</v>
      </c>
      <c r="Z158" s="38">
        <v>4180.036666666666</v>
      </c>
      <c r="AA158" s="38">
        <v>3437.5</v>
      </c>
      <c r="AB158" s="35" t="s">
        <v>95</v>
      </c>
      <c r="AC158" s="38">
        <v>34375.01</v>
      </c>
      <c r="AD158" s="38">
        <v>34375</v>
      </c>
      <c r="AE158" s="38">
        <v>0.01</v>
      </c>
      <c r="AF158" s="38">
        <v>0</v>
      </c>
      <c r="AG158" s="38">
        <v>0</v>
      </c>
      <c r="AH158" s="38">
        <v>0</v>
      </c>
      <c r="AI158" s="38">
        <v>0.01</v>
      </c>
      <c r="AJ158" s="38">
        <v>4180.04</v>
      </c>
      <c r="AK158" s="35" t="s">
        <v>1899</v>
      </c>
      <c r="AL158" s="35" t="s">
        <v>985</v>
      </c>
      <c r="AM158" s="35" t="s">
        <v>1148</v>
      </c>
      <c r="AN158" s="35" t="s">
        <v>2164</v>
      </c>
      <c r="AO158" s="35">
        <v>10</v>
      </c>
      <c r="AP158" s="35">
        <v>16</v>
      </c>
      <c r="AQ158" s="35" t="s">
        <v>1149</v>
      </c>
      <c r="AR158" s="35" t="s">
        <v>1149</v>
      </c>
      <c r="AS158" s="35" t="s">
        <v>1149</v>
      </c>
      <c r="AT158" s="35" t="s">
        <v>1153</v>
      </c>
      <c r="AU158" s="35"/>
      <c r="AV158" s="35" t="s">
        <v>1154</v>
      </c>
      <c r="AW158" s="35" t="s">
        <v>1155</v>
      </c>
      <c r="AX158" s="35" t="s">
        <v>313</v>
      </c>
      <c r="AY158" s="35" t="s">
        <v>271</v>
      </c>
      <c r="AZ158" s="35" t="s">
        <v>1141</v>
      </c>
      <c r="BA158" s="35"/>
      <c r="BB158" s="35" t="s">
        <v>272</v>
      </c>
      <c r="BC158" s="35" t="s">
        <v>273</v>
      </c>
      <c r="BD158" s="35" t="s">
        <v>274</v>
      </c>
      <c r="BE158" s="35" t="s">
        <v>271</v>
      </c>
      <c r="BF158" s="35">
        <v>5500</v>
      </c>
      <c r="BG158" s="35"/>
      <c r="BH158" s="35">
        <v>0</v>
      </c>
      <c r="BI158" s="35">
        <v>0</v>
      </c>
      <c r="BJ158" s="35"/>
      <c r="BK158" s="35" t="s">
        <v>585</v>
      </c>
      <c r="BL158" s="35" t="s">
        <v>1156</v>
      </c>
      <c r="BM158" s="35"/>
      <c r="BN158" s="35"/>
      <c r="BO158" s="35"/>
    </row>
    <row r="159" spans="1:67" x14ac:dyDescent="0.3">
      <c r="A159" s="35" t="s">
        <v>43</v>
      </c>
      <c r="B159" s="35" t="s">
        <v>44</v>
      </c>
      <c r="C159" s="35" t="s">
        <v>467</v>
      </c>
      <c r="D159" s="35" t="s">
        <v>424</v>
      </c>
      <c r="E159" s="35" t="s">
        <v>189</v>
      </c>
      <c r="F159" s="35" t="s">
        <v>191</v>
      </c>
      <c r="G159" s="35" t="s">
        <v>1913</v>
      </c>
      <c r="H159" s="35" t="s">
        <v>1914</v>
      </c>
      <c r="I159" s="35"/>
      <c r="J159" s="35" t="s">
        <v>47</v>
      </c>
      <c r="K159" s="35" t="s">
        <v>43</v>
      </c>
      <c r="L159" s="35"/>
      <c r="M159" s="35">
        <v>5</v>
      </c>
      <c r="N159" s="35" t="s">
        <v>262</v>
      </c>
      <c r="O159" s="35" t="s">
        <v>263</v>
      </c>
      <c r="P159" s="35" t="s">
        <v>52</v>
      </c>
      <c r="Q159" s="35"/>
      <c r="R159" s="35" t="s">
        <v>168</v>
      </c>
      <c r="S159" s="35" t="s">
        <v>1918</v>
      </c>
      <c r="T159" s="35">
        <v>0</v>
      </c>
      <c r="U159" s="35" t="s">
        <v>264</v>
      </c>
      <c r="V159" s="35">
        <v>0</v>
      </c>
      <c r="W159" s="35" t="s">
        <v>265</v>
      </c>
      <c r="X159" s="35">
        <v>100000</v>
      </c>
      <c r="Y159" s="35">
        <v>4.99</v>
      </c>
      <c r="Z159" s="38">
        <v>7600.0666666666657</v>
      </c>
      <c r="AA159" s="38">
        <v>6250</v>
      </c>
      <c r="AB159" s="35" t="s">
        <v>95</v>
      </c>
      <c r="AC159" s="38">
        <v>93750</v>
      </c>
      <c r="AD159" s="38">
        <v>93750</v>
      </c>
      <c r="AE159" s="38">
        <v>0</v>
      </c>
      <c r="AF159" s="38">
        <v>0</v>
      </c>
      <c r="AG159" s="38">
        <v>0</v>
      </c>
      <c r="AH159" s="38">
        <v>0</v>
      </c>
      <c r="AI159" s="38">
        <v>0</v>
      </c>
      <c r="AJ159" s="38">
        <v>7600.07</v>
      </c>
      <c r="AK159" s="35" t="s">
        <v>1899</v>
      </c>
      <c r="AL159" s="35" t="s">
        <v>1925</v>
      </c>
      <c r="AM159" s="35" t="s">
        <v>1926</v>
      </c>
      <c r="AN159" s="35" t="s">
        <v>2164</v>
      </c>
      <c r="AO159" s="35">
        <v>15</v>
      </c>
      <c r="AP159" s="35">
        <v>16</v>
      </c>
      <c r="AQ159" s="35" t="s">
        <v>1149</v>
      </c>
      <c r="AR159" s="35" t="s">
        <v>1149</v>
      </c>
      <c r="AS159" s="35" t="s">
        <v>1149</v>
      </c>
      <c r="AT159" s="35" t="s">
        <v>1951</v>
      </c>
      <c r="AU159" s="35"/>
      <c r="AV159" s="35" t="s">
        <v>1952</v>
      </c>
      <c r="AW159" s="35" t="s">
        <v>1953</v>
      </c>
      <c r="AX159" s="35" t="s">
        <v>1954</v>
      </c>
      <c r="AY159" s="35" t="s">
        <v>271</v>
      </c>
      <c r="AZ159" s="35" t="s">
        <v>1917</v>
      </c>
      <c r="BA159" s="35"/>
      <c r="BB159" s="35" t="s">
        <v>272</v>
      </c>
      <c r="BC159" s="35" t="s">
        <v>273</v>
      </c>
      <c r="BD159" s="35" t="s">
        <v>274</v>
      </c>
      <c r="BE159" s="35" t="s">
        <v>271</v>
      </c>
      <c r="BF159" s="35">
        <v>10000</v>
      </c>
      <c r="BG159" s="35"/>
      <c r="BH159" s="35">
        <v>0</v>
      </c>
      <c r="BI159" s="35">
        <v>0</v>
      </c>
      <c r="BJ159" s="35"/>
      <c r="BK159" s="35" t="s">
        <v>585</v>
      </c>
      <c r="BL159" s="35" t="s">
        <v>1955</v>
      </c>
      <c r="BM159" s="35"/>
      <c r="BN159" s="35"/>
      <c r="BO159" s="35"/>
    </row>
    <row r="160" spans="1:67" x14ac:dyDescent="0.3">
      <c r="A160" s="35" t="s">
        <v>43</v>
      </c>
      <c r="B160" s="35" t="s">
        <v>44</v>
      </c>
      <c r="C160" s="35" t="s">
        <v>460</v>
      </c>
      <c r="D160" s="35" t="s">
        <v>396</v>
      </c>
      <c r="E160" s="35" t="s">
        <v>164</v>
      </c>
      <c r="F160" s="35" t="s">
        <v>165</v>
      </c>
      <c r="G160" s="35" t="s">
        <v>977</v>
      </c>
      <c r="H160" s="35" t="s">
        <v>940</v>
      </c>
      <c r="I160" s="35"/>
      <c r="J160" s="35" t="s">
        <v>47</v>
      </c>
      <c r="K160" s="35" t="s">
        <v>43</v>
      </c>
      <c r="L160" s="35"/>
      <c r="M160" s="35">
        <v>10</v>
      </c>
      <c r="N160" s="35" t="s">
        <v>262</v>
      </c>
      <c r="O160" s="35" t="s">
        <v>263</v>
      </c>
      <c r="P160" s="35" t="s">
        <v>52</v>
      </c>
      <c r="Q160" s="35"/>
      <c r="R160" s="35" t="s">
        <v>168</v>
      </c>
      <c r="S160" s="35" t="s">
        <v>147</v>
      </c>
      <c r="T160" s="35">
        <v>0</v>
      </c>
      <c r="U160" s="35" t="s">
        <v>264</v>
      </c>
      <c r="V160" s="35">
        <v>0</v>
      </c>
      <c r="W160" s="35" t="s">
        <v>265</v>
      </c>
      <c r="X160" s="35">
        <v>142000</v>
      </c>
      <c r="Y160" s="35">
        <v>4.99</v>
      </c>
      <c r="Z160" s="38">
        <v>10792.094666666701</v>
      </c>
      <c r="AA160" s="38">
        <v>8875</v>
      </c>
      <c r="AB160" s="35" t="s">
        <v>95</v>
      </c>
      <c r="AC160" s="38">
        <v>79875</v>
      </c>
      <c r="AD160" s="38">
        <v>79875</v>
      </c>
      <c r="AE160" s="38">
        <v>0</v>
      </c>
      <c r="AF160" s="38">
        <v>0</v>
      </c>
      <c r="AG160" s="38">
        <v>0</v>
      </c>
      <c r="AH160" s="38">
        <v>0</v>
      </c>
      <c r="AI160" s="38">
        <v>0</v>
      </c>
      <c r="AJ160" s="38">
        <v>10805</v>
      </c>
      <c r="AK160" s="35" t="s">
        <v>1898</v>
      </c>
      <c r="AL160" s="35" t="s">
        <v>854</v>
      </c>
      <c r="AM160" s="35" t="s">
        <v>991</v>
      </c>
      <c r="AN160" s="35" t="s">
        <v>2164</v>
      </c>
      <c r="AO160" s="35">
        <v>9</v>
      </c>
      <c r="AP160" s="35">
        <v>16</v>
      </c>
      <c r="AQ160" s="35" t="s">
        <v>1076</v>
      </c>
      <c r="AR160" s="35" t="s">
        <v>1077</v>
      </c>
      <c r="AS160" s="35" t="s">
        <v>1078</v>
      </c>
      <c r="AT160" s="35" t="s">
        <v>1079</v>
      </c>
      <c r="AU160" s="35"/>
      <c r="AV160" s="35" t="s">
        <v>1080</v>
      </c>
      <c r="AW160" s="35" t="s">
        <v>1081</v>
      </c>
      <c r="AX160" s="35" t="s">
        <v>353</v>
      </c>
      <c r="AY160" s="35" t="s">
        <v>271</v>
      </c>
      <c r="AZ160" s="35"/>
      <c r="BA160" s="35"/>
      <c r="BB160" s="35" t="s">
        <v>272</v>
      </c>
      <c r="BC160" s="35" t="s">
        <v>273</v>
      </c>
      <c r="BD160" s="35" t="s">
        <v>274</v>
      </c>
      <c r="BE160" s="35" t="s">
        <v>271</v>
      </c>
      <c r="BF160" s="35">
        <v>14200</v>
      </c>
      <c r="BG160" s="35"/>
      <c r="BH160" s="35">
        <v>0</v>
      </c>
      <c r="BI160" s="35">
        <v>0</v>
      </c>
      <c r="BJ160" s="35"/>
      <c r="BK160" s="35" t="s">
        <v>585</v>
      </c>
      <c r="BL160" s="35" t="s">
        <v>1082</v>
      </c>
      <c r="BM160" s="35"/>
      <c r="BN160" s="35"/>
      <c r="BO160" s="35"/>
    </row>
    <row r="161" spans="1:67" x14ac:dyDescent="0.3">
      <c r="A161" s="35" t="s">
        <v>43</v>
      </c>
      <c r="B161" s="35" t="s">
        <v>44</v>
      </c>
      <c r="C161" s="35" t="s">
        <v>41</v>
      </c>
      <c r="D161" s="35" t="s">
        <v>42</v>
      </c>
      <c r="E161" s="35" t="s">
        <v>663</v>
      </c>
      <c r="F161" s="35" t="s">
        <v>664</v>
      </c>
      <c r="G161" s="35" t="s">
        <v>1809</v>
      </c>
      <c r="H161" s="35" t="s">
        <v>1810</v>
      </c>
      <c r="I161" s="35"/>
      <c r="J161" s="35" t="s">
        <v>47</v>
      </c>
      <c r="K161" s="35" t="s">
        <v>47</v>
      </c>
      <c r="L161" s="35"/>
      <c r="M161" s="35">
        <v>8</v>
      </c>
      <c r="N161" s="35" t="s">
        <v>262</v>
      </c>
      <c r="O161" s="35" t="s">
        <v>263</v>
      </c>
      <c r="P161" s="35" t="s">
        <v>52</v>
      </c>
      <c r="Q161" s="35"/>
      <c r="R161" s="35" t="s">
        <v>168</v>
      </c>
      <c r="S161" s="35" t="s">
        <v>185</v>
      </c>
      <c r="T161" s="35">
        <v>0</v>
      </c>
      <c r="U161" s="35" t="s">
        <v>264</v>
      </c>
      <c r="V161" s="35">
        <v>0</v>
      </c>
      <c r="W161" s="35" t="s">
        <v>265</v>
      </c>
      <c r="X161" s="35">
        <v>115000</v>
      </c>
      <c r="Y161" s="35">
        <v>4.99</v>
      </c>
      <c r="Z161" s="38">
        <v>8740.0766666666659</v>
      </c>
      <c r="AA161" s="38">
        <v>7187.5</v>
      </c>
      <c r="AB161" s="35" t="s">
        <v>95</v>
      </c>
      <c r="AC161" s="38">
        <v>100625</v>
      </c>
      <c r="AD161" s="38">
        <v>100625</v>
      </c>
      <c r="AE161" s="38">
        <v>0</v>
      </c>
      <c r="AF161" s="38">
        <v>0</v>
      </c>
      <c r="AG161" s="38">
        <v>0</v>
      </c>
      <c r="AH161" s="38">
        <v>0</v>
      </c>
      <c r="AI161" s="38">
        <v>0</v>
      </c>
      <c r="AJ161" s="38">
        <v>8741</v>
      </c>
      <c r="AK161" s="35" t="s">
        <v>1899</v>
      </c>
      <c r="AL161" s="35" t="s">
        <v>1603</v>
      </c>
      <c r="AM161" s="35" t="s">
        <v>1775</v>
      </c>
      <c r="AN161" s="35" t="s">
        <v>2164</v>
      </c>
      <c r="AO161" s="35">
        <v>14</v>
      </c>
      <c r="AP161" s="35">
        <v>16</v>
      </c>
      <c r="AQ161" s="35" t="s">
        <v>1811</v>
      </c>
      <c r="AR161" s="35" t="s">
        <v>1812</v>
      </c>
      <c r="AS161" s="35" t="s">
        <v>1813</v>
      </c>
      <c r="AT161" s="35" t="s">
        <v>1814</v>
      </c>
      <c r="AU161" s="35"/>
      <c r="AV161" s="35" t="s">
        <v>1815</v>
      </c>
      <c r="AW161" s="35" t="s">
        <v>584</v>
      </c>
      <c r="AX161" s="35" t="s">
        <v>555</v>
      </c>
      <c r="AY161" s="35" t="s">
        <v>271</v>
      </c>
      <c r="AZ161" s="35"/>
      <c r="BA161" s="35"/>
      <c r="BB161" s="35" t="s">
        <v>272</v>
      </c>
      <c r="BC161" s="35" t="s">
        <v>273</v>
      </c>
      <c r="BD161" s="35" t="s">
        <v>274</v>
      </c>
      <c r="BE161" s="35" t="s">
        <v>271</v>
      </c>
      <c r="BF161" s="35">
        <v>11500</v>
      </c>
      <c r="BG161" s="35"/>
      <c r="BH161" s="35">
        <v>0</v>
      </c>
      <c r="BI161" s="35">
        <v>0</v>
      </c>
      <c r="BJ161" s="35"/>
      <c r="BK161" s="35" t="s">
        <v>585</v>
      </c>
      <c r="BL161" s="35" t="s">
        <v>1816</v>
      </c>
      <c r="BM161" s="35"/>
      <c r="BN161" s="35"/>
      <c r="BO161" s="35"/>
    </row>
    <row r="162" spans="1:67" x14ac:dyDescent="0.3">
      <c r="A162" s="35" t="s">
        <v>43</v>
      </c>
      <c r="B162" s="35" t="s">
        <v>44</v>
      </c>
      <c r="C162" s="35" t="s">
        <v>460</v>
      </c>
      <c r="D162" s="35" t="s">
        <v>396</v>
      </c>
      <c r="E162" s="35" t="s">
        <v>143</v>
      </c>
      <c r="F162" s="35" t="s">
        <v>144</v>
      </c>
      <c r="G162" s="35" t="s">
        <v>194</v>
      </c>
      <c r="H162" s="35" t="s">
        <v>104</v>
      </c>
      <c r="I162" s="35"/>
      <c r="J162" s="35" t="s">
        <v>47</v>
      </c>
      <c r="K162" s="35" t="s">
        <v>297</v>
      </c>
      <c r="L162" s="35"/>
      <c r="M162" s="35">
        <v>6</v>
      </c>
      <c r="N162" s="35" t="s">
        <v>262</v>
      </c>
      <c r="O162" s="35" t="s">
        <v>263</v>
      </c>
      <c r="P162" s="35" t="s">
        <v>52</v>
      </c>
      <c r="Q162" s="35"/>
      <c r="R162" s="35" t="s">
        <v>197</v>
      </c>
      <c r="S162" s="35" t="s">
        <v>200</v>
      </c>
      <c r="T162" s="35">
        <v>0</v>
      </c>
      <c r="U162" s="35" t="s">
        <v>264</v>
      </c>
      <c r="V162" s="35">
        <v>0</v>
      </c>
      <c r="W162" s="35" t="s">
        <v>265</v>
      </c>
      <c r="X162" s="35">
        <v>60000</v>
      </c>
      <c r="Y162" s="35">
        <v>4.99</v>
      </c>
      <c r="Z162" s="38">
        <v>4560.04</v>
      </c>
      <c r="AA162" s="38">
        <v>3750</v>
      </c>
      <c r="AB162" s="35" t="s">
        <v>95</v>
      </c>
      <c r="AC162" s="38">
        <v>18750</v>
      </c>
      <c r="AD162" s="38">
        <v>18750</v>
      </c>
      <c r="AE162" s="38">
        <v>0</v>
      </c>
      <c r="AF162" s="38">
        <v>0</v>
      </c>
      <c r="AG162" s="38">
        <v>0</v>
      </c>
      <c r="AH162" s="38">
        <v>0</v>
      </c>
      <c r="AI162" s="38">
        <v>0</v>
      </c>
      <c r="AJ162" s="38">
        <v>4560</v>
      </c>
      <c r="AK162" s="35" t="s">
        <v>1843</v>
      </c>
      <c r="AL162" s="35" t="s">
        <v>324</v>
      </c>
      <c r="AM162" s="35" t="s">
        <v>325</v>
      </c>
      <c r="AN162" s="35" t="s">
        <v>2014</v>
      </c>
      <c r="AO162" s="35">
        <v>5</v>
      </c>
      <c r="AP162" s="35">
        <v>16</v>
      </c>
      <c r="AQ162" s="35" t="s">
        <v>379</v>
      </c>
      <c r="AR162" s="35" t="s">
        <v>380</v>
      </c>
      <c r="AS162" s="35" t="s">
        <v>381</v>
      </c>
      <c r="AT162" s="35" t="s">
        <v>382</v>
      </c>
      <c r="AU162" s="35"/>
      <c r="AV162" s="35" t="s">
        <v>383</v>
      </c>
      <c r="AW162" s="35" t="s">
        <v>384</v>
      </c>
      <c r="AX162" s="35" t="s">
        <v>385</v>
      </c>
      <c r="AY162" s="35" t="s">
        <v>271</v>
      </c>
      <c r="AZ162" s="35" t="s">
        <v>742</v>
      </c>
      <c r="BA162" s="35"/>
      <c r="BB162" s="35" t="s">
        <v>272</v>
      </c>
      <c r="BC162" s="35" t="s">
        <v>273</v>
      </c>
      <c r="BD162" s="35" t="s">
        <v>274</v>
      </c>
      <c r="BE162" s="35" t="s">
        <v>271</v>
      </c>
      <c r="BF162" s="35">
        <v>6000</v>
      </c>
      <c r="BG162" s="35"/>
      <c r="BH162" s="35">
        <v>0</v>
      </c>
      <c r="BI162" s="35">
        <v>0</v>
      </c>
      <c r="BJ162" s="35"/>
      <c r="BK162" s="35" t="s">
        <v>314</v>
      </c>
      <c r="BL162" s="35" t="s">
        <v>386</v>
      </c>
      <c r="BM162" s="35"/>
      <c r="BN162" s="35"/>
      <c r="BO162" s="35"/>
    </row>
    <row r="163" spans="1:67" x14ac:dyDescent="0.3">
      <c r="A163" s="35" t="s">
        <v>43</v>
      </c>
      <c r="B163" s="35" t="s">
        <v>44</v>
      </c>
      <c r="C163" s="35" t="s">
        <v>467</v>
      </c>
      <c r="D163" s="35" t="s">
        <v>424</v>
      </c>
      <c r="E163" s="35" t="s">
        <v>39</v>
      </c>
      <c r="F163" s="35" t="s">
        <v>40</v>
      </c>
      <c r="G163" s="35" t="s">
        <v>425</v>
      </c>
      <c r="H163" s="35" t="s">
        <v>394</v>
      </c>
      <c r="I163" s="35"/>
      <c r="J163" s="35" t="s">
        <v>47</v>
      </c>
      <c r="K163" s="35" t="s">
        <v>43</v>
      </c>
      <c r="L163" s="35"/>
      <c r="M163" s="35">
        <v>6</v>
      </c>
      <c r="N163" s="35" t="s">
        <v>262</v>
      </c>
      <c r="O163" s="35" t="s">
        <v>263</v>
      </c>
      <c r="P163" s="35" t="s">
        <v>52</v>
      </c>
      <c r="Q163" s="35"/>
      <c r="R163" s="35" t="s">
        <v>124</v>
      </c>
      <c r="S163" s="35" t="s">
        <v>427</v>
      </c>
      <c r="T163" s="35">
        <v>0</v>
      </c>
      <c r="U163" s="35" t="s">
        <v>264</v>
      </c>
      <c r="V163" s="35">
        <v>0</v>
      </c>
      <c r="W163" s="35" t="s">
        <v>265</v>
      </c>
      <c r="X163" s="35">
        <v>180000</v>
      </c>
      <c r="Y163" s="35">
        <v>4.99</v>
      </c>
      <c r="Z163" s="38">
        <v>13680.12</v>
      </c>
      <c r="AA163" s="38">
        <v>11250</v>
      </c>
      <c r="AB163" s="35" t="s">
        <v>95</v>
      </c>
      <c r="AC163" s="38">
        <v>67500.009999999995</v>
      </c>
      <c r="AD163" s="38">
        <v>67500</v>
      </c>
      <c r="AE163" s="38">
        <v>0.01</v>
      </c>
      <c r="AF163" s="38">
        <v>0</v>
      </c>
      <c r="AG163" s="38">
        <v>0</v>
      </c>
      <c r="AH163" s="38">
        <v>0</v>
      </c>
      <c r="AI163" s="38">
        <v>0.01</v>
      </c>
      <c r="AJ163" s="38">
        <v>13680.12</v>
      </c>
      <c r="AK163" s="35" t="s">
        <v>1843</v>
      </c>
      <c r="AL163" s="35" t="s">
        <v>468</v>
      </c>
      <c r="AM163" s="35" t="s">
        <v>347</v>
      </c>
      <c r="AN163" s="35" t="s">
        <v>2042</v>
      </c>
      <c r="AO163" s="35">
        <v>6</v>
      </c>
      <c r="AP163" s="35">
        <v>16</v>
      </c>
      <c r="AQ163" s="35" t="s">
        <v>469</v>
      </c>
      <c r="AR163" s="35" t="s">
        <v>470</v>
      </c>
      <c r="AS163" s="35" t="s">
        <v>471</v>
      </c>
      <c r="AT163" s="35" t="s">
        <v>472</v>
      </c>
      <c r="AU163" s="35"/>
      <c r="AV163" s="35" t="s">
        <v>473</v>
      </c>
      <c r="AW163" s="35" t="s">
        <v>474</v>
      </c>
      <c r="AX163" s="35" t="s">
        <v>475</v>
      </c>
      <c r="AY163" s="35" t="s">
        <v>271</v>
      </c>
      <c r="AZ163" s="35" t="s">
        <v>426</v>
      </c>
      <c r="BA163" s="35"/>
      <c r="BB163" s="35" t="s">
        <v>272</v>
      </c>
      <c r="BC163" s="35" t="s">
        <v>273</v>
      </c>
      <c r="BD163" s="35" t="s">
        <v>274</v>
      </c>
      <c r="BE163" s="35" t="s">
        <v>271</v>
      </c>
      <c r="BF163" s="35">
        <v>18000</v>
      </c>
      <c r="BG163" s="35"/>
      <c r="BH163" s="35">
        <v>0</v>
      </c>
      <c r="BI163" s="35">
        <v>0</v>
      </c>
      <c r="BJ163" s="35"/>
      <c r="BK163" s="35" t="s">
        <v>448</v>
      </c>
      <c r="BL163" s="35" t="s">
        <v>476</v>
      </c>
      <c r="BM163" s="35"/>
      <c r="BN163" s="35"/>
      <c r="BO163" s="35"/>
    </row>
    <row r="164" spans="1:67" x14ac:dyDescent="0.3">
      <c r="A164" s="35" t="s">
        <v>43</v>
      </c>
      <c r="B164" s="35" t="s">
        <v>44</v>
      </c>
      <c r="C164" s="35" t="s">
        <v>467</v>
      </c>
      <c r="D164" s="35" t="s">
        <v>424</v>
      </c>
      <c r="E164" s="35" t="s">
        <v>39</v>
      </c>
      <c r="F164" s="35" t="s">
        <v>40</v>
      </c>
      <c r="G164" s="35" t="s">
        <v>53</v>
      </c>
      <c r="H164" s="35" t="s">
        <v>54</v>
      </c>
      <c r="I164" s="35"/>
      <c r="J164" s="35" t="s">
        <v>47</v>
      </c>
      <c r="K164" s="35" t="s">
        <v>43</v>
      </c>
      <c r="L164" s="35"/>
      <c r="M164" s="35">
        <v>7</v>
      </c>
      <c r="N164" s="35" t="s">
        <v>262</v>
      </c>
      <c r="O164" s="35" t="s">
        <v>263</v>
      </c>
      <c r="P164" s="35" t="s">
        <v>52</v>
      </c>
      <c r="Q164" s="35"/>
      <c r="R164" s="35" t="s">
        <v>124</v>
      </c>
      <c r="S164" s="35" t="s">
        <v>125</v>
      </c>
      <c r="T164" s="35">
        <v>0</v>
      </c>
      <c r="U164" s="35" t="s">
        <v>264</v>
      </c>
      <c r="V164" s="35">
        <v>0</v>
      </c>
      <c r="W164" s="35" t="s">
        <v>265</v>
      </c>
      <c r="X164" s="35">
        <v>188000</v>
      </c>
      <c r="Y164" s="35">
        <v>4.99</v>
      </c>
      <c r="Z164" s="38">
        <v>14288.125333333301</v>
      </c>
      <c r="AA164" s="38">
        <v>11750</v>
      </c>
      <c r="AB164" s="35" t="s">
        <v>95</v>
      </c>
      <c r="AC164" s="38">
        <v>47000</v>
      </c>
      <c r="AD164" s="38">
        <v>47000</v>
      </c>
      <c r="AE164" s="38">
        <v>0</v>
      </c>
      <c r="AF164" s="38">
        <v>0</v>
      </c>
      <c r="AG164" s="38">
        <v>0</v>
      </c>
      <c r="AH164" s="38">
        <v>0</v>
      </c>
      <c r="AI164" s="38">
        <v>0</v>
      </c>
      <c r="AJ164" s="38">
        <v>14288.130000000001</v>
      </c>
      <c r="AK164" s="35" t="s">
        <v>1843</v>
      </c>
      <c r="AL164" s="35" t="s">
        <v>276</v>
      </c>
      <c r="AM164" s="35" t="s">
        <v>288</v>
      </c>
      <c r="AN164" s="35" t="s">
        <v>2042</v>
      </c>
      <c r="AO164" s="35">
        <v>4</v>
      </c>
      <c r="AP164" s="35">
        <v>16</v>
      </c>
      <c r="AQ164" s="35" t="s">
        <v>289</v>
      </c>
      <c r="AR164" s="35" t="s">
        <v>290</v>
      </c>
      <c r="AS164" s="35" t="s">
        <v>291</v>
      </c>
      <c r="AT164" s="35" t="s">
        <v>292</v>
      </c>
      <c r="AU164" s="35"/>
      <c r="AV164" s="35" t="s">
        <v>293</v>
      </c>
      <c r="AW164" s="35" t="s">
        <v>294</v>
      </c>
      <c r="AX164" s="35" t="s">
        <v>295</v>
      </c>
      <c r="AY164" s="35" t="s">
        <v>271</v>
      </c>
      <c r="AZ164" s="35" t="s">
        <v>741</v>
      </c>
      <c r="BA164" s="35"/>
      <c r="BB164" s="35" t="s">
        <v>293</v>
      </c>
      <c r="BC164" s="35" t="s">
        <v>294</v>
      </c>
      <c r="BD164" s="35" t="s">
        <v>295</v>
      </c>
      <c r="BE164" s="35" t="s">
        <v>271</v>
      </c>
      <c r="BF164" s="35">
        <v>18800</v>
      </c>
      <c r="BG164" s="35"/>
      <c r="BH164" s="35">
        <v>0</v>
      </c>
      <c r="BI164" s="35">
        <v>0</v>
      </c>
      <c r="BJ164" s="35"/>
      <c r="BK164" s="35" t="s">
        <v>275</v>
      </c>
      <c r="BL164" s="35" t="s">
        <v>296</v>
      </c>
      <c r="BM164" s="35"/>
      <c r="BN164" s="35"/>
      <c r="BO164" s="35"/>
    </row>
    <row r="165" spans="1:67" x14ac:dyDescent="0.3">
      <c r="A165" s="35" t="s">
        <v>49</v>
      </c>
      <c r="B165" s="35" t="s">
        <v>450</v>
      </c>
      <c r="C165" s="35" t="s">
        <v>451</v>
      </c>
      <c r="D165" s="35" t="s">
        <v>388</v>
      </c>
      <c r="E165" s="35" t="s">
        <v>188</v>
      </c>
      <c r="F165" s="35" t="s">
        <v>190</v>
      </c>
      <c r="G165" s="35" t="s">
        <v>653</v>
      </c>
      <c r="H165" s="35" t="s">
        <v>654</v>
      </c>
      <c r="I165" s="35"/>
      <c r="J165" s="35" t="s">
        <v>47</v>
      </c>
      <c r="K165" s="35" t="s">
        <v>43</v>
      </c>
      <c r="L165" s="35"/>
      <c r="M165" s="35">
        <v>5</v>
      </c>
      <c r="N165" s="35" t="s">
        <v>262</v>
      </c>
      <c r="O165" s="35" t="s">
        <v>263</v>
      </c>
      <c r="P165" s="35" t="s">
        <v>52</v>
      </c>
      <c r="Q165" s="35"/>
      <c r="R165" s="35" t="s">
        <v>197</v>
      </c>
      <c r="S165" s="35" t="s">
        <v>656</v>
      </c>
      <c r="T165" s="35">
        <v>0</v>
      </c>
      <c r="U165" s="35" t="s">
        <v>264</v>
      </c>
      <c r="V165" s="35">
        <v>0</v>
      </c>
      <c r="W165" s="35" t="s">
        <v>265</v>
      </c>
      <c r="X165" s="35">
        <v>100000</v>
      </c>
      <c r="Y165" s="35">
        <v>4.99</v>
      </c>
      <c r="Z165" s="38">
        <v>7600.0666666666657</v>
      </c>
      <c r="AA165" s="38">
        <v>6250</v>
      </c>
      <c r="AB165" s="35" t="s">
        <v>95</v>
      </c>
      <c r="AC165" s="38">
        <v>42449.66</v>
      </c>
      <c r="AD165" s="38">
        <v>42449.66</v>
      </c>
      <c r="AE165" s="38">
        <v>0</v>
      </c>
      <c r="AF165" s="38">
        <v>0</v>
      </c>
      <c r="AG165" s="38">
        <v>0</v>
      </c>
      <c r="AH165" s="38">
        <v>0</v>
      </c>
      <c r="AI165" s="38">
        <v>0</v>
      </c>
      <c r="AJ165" s="38">
        <v>7969</v>
      </c>
      <c r="AK165" s="35" t="s">
        <v>1899</v>
      </c>
      <c r="AL165" s="35" t="s">
        <v>441</v>
      </c>
      <c r="AM165" s="35" t="s">
        <v>691</v>
      </c>
      <c r="AN165" s="35" t="s">
        <v>2014</v>
      </c>
      <c r="AO165" s="35">
        <v>7</v>
      </c>
      <c r="AP165" s="35">
        <v>16</v>
      </c>
      <c r="AQ165" s="35" t="s">
        <v>727</v>
      </c>
      <c r="AR165" s="35" t="s">
        <v>728</v>
      </c>
      <c r="AS165" s="35" t="s">
        <v>729</v>
      </c>
      <c r="AT165" s="35" t="s">
        <v>730</v>
      </c>
      <c r="AU165" s="35"/>
      <c r="AV165" s="35" t="s">
        <v>731</v>
      </c>
      <c r="AW165" s="35" t="s">
        <v>732</v>
      </c>
      <c r="AX165" s="35" t="s">
        <v>338</v>
      </c>
      <c r="AY165" s="35" t="s">
        <v>338</v>
      </c>
      <c r="AZ165" s="35" t="s">
        <v>655</v>
      </c>
      <c r="BA165" s="35"/>
      <c r="BB165" s="35" t="s">
        <v>272</v>
      </c>
      <c r="BC165" s="35" t="s">
        <v>273</v>
      </c>
      <c r="BD165" s="35" t="s">
        <v>274</v>
      </c>
      <c r="BE165" s="35" t="s">
        <v>271</v>
      </c>
      <c r="BF165" s="35">
        <v>10000</v>
      </c>
      <c r="BG165" s="35"/>
      <c r="BH165" s="35">
        <v>0</v>
      </c>
      <c r="BI165" s="35">
        <v>0</v>
      </c>
      <c r="BJ165" s="35"/>
      <c r="BK165" s="35" t="s">
        <v>585</v>
      </c>
      <c r="BL165" s="35" t="s">
        <v>733</v>
      </c>
      <c r="BM165" s="35"/>
      <c r="BN165" s="35"/>
      <c r="BO165" s="35"/>
    </row>
    <row r="166" spans="1:67" x14ac:dyDescent="0.3">
      <c r="A166" s="35" t="s">
        <v>43</v>
      </c>
      <c r="B166" s="35" t="s">
        <v>44</v>
      </c>
      <c r="C166" s="35" t="s">
        <v>41</v>
      </c>
      <c r="D166" s="35" t="s">
        <v>42</v>
      </c>
      <c r="E166" s="35" t="s">
        <v>663</v>
      </c>
      <c r="F166" s="35" t="s">
        <v>664</v>
      </c>
      <c r="G166" s="35" t="s">
        <v>1164</v>
      </c>
      <c r="H166" s="35" t="s">
        <v>1157</v>
      </c>
      <c r="I166" s="35"/>
      <c r="J166" s="35" t="s">
        <v>47</v>
      </c>
      <c r="K166" s="35" t="s">
        <v>47</v>
      </c>
      <c r="L166" s="35"/>
      <c r="M166" s="35">
        <v>6</v>
      </c>
      <c r="N166" s="35" t="s">
        <v>262</v>
      </c>
      <c r="O166" s="35" t="s">
        <v>263</v>
      </c>
      <c r="P166" s="35" t="s">
        <v>52</v>
      </c>
      <c r="Q166" s="35"/>
      <c r="R166" s="35" t="s">
        <v>126</v>
      </c>
      <c r="S166" s="35" t="s">
        <v>198</v>
      </c>
      <c r="T166" s="35">
        <v>0</v>
      </c>
      <c r="U166" s="35" t="s">
        <v>264</v>
      </c>
      <c r="V166" s="35">
        <v>0</v>
      </c>
      <c r="W166" s="35" t="s">
        <v>265</v>
      </c>
      <c r="X166" s="35">
        <v>97000</v>
      </c>
      <c r="Y166" s="35">
        <v>4.99</v>
      </c>
      <c r="Z166" s="38">
        <v>7372.0646666666662</v>
      </c>
      <c r="AA166" s="38">
        <v>6062.5</v>
      </c>
      <c r="AB166" s="35" t="s">
        <v>95</v>
      </c>
      <c r="AC166" s="38">
        <v>66687.81</v>
      </c>
      <c r="AD166" s="38">
        <v>66687.5</v>
      </c>
      <c r="AE166" s="38">
        <v>0.31</v>
      </c>
      <c r="AF166" s="38">
        <v>0.01</v>
      </c>
      <c r="AG166" s="38">
        <v>0</v>
      </c>
      <c r="AH166" s="38">
        <v>0</v>
      </c>
      <c r="AI166" s="38">
        <v>0.32</v>
      </c>
      <c r="AJ166" s="38">
        <v>7372</v>
      </c>
      <c r="AK166" s="35" t="s">
        <v>1925</v>
      </c>
      <c r="AL166" s="35" t="s">
        <v>1108</v>
      </c>
      <c r="AM166" s="35" t="s">
        <v>1250</v>
      </c>
      <c r="AN166" s="35" t="s">
        <v>1965</v>
      </c>
      <c r="AO166" s="35">
        <v>11</v>
      </c>
      <c r="AP166" s="35">
        <v>16</v>
      </c>
      <c r="AQ166" s="35" t="s">
        <v>1256</v>
      </c>
      <c r="AR166" s="35" t="s">
        <v>1257</v>
      </c>
      <c r="AS166" s="35" t="s">
        <v>1258</v>
      </c>
      <c r="AT166" s="35" t="s">
        <v>1259</v>
      </c>
      <c r="AU166" s="35"/>
      <c r="AV166" s="35" t="s">
        <v>824</v>
      </c>
      <c r="AW166" s="35" t="s">
        <v>825</v>
      </c>
      <c r="AX166" s="35" t="s">
        <v>274</v>
      </c>
      <c r="AY166" s="35" t="s">
        <v>271</v>
      </c>
      <c r="AZ166" s="35"/>
      <c r="BA166" s="35"/>
      <c r="BB166" s="35" t="s">
        <v>272</v>
      </c>
      <c r="BC166" s="35" t="s">
        <v>273</v>
      </c>
      <c r="BD166" s="35" t="s">
        <v>274</v>
      </c>
      <c r="BE166" s="35" t="s">
        <v>271</v>
      </c>
      <c r="BF166" s="35">
        <v>9700</v>
      </c>
      <c r="BG166" s="35"/>
      <c r="BH166" s="35">
        <v>1</v>
      </c>
      <c r="BI166" s="35">
        <v>1</v>
      </c>
      <c r="BJ166" s="35"/>
      <c r="BK166" s="35" t="s">
        <v>585</v>
      </c>
      <c r="BL166" s="35" t="s">
        <v>1260</v>
      </c>
      <c r="BM166" s="35"/>
      <c r="BN166" s="35"/>
      <c r="BO166" s="35"/>
    </row>
    <row r="167" spans="1:67" x14ac:dyDescent="0.3">
      <c r="A167" s="35" t="s">
        <v>43</v>
      </c>
      <c r="B167" s="35" t="s">
        <v>44</v>
      </c>
      <c r="C167" s="35" t="s">
        <v>460</v>
      </c>
      <c r="D167" s="35" t="s">
        <v>396</v>
      </c>
      <c r="E167" s="35" t="s">
        <v>501</v>
      </c>
      <c r="F167" s="35" t="s">
        <v>502</v>
      </c>
      <c r="G167" s="35" t="s">
        <v>975</v>
      </c>
      <c r="H167" s="35" t="s">
        <v>878</v>
      </c>
      <c r="I167" s="35"/>
      <c r="J167" s="35" t="s">
        <v>47</v>
      </c>
      <c r="K167" s="35" t="s">
        <v>43</v>
      </c>
      <c r="L167" s="35"/>
      <c r="M167" s="35">
        <v>6</v>
      </c>
      <c r="N167" s="35" t="s">
        <v>262</v>
      </c>
      <c r="O167" s="35" t="s">
        <v>263</v>
      </c>
      <c r="P167" s="35" t="s">
        <v>52</v>
      </c>
      <c r="Q167" s="35"/>
      <c r="R167" s="35" t="s">
        <v>197</v>
      </c>
      <c r="S167" s="35" t="s">
        <v>160</v>
      </c>
      <c r="T167" s="35">
        <v>0</v>
      </c>
      <c r="U167" s="35" t="s">
        <v>264</v>
      </c>
      <c r="V167" s="35">
        <v>0</v>
      </c>
      <c r="W167" s="35" t="s">
        <v>265</v>
      </c>
      <c r="X167" s="35">
        <v>76000</v>
      </c>
      <c r="Y167" s="35">
        <v>4.99</v>
      </c>
      <c r="Z167" s="38">
        <v>5776.0506666666661</v>
      </c>
      <c r="AA167" s="38">
        <v>4750</v>
      </c>
      <c r="AB167" s="35" t="s">
        <v>95</v>
      </c>
      <c r="AC167" s="38">
        <v>42750</v>
      </c>
      <c r="AD167" s="38">
        <v>42750</v>
      </c>
      <c r="AE167" s="38">
        <v>0</v>
      </c>
      <c r="AF167" s="38">
        <v>0</v>
      </c>
      <c r="AG167" s="38">
        <v>0</v>
      </c>
      <c r="AH167" s="38">
        <v>0</v>
      </c>
      <c r="AI167" s="38">
        <v>0</v>
      </c>
      <c r="AJ167" s="38">
        <v>5782</v>
      </c>
      <c r="AK167" s="35" t="s">
        <v>1884</v>
      </c>
      <c r="AL167" s="35" t="s">
        <v>832</v>
      </c>
      <c r="AM167" s="35" t="s">
        <v>948</v>
      </c>
      <c r="AN167" s="35" t="s">
        <v>2014</v>
      </c>
      <c r="AO167" s="35">
        <v>9</v>
      </c>
      <c r="AP167" s="35">
        <v>16</v>
      </c>
      <c r="AQ167" s="35" t="s">
        <v>1069</v>
      </c>
      <c r="AR167" s="35" t="s">
        <v>1070</v>
      </c>
      <c r="AS167" s="35" t="s">
        <v>1071</v>
      </c>
      <c r="AT167" s="35" t="s">
        <v>1072</v>
      </c>
      <c r="AU167" s="35"/>
      <c r="AV167" s="35" t="s">
        <v>1073</v>
      </c>
      <c r="AW167" s="35" t="s">
        <v>1074</v>
      </c>
      <c r="AX167" s="35" t="s">
        <v>704</v>
      </c>
      <c r="AY167" s="35" t="s">
        <v>271</v>
      </c>
      <c r="AZ167" s="35" t="s">
        <v>976</v>
      </c>
      <c r="BA167" s="35"/>
      <c r="BB167" s="35" t="s">
        <v>272</v>
      </c>
      <c r="BC167" s="35" t="s">
        <v>273</v>
      </c>
      <c r="BD167" s="35" t="s">
        <v>274</v>
      </c>
      <c r="BE167" s="35" t="s">
        <v>271</v>
      </c>
      <c r="BF167" s="35">
        <v>7600</v>
      </c>
      <c r="BG167" s="35"/>
      <c r="BH167" s="35">
        <v>0</v>
      </c>
      <c r="BI167" s="35">
        <v>0</v>
      </c>
      <c r="BJ167" s="35"/>
      <c r="BK167" s="35" t="s">
        <v>585</v>
      </c>
      <c r="BL167" s="35" t="s">
        <v>1075</v>
      </c>
      <c r="BM167" s="35"/>
      <c r="BN167" s="35"/>
      <c r="BO167" s="35"/>
    </row>
    <row r="168" spans="1:67" x14ac:dyDescent="0.3">
      <c r="A168" s="35" t="s">
        <v>43</v>
      </c>
      <c r="B168" s="35" t="s">
        <v>44</v>
      </c>
      <c r="C168" s="35" t="s">
        <v>460</v>
      </c>
      <c r="D168" s="35" t="s">
        <v>396</v>
      </c>
      <c r="E168" s="35" t="s">
        <v>501</v>
      </c>
      <c r="F168" s="35" t="s">
        <v>502</v>
      </c>
      <c r="G168" s="35" t="s">
        <v>1532</v>
      </c>
      <c r="H168" s="35" t="s">
        <v>1376</v>
      </c>
      <c r="I168" s="35"/>
      <c r="J168" s="35" t="s">
        <v>47</v>
      </c>
      <c r="K168" s="35" t="s">
        <v>43</v>
      </c>
      <c r="L168" s="35"/>
      <c r="M168" s="35">
        <v>9</v>
      </c>
      <c r="N168" s="35" t="s">
        <v>262</v>
      </c>
      <c r="O168" s="35" t="s">
        <v>263</v>
      </c>
      <c r="P168" s="35" t="s">
        <v>52</v>
      </c>
      <c r="Q168" s="35"/>
      <c r="R168" s="35" t="s">
        <v>146</v>
      </c>
      <c r="S168" s="35" t="s">
        <v>185</v>
      </c>
      <c r="T168" s="35">
        <v>0</v>
      </c>
      <c r="U168" s="35" t="s">
        <v>264</v>
      </c>
      <c r="V168" s="35">
        <v>0</v>
      </c>
      <c r="W168" s="35" t="s">
        <v>265</v>
      </c>
      <c r="X168" s="35">
        <v>109000</v>
      </c>
      <c r="Y168" s="35">
        <v>4.99</v>
      </c>
      <c r="Z168" s="38">
        <v>8284.0726666666651</v>
      </c>
      <c r="AA168" s="38">
        <v>6812.5</v>
      </c>
      <c r="AB168" s="35" t="s">
        <v>95</v>
      </c>
      <c r="AC168" s="38">
        <v>88562.5</v>
      </c>
      <c r="AD168" s="38">
        <v>88562.5</v>
      </c>
      <c r="AE168" s="38">
        <v>0</v>
      </c>
      <c r="AF168" s="38">
        <v>0</v>
      </c>
      <c r="AG168" s="38">
        <v>0</v>
      </c>
      <c r="AH168" s="38">
        <v>0</v>
      </c>
      <c r="AI168" s="38">
        <v>0</v>
      </c>
      <c r="AJ168" s="38">
        <v>8293</v>
      </c>
      <c r="AK168" s="35" t="s">
        <v>1823</v>
      </c>
      <c r="AL168" s="35" t="s">
        <v>1385</v>
      </c>
      <c r="AM168" s="35" t="s">
        <v>1543</v>
      </c>
      <c r="AN168" s="35" t="s">
        <v>2004</v>
      </c>
      <c r="AO168" s="35">
        <v>13</v>
      </c>
      <c r="AP168" s="35">
        <v>16</v>
      </c>
      <c r="AQ168" s="35" t="s">
        <v>1556</v>
      </c>
      <c r="AR168" s="35" t="s">
        <v>1557</v>
      </c>
      <c r="AS168" s="35" t="s">
        <v>1558</v>
      </c>
      <c r="AT168" s="35" t="s">
        <v>1559</v>
      </c>
      <c r="AU168" s="35"/>
      <c r="AV168" s="35" t="s">
        <v>1219</v>
      </c>
      <c r="AW168" s="35" t="s">
        <v>1220</v>
      </c>
      <c r="AX168" s="35" t="s">
        <v>322</v>
      </c>
      <c r="AY168" s="35" t="s">
        <v>271</v>
      </c>
      <c r="AZ168" s="35" t="s">
        <v>1560</v>
      </c>
      <c r="BA168" s="35"/>
      <c r="BB168" s="35" t="s">
        <v>272</v>
      </c>
      <c r="BC168" s="35" t="s">
        <v>273</v>
      </c>
      <c r="BD168" s="35" t="s">
        <v>274</v>
      </c>
      <c r="BE168" s="35" t="s">
        <v>271</v>
      </c>
      <c r="BF168" s="35">
        <v>10900</v>
      </c>
      <c r="BG168" s="35"/>
      <c r="BH168" s="35">
        <v>0</v>
      </c>
      <c r="BI168" s="35">
        <v>0</v>
      </c>
      <c r="BJ168" s="35"/>
      <c r="BK168" s="35" t="s">
        <v>585</v>
      </c>
      <c r="BL168" s="35" t="s">
        <v>1561</v>
      </c>
      <c r="BM168" s="35"/>
      <c r="BN168" s="35"/>
      <c r="BO168" s="35"/>
    </row>
    <row r="169" spans="1:67" x14ac:dyDescent="0.3">
      <c r="A169" s="35" t="s">
        <v>43</v>
      </c>
      <c r="B169" s="35" t="s">
        <v>44</v>
      </c>
      <c r="C169" s="35" t="s">
        <v>41</v>
      </c>
      <c r="D169" s="35" t="s">
        <v>42</v>
      </c>
      <c r="E169" s="35" t="s">
        <v>883</v>
      </c>
      <c r="F169" s="35" t="s">
        <v>884</v>
      </c>
      <c r="G169" s="35" t="s">
        <v>1835</v>
      </c>
      <c r="H169" s="35" t="s">
        <v>1836</v>
      </c>
      <c r="I169" s="35"/>
      <c r="J169" s="35" t="s">
        <v>47</v>
      </c>
      <c r="K169" s="35" t="s">
        <v>47</v>
      </c>
      <c r="L169" s="35"/>
      <c r="M169" s="35">
        <v>5</v>
      </c>
      <c r="N169" s="35" t="s">
        <v>262</v>
      </c>
      <c r="O169" s="35" t="s">
        <v>263</v>
      </c>
      <c r="P169" s="35" t="s">
        <v>52</v>
      </c>
      <c r="Q169" s="35"/>
      <c r="R169" s="35" t="s">
        <v>146</v>
      </c>
      <c r="S169" s="35" t="s">
        <v>198</v>
      </c>
      <c r="T169" s="35">
        <v>0</v>
      </c>
      <c r="U169" s="35" t="s">
        <v>264</v>
      </c>
      <c r="V169" s="35">
        <v>0</v>
      </c>
      <c r="W169" s="35" t="s">
        <v>265</v>
      </c>
      <c r="X169" s="35">
        <v>134000</v>
      </c>
      <c r="Y169" s="35">
        <v>4.99</v>
      </c>
      <c r="Z169" s="38">
        <v>10184.089333333301</v>
      </c>
      <c r="AA169" s="38">
        <v>8375</v>
      </c>
      <c r="AB169" s="35" t="s">
        <v>95</v>
      </c>
      <c r="AC169" s="38">
        <v>125625.1</v>
      </c>
      <c r="AD169" s="38">
        <v>125625</v>
      </c>
      <c r="AE169" s="38">
        <v>0.1</v>
      </c>
      <c r="AF169" s="38">
        <v>0</v>
      </c>
      <c r="AG169" s="38">
        <v>0</v>
      </c>
      <c r="AH169" s="38">
        <v>0</v>
      </c>
      <c r="AI169" s="38">
        <v>0.1</v>
      </c>
      <c r="AJ169" s="38">
        <v>10184</v>
      </c>
      <c r="AK169" s="35" t="s">
        <v>1823</v>
      </c>
      <c r="AL169" s="35" t="s">
        <v>1667</v>
      </c>
      <c r="AM169" s="35" t="s">
        <v>1852</v>
      </c>
      <c r="AN169" s="35" t="s">
        <v>2004</v>
      </c>
      <c r="AO169" s="35">
        <v>15</v>
      </c>
      <c r="AP169" s="35">
        <v>16</v>
      </c>
      <c r="AQ169" s="35" t="s">
        <v>1868</v>
      </c>
      <c r="AR169" s="35" t="s">
        <v>1869</v>
      </c>
      <c r="AS169" s="35" t="s">
        <v>1870</v>
      </c>
      <c r="AT169" s="35" t="s">
        <v>1871</v>
      </c>
      <c r="AU169" s="35"/>
      <c r="AV169" s="35" t="s">
        <v>1872</v>
      </c>
      <c r="AW169" s="35" t="s">
        <v>303</v>
      </c>
      <c r="AX169" s="35" t="s">
        <v>274</v>
      </c>
      <c r="AY169" s="35" t="s">
        <v>271</v>
      </c>
      <c r="AZ169" s="35"/>
      <c r="BA169" s="35"/>
      <c r="BB169" s="35" t="s">
        <v>272</v>
      </c>
      <c r="BC169" s="35" t="s">
        <v>273</v>
      </c>
      <c r="BD169" s="35" t="s">
        <v>274</v>
      </c>
      <c r="BE169" s="35" t="s">
        <v>271</v>
      </c>
      <c r="BF169" s="35">
        <v>13400</v>
      </c>
      <c r="BG169" s="35"/>
      <c r="BH169" s="35">
        <v>0</v>
      </c>
      <c r="BI169" s="35">
        <v>0</v>
      </c>
      <c r="BJ169" s="35"/>
      <c r="BK169" s="35" t="s">
        <v>585</v>
      </c>
      <c r="BL169" s="35" t="s">
        <v>1873</v>
      </c>
      <c r="BM169" s="35"/>
      <c r="BN169" s="35"/>
      <c r="BO169" s="35"/>
    </row>
    <row r="170" spans="1:67" x14ac:dyDescent="0.3">
      <c r="A170" s="35" t="s">
        <v>43</v>
      </c>
      <c r="B170" s="35" t="s">
        <v>44</v>
      </c>
      <c r="C170" s="35" t="s">
        <v>460</v>
      </c>
      <c r="D170" s="35" t="s">
        <v>396</v>
      </c>
      <c r="E170" s="35" t="s">
        <v>154</v>
      </c>
      <c r="F170" s="35" t="s">
        <v>155</v>
      </c>
      <c r="G170" s="35" t="s">
        <v>1435</v>
      </c>
      <c r="H170" s="35" t="s">
        <v>1357</v>
      </c>
      <c r="I170" s="35"/>
      <c r="J170" s="35" t="s">
        <v>47</v>
      </c>
      <c r="K170" s="35" t="s">
        <v>43</v>
      </c>
      <c r="L170" s="35"/>
      <c r="M170" s="35">
        <v>6</v>
      </c>
      <c r="N170" s="35" t="s">
        <v>262</v>
      </c>
      <c r="O170" s="35" t="s">
        <v>263</v>
      </c>
      <c r="P170" s="35" t="s">
        <v>52</v>
      </c>
      <c r="Q170" s="35"/>
      <c r="R170" s="35" t="s">
        <v>146</v>
      </c>
      <c r="S170" s="35" t="s">
        <v>125</v>
      </c>
      <c r="T170" s="35">
        <v>0</v>
      </c>
      <c r="U170" s="35" t="s">
        <v>264</v>
      </c>
      <c r="V170" s="35">
        <v>0</v>
      </c>
      <c r="W170" s="35" t="s">
        <v>265</v>
      </c>
      <c r="X170" s="35">
        <v>65000</v>
      </c>
      <c r="Y170" s="35">
        <v>4.99</v>
      </c>
      <c r="Z170" s="38">
        <v>4940.0433333333331</v>
      </c>
      <c r="AA170" s="38">
        <v>4062.5</v>
      </c>
      <c r="AB170" s="35" t="s">
        <v>95</v>
      </c>
      <c r="AC170" s="38">
        <v>47763.71</v>
      </c>
      <c r="AD170" s="38">
        <v>47763.71</v>
      </c>
      <c r="AE170" s="38">
        <v>0</v>
      </c>
      <c r="AF170" s="38">
        <v>0</v>
      </c>
      <c r="AG170" s="38">
        <v>0</v>
      </c>
      <c r="AH170" s="38">
        <v>0</v>
      </c>
      <c r="AI170" s="38">
        <v>0</v>
      </c>
      <c r="AJ170" s="38">
        <v>4946</v>
      </c>
      <c r="AK170" s="35" t="s">
        <v>1823</v>
      </c>
      <c r="AL170" s="35" t="s">
        <v>1180</v>
      </c>
      <c r="AM170" s="35" t="s">
        <v>1387</v>
      </c>
      <c r="AN170" s="35" t="s">
        <v>2004</v>
      </c>
      <c r="AO170" s="35">
        <v>12</v>
      </c>
      <c r="AP170" s="35">
        <v>16</v>
      </c>
      <c r="AQ170" s="35" t="s">
        <v>1436</v>
      </c>
      <c r="AR170" s="35" t="s">
        <v>1437</v>
      </c>
      <c r="AS170" s="35" t="s">
        <v>1438</v>
      </c>
      <c r="AT170" s="35" t="s">
        <v>1439</v>
      </c>
      <c r="AU170" s="35"/>
      <c r="AV170" s="35" t="s">
        <v>1440</v>
      </c>
      <c r="AW170" s="35" t="s">
        <v>1441</v>
      </c>
      <c r="AX170" s="35" t="s">
        <v>274</v>
      </c>
      <c r="AY170" s="35" t="s">
        <v>271</v>
      </c>
      <c r="AZ170" s="35" t="s">
        <v>1442</v>
      </c>
      <c r="BA170" s="35"/>
      <c r="BB170" s="35" t="s">
        <v>272</v>
      </c>
      <c r="BC170" s="35" t="s">
        <v>273</v>
      </c>
      <c r="BD170" s="35" t="s">
        <v>274</v>
      </c>
      <c r="BE170" s="35" t="s">
        <v>271</v>
      </c>
      <c r="BF170" s="35">
        <v>6500</v>
      </c>
      <c r="BG170" s="35"/>
      <c r="BH170" s="35">
        <v>0</v>
      </c>
      <c r="BI170" s="35">
        <v>0</v>
      </c>
      <c r="BJ170" s="35"/>
      <c r="BK170" s="35" t="s">
        <v>585</v>
      </c>
      <c r="BL170" s="35" t="s">
        <v>1443</v>
      </c>
      <c r="BM170" s="35"/>
      <c r="BN170" s="35"/>
      <c r="BO170" s="35"/>
    </row>
    <row r="171" spans="1:67" x14ac:dyDescent="0.3">
      <c r="A171" s="35" t="s">
        <v>43</v>
      </c>
      <c r="B171" s="35" t="s">
        <v>44</v>
      </c>
      <c r="C171" s="35" t="s">
        <v>467</v>
      </c>
      <c r="D171" s="35" t="s">
        <v>424</v>
      </c>
      <c r="E171" s="35" t="s">
        <v>39</v>
      </c>
      <c r="F171" s="35" t="s">
        <v>40</v>
      </c>
      <c r="G171" s="35" t="s">
        <v>1272</v>
      </c>
      <c r="H171" s="35" t="s">
        <v>1198</v>
      </c>
      <c r="I171" s="35"/>
      <c r="J171" s="35" t="s">
        <v>47</v>
      </c>
      <c r="K171" s="35" t="s">
        <v>43</v>
      </c>
      <c r="L171" s="35"/>
      <c r="M171" s="35">
        <v>7</v>
      </c>
      <c r="N171" s="35" t="s">
        <v>262</v>
      </c>
      <c r="O171" s="35" t="s">
        <v>263</v>
      </c>
      <c r="P171" s="35" t="s">
        <v>52</v>
      </c>
      <c r="Q171" s="35"/>
      <c r="R171" s="35" t="s">
        <v>197</v>
      </c>
      <c r="S171" s="35" t="s">
        <v>886</v>
      </c>
      <c r="T171" s="35">
        <v>0</v>
      </c>
      <c r="U171" s="35" t="s">
        <v>264</v>
      </c>
      <c r="V171" s="35">
        <v>0</v>
      </c>
      <c r="W171" s="35" t="s">
        <v>265</v>
      </c>
      <c r="X171" s="35">
        <v>80000</v>
      </c>
      <c r="Y171" s="35">
        <v>4.99</v>
      </c>
      <c r="Z171" s="38">
        <v>6080.0533333333333</v>
      </c>
      <c r="AA171" s="38">
        <v>5000</v>
      </c>
      <c r="AB171" s="35" t="s">
        <v>95</v>
      </c>
      <c r="AC171" s="38">
        <v>55000</v>
      </c>
      <c r="AD171" s="38">
        <v>55000</v>
      </c>
      <c r="AE171" s="38">
        <v>0</v>
      </c>
      <c r="AF171" s="38">
        <v>0.02</v>
      </c>
      <c r="AG171" s="38">
        <v>0</v>
      </c>
      <c r="AH171" s="38">
        <v>0</v>
      </c>
      <c r="AI171" s="38">
        <v>0.02</v>
      </c>
      <c r="AJ171" s="38">
        <v>6080.05</v>
      </c>
      <c r="AK171" s="35" t="s">
        <v>1884</v>
      </c>
      <c r="AL171" s="35" t="s">
        <v>1132</v>
      </c>
      <c r="AM171" s="35" t="s">
        <v>1282</v>
      </c>
      <c r="AN171" s="35" t="s">
        <v>2014</v>
      </c>
      <c r="AO171" s="35">
        <v>11</v>
      </c>
      <c r="AP171" s="35">
        <v>16</v>
      </c>
      <c r="AQ171" s="35" t="s">
        <v>869</v>
      </c>
      <c r="AR171" s="35" t="s">
        <v>1308</v>
      </c>
      <c r="AS171" s="35" t="s">
        <v>842</v>
      </c>
      <c r="AT171" s="35" t="s">
        <v>1309</v>
      </c>
      <c r="AU171" s="35"/>
      <c r="AV171" s="35" t="s">
        <v>1026</v>
      </c>
      <c r="AW171" s="35" t="s">
        <v>1027</v>
      </c>
      <c r="AX171" s="35" t="s">
        <v>546</v>
      </c>
      <c r="AY171" s="35" t="s">
        <v>271</v>
      </c>
      <c r="AZ171" s="35" t="s">
        <v>1309</v>
      </c>
      <c r="BA171" s="35"/>
      <c r="BB171" s="35" t="s">
        <v>272</v>
      </c>
      <c r="BC171" s="35" t="s">
        <v>273</v>
      </c>
      <c r="BD171" s="35" t="s">
        <v>274</v>
      </c>
      <c r="BE171" s="35" t="s">
        <v>271</v>
      </c>
      <c r="BF171" s="35">
        <v>8000</v>
      </c>
      <c r="BG171" s="35"/>
      <c r="BH171" s="35">
        <v>0</v>
      </c>
      <c r="BI171" s="35">
        <v>0</v>
      </c>
      <c r="BJ171" s="35"/>
      <c r="BK171" s="35" t="s">
        <v>585</v>
      </c>
      <c r="BL171" s="35" t="s">
        <v>1310</v>
      </c>
      <c r="BM171" s="35"/>
      <c r="BN171" s="35"/>
      <c r="BO171" s="35"/>
    </row>
    <row r="172" spans="1:67" x14ac:dyDescent="0.3">
      <c r="A172" s="35" t="s">
        <v>43</v>
      </c>
      <c r="B172" s="35" t="s">
        <v>44</v>
      </c>
      <c r="C172" s="35" t="s">
        <v>41</v>
      </c>
      <c r="D172" s="35" t="s">
        <v>42</v>
      </c>
      <c r="E172" s="35" t="s">
        <v>148</v>
      </c>
      <c r="F172" s="35" t="s">
        <v>149</v>
      </c>
      <c r="G172" s="35" t="s">
        <v>1163</v>
      </c>
      <c r="H172" s="35" t="s">
        <v>1104</v>
      </c>
      <c r="I172" s="35"/>
      <c r="J172" s="35" t="s">
        <v>47</v>
      </c>
      <c r="K172" s="35" t="s">
        <v>47</v>
      </c>
      <c r="L172" s="35"/>
      <c r="M172" s="35">
        <v>6</v>
      </c>
      <c r="N172" s="35" t="s">
        <v>262</v>
      </c>
      <c r="O172" s="35" t="s">
        <v>263</v>
      </c>
      <c r="P172" s="35" t="s">
        <v>52</v>
      </c>
      <c r="Q172" s="35"/>
      <c r="R172" s="35" t="s">
        <v>126</v>
      </c>
      <c r="S172" s="35" t="s">
        <v>198</v>
      </c>
      <c r="T172" s="35">
        <v>0</v>
      </c>
      <c r="U172" s="35" t="s">
        <v>264</v>
      </c>
      <c r="V172" s="35">
        <v>0</v>
      </c>
      <c r="W172" s="35" t="s">
        <v>265</v>
      </c>
      <c r="X172" s="35">
        <v>60000</v>
      </c>
      <c r="Y172" s="35">
        <v>4.99</v>
      </c>
      <c r="Z172" s="38">
        <v>4560.04</v>
      </c>
      <c r="AA172" s="38">
        <v>3750</v>
      </c>
      <c r="AB172" s="35" t="s">
        <v>95</v>
      </c>
      <c r="AC172" s="38">
        <v>41250</v>
      </c>
      <c r="AD172" s="38">
        <v>41250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4561</v>
      </c>
      <c r="AK172" s="35" t="s">
        <v>1925</v>
      </c>
      <c r="AL172" s="35" t="s">
        <v>1108</v>
      </c>
      <c r="AM172" s="35" t="s">
        <v>1250</v>
      </c>
      <c r="AN172" s="35" t="s">
        <v>1965</v>
      </c>
      <c r="AO172" s="35">
        <v>11</v>
      </c>
      <c r="AP172" s="35">
        <v>16</v>
      </c>
      <c r="AQ172" s="35" t="s">
        <v>1008</v>
      </c>
      <c r="AR172" s="35" t="s">
        <v>1251</v>
      </c>
      <c r="AS172" s="35" t="s">
        <v>1252</v>
      </c>
      <c r="AT172" s="35" t="s">
        <v>1253</v>
      </c>
      <c r="AU172" s="35"/>
      <c r="AV172" s="35" t="s">
        <v>1254</v>
      </c>
      <c r="AW172" s="35" t="s">
        <v>377</v>
      </c>
      <c r="AX172" s="35" t="s">
        <v>274</v>
      </c>
      <c r="AY172" s="35" t="s">
        <v>271</v>
      </c>
      <c r="AZ172" s="35"/>
      <c r="BA172" s="35"/>
      <c r="BB172" s="35" t="s">
        <v>272</v>
      </c>
      <c r="BC172" s="35" t="s">
        <v>273</v>
      </c>
      <c r="BD172" s="35" t="s">
        <v>274</v>
      </c>
      <c r="BE172" s="35" t="s">
        <v>271</v>
      </c>
      <c r="BF172" s="35">
        <v>6000</v>
      </c>
      <c r="BG172" s="35"/>
      <c r="BH172" s="35">
        <v>1</v>
      </c>
      <c r="BI172" s="35">
        <v>1</v>
      </c>
      <c r="BJ172" s="35"/>
      <c r="BK172" s="35" t="s">
        <v>585</v>
      </c>
      <c r="BL172" s="35" t="s">
        <v>1255</v>
      </c>
      <c r="BM172" s="35"/>
      <c r="BN172" s="35"/>
      <c r="BO172" s="35"/>
    </row>
    <row r="173" spans="1:67" x14ac:dyDescent="0.3">
      <c r="A173" s="35" t="s">
        <v>49</v>
      </c>
      <c r="B173" s="35" t="s">
        <v>450</v>
      </c>
      <c r="C173" s="35" t="s">
        <v>451</v>
      </c>
      <c r="D173" s="35" t="s">
        <v>388</v>
      </c>
      <c r="E173" s="35" t="s">
        <v>170</v>
      </c>
      <c r="F173" s="35" t="s">
        <v>171</v>
      </c>
      <c r="G173" s="35" t="s">
        <v>1361</v>
      </c>
      <c r="H173" s="35" t="s">
        <v>1356</v>
      </c>
      <c r="I173" s="35"/>
      <c r="J173" s="35" t="s">
        <v>47</v>
      </c>
      <c r="K173" s="35" t="s">
        <v>43</v>
      </c>
      <c r="L173" s="35"/>
      <c r="M173" s="35">
        <v>5</v>
      </c>
      <c r="N173" s="35" t="s">
        <v>262</v>
      </c>
      <c r="O173" s="35" t="s">
        <v>263</v>
      </c>
      <c r="P173" s="35" t="s">
        <v>52</v>
      </c>
      <c r="Q173" s="35"/>
      <c r="R173" s="35" t="s">
        <v>126</v>
      </c>
      <c r="S173" s="35" t="s">
        <v>160</v>
      </c>
      <c r="T173" s="35">
        <v>0</v>
      </c>
      <c r="U173" s="35" t="s">
        <v>264</v>
      </c>
      <c r="V173" s="35">
        <v>0</v>
      </c>
      <c r="W173" s="35" t="s">
        <v>265</v>
      </c>
      <c r="X173" s="35">
        <v>160000</v>
      </c>
      <c r="Y173" s="35">
        <v>4.99</v>
      </c>
      <c r="Z173" s="38">
        <v>12160.106666666701</v>
      </c>
      <c r="AA173" s="38">
        <v>10000</v>
      </c>
      <c r="AB173" s="35" t="s">
        <v>95</v>
      </c>
      <c r="AC173" s="38">
        <v>120000.44</v>
      </c>
      <c r="AD173" s="38">
        <v>120000</v>
      </c>
      <c r="AE173" s="38">
        <v>0.44</v>
      </c>
      <c r="AF173" s="38">
        <v>0</v>
      </c>
      <c r="AG173" s="38">
        <v>0</v>
      </c>
      <c r="AH173" s="38">
        <v>0</v>
      </c>
      <c r="AI173" s="38">
        <v>0.44</v>
      </c>
      <c r="AJ173" s="38">
        <v>12160</v>
      </c>
      <c r="AK173" s="35" t="s">
        <v>1925</v>
      </c>
      <c r="AL173" s="35" t="s">
        <v>1165</v>
      </c>
      <c r="AM173" s="35" t="s">
        <v>1363</v>
      </c>
      <c r="AN173" s="35" t="s">
        <v>1965</v>
      </c>
      <c r="AO173" s="35">
        <v>12</v>
      </c>
      <c r="AP173" s="35">
        <v>16</v>
      </c>
      <c r="AQ173" s="35" t="s">
        <v>1369</v>
      </c>
      <c r="AR173" s="35" t="s">
        <v>1370</v>
      </c>
      <c r="AS173" s="35" t="s">
        <v>1371</v>
      </c>
      <c r="AT173" s="35" t="s">
        <v>1372</v>
      </c>
      <c r="AU173" s="35"/>
      <c r="AV173" s="35" t="s">
        <v>838</v>
      </c>
      <c r="AW173" s="35" t="s">
        <v>626</v>
      </c>
      <c r="AX173" s="35" t="s">
        <v>627</v>
      </c>
      <c r="AY173" s="35" t="s">
        <v>338</v>
      </c>
      <c r="AZ173" s="35" t="s">
        <v>1373</v>
      </c>
      <c r="BA173" s="35"/>
      <c r="BB173" s="35" t="s">
        <v>272</v>
      </c>
      <c r="BC173" s="35" t="s">
        <v>273</v>
      </c>
      <c r="BD173" s="35" t="s">
        <v>274</v>
      </c>
      <c r="BE173" s="35" t="s">
        <v>271</v>
      </c>
      <c r="BF173" s="35">
        <v>16000</v>
      </c>
      <c r="BG173" s="35"/>
      <c r="BH173" s="35">
        <v>1</v>
      </c>
      <c r="BI173" s="35">
        <v>1</v>
      </c>
      <c r="BJ173" s="35"/>
      <c r="BK173" s="35" t="s">
        <v>585</v>
      </c>
      <c r="BL173" s="35" t="s">
        <v>1374</v>
      </c>
      <c r="BM173" s="35"/>
      <c r="BN173" s="35"/>
      <c r="BO173" s="35"/>
    </row>
    <row r="174" spans="1:67" x14ac:dyDescent="0.3">
      <c r="A174" s="35" t="s">
        <v>49</v>
      </c>
      <c r="B174" s="35" t="s">
        <v>450</v>
      </c>
      <c r="C174" s="35" t="s">
        <v>451</v>
      </c>
      <c r="D174" s="35" t="s">
        <v>388</v>
      </c>
      <c r="E174" s="35" t="s">
        <v>188</v>
      </c>
      <c r="F174" s="35" t="s">
        <v>190</v>
      </c>
      <c r="G174" s="35" t="s">
        <v>2002</v>
      </c>
      <c r="H174" s="35" t="s">
        <v>2003</v>
      </c>
      <c r="I174" s="35"/>
      <c r="J174" s="35" t="s">
        <v>47</v>
      </c>
      <c r="K174" s="35" t="s">
        <v>43</v>
      </c>
      <c r="L174" s="35"/>
      <c r="M174" s="35">
        <v>6</v>
      </c>
      <c r="N174" s="35" t="s">
        <v>262</v>
      </c>
      <c r="O174" s="35" t="s">
        <v>263</v>
      </c>
      <c r="P174" s="35" t="s">
        <v>52</v>
      </c>
      <c r="Q174" s="35"/>
      <c r="R174" s="35" t="s">
        <v>126</v>
      </c>
      <c r="S174" s="35" t="s">
        <v>127</v>
      </c>
      <c r="T174" s="35">
        <v>0</v>
      </c>
      <c r="U174" s="35" t="s">
        <v>264</v>
      </c>
      <c r="V174" s="35">
        <v>0</v>
      </c>
      <c r="W174" s="35" t="s">
        <v>265</v>
      </c>
      <c r="X174" s="35">
        <v>58000</v>
      </c>
      <c r="Y174" s="35">
        <v>4.99</v>
      </c>
      <c r="Z174" s="38">
        <v>4408.0386666666654</v>
      </c>
      <c r="AA174" s="38">
        <v>3625</v>
      </c>
      <c r="AB174" s="35" t="s">
        <v>95</v>
      </c>
      <c r="AC174" s="38">
        <v>54375</v>
      </c>
      <c r="AD174" s="38">
        <v>54375</v>
      </c>
      <c r="AE174" s="38">
        <v>0</v>
      </c>
      <c r="AF174" s="38">
        <v>0</v>
      </c>
      <c r="AG174" s="38">
        <v>0</v>
      </c>
      <c r="AH174" s="38">
        <v>0</v>
      </c>
      <c r="AI174" s="38">
        <v>0</v>
      </c>
      <c r="AJ174" s="38">
        <v>4409</v>
      </c>
      <c r="AK174" s="35" t="s">
        <v>1899</v>
      </c>
      <c r="AL174" s="35" t="s">
        <v>1823</v>
      </c>
      <c r="AM174" s="35" t="s">
        <v>1975</v>
      </c>
      <c r="AN174" s="35" t="s">
        <v>1965</v>
      </c>
      <c r="AO174" s="35">
        <v>16</v>
      </c>
      <c r="AP174" s="35">
        <v>16</v>
      </c>
      <c r="AQ174" s="35" t="s">
        <v>2018</v>
      </c>
      <c r="AR174" s="35" t="s">
        <v>2019</v>
      </c>
      <c r="AS174" s="35" t="s">
        <v>2020</v>
      </c>
      <c r="AT174" s="35" t="s">
        <v>2021</v>
      </c>
      <c r="AU174" s="35"/>
      <c r="AV174" s="35" t="s">
        <v>1723</v>
      </c>
      <c r="AW174" s="35" t="s">
        <v>1724</v>
      </c>
      <c r="AX174" s="35" t="s">
        <v>1725</v>
      </c>
      <c r="AY174" s="35" t="s">
        <v>338</v>
      </c>
      <c r="AZ174" s="35" t="s">
        <v>1992</v>
      </c>
      <c r="BA174" s="35"/>
      <c r="BB174" s="35" t="s">
        <v>272</v>
      </c>
      <c r="BC174" s="35" t="s">
        <v>273</v>
      </c>
      <c r="BD174" s="35" t="s">
        <v>274</v>
      </c>
      <c r="BE174" s="35" t="s">
        <v>271</v>
      </c>
      <c r="BF174" s="35">
        <v>5800</v>
      </c>
      <c r="BG174" s="35"/>
      <c r="BH174" s="35">
        <v>0</v>
      </c>
      <c r="BI174" s="35">
        <v>0</v>
      </c>
      <c r="BJ174" s="35"/>
      <c r="BK174" s="35" t="s">
        <v>585</v>
      </c>
      <c r="BL174" s="35" t="s">
        <v>2022</v>
      </c>
      <c r="BM174" s="35"/>
      <c r="BN174" s="35"/>
      <c r="BO174" s="35"/>
    </row>
    <row r="175" spans="1:67" x14ac:dyDescent="0.3">
      <c r="A175" s="35" t="s">
        <v>49</v>
      </c>
      <c r="B175" s="35" t="s">
        <v>450</v>
      </c>
      <c r="C175" s="35" t="s">
        <v>451</v>
      </c>
      <c r="D175" s="35" t="s">
        <v>388</v>
      </c>
      <c r="E175" s="35" t="s">
        <v>487</v>
      </c>
      <c r="F175" s="35" t="s">
        <v>488</v>
      </c>
      <c r="G175" s="35" t="s">
        <v>1636</v>
      </c>
      <c r="H175" s="35" t="s">
        <v>186</v>
      </c>
      <c r="I175" s="35"/>
      <c r="J175" s="35" t="s">
        <v>47</v>
      </c>
      <c r="K175" s="35" t="s">
        <v>43</v>
      </c>
      <c r="L175" s="35"/>
      <c r="M175" s="35">
        <v>6</v>
      </c>
      <c r="N175" s="35" t="s">
        <v>262</v>
      </c>
      <c r="O175" s="35" t="s">
        <v>263</v>
      </c>
      <c r="P175" s="35" t="s">
        <v>52</v>
      </c>
      <c r="Q175" s="35"/>
      <c r="R175" s="35" t="s">
        <v>126</v>
      </c>
      <c r="S175" s="35" t="s">
        <v>1178</v>
      </c>
      <c r="T175" s="35">
        <v>0</v>
      </c>
      <c r="U175" s="35" t="s">
        <v>264</v>
      </c>
      <c r="V175" s="35">
        <v>0</v>
      </c>
      <c r="W175" s="35" t="s">
        <v>265</v>
      </c>
      <c r="X175" s="35">
        <v>54000</v>
      </c>
      <c r="Y175" s="35">
        <v>4.99</v>
      </c>
      <c r="Z175" s="38">
        <v>4104.0360000000001</v>
      </c>
      <c r="AA175" s="38">
        <v>3375</v>
      </c>
      <c r="AB175" s="35" t="s">
        <v>95</v>
      </c>
      <c r="AC175" s="38">
        <v>47250.080000000002</v>
      </c>
      <c r="AD175" s="38">
        <v>47250</v>
      </c>
      <c r="AE175" s="38">
        <v>0.08</v>
      </c>
      <c r="AF175" s="38">
        <v>0</v>
      </c>
      <c r="AG175" s="38">
        <v>0</v>
      </c>
      <c r="AH175" s="38">
        <v>0</v>
      </c>
      <c r="AI175" s="38">
        <v>0.08</v>
      </c>
      <c r="AJ175" s="38">
        <v>4104</v>
      </c>
      <c r="AK175" s="35" t="s">
        <v>1925</v>
      </c>
      <c r="AL175" s="35" t="s">
        <v>1534</v>
      </c>
      <c r="AM175" s="35" t="s">
        <v>1641</v>
      </c>
      <c r="AN175" s="35" t="s">
        <v>1965</v>
      </c>
      <c r="AO175" s="35">
        <v>14</v>
      </c>
      <c r="AP175" s="35">
        <v>16</v>
      </c>
      <c r="AQ175" s="35" t="s">
        <v>1654</v>
      </c>
      <c r="AR175" s="35" t="s">
        <v>1655</v>
      </c>
      <c r="AS175" s="35" t="s">
        <v>1656</v>
      </c>
      <c r="AT175" s="35" t="s">
        <v>1657</v>
      </c>
      <c r="AU175" s="35"/>
      <c r="AV175" s="35" t="s">
        <v>1658</v>
      </c>
      <c r="AW175" s="35" t="s">
        <v>1659</v>
      </c>
      <c r="AX175" s="35" t="s">
        <v>274</v>
      </c>
      <c r="AY175" s="35" t="s">
        <v>271</v>
      </c>
      <c r="AZ175" s="35" t="s">
        <v>1637</v>
      </c>
      <c r="BA175" s="35"/>
      <c r="BB175" s="35" t="s">
        <v>272</v>
      </c>
      <c r="BC175" s="35" t="s">
        <v>273</v>
      </c>
      <c r="BD175" s="35" t="s">
        <v>274</v>
      </c>
      <c r="BE175" s="35" t="s">
        <v>271</v>
      </c>
      <c r="BF175" s="35">
        <v>5400</v>
      </c>
      <c r="BG175" s="35"/>
      <c r="BH175" s="35">
        <v>1</v>
      </c>
      <c r="BI175" s="35">
        <v>1</v>
      </c>
      <c r="BJ175" s="35"/>
      <c r="BK175" s="35" t="s">
        <v>585</v>
      </c>
      <c r="BL175" s="35" t="s">
        <v>1660</v>
      </c>
      <c r="BM175" s="35"/>
      <c r="BN175" s="35"/>
      <c r="BO175" s="35"/>
    </row>
    <row r="176" spans="1:67" x14ac:dyDescent="0.3">
      <c r="A176" s="35" t="s">
        <v>43</v>
      </c>
      <c r="B176" s="35" t="s">
        <v>44</v>
      </c>
      <c r="C176" s="35" t="s">
        <v>41</v>
      </c>
      <c r="D176" s="35" t="s">
        <v>42</v>
      </c>
      <c r="E176" s="35" t="s">
        <v>148</v>
      </c>
      <c r="F176" s="35" t="s">
        <v>149</v>
      </c>
      <c r="G176" s="35" t="s">
        <v>1907</v>
      </c>
      <c r="H176" s="35" t="s">
        <v>1908</v>
      </c>
      <c r="I176" s="35"/>
      <c r="J176" s="35" t="s">
        <v>47</v>
      </c>
      <c r="K176" s="35" t="s">
        <v>47</v>
      </c>
      <c r="L176" s="35"/>
      <c r="M176" s="35">
        <v>5</v>
      </c>
      <c r="N176" s="35" t="s">
        <v>262</v>
      </c>
      <c r="O176" s="35" t="s">
        <v>263</v>
      </c>
      <c r="P176" s="35" t="s">
        <v>52</v>
      </c>
      <c r="Q176" s="35"/>
      <c r="R176" s="35" t="s">
        <v>168</v>
      </c>
      <c r="S176" s="35" t="s">
        <v>1919</v>
      </c>
      <c r="T176" s="35">
        <v>0</v>
      </c>
      <c r="U176" s="35" t="s">
        <v>264</v>
      </c>
      <c r="V176" s="35">
        <v>1</v>
      </c>
      <c r="W176" s="35" t="s">
        <v>265</v>
      </c>
      <c r="X176" s="35">
        <v>60000</v>
      </c>
      <c r="Y176" s="35">
        <v>4.99</v>
      </c>
      <c r="Z176" s="38">
        <v>4560.04</v>
      </c>
      <c r="AA176" s="38">
        <v>3750</v>
      </c>
      <c r="AB176" s="35" t="s">
        <v>95</v>
      </c>
      <c r="AC176" s="38">
        <v>60000</v>
      </c>
      <c r="AD176" s="38">
        <v>56250</v>
      </c>
      <c r="AE176" s="38">
        <v>3750</v>
      </c>
      <c r="AF176" s="38">
        <v>810.04</v>
      </c>
      <c r="AG176" s="38">
        <v>0</v>
      </c>
      <c r="AH176" s="38">
        <v>0</v>
      </c>
      <c r="AI176" s="38">
        <v>4560.04</v>
      </c>
      <c r="AJ176" s="38">
        <v>0</v>
      </c>
      <c r="AK176" s="35"/>
      <c r="AL176" s="35" t="s">
        <v>1925</v>
      </c>
      <c r="AM176" s="35" t="s">
        <v>1926</v>
      </c>
      <c r="AN176" s="35" t="s">
        <v>2164</v>
      </c>
      <c r="AO176" s="35">
        <v>15</v>
      </c>
      <c r="AP176" s="35">
        <v>16</v>
      </c>
      <c r="AQ176" s="35" t="s">
        <v>1927</v>
      </c>
      <c r="AR176" s="35" t="s">
        <v>1928</v>
      </c>
      <c r="AS176" s="35" t="s">
        <v>1929</v>
      </c>
      <c r="AT176" s="35" t="s">
        <v>1930</v>
      </c>
      <c r="AU176" s="35"/>
      <c r="AV176" s="35" t="s">
        <v>1399</v>
      </c>
      <c r="AW176" s="35" t="s">
        <v>1400</v>
      </c>
      <c r="AX176" s="35" t="s">
        <v>274</v>
      </c>
      <c r="AY176" s="35" t="s">
        <v>271</v>
      </c>
      <c r="AZ176" s="35"/>
      <c r="BA176" s="35"/>
      <c r="BB176" s="35" t="s">
        <v>272</v>
      </c>
      <c r="BC176" s="35" t="s">
        <v>273</v>
      </c>
      <c r="BD176" s="35" t="s">
        <v>274</v>
      </c>
      <c r="BE176" s="35" t="s">
        <v>271</v>
      </c>
      <c r="BF176" s="35">
        <v>6000</v>
      </c>
      <c r="BG176" s="35"/>
      <c r="BH176" s="35">
        <v>1</v>
      </c>
      <c r="BI176" s="35">
        <v>1</v>
      </c>
      <c r="BJ176" s="35"/>
      <c r="BK176" s="35" t="s">
        <v>585</v>
      </c>
      <c r="BL176" s="35" t="s">
        <v>1931</v>
      </c>
      <c r="BM176" s="35"/>
      <c r="BN176" s="35"/>
      <c r="BO176" s="35"/>
    </row>
    <row r="177" spans="1:67" x14ac:dyDescent="0.3">
      <c r="A177" s="35" t="s">
        <v>43</v>
      </c>
      <c r="B177" s="35" t="s">
        <v>44</v>
      </c>
      <c r="C177" s="35" t="s">
        <v>41</v>
      </c>
      <c r="D177" s="35" t="s">
        <v>42</v>
      </c>
      <c r="E177" s="35" t="s">
        <v>148</v>
      </c>
      <c r="F177" s="35" t="s">
        <v>149</v>
      </c>
      <c r="G177" s="35" t="s">
        <v>2131</v>
      </c>
      <c r="H177" s="35" t="s">
        <v>2132</v>
      </c>
      <c r="I177" s="35"/>
      <c r="J177" s="35" t="s">
        <v>47</v>
      </c>
      <c r="K177" s="35" t="s">
        <v>47</v>
      </c>
      <c r="L177" s="35"/>
      <c r="M177" s="35">
        <v>5</v>
      </c>
      <c r="N177" s="35" t="s">
        <v>262</v>
      </c>
      <c r="O177" s="35" t="s">
        <v>263</v>
      </c>
      <c r="P177" s="35" t="s">
        <v>52</v>
      </c>
      <c r="Q177" s="35"/>
      <c r="R177" s="35" t="s">
        <v>168</v>
      </c>
      <c r="S177" s="35" t="s">
        <v>198</v>
      </c>
      <c r="T177" s="35">
        <v>0</v>
      </c>
      <c r="U177" s="35" t="s">
        <v>264</v>
      </c>
      <c r="V177" s="35">
        <v>0</v>
      </c>
      <c r="W177" s="35" t="s">
        <v>265</v>
      </c>
      <c r="X177" s="35">
        <v>88000</v>
      </c>
      <c r="Y177" s="35">
        <v>4.99</v>
      </c>
      <c r="Z177" s="38">
        <v>6688.0586666666659</v>
      </c>
      <c r="AA177" s="38">
        <v>5500</v>
      </c>
      <c r="AB177" s="35" t="s">
        <v>95</v>
      </c>
      <c r="AC177" s="38">
        <v>88000</v>
      </c>
      <c r="AD177" s="38">
        <v>88000</v>
      </c>
      <c r="AE177" s="38">
        <v>0</v>
      </c>
      <c r="AF177" s="38">
        <v>0</v>
      </c>
      <c r="AG177" s="38">
        <v>0</v>
      </c>
      <c r="AH177" s="38">
        <v>0</v>
      </c>
      <c r="AI177" s="38">
        <v>0</v>
      </c>
      <c r="AJ177" s="38">
        <v>0</v>
      </c>
      <c r="AK177" s="35"/>
      <c r="AL177" s="35" t="s">
        <v>1898</v>
      </c>
      <c r="AM177" s="35" t="s">
        <v>2165</v>
      </c>
      <c r="AN177" s="35" t="s">
        <v>2164</v>
      </c>
      <c r="AO177" s="35">
        <v>16</v>
      </c>
      <c r="AP177" s="35">
        <v>16</v>
      </c>
      <c r="AQ177" s="35" t="s">
        <v>2166</v>
      </c>
      <c r="AR177" s="35" t="s">
        <v>2167</v>
      </c>
      <c r="AS177" s="35" t="s">
        <v>2168</v>
      </c>
      <c r="AT177" s="35" t="s">
        <v>2169</v>
      </c>
      <c r="AU177" s="35"/>
      <c r="AV177" s="35" t="s">
        <v>1785</v>
      </c>
      <c r="AW177" s="35" t="s">
        <v>554</v>
      </c>
      <c r="AX177" s="35" t="s">
        <v>555</v>
      </c>
      <c r="AY177" s="35" t="s">
        <v>271</v>
      </c>
      <c r="AZ177" s="35"/>
      <c r="BA177" s="35"/>
      <c r="BB177" s="35" t="s">
        <v>272</v>
      </c>
      <c r="BC177" s="35" t="s">
        <v>273</v>
      </c>
      <c r="BD177" s="35" t="s">
        <v>274</v>
      </c>
      <c r="BE177" s="35" t="s">
        <v>271</v>
      </c>
      <c r="BF177" s="35">
        <v>8800</v>
      </c>
      <c r="BG177" s="35"/>
      <c r="BH177" s="35">
        <v>0</v>
      </c>
      <c r="BI177" s="35">
        <v>0</v>
      </c>
      <c r="BJ177" s="35"/>
      <c r="BK177" s="35" t="s">
        <v>585</v>
      </c>
      <c r="BL177" s="35" t="s">
        <v>2170</v>
      </c>
      <c r="BM177" s="35"/>
      <c r="BN177" s="35"/>
      <c r="BO177" s="35"/>
    </row>
    <row r="178" spans="1:67" x14ac:dyDescent="0.3">
      <c r="A178" s="35" t="s">
        <v>49</v>
      </c>
      <c r="B178" s="35" t="s">
        <v>450</v>
      </c>
      <c r="C178" s="35" t="s">
        <v>451</v>
      </c>
      <c r="D178" s="35" t="s">
        <v>388</v>
      </c>
      <c r="E178" s="35" t="s">
        <v>487</v>
      </c>
      <c r="F178" s="35" t="s">
        <v>488</v>
      </c>
      <c r="G178" s="35" t="s">
        <v>2085</v>
      </c>
      <c r="H178" s="35" t="s">
        <v>2086</v>
      </c>
      <c r="I178" s="35"/>
      <c r="J178" s="35" t="s">
        <v>47</v>
      </c>
      <c r="K178" s="35" t="s">
        <v>43</v>
      </c>
      <c r="L178" s="35"/>
      <c r="M178" s="35">
        <v>6</v>
      </c>
      <c r="N178" s="35" t="s">
        <v>262</v>
      </c>
      <c r="O178" s="35" t="s">
        <v>263</v>
      </c>
      <c r="P178" s="35" t="s">
        <v>52</v>
      </c>
      <c r="Q178" s="35"/>
      <c r="R178" s="35" t="s">
        <v>124</v>
      </c>
      <c r="S178" s="35" t="s">
        <v>160</v>
      </c>
      <c r="T178" s="35">
        <v>0</v>
      </c>
      <c r="U178" s="35" t="s">
        <v>264</v>
      </c>
      <c r="V178" s="35">
        <v>0</v>
      </c>
      <c r="W178" s="35" t="s">
        <v>265</v>
      </c>
      <c r="X178" s="35">
        <v>50000</v>
      </c>
      <c r="Y178" s="35">
        <v>4.99</v>
      </c>
      <c r="Z178" s="38">
        <v>3800.0333333333328</v>
      </c>
      <c r="AA178" s="38">
        <v>3125</v>
      </c>
      <c r="AB178" s="35" t="s">
        <v>95</v>
      </c>
      <c r="AC178" s="38">
        <v>50000</v>
      </c>
      <c r="AD178" s="38">
        <v>50000</v>
      </c>
      <c r="AE178" s="38">
        <v>0</v>
      </c>
      <c r="AF178" s="38">
        <v>0</v>
      </c>
      <c r="AG178" s="38">
        <v>0</v>
      </c>
      <c r="AH178" s="38">
        <v>0</v>
      </c>
      <c r="AI178" s="38">
        <v>0</v>
      </c>
      <c r="AJ178" s="38">
        <v>0</v>
      </c>
      <c r="AK178" s="35"/>
      <c r="AL178" s="35" t="s">
        <v>1884</v>
      </c>
      <c r="AM178" s="35" t="s">
        <v>2044</v>
      </c>
      <c r="AN178" s="35" t="s">
        <v>2042</v>
      </c>
      <c r="AO178" s="35">
        <v>16</v>
      </c>
      <c r="AP178" s="35">
        <v>16</v>
      </c>
      <c r="AQ178" s="35" t="s">
        <v>2095</v>
      </c>
      <c r="AR178" s="35" t="s">
        <v>2096</v>
      </c>
      <c r="AS178" s="35" t="s">
        <v>2097</v>
      </c>
      <c r="AT178" s="35" t="s">
        <v>2098</v>
      </c>
      <c r="AU178" s="35"/>
      <c r="AV178" s="35" t="s">
        <v>1792</v>
      </c>
      <c r="AW178" s="35" t="s">
        <v>1793</v>
      </c>
      <c r="AX178" s="35" t="s">
        <v>555</v>
      </c>
      <c r="AY178" s="35" t="s">
        <v>271</v>
      </c>
      <c r="AZ178" s="35" t="s">
        <v>2093</v>
      </c>
      <c r="BA178" s="35"/>
      <c r="BB178" s="35" t="s">
        <v>272</v>
      </c>
      <c r="BC178" s="35" t="s">
        <v>273</v>
      </c>
      <c r="BD178" s="35" t="s">
        <v>274</v>
      </c>
      <c r="BE178" s="35" t="s">
        <v>271</v>
      </c>
      <c r="BF178" s="35">
        <v>5000</v>
      </c>
      <c r="BG178" s="35"/>
      <c r="BH178" s="35">
        <v>0</v>
      </c>
      <c r="BI178" s="35">
        <v>0</v>
      </c>
      <c r="BJ178" s="35"/>
      <c r="BK178" s="35" t="s">
        <v>585</v>
      </c>
      <c r="BL178" s="35" t="s">
        <v>2099</v>
      </c>
      <c r="BM178" s="35"/>
      <c r="BN178" s="35"/>
      <c r="BO178" s="35"/>
    </row>
    <row r="179" spans="1:67" x14ac:dyDescent="0.3">
      <c r="A179" s="35" t="s">
        <v>43</v>
      </c>
      <c r="B179" s="35" t="s">
        <v>44</v>
      </c>
      <c r="C179" s="35" t="s">
        <v>460</v>
      </c>
      <c r="D179" s="35" t="s">
        <v>396</v>
      </c>
      <c r="E179" s="35" t="s">
        <v>501</v>
      </c>
      <c r="F179" s="35" t="s">
        <v>502</v>
      </c>
      <c r="G179" s="35" t="s">
        <v>2083</v>
      </c>
      <c r="H179" s="35" t="s">
        <v>2084</v>
      </c>
      <c r="I179" s="35"/>
      <c r="J179" s="35" t="s">
        <v>47</v>
      </c>
      <c r="K179" s="35" t="s">
        <v>43</v>
      </c>
      <c r="L179" s="35"/>
      <c r="M179" s="35">
        <v>6</v>
      </c>
      <c r="N179" s="35" t="s">
        <v>262</v>
      </c>
      <c r="O179" s="35" t="s">
        <v>263</v>
      </c>
      <c r="P179" s="35" t="s">
        <v>52</v>
      </c>
      <c r="Q179" s="35"/>
      <c r="R179" s="35" t="s">
        <v>197</v>
      </c>
      <c r="S179" s="35" t="s">
        <v>147</v>
      </c>
      <c r="T179" s="35">
        <v>0</v>
      </c>
      <c r="U179" s="35" t="s">
        <v>264</v>
      </c>
      <c r="V179" s="35">
        <v>0</v>
      </c>
      <c r="W179" s="35" t="s">
        <v>265</v>
      </c>
      <c r="X179" s="35">
        <v>64000</v>
      </c>
      <c r="Y179" s="35">
        <v>4.99</v>
      </c>
      <c r="Z179" s="38">
        <v>4864.0426666666663</v>
      </c>
      <c r="AA179" s="38">
        <v>4000</v>
      </c>
      <c r="AB179" s="35" t="s">
        <v>95</v>
      </c>
      <c r="AC179" s="38">
        <v>64000</v>
      </c>
      <c r="AD179" s="38">
        <v>64000</v>
      </c>
      <c r="AE179" s="38">
        <v>0</v>
      </c>
      <c r="AF179" s="38">
        <v>0</v>
      </c>
      <c r="AG179" s="38">
        <v>0</v>
      </c>
      <c r="AH179" s="38">
        <v>0</v>
      </c>
      <c r="AI179" s="38">
        <v>0</v>
      </c>
      <c r="AJ179" s="38">
        <v>0</v>
      </c>
      <c r="AK179" s="35"/>
      <c r="AL179" s="35" t="s">
        <v>1899</v>
      </c>
      <c r="AM179" s="35" t="s">
        <v>2013</v>
      </c>
      <c r="AN179" s="35" t="s">
        <v>2014</v>
      </c>
      <c r="AO179" s="35">
        <v>16</v>
      </c>
      <c r="AP179" s="35">
        <v>16</v>
      </c>
      <c r="AQ179" s="35" t="s">
        <v>2100</v>
      </c>
      <c r="AR179" s="35" t="s">
        <v>2101</v>
      </c>
      <c r="AS179" s="35" t="s">
        <v>2102</v>
      </c>
      <c r="AT179" s="35" t="s">
        <v>2103</v>
      </c>
      <c r="AU179" s="35"/>
      <c r="AV179" s="35" t="s">
        <v>2104</v>
      </c>
      <c r="AW179" s="35" t="s">
        <v>718</v>
      </c>
      <c r="AX179" s="35" t="s">
        <v>555</v>
      </c>
      <c r="AY179" s="35" t="s">
        <v>271</v>
      </c>
      <c r="AZ179" s="35" t="s">
        <v>2091</v>
      </c>
      <c r="BA179" s="35"/>
      <c r="BB179" s="35" t="s">
        <v>272</v>
      </c>
      <c r="BC179" s="35" t="s">
        <v>273</v>
      </c>
      <c r="BD179" s="35" t="s">
        <v>274</v>
      </c>
      <c r="BE179" s="35" t="s">
        <v>271</v>
      </c>
      <c r="BF179" s="35">
        <v>6400</v>
      </c>
      <c r="BG179" s="35"/>
      <c r="BH179" s="35">
        <v>0</v>
      </c>
      <c r="BI179" s="35">
        <v>0</v>
      </c>
      <c r="BJ179" s="35"/>
      <c r="BK179" s="35" t="s">
        <v>585</v>
      </c>
      <c r="BL179" s="35" t="s">
        <v>2105</v>
      </c>
      <c r="BM179" s="35"/>
      <c r="BN179" s="35"/>
      <c r="BO179" s="35"/>
    </row>
    <row r="180" spans="1:67" x14ac:dyDescent="0.3">
      <c r="A180" s="35" t="s">
        <v>43</v>
      </c>
      <c r="B180" s="35" t="s">
        <v>44</v>
      </c>
      <c r="C180" s="35" t="s">
        <v>460</v>
      </c>
      <c r="D180" s="35" t="s">
        <v>396</v>
      </c>
      <c r="E180" s="35" t="s">
        <v>154</v>
      </c>
      <c r="F180" s="35" t="s">
        <v>155</v>
      </c>
      <c r="G180" s="35" t="s">
        <v>2139</v>
      </c>
      <c r="H180" s="35" t="s">
        <v>2140</v>
      </c>
      <c r="I180" s="35"/>
      <c r="J180" s="35" t="s">
        <v>47</v>
      </c>
      <c r="K180" s="35" t="s">
        <v>43</v>
      </c>
      <c r="L180" s="35"/>
      <c r="M180" s="35">
        <v>6</v>
      </c>
      <c r="N180" s="35" t="s">
        <v>262</v>
      </c>
      <c r="O180" s="35" t="s">
        <v>263</v>
      </c>
      <c r="P180" s="35" t="s">
        <v>52</v>
      </c>
      <c r="Q180" s="35"/>
      <c r="R180" s="35" t="s">
        <v>168</v>
      </c>
      <c r="S180" s="35" t="s">
        <v>198</v>
      </c>
      <c r="T180" s="35">
        <v>0</v>
      </c>
      <c r="U180" s="35" t="s">
        <v>264</v>
      </c>
      <c r="V180" s="35">
        <v>0</v>
      </c>
      <c r="W180" s="35" t="s">
        <v>265</v>
      </c>
      <c r="X180" s="35">
        <v>51000</v>
      </c>
      <c r="Y180" s="35">
        <v>4.99</v>
      </c>
      <c r="Z180" s="38">
        <v>3876.0340000000001</v>
      </c>
      <c r="AA180" s="38">
        <v>3187.5</v>
      </c>
      <c r="AB180" s="35" t="s">
        <v>95</v>
      </c>
      <c r="AC180" s="38">
        <v>51000</v>
      </c>
      <c r="AD180" s="38">
        <v>51000</v>
      </c>
      <c r="AE180" s="38">
        <v>0</v>
      </c>
      <c r="AF180" s="38">
        <v>0</v>
      </c>
      <c r="AG180" s="38">
        <v>0</v>
      </c>
      <c r="AH180" s="38">
        <v>0</v>
      </c>
      <c r="AI180" s="38">
        <v>0</v>
      </c>
      <c r="AJ180" s="38">
        <v>0</v>
      </c>
      <c r="AK180" s="35"/>
      <c r="AL180" s="35" t="s">
        <v>1898</v>
      </c>
      <c r="AM180" s="35" t="s">
        <v>2165</v>
      </c>
      <c r="AN180" s="35" t="s">
        <v>2164</v>
      </c>
      <c r="AO180" s="35">
        <v>16</v>
      </c>
      <c r="AP180" s="35">
        <v>16</v>
      </c>
      <c r="AQ180" s="35" t="s">
        <v>2171</v>
      </c>
      <c r="AR180" s="35" t="s">
        <v>2172</v>
      </c>
      <c r="AS180" s="35" t="s">
        <v>2173</v>
      </c>
      <c r="AT180" s="35" t="s">
        <v>2174</v>
      </c>
      <c r="AU180" s="35"/>
      <c r="AV180" s="35" t="s">
        <v>2175</v>
      </c>
      <c r="AW180" s="35" t="s">
        <v>718</v>
      </c>
      <c r="AX180" s="35" t="s">
        <v>555</v>
      </c>
      <c r="AY180" s="35" t="s">
        <v>271</v>
      </c>
      <c r="AZ180" s="35" t="s">
        <v>2153</v>
      </c>
      <c r="BA180" s="35"/>
      <c r="BB180" s="35" t="s">
        <v>272</v>
      </c>
      <c r="BC180" s="35" t="s">
        <v>273</v>
      </c>
      <c r="BD180" s="35" t="s">
        <v>274</v>
      </c>
      <c r="BE180" s="35" t="s">
        <v>271</v>
      </c>
      <c r="BF180" s="35">
        <v>5100</v>
      </c>
      <c r="BG180" s="35"/>
      <c r="BH180" s="35">
        <v>0</v>
      </c>
      <c r="BI180" s="35">
        <v>0</v>
      </c>
      <c r="BJ180" s="35"/>
      <c r="BK180" s="35" t="s">
        <v>585</v>
      </c>
      <c r="BL180" s="35" t="s">
        <v>2176</v>
      </c>
      <c r="BM180" s="35"/>
      <c r="BN180" s="35"/>
      <c r="BO180" s="35"/>
    </row>
    <row r="181" spans="1:67" x14ac:dyDescent="0.3">
      <c r="A181" s="35" t="s">
        <v>49</v>
      </c>
      <c r="B181" s="35" t="s">
        <v>450</v>
      </c>
      <c r="C181" s="35" t="s">
        <v>451</v>
      </c>
      <c r="D181" s="35" t="s">
        <v>388</v>
      </c>
      <c r="E181" s="35" t="s">
        <v>170</v>
      </c>
      <c r="F181" s="35" t="s">
        <v>171</v>
      </c>
      <c r="G181" s="35" t="s">
        <v>2036</v>
      </c>
      <c r="H181" s="35" t="s">
        <v>2037</v>
      </c>
      <c r="I181" s="35"/>
      <c r="J181" s="35" t="s">
        <v>47</v>
      </c>
      <c r="K181" s="35" t="s">
        <v>43</v>
      </c>
      <c r="L181" s="35"/>
      <c r="M181" s="35">
        <v>8</v>
      </c>
      <c r="N181" s="35" t="s">
        <v>262</v>
      </c>
      <c r="O181" s="35" t="s">
        <v>263</v>
      </c>
      <c r="P181" s="35" t="s">
        <v>52</v>
      </c>
      <c r="Q181" s="35"/>
      <c r="R181" s="35" t="s">
        <v>124</v>
      </c>
      <c r="S181" s="35" t="s">
        <v>147</v>
      </c>
      <c r="T181" s="35">
        <v>0</v>
      </c>
      <c r="U181" s="35" t="s">
        <v>264</v>
      </c>
      <c r="V181" s="35">
        <v>0</v>
      </c>
      <c r="W181" s="35" t="s">
        <v>265</v>
      </c>
      <c r="X181" s="35">
        <v>138000</v>
      </c>
      <c r="Y181" s="35">
        <v>4.99</v>
      </c>
      <c r="Z181" s="38">
        <v>10488.092000000001</v>
      </c>
      <c r="AA181" s="38">
        <v>8625</v>
      </c>
      <c r="AB181" s="35" t="s">
        <v>95</v>
      </c>
      <c r="AC181" s="38">
        <v>138000</v>
      </c>
      <c r="AD181" s="38">
        <v>138000</v>
      </c>
      <c r="AE181" s="38">
        <v>0</v>
      </c>
      <c r="AF181" s="38">
        <v>0</v>
      </c>
      <c r="AG181" s="38">
        <v>0</v>
      </c>
      <c r="AH181" s="38">
        <v>0</v>
      </c>
      <c r="AI181" s="38">
        <v>0</v>
      </c>
      <c r="AJ181" s="38">
        <v>0</v>
      </c>
      <c r="AK181" s="35"/>
      <c r="AL181" s="35" t="s">
        <v>1884</v>
      </c>
      <c r="AM181" s="35" t="s">
        <v>2044</v>
      </c>
      <c r="AN181" s="35" t="s">
        <v>2042</v>
      </c>
      <c r="AO181" s="35">
        <v>16</v>
      </c>
      <c r="AP181" s="35">
        <v>16</v>
      </c>
      <c r="AQ181" s="35" t="s">
        <v>2045</v>
      </c>
      <c r="AR181" s="35" t="s">
        <v>2046</v>
      </c>
      <c r="AS181" s="35" t="s">
        <v>2047</v>
      </c>
      <c r="AT181" s="35" t="s">
        <v>2048</v>
      </c>
      <c r="AU181" s="35"/>
      <c r="AV181" s="35" t="s">
        <v>2049</v>
      </c>
      <c r="AW181" s="35" t="s">
        <v>626</v>
      </c>
      <c r="AX181" s="35" t="s">
        <v>627</v>
      </c>
      <c r="AY181" s="35" t="s">
        <v>338</v>
      </c>
      <c r="AZ181" s="35" t="s">
        <v>2038</v>
      </c>
      <c r="BA181" s="35"/>
      <c r="BB181" s="35" t="s">
        <v>272</v>
      </c>
      <c r="BC181" s="35" t="s">
        <v>273</v>
      </c>
      <c r="BD181" s="35" t="s">
        <v>274</v>
      </c>
      <c r="BE181" s="35" t="s">
        <v>271</v>
      </c>
      <c r="BF181" s="35">
        <v>13800</v>
      </c>
      <c r="BG181" s="35"/>
      <c r="BH181" s="35">
        <v>0</v>
      </c>
      <c r="BI181" s="35">
        <v>0</v>
      </c>
      <c r="BJ181" s="35"/>
      <c r="BK181" s="35" t="s">
        <v>585</v>
      </c>
      <c r="BL181" s="35" t="s">
        <v>2050</v>
      </c>
      <c r="BM181" s="35"/>
      <c r="BN181" s="35"/>
      <c r="BO181" s="35"/>
    </row>
    <row r="182" spans="1:67" x14ac:dyDescent="0.3">
      <c r="A182" s="35" t="s">
        <v>49</v>
      </c>
      <c r="B182" s="35" t="s">
        <v>450</v>
      </c>
      <c r="C182" s="35" t="s">
        <v>451</v>
      </c>
      <c r="D182" s="35" t="s">
        <v>388</v>
      </c>
      <c r="E182" s="35" t="s">
        <v>1145</v>
      </c>
      <c r="F182" s="35" t="s">
        <v>1840</v>
      </c>
      <c r="G182" s="35" t="s">
        <v>1915</v>
      </c>
      <c r="H182" s="35" t="s">
        <v>1916</v>
      </c>
      <c r="I182" s="35"/>
      <c r="J182" s="35" t="s">
        <v>47</v>
      </c>
      <c r="K182" s="35" t="s">
        <v>43</v>
      </c>
      <c r="L182" s="35"/>
      <c r="M182" s="35">
        <v>5</v>
      </c>
      <c r="N182" s="35" t="s">
        <v>262</v>
      </c>
      <c r="O182" s="35" t="s">
        <v>263</v>
      </c>
      <c r="P182" s="35" t="s">
        <v>52</v>
      </c>
      <c r="Q182" s="35"/>
      <c r="R182" s="35" t="s">
        <v>168</v>
      </c>
      <c r="S182" s="35" t="s">
        <v>160</v>
      </c>
      <c r="T182" s="35">
        <v>0</v>
      </c>
      <c r="U182" s="35" t="s">
        <v>264</v>
      </c>
      <c r="V182" s="35">
        <v>1</v>
      </c>
      <c r="W182" s="35" t="s">
        <v>265</v>
      </c>
      <c r="X182" s="35">
        <v>252000</v>
      </c>
      <c r="Y182" s="35">
        <v>4.99</v>
      </c>
      <c r="Z182" s="38">
        <v>19152.167999999998</v>
      </c>
      <c r="AA182" s="38">
        <v>15750</v>
      </c>
      <c r="AB182" s="35" t="s">
        <v>95</v>
      </c>
      <c r="AC182" s="38">
        <v>252000</v>
      </c>
      <c r="AD182" s="38">
        <v>236250</v>
      </c>
      <c r="AE182" s="38">
        <v>15750</v>
      </c>
      <c r="AF182" s="38">
        <v>3402.17</v>
      </c>
      <c r="AG182" s="38">
        <v>0</v>
      </c>
      <c r="AH182" s="38">
        <v>0</v>
      </c>
      <c r="AI182" s="38">
        <v>19152.170000000002</v>
      </c>
      <c r="AJ182" s="38">
        <v>0</v>
      </c>
      <c r="AK182" s="35"/>
      <c r="AL182" s="35" t="s">
        <v>1925</v>
      </c>
      <c r="AM182" s="35" t="s">
        <v>1926</v>
      </c>
      <c r="AN182" s="35" t="s">
        <v>2164</v>
      </c>
      <c r="AO182" s="35">
        <v>15</v>
      </c>
      <c r="AP182" s="35">
        <v>16</v>
      </c>
      <c r="AQ182" s="35" t="s">
        <v>1939</v>
      </c>
      <c r="AR182" s="35" t="s">
        <v>1940</v>
      </c>
      <c r="AS182" s="35" t="s">
        <v>1941</v>
      </c>
      <c r="AT182" s="35" t="s">
        <v>1942</v>
      </c>
      <c r="AU182" s="35"/>
      <c r="AV182" s="35" t="s">
        <v>1346</v>
      </c>
      <c r="AW182" s="35" t="s">
        <v>592</v>
      </c>
      <c r="AX182" s="35" t="s">
        <v>274</v>
      </c>
      <c r="AY182" s="35" t="s">
        <v>271</v>
      </c>
      <c r="AZ182" s="35" t="s">
        <v>1921</v>
      </c>
      <c r="BA182" s="35"/>
      <c r="BB182" s="35" t="s">
        <v>272</v>
      </c>
      <c r="BC182" s="35" t="s">
        <v>273</v>
      </c>
      <c r="BD182" s="35" t="s">
        <v>274</v>
      </c>
      <c r="BE182" s="35" t="s">
        <v>271</v>
      </c>
      <c r="BF182" s="35">
        <v>25200</v>
      </c>
      <c r="BG182" s="35"/>
      <c r="BH182" s="35">
        <v>1</v>
      </c>
      <c r="BI182" s="35">
        <v>1</v>
      </c>
      <c r="BJ182" s="35"/>
      <c r="BK182" s="35" t="s">
        <v>585</v>
      </c>
      <c r="BL182" s="35" t="s">
        <v>1943</v>
      </c>
    </row>
    <row r="183" spans="1:67" x14ac:dyDescent="0.3">
      <c r="A183" s="35" t="s">
        <v>43</v>
      </c>
      <c r="B183" s="35" t="s">
        <v>44</v>
      </c>
      <c r="C183" s="35" t="s">
        <v>41</v>
      </c>
      <c r="D183" s="35" t="s">
        <v>42</v>
      </c>
      <c r="E183" s="35" t="s">
        <v>148</v>
      </c>
      <c r="F183" s="35" t="s">
        <v>149</v>
      </c>
      <c r="G183" s="35" t="s">
        <v>2031</v>
      </c>
      <c r="H183" s="35" t="s">
        <v>2032</v>
      </c>
      <c r="I183" s="35"/>
      <c r="J183" s="35" t="s">
        <v>47</v>
      </c>
      <c r="K183" s="35" t="s">
        <v>47</v>
      </c>
      <c r="L183" s="35"/>
      <c r="M183" s="35">
        <v>5</v>
      </c>
      <c r="N183" s="35" t="s">
        <v>262</v>
      </c>
      <c r="O183" s="35" t="s">
        <v>263</v>
      </c>
      <c r="P183" s="35" t="s">
        <v>52</v>
      </c>
      <c r="Q183" s="35"/>
      <c r="R183" s="35" t="s">
        <v>124</v>
      </c>
      <c r="S183" s="35" t="s">
        <v>125</v>
      </c>
      <c r="T183" s="35">
        <v>0</v>
      </c>
      <c r="U183" s="35" t="s">
        <v>264</v>
      </c>
      <c r="V183" s="35">
        <v>0</v>
      </c>
      <c r="W183" s="35" t="s">
        <v>265</v>
      </c>
      <c r="X183" s="35">
        <v>54000</v>
      </c>
      <c r="Y183" s="35">
        <v>4.99</v>
      </c>
      <c r="Z183" s="38">
        <v>4104.0360000000001</v>
      </c>
      <c r="AA183" s="38">
        <v>3375</v>
      </c>
      <c r="AB183" s="35" t="s">
        <v>95</v>
      </c>
      <c r="AC183" s="38">
        <v>54000</v>
      </c>
      <c r="AD183" s="38">
        <v>54000</v>
      </c>
      <c r="AE183" s="38">
        <v>0</v>
      </c>
      <c r="AF183" s="38">
        <v>0</v>
      </c>
      <c r="AG183" s="38">
        <v>0</v>
      </c>
      <c r="AH183" s="38">
        <v>0</v>
      </c>
      <c r="AI183" s="38">
        <v>0</v>
      </c>
      <c r="AJ183" s="38">
        <v>0</v>
      </c>
      <c r="AK183" s="35"/>
      <c r="AL183" s="35" t="s">
        <v>1884</v>
      </c>
      <c r="AM183" s="35" t="s">
        <v>2044</v>
      </c>
      <c r="AN183" s="35" t="s">
        <v>2042</v>
      </c>
      <c r="AO183" s="35">
        <v>16</v>
      </c>
      <c r="AP183" s="35">
        <v>16</v>
      </c>
      <c r="AQ183" s="35" t="s">
        <v>1251</v>
      </c>
      <c r="AR183" s="35" t="s">
        <v>1251</v>
      </c>
      <c r="AS183" s="35" t="s">
        <v>1009</v>
      </c>
      <c r="AT183" s="35" t="s">
        <v>2051</v>
      </c>
      <c r="AU183" s="35"/>
      <c r="AV183" s="35" t="s">
        <v>1233</v>
      </c>
      <c r="AW183" s="35" t="s">
        <v>592</v>
      </c>
      <c r="AX183" s="35" t="s">
        <v>274</v>
      </c>
      <c r="AY183" s="35" t="s">
        <v>271</v>
      </c>
      <c r="AZ183" s="35"/>
      <c r="BA183" s="35"/>
      <c r="BB183" s="35" t="s">
        <v>272</v>
      </c>
      <c r="BC183" s="35" t="s">
        <v>273</v>
      </c>
      <c r="BD183" s="35" t="s">
        <v>274</v>
      </c>
      <c r="BE183" s="35" t="s">
        <v>271</v>
      </c>
      <c r="BF183" s="35">
        <v>5400</v>
      </c>
      <c r="BG183" s="35"/>
      <c r="BH183" s="35">
        <v>0</v>
      </c>
      <c r="BI183" s="35">
        <v>0</v>
      </c>
      <c r="BJ183" s="35"/>
      <c r="BK183" s="35" t="s">
        <v>585</v>
      </c>
      <c r="BL183" s="35" t="s">
        <v>2052</v>
      </c>
    </row>
    <row r="184" spans="1:67" x14ac:dyDescent="0.3">
      <c r="A184" s="35" t="s">
        <v>49</v>
      </c>
      <c r="B184" s="35" t="s">
        <v>450</v>
      </c>
      <c r="C184" s="35" t="s">
        <v>451</v>
      </c>
      <c r="D184" s="35" t="s">
        <v>388</v>
      </c>
      <c r="E184" s="35" t="s">
        <v>188</v>
      </c>
      <c r="F184" s="35" t="s">
        <v>190</v>
      </c>
      <c r="G184" s="35" t="s">
        <v>2028</v>
      </c>
      <c r="H184" s="35" t="s">
        <v>2029</v>
      </c>
      <c r="I184" s="35"/>
      <c r="J184" s="35" t="s">
        <v>47</v>
      </c>
      <c r="K184" s="35" t="s">
        <v>43</v>
      </c>
      <c r="L184" s="35"/>
      <c r="M184" s="35">
        <v>6</v>
      </c>
      <c r="N184" s="35" t="s">
        <v>262</v>
      </c>
      <c r="O184" s="35" t="s">
        <v>263</v>
      </c>
      <c r="P184" s="35" t="s">
        <v>52</v>
      </c>
      <c r="Q184" s="35"/>
      <c r="R184" s="35" t="s">
        <v>124</v>
      </c>
      <c r="S184" s="35" t="s">
        <v>127</v>
      </c>
      <c r="T184" s="35">
        <v>0</v>
      </c>
      <c r="U184" s="35" t="s">
        <v>264</v>
      </c>
      <c r="V184" s="35">
        <v>0</v>
      </c>
      <c r="W184" s="35" t="s">
        <v>265</v>
      </c>
      <c r="X184" s="35">
        <v>129000</v>
      </c>
      <c r="Y184" s="35">
        <v>4.99</v>
      </c>
      <c r="Z184" s="38">
        <v>9804.0860000000011</v>
      </c>
      <c r="AA184" s="38">
        <v>8062.5</v>
      </c>
      <c r="AB184" s="35" t="s">
        <v>95</v>
      </c>
      <c r="AC184" s="38">
        <v>129000</v>
      </c>
      <c r="AD184" s="38">
        <v>129000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5"/>
      <c r="AL184" s="35" t="s">
        <v>1884</v>
      </c>
      <c r="AM184" s="35" t="s">
        <v>2044</v>
      </c>
      <c r="AN184" s="35" t="s">
        <v>2042</v>
      </c>
      <c r="AO184" s="35">
        <v>16</v>
      </c>
      <c r="AP184" s="35">
        <v>16</v>
      </c>
      <c r="AQ184" s="35" t="s">
        <v>2053</v>
      </c>
      <c r="AR184" s="35" t="s">
        <v>2054</v>
      </c>
      <c r="AS184" s="35" t="s">
        <v>2055</v>
      </c>
      <c r="AT184" s="35" t="s">
        <v>2056</v>
      </c>
      <c r="AU184" s="35"/>
      <c r="AV184" s="35" t="s">
        <v>2057</v>
      </c>
      <c r="AW184" s="35" t="s">
        <v>2058</v>
      </c>
      <c r="AX184" s="35" t="s">
        <v>338</v>
      </c>
      <c r="AY184" s="35" t="s">
        <v>338</v>
      </c>
      <c r="AZ184" s="35" t="s">
        <v>2030</v>
      </c>
      <c r="BA184" s="35"/>
      <c r="BB184" s="35" t="s">
        <v>272</v>
      </c>
      <c r="BC184" s="35" t="s">
        <v>273</v>
      </c>
      <c r="BD184" s="35" t="s">
        <v>274</v>
      </c>
      <c r="BE184" s="35" t="s">
        <v>271</v>
      </c>
      <c r="BF184" s="35">
        <v>12900</v>
      </c>
      <c r="BG184" s="35"/>
      <c r="BH184" s="35">
        <v>0</v>
      </c>
      <c r="BI184" s="35">
        <v>0</v>
      </c>
      <c r="BJ184" s="35"/>
      <c r="BK184" s="35" t="s">
        <v>585</v>
      </c>
      <c r="BL184" s="35" t="s">
        <v>2059</v>
      </c>
    </row>
    <row r="185" spans="1:67" x14ac:dyDescent="0.3">
      <c r="A185" s="35" t="s">
        <v>43</v>
      </c>
      <c r="B185" s="35" t="s">
        <v>44</v>
      </c>
      <c r="C185" s="35" t="s">
        <v>41</v>
      </c>
      <c r="D185" s="35" t="s">
        <v>42</v>
      </c>
      <c r="E185" s="35" t="s">
        <v>1163</v>
      </c>
      <c r="F185" s="35" t="s">
        <v>1685</v>
      </c>
      <c r="G185" s="35" t="s">
        <v>1962</v>
      </c>
      <c r="H185" s="35" t="s">
        <v>1963</v>
      </c>
      <c r="I185" s="35"/>
      <c r="J185" s="35" t="s">
        <v>47</v>
      </c>
      <c r="K185" s="35" t="s">
        <v>47</v>
      </c>
      <c r="L185" s="35"/>
      <c r="M185" s="35">
        <v>6</v>
      </c>
      <c r="N185" s="35" t="s">
        <v>262</v>
      </c>
      <c r="O185" s="35" t="s">
        <v>263</v>
      </c>
      <c r="P185" s="35" t="s">
        <v>52</v>
      </c>
      <c r="Q185" s="35"/>
      <c r="R185" s="35" t="s">
        <v>126</v>
      </c>
      <c r="S185" s="35" t="s">
        <v>185</v>
      </c>
      <c r="T185" s="35">
        <v>0</v>
      </c>
      <c r="U185" s="35" t="s">
        <v>264</v>
      </c>
      <c r="V185" s="35">
        <v>0</v>
      </c>
      <c r="W185" s="35" t="s">
        <v>265</v>
      </c>
      <c r="X185" s="35">
        <v>142000</v>
      </c>
      <c r="Y185" s="35">
        <v>4.99</v>
      </c>
      <c r="Z185" s="38">
        <v>10792.094666666701</v>
      </c>
      <c r="AA185" s="38">
        <v>8875</v>
      </c>
      <c r="AB185" s="35" t="s">
        <v>95</v>
      </c>
      <c r="AC185" s="38">
        <v>142000</v>
      </c>
      <c r="AD185" s="38">
        <v>142000</v>
      </c>
      <c r="AE185" s="38">
        <v>0</v>
      </c>
      <c r="AF185" s="38">
        <v>0</v>
      </c>
      <c r="AG185" s="38">
        <v>0</v>
      </c>
      <c r="AH185" s="38">
        <v>0</v>
      </c>
      <c r="AI185" s="38">
        <v>0</v>
      </c>
      <c r="AJ185" s="38">
        <v>0</v>
      </c>
      <c r="AK185" s="35"/>
      <c r="AL185" s="35" t="s">
        <v>1823</v>
      </c>
      <c r="AM185" s="35" t="s">
        <v>1975</v>
      </c>
      <c r="AN185" s="35" t="s">
        <v>1965</v>
      </c>
      <c r="AO185" s="35">
        <v>16</v>
      </c>
      <c r="AP185" s="35">
        <v>16</v>
      </c>
      <c r="AQ185" s="35" t="s">
        <v>1706</v>
      </c>
      <c r="AR185" s="35" t="s">
        <v>1706</v>
      </c>
      <c r="AS185" s="35" t="s">
        <v>1706</v>
      </c>
      <c r="AT185" s="35" t="s">
        <v>1993</v>
      </c>
      <c r="AU185" s="35"/>
      <c r="AV185" s="35" t="s">
        <v>1994</v>
      </c>
      <c r="AW185" s="35" t="s">
        <v>1995</v>
      </c>
      <c r="AX185" s="35" t="s">
        <v>274</v>
      </c>
      <c r="AY185" s="35" t="s">
        <v>271</v>
      </c>
      <c r="AZ185" s="35"/>
      <c r="BA185" s="35"/>
      <c r="BB185" s="35" t="s">
        <v>272</v>
      </c>
      <c r="BC185" s="35" t="s">
        <v>273</v>
      </c>
      <c r="BD185" s="35" t="s">
        <v>274</v>
      </c>
      <c r="BE185" s="35" t="s">
        <v>271</v>
      </c>
      <c r="BF185" s="35">
        <v>14200</v>
      </c>
      <c r="BG185" s="35"/>
      <c r="BH185" s="35">
        <v>1</v>
      </c>
      <c r="BI185" s="35">
        <v>1</v>
      </c>
      <c r="BJ185" s="35"/>
      <c r="BK185" s="35" t="s">
        <v>585</v>
      </c>
      <c r="BL185" s="35" t="s">
        <v>1996</v>
      </c>
    </row>
    <row r="186" spans="1:67" x14ac:dyDescent="0.3">
      <c r="A186" s="35" t="s">
        <v>43</v>
      </c>
      <c r="B186" s="35" t="s">
        <v>44</v>
      </c>
      <c r="C186" s="35" t="s">
        <v>41</v>
      </c>
      <c r="D186" s="35" t="s">
        <v>42</v>
      </c>
      <c r="E186" s="35" t="s">
        <v>148</v>
      </c>
      <c r="F186" s="35" t="s">
        <v>149</v>
      </c>
      <c r="G186" s="35" t="s">
        <v>2075</v>
      </c>
      <c r="H186" s="35" t="s">
        <v>2076</v>
      </c>
      <c r="I186" s="35"/>
      <c r="J186" s="35" t="s">
        <v>47</v>
      </c>
      <c r="K186" s="35" t="s">
        <v>47</v>
      </c>
      <c r="L186" s="35"/>
      <c r="M186" s="35">
        <v>6</v>
      </c>
      <c r="N186" s="35" t="s">
        <v>262</v>
      </c>
      <c r="O186" s="35" t="s">
        <v>263</v>
      </c>
      <c r="P186" s="35" t="s">
        <v>52</v>
      </c>
      <c r="Q186" s="35"/>
      <c r="R186" s="35" t="s">
        <v>197</v>
      </c>
      <c r="S186" s="35" t="s">
        <v>125</v>
      </c>
      <c r="T186" s="35">
        <v>0</v>
      </c>
      <c r="U186" s="35" t="s">
        <v>264</v>
      </c>
      <c r="V186" s="35">
        <v>0</v>
      </c>
      <c r="W186" s="35" t="s">
        <v>265</v>
      </c>
      <c r="X186" s="35">
        <v>57000</v>
      </c>
      <c r="Y186" s="35">
        <v>4.99</v>
      </c>
      <c r="Z186" s="38">
        <v>4332.0380000000005</v>
      </c>
      <c r="AA186" s="38">
        <v>3562.5</v>
      </c>
      <c r="AB186" s="35" t="s">
        <v>95</v>
      </c>
      <c r="AC186" s="38">
        <v>57000</v>
      </c>
      <c r="AD186" s="38">
        <v>57000</v>
      </c>
      <c r="AE186" s="38">
        <v>0</v>
      </c>
      <c r="AF186" s="38">
        <v>0</v>
      </c>
      <c r="AG186" s="38">
        <v>0</v>
      </c>
      <c r="AH186" s="38">
        <v>0</v>
      </c>
      <c r="AI186" s="38">
        <v>0</v>
      </c>
      <c r="AJ186" s="38">
        <v>0</v>
      </c>
      <c r="AK186" s="35"/>
      <c r="AL186" s="35" t="s">
        <v>1899</v>
      </c>
      <c r="AM186" s="35" t="s">
        <v>2013</v>
      </c>
      <c r="AN186" s="35" t="s">
        <v>2014</v>
      </c>
      <c r="AO186" s="35">
        <v>16</v>
      </c>
      <c r="AP186" s="35">
        <v>16</v>
      </c>
      <c r="AQ186" s="35" t="s">
        <v>1009</v>
      </c>
      <c r="AR186" s="35" t="s">
        <v>1230</v>
      </c>
      <c r="AS186" s="35" t="s">
        <v>1230</v>
      </c>
      <c r="AT186" s="35" t="s">
        <v>2106</v>
      </c>
      <c r="AU186" s="35"/>
      <c r="AV186" s="35" t="s">
        <v>272</v>
      </c>
      <c r="AW186" s="35" t="s">
        <v>273</v>
      </c>
      <c r="AX186" s="35" t="s">
        <v>274</v>
      </c>
      <c r="AY186" s="35" t="s">
        <v>271</v>
      </c>
      <c r="AZ186" s="35"/>
      <c r="BA186" s="35"/>
      <c r="BB186" s="35" t="s">
        <v>272</v>
      </c>
      <c r="BC186" s="35" t="s">
        <v>273</v>
      </c>
      <c r="BD186" s="35" t="s">
        <v>274</v>
      </c>
      <c r="BE186" s="35" t="s">
        <v>271</v>
      </c>
      <c r="BF186" s="35">
        <v>5700</v>
      </c>
      <c r="BG186" s="35"/>
      <c r="BH186" s="35">
        <v>0</v>
      </c>
      <c r="BI186" s="35">
        <v>0</v>
      </c>
      <c r="BJ186" s="35"/>
      <c r="BK186" s="35" t="s">
        <v>585</v>
      </c>
      <c r="BL186" s="35" t="s">
        <v>2107</v>
      </c>
    </row>
    <row r="187" spans="1:67" x14ac:dyDescent="0.3">
      <c r="A187" s="35" t="s">
        <v>43</v>
      </c>
      <c r="B187" s="35" t="s">
        <v>44</v>
      </c>
      <c r="C187" s="35" t="s">
        <v>460</v>
      </c>
      <c r="D187" s="35" t="s">
        <v>396</v>
      </c>
      <c r="E187" s="35" t="s">
        <v>143</v>
      </c>
      <c r="F187" s="35" t="s">
        <v>144</v>
      </c>
      <c r="G187" s="35" t="s">
        <v>2079</v>
      </c>
      <c r="H187" s="35" t="s">
        <v>2080</v>
      </c>
      <c r="I187" s="35"/>
      <c r="J187" s="35" t="s">
        <v>47</v>
      </c>
      <c r="K187" s="35" t="s">
        <v>43</v>
      </c>
      <c r="L187" s="35"/>
      <c r="M187" s="35">
        <v>6</v>
      </c>
      <c r="N187" s="35" t="s">
        <v>262</v>
      </c>
      <c r="O187" s="35" t="s">
        <v>263</v>
      </c>
      <c r="P187" s="35" t="s">
        <v>52</v>
      </c>
      <c r="Q187" s="35"/>
      <c r="R187" s="35" t="s">
        <v>197</v>
      </c>
      <c r="S187" s="35" t="s">
        <v>125</v>
      </c>
      <c r="T187" s="35">
        <v>0</v>
      </c>
      <c r="U187" s="35" t="s">
        <v>264</v>
      </c>
      <c r="V187" s="35">
        <v>0</v>
      </c>
      <c r="W187" s="35" t="s">
        <v>265</v>
      </c>
      <c r="X187" s="35">
        <v>94000</v>
      </c>
      <c r="Y187" s="35">
        <v>4.99</v>
      </c>
      <c r="Z187" s="38">
        <v>7144.0626666666658</v>
      </c>
      <c r="AA187" s="38">
        <v>5875</v>
      </c>
      <c r="AB187" s="35" t="s">
        <v>95</v>
      </c>
      <c r="AC187" s="38">
        <v>94000</v>
      </c>
      <c r="AD187" s="38">
        <v>94000</v>
      </c>
      <c r="AE187" s="38">
        <v>0</v>
      </c>
      <c r="AF187" s="38">
        <v>0</v>
      </c>
      <c r="AG187" s="38">
        <v>0</v>
      </c>
      <c r="AH187" s="38">
        <v>0</v>
      </c>
      <c r="AI187" s="38">
        <v>0</v>
      </c>
      <c r="AJ187" s="38">
        <v>0</v>
      </c>
      <c r="AK187" s="35"/>
      <c r="AL187" s="35" t="s">
        <v>1899</v>
      </c>
      <c r="AM187" s="35" t="s">
        <v>2013</v>
      </c>
      <c r="AN187" s="35" t="s">
        <v>2014</v>
      </c>
      <c r="AO187" s="35">
        <v>16</v>
      </c>
      <c r="AP187" s="35">
        <v>16</v>
      </c>
      <c r="AQ187" s="35" t="s">
        <v>2108</v>
      </c>
      <c r="AR187" s="35" t="s">
        <v>2109</v>
      </c>
      <c r="AS187" s="35" t="s">
        <v>2110</v>
      </c>
      <c r="AT187" s="35" t="s">
        <v>2111</v>
      </c>
      <c r="AU187" s="35"/>
      <c r="AV187" s="35" t="s">
        <v>2112</v>
      </c>
      <c r="AW187" s="35" t="s">
        <v>1441</v>
      </c>
      <c r="AX187" s="35" t="s">
        <v>274</v>
      </c>
      <c r="AY187" s="35" t="s">
        <v>271</v>
      </c>
      <c r="AZ187" s="35" t="s">
        <v>2089</v>
      </c>
      <c r="BA187" s="35"/>
      <c r="BB187" s="35" t="s">
        <v>272</v>
      </c>
      <c r="BC187" s="35" t="s">
        <v>273</v>
      </c>
      <c r="BD187" s="35" t="s">
        <v>274</v>
      </c>
      <c r="BE187" s="35" t="s">
        <v>271</v>
      </c>
      <c r="BF187" s="35">
        <v>9400</v>
      </c>
      <c r="BG187" s="35"/>
      <c r="BH187" s="35">
        <v>0</v>
      </c>
      <c r="BI187" s="35">
        <v>0</v>
      </c>
      <c r="BJ187" s="35"/>
      <c r="BK187" s="35" t="s">
        <v>585</v>
      </c>
      <c r="BL187" s="35" t="s">
        <v>2113</v>
      </c>
    </row>
    <row r="188" spans="1:67" x14ac:dyDescent="0.3">
      <c r="A188" s="35" t="s">
        <v>43</v>
      </c>
      <c r="B188" s="35" t="s">
        <v>44</v>
      </c>
      <c r="C188" s="35" t="s">
        <v>41</v>
      </c>
      <c r="D188" s="35" t="s">
        <v>42</v>
      </c>
      <c r="E188" s="35" t="s">
        <v>1274</v>
      </c>
      <c r="F188" s="35" t="s">
        <v>1999</v>
      </c>
      <c r="G188" s="35" t="s">
        <v>2000</v>
      </c>
      <c r="H188" s="35" t="s">
        <v>2001</v>
      </c>
      <c r="I188" s="35"/>
      <c r="J188" s="35" t="s">
        <v>47</v>
      </c>
      <c r="K188" s="35" t="s">
        <v>47</v>
      </c>
      <c r="L188" s="35"/>
      <c r="M188" s="35">
        <v>6</v>
      </c>
      <c r="N188" s="35" t="s">
        <v>262</v>
      </c>
      <c r="O188" s="35" t="s">
        <v>263</v>
      </c>
      <c r="P188" s="35" t="s">
        <v>52</v>
      </c>
      <c r="Q188" s="35"/>
      <c r="R188" s="35" t="s">
        <v>146</v>
      </c>
      <c r="S188" s="35" t="s">
        <v>185</v>
      </c>
      <c r="T188" s="35">
        <v>0</v>
      </c>
      <c r="U188" s="35" t="s">
        <v>264</v>
      </c>
      <c r="V188" s="35">
        <v>0</v>
      </c>
      <c r="W188" s="35" t="s">
        <v>265</v>
      </c>
      <c r="X188" s="35">
        <v>510000</v>
      </c>
      <c r="Y188" s="35">
        <v>4.99</v>
      </c>
      <c r="Z188" s="38">
        <v>38760.340000000004</v>
      </c>
      <c r="AA188" s="38">
        <v>31875</v>
      </c>
      <c r="AB188" s="35" t="s">
        <v>95</v>
      </c>
      <c r="AC188" s="38">
        <v>510000</v>
      </c>
      <c r="AD188" s="38">
        <v>510000</v>
      </c>
      <c r="AE188" s="38">
        <v>0</v>
      </c>
      <c r="AF188" s="38">
        <v>0</v>
      </c>
      <c r="AG188" s="38">
        <v>0</v>
      </c>
      <c r="AH188" s="38">
        <v>0</v>
      </c>
      <c r="AI188" s="38">
        <v>0</v>
      </c>
      <c r="AJ188" s="38">
        <v>0</v>
      </c>
      <c r="AK188" s="35"/>
      <c r="AL188" s="35" t="s">
        <v>1843</v>
      </c>
      <c r="AM188" s="35" t="s">
        <v>2007</v>
      </c>
      <c r="AN188" s="35" t="s">
        <v>2004</v>
      </c>
      <c r="AO188" s="35">
        <v>16</v>
      </c>
      <c r="AP188" s="35">
        <v>16</v>
      </c>
      <c r="AQ188" s="35" t="s">
        <v>2008</v>
      </c>
      <c r="AR188" s="35" t="s">
        <v>2008</v>
      </c>
      <c r="AS188" s="35" t="s">
        <v>2009</v>
      </c>
      <c r="AT188" s="35" t="s">
        <v>2010</v>
      </c>
      <c r="AU188" s="35"/>
      <c r="AV188" s="35" t="s">
        <v>2011</v>
      </c>
      <c r="AW188" s="35" t="s">
        <v>1717</v>
      </c>
      <c r="AX188" s="35" t="s">
        <v>322</v>
      </c>
      <c r="AY188" s="35" t="s">
        <v>271</v>
      </c>
      <c r="AZ188" s="35"/>
      <c r="BA188" s="35"/>
      <c r="BB188" s="35" t="s">
        <v>272</v>
      </c>
      <c r="BC188" s="35" t="s">
        <v>273</v>
      </c>
      <c r="BD188" s="35" t="s">
        <v>274</v>
      </c>
      <c r="BE188" s="35" t="s">
        <v>271</v>
      </c>
      <c r="BF188" s="35">
        <v>51000</v>
      </c>
      <c r="BG188" s="35"/>
      <c r="BH188" s="35">
        <v>0</v>
      </c>
      <c r="BI188" s="35">
        <v>0</v>
      </c>
      <c r="BJ188" s="35"/>
      <c r="BK188" s="35" t="s">
        <v>585</v>
      </c>
      <c r="BL188" s="35" t="s">
        <v>2012</v>
      </c>
    </row>
    <row r="189" spans="1:67" x14ac:dyDescent="0.3">
      <c r="A189" s="35" t="s">
        <v>43</v>
      </c>
      <c r="B189" s="35" t="s">
        <v>44</v>
      </c>
      <c r="C189" s="35" t="s">
        <v>41</v>
      </c>
      <c r="D189" s="35" t="s">
        <v>42</v>
      </c>
      <c r="E189" s="35" t="s">
        <v>663</v>
      </c>
      <c r="F189" s="35" t="s">
        <v>664</v>
      </c>
      <c r="G189" s="35" t="s">
        <v>2133</v>
      </c>
      <c r="H189" s="35" t="s">
        <v>2134</v>
      </c>
      <c r="I189" s="35"/>
      <c r="J189" s="35" t="s">
        <v>47</v>
      </c>
      <c r="K189" s="35" t="s">
        <v>47</v>
      </c>
      <c r="L189" s="35"/>
      <c r="M189" s="35">
        <v>5</v>
      </c>
      <c r="N189" s="35" t="s">
        <v>262</v>
      </c>
      <c r="O189" s="35" t="s">
        <v>263</v>
      </c>
      <c r="P189" s="35" t="s">
        <v>52</v>
      </c>
      <c r="Q189" s="35"/>
      <c r="R189" s="35" t="s">
        <v>168</v>
      </c>
      <c r="S189" s="35" t="s">
        <v>1178</v>
      </c>
      <c r="T189" s="35">
        <v>0</v>
      </c>
      <c r="U189" s="35" t="s">
        <v>264</v>
      </c>
      <c r="V189" s="35">
        <v>0</v>
      </c>
      <c r="W189" s="35" t="s">
        <v>265</v>
      </c>
      <c r="X189" s="35">
        <v>135000</v>
      </c>
      <c r="Y189" s="35">
        <v>4.99</v>
      </c>
      <c r="Z189" s="38">
        <v>10260.09</v>
      </c>
      <c r="AA189" s="38">
        <v>8437.5</v>
      </c>
      <c r="AB189" s="35" t="s">
        <v>95</v>
      </c>
      <c r="AC189" s="38">
        <v>135000</v>
      </c>
      <c r="AD189" s="38">
        <v>135000</v>
      </c>
      <c r="AE189" s="38">
        <v>0</v>
      </c>
      <c r="AF189" s="38">
        <v>0</v>
      </c>
      <c r="AG189" s="38">
        <v>0</v>
      </c>
      <c r="AH189" s="38">
        <v>0</v>
      </c>
      <c r="AI189" s="38">
        <v>0</v>
      </c>
      <c r="AJ189" s="38">
        <v>0</v>
      </c>
      <c r="AK189" s="35"/>
      <c r="AL189" s="35" t="s">
        <v>1898</v>
      </c>
      <c r="AM189" s="35" t="s">
        <v>2165</v>
      </c>
      <c r="AN189" s="35" t="s">
        <v>2164</v>
      </c>
      <c r="AO189" s="35">
        <v>16</v>
      </c>
      <c r="AP189" s="35">
        <v>16</v>
      </c>
      <c r="AQ189" s="35" t="s">
        <v>2177</v>
      </c>
      <c r="AR189" s="35" t="s">
        <v>2178</v>
      </c>
      <c r="AS189" s="35" t="s">
        <v>2179</v>
      </c>
      <c r="AT189" s="35" t="s">
        <v>2180</v>
      </c>
      <c r="AU189" s="35"/>
      <c r="AV189" s="35" t="s">
        <v>2181</v>
      </c>
      <c r="AW189" s="35" t="s">
        <v>2124</v>
      </c>
      <c r="AX189" s="35" t="s">
        <v>274</v>
      </c>
      <c r="AY189" s="35" t="s">
        <v>271</v>
      </c>
      <c r="AZ189" s="35"/>
      <c r="BA189" s="35"/>
      <c r="BB189" s="35" t="s">
        <v>272</v>
      </c>
      <c r="BC189" s="35" t="s">
        <v>273</v>
      </c>
      <c r="BD189" s="35" t="s">
        <v>274</v>
      </c>
      <c r="BE189" s="35" t="s">
        <v>271</v>
      </c>
      <c r="BF189" s="35">
        <v>13500</v>
      </c>
      <c r="BG189" s="35"/>
      <c r="BH189" s="35">
        <v>0</v>
      </c>
      <c r="BI189" s="35">
        <v>0</v>
      </c>
      <c r="BJ189" s="35"/>
      <c r="BK189" s="35" t="s">
        <v>585</v>
      </c>
      <c r="BL189" s="35" t="s">
        <v>2182</v>
      </c>
    </row>
    <row r="190" spans="1:67" x14ac:dyDescent="0.3">
      <c r="A190" s="35" t="s">
        <v>43</v>
      </c>
      <c r="B190" s="35" t="s">
        <v>44</v>
      </c>
      <c r="C190" s="35" t="s">
        <v>467</v>
      </c>
      <c r="D190" s="35" t="s">
        <v>424</v>
      </c>
      <c r="E190" s="35" t="s">
        <v>39</v>
      </c>
      <c r="F190" s="35" t="s">
        <v>40</v>
      </c>
      <c r="G190" s="35" t="s">
        <v>2144</v>
      </c>
      <c r="H190" s="35" t="s">
        <v>2145</v>
      </c>
      <c r="I190" s="35"/>
      <c r="J190" s="35" t="s">
        <v>47</v>
      </c>
      <c r="K190" s="35" t="s">
        <v>43</v>
      </c>
      <c r="L190" s="35"/>
      <c r="M190" s="35">
        <v>6</v>
      </c>
      <c r="N190" s="35" t="s">
        <v>262</v>
      </c>
      <c r="O190" s="35" t="s">
        <v>263</v>
      </c>
      <c r="P190" s="35" t="s">
        <v>52</v>
      </c>
      <c r="Q190" s="35"/>
      <c r="R190" s="35" t="s">
        <v>168</v>
      </c>
      <c r="S190" s="35" t="s">
        <v>2152</v>
      </c>
      <c r="T190" s="35">
        <v>0</v>
      </c>
      <c r="U190" s="35" t="s">
        <v>264</v>
      </c>
      <c r="V190" s="35">
        <v>0</v>
      </c>
      <c r="W190" s="35" t="s">
        <v>265</v>
      </c>
      <c r="X190" s="35">
        <v>75000</v>
      </c>
      <c r="Y190" s="35">
        <v>4.99</v>
      </c>
      <c r="Z190" s="38">
        <v>5700.05</v>
      </c>
      <c r="AA190" s="38">
        <v>4687.5</v>
      </c>
      <c r="AB190" s="35" t="s">
        <v>95</v>
      </c>
      <c r="AC190" s="38">
        <v>75000</v>
      </c>
      <c r="AD190" s="38">
        <v>75000</v>
      </c>
      <c r="AE190" s="38">
        <v>0</v>
      </c>
      <c r="AF190" s="38">
        <v>0</v>
      </c>
      <c r="AG190" s="38">
        <v>0</v>
      </c>
      <c r="AH190" s="38">
        <v>0</v>
      </c>
      <c r="AI190" s="38">
        <v>0</v>
      </c>
      <c r="AJ190" s="38">
        <v>0</v>
      </c>
      <c r="AK190" s="35"/>
      <c r="AL190" s="35" t="s">
        <v>1898</v>
      </c>
      <c r="AM190" s="35" t="s">
        <v>2165</v>
      </c>
      <c r="AN190" s="35" t="s">
        <v>2164</v>
      </c>
      <c r="AO190" s="35">
        <v>16</v>
      </c>
      <c r="AP190" s="35">
        <v>16</v>
      </c>
      <c r="AQ190" s="35" t="s">
        <v>842</v>
      </c>
      <c r="AR190" s="35" t="s">
        <v>842</v>
      </c>
      <c r="AS190" s="35" t="s">
        <v>842</v>
      </c>
      <c r="AT190" s="35" t="s">
        <v>2183</v>
      </c>
      <c r="AU190" s="35"/>
      <c r="AV190" s="35" t="s">
        <v>2184</v>
      </c>
      <c r="AW190" s="35" t="s">
        <v>2185</v>
      </c>
      <c r="AX190" s="35" t="s">
        <v>546</v>
      </c>
      <c r="AY190" s="35" t="s">
        <v>271</v>
      </c>
      <c r="AZ190" s="35" t="s">
        <v>2151</v>
      </c>
      <c r="BA190" s="35"/>
      <c r="BB190" s="35" t="s">
        <v>272</v>
      </c>
      <c r="BC190" s="35" t="s">
        <v>273</v>
      </c>
      <c r="BD190" s="35" t="s">
        <v>274</v>
      </c>
      <c r="BE190" s="35" t="s">
        <v>271</v>
      </c>
      <c r="BF190" s="35">
        <v>7500</v>
      </c>
      <c r="BG190" s="35"/>
      <c r="BH190" s="35">
        <v>0</v>
      </c>
      <c r="BI190" s="35">
        <v>0</v>
      </c>
      <c r="BJ190" s="35"/>
      <c r="BK190" s="35" t="s">
        <v>585</v>
      </c>
      <c r="BL190" s="35" t="s">
        <v>2186</v>
      </c>
    </row>
    <row r="191" spans="1:67" x14ac:dyDescent="0.3">
      <c r="A191" s="35" t="s">
        <v>43</v>
      </c>
      <c r="B191" s="35" t="s">
        <v>44</v>
      </c>
      <c r="C191" s="35" t="s">
        <v>460</v>
      </c>
      <c r="D191" s="35" t="s">
        <v>396</v>
      </c>
      <c r="E191" s="35" t="s">
        <v>143</v>
      </c>
      <c r="F191" s="35" t="s">
        <v>144</v>
      </c>
      <c r="G191" s="35" t="s">
        <v>2077</v>
      </c>
      <c r="H191" s="35" t="s">
        <v>2078</v>
      </c>
      <c r="I191" s="35"/>
      <c r="J191" s="35" t="s">
        <v>47</v>
      </c>
      <c r="K191" s="35" t="s">
        <v>43</v>
      </c>
      <c r="L191" s="35"/>
      <c r="M191" s="35">
        <v>5</v>
      </c>
      <c r="N191" s="35" t="s">
        <v>262</v>
      </c>
      <c r="O191" s="35" t="s">
        <v>263</v>
      </c>
      <c r="P191" s="35" t="s">
        <v>52</v>
      </c>
      <c r="Q191" s="35"/>
      <c r="R191" s="35" t="s">
        <v>124</v>
      </c>
      <c r="S191" s="35" t="s">
        <v>1178</v>
      </c>
      <c r="T191" s="35">
        <v>0</v>
      </c>
      <c r="U191" s="35" t="s">
        <v>264</v>
      </c>
      <c r="V191" s="35">
        <v>0</v>
      </c>
      <c r="W191" s="35" t="s">
        <v>265</v>
      </c>
      <c r="X191" s="35">
        <v>41000</v>
      </c>
      <c r="Y191" s="35">
        <v>4.99</v>
      </c>
      <c r="Z191" s="38">
        <v>3116.027333333333</v>
      </c>
      <c r="AA191" s="38">
        <v>2562.5</v>
      </c>
      <c r="AB191" s="35" t="s">
        <v>95</v>
      </c>
      <c r="AC191" s="38">
        <v>41000</v>
      </c>
      <c r="AD191" s="38">
        <v>41000</v>
      </c>
      <c r="AE191" s="38">
        <v>0</v>
      </c>
      <c r="AF191" s="38">
        <v>0</v>
      </c>
      <c r="AG191" s="38">
        <v>0</v>
      </c>
      <c r="AH191" s="38">
        <v>0</v>
      </c>
      <c r="AI191" s="38">
        <v>0</v>
      </c>
      <c r="AJ191" s="38">
        <v>0</v>
      </c>
      <c r="AK191" s="35"/>
      <c r="AL191" s="35" t="s">
        <v>1884</v>
      </c>
      <c r="AM191" s="35" t="s">
        <v>2044</v>
      </c>
      <c r="AN191" s="35" t="s">
        <v>2042</v>
      </c>
      <c r="AO191" s="35">
        <v>16</v>
      </c>
      <c r="AP191" s="35">
        <v>16</v>
      </c>
      <c r="AQ191" s="35" t="s">
        <v>2114</v>
      </c>
      <c r="AR191" s="35" t="s">
        <v>2115</v>
      </c>
      <c r="AS191" s="35" t="s">
        <v>2116</v>
      </c>
      <c r="AT191" s="35" t="s">
        <v>2117</v>
      </c>
      <c r="AU191" s="35"/>
      <c r="AV191" s="35" t="s">
        <v>926</v>
      </c>
      <c r="AW191" s="35" t="s">
        <v>927</v>
      </c>
      <c r="AX191" s="35" t="s">
        <v>353</v>
      </c>
      <c r="AY191" s="35" t="s">
        <v>271</v>
      </c>
      <c r="AZ191" s="35" t="s">
        <v>2092</v>
      </c>
      <c r="BA191" s="35"/>
      <c r="BB191" s="35" t="s">
        <v>272</v>
      </c>
      <c r="BC191" s="35" t="s">
        <v>273</v>
      </c>
      <c r="BD191" s="35" t="s">
        <v>274</v>
      </c>
      <c r="BE191" s="35" t="s">
        <v>271</v>
      </c>
      <c r="BF191" s="35">
        <v>4100</v>
      </c>
      <c r="BG191" s="35"/>
      <c r="BH191" s="35">
        <v>0</v>
      </c>
      <c r="BI191" s="35">
        <v>0</v>
      </c>
      <c r="BJ191" s="35"/>
      <c r="BK191" s="35" t="s">
        <v>585</v>
      </c>
      <c r="BL191" s="35" t="s">
        <v>2118</v>
      </c>
    </row>
    <row r="192" spans="1:67" x14ac:dyDescent="0.3">
      <c r="A192" s="35" t="s">
        <v>43</v>
      </c>
      <c r="B192" s="35" t="s">
        <v>44</v>
      </c>
      <c r="C192" s="35" t="s">
        <v>460</v>
      </c>
      <c r="D192" s="35" t="s">
        <v>396</v>
      </c>
      <c r="E192" s="35" t="s">
        <v>143</v>
      </c>
      <c r="F192" s="35" t="s">
        <v>144</v>
      </c>
      <c r="G192" s="35" t="s">
        <v>2137</v>
      </c>
      <c r="H192" s="35" t="s">
        <v>2138</v>
      </c>
      <c r="I192" s="35"/>
      <c r="J192" s="35" t="s">
        <v>47</v>
      </c>
      <c r="K192" s="35" t="s">
        <v>43</v>
      </c>
      <c r="L192" s="35"/>
      <c r="M192" s="35">
        <v>8</v>
      </c>
      <c r="N192" s="35" t="s">
        <v>262</v>
      </c>
      <c r="O192" s="35" t="s">
        <v>263</v>
      </c>
      <c r="P192" s="35" t="s">
        <v>52</v>
      </c>
      <c r="Q192" s="35"/>
      <c r="R192" s="35" t="s">
        <v>168</v>
      </c>
      <c r="S192" s="35" t="s">
        <v>125</v>
      </c>
      <c r="T192" s="35">
        <v>0</v>
      </c>
      <c r="U192" s="35" t="s">
        <v>264</v>
      </c>
      <c r="V192" s="35">
        <v>0</v>
      </c>
      <c r="W192" s="35" t="s">
        <v>265</v>
      </c>
      <c r="X192" s="35">
        <v>200000</v>
      </c>
      <c r="Y192" s="35">
        <v>4.99</v>
      </c>
      <c r="Z192" s="38">
        <v>15200.1333333333</v>
      </c>
      <c r="AA192" s="38">
        <v>12500</v>
      </c>
      <c r="AB192" s="35" t="s">
        <v>95</v>
      </c>
      <c r="AC192" s="38">
        <v>200000</v>
      </c>
      <c r="AD192" s="38">
        <v>200000</v>
      </c>
      <c r="AE192" s="38">
        <v>0</v>
      </c>
      <c r="AF192" s="38">
        <v>0</v>
      </c>
      <c r="AG192" s="38">
        <v>0</v>
      </c>
      <c r="AH192" s="38">
        <v>0</v>
      </c>
      <c r="AI192" s="38">
        <v>0</v>
      </c>
      <c r="AJ192" s="38">
        <v>0</v>
      </c>
      <c r="AK192" s="35"/>
      <c r="AL192" s="35" t="s">
        <v>1898</v>
      </c>
      <c r="AM192" s="35" t="s">
        <v>2165</v>
      </c>
      <c r="AN192" s="35" t="s">
        <v>2164</v>
      </c>
      <c r="AO192" s="35">
        <v>16</v>
      </c>
      <c r="AP192" s="35">
        <v>16</v>
      </c>
      <c r="AQ192" s="35" t="s">
        <v>2187</v>
      </c>
      <c r="AR192" s="35" t="s">
        <v>2188</v>
      </c>
      <c r="AS192" s="35" t="s">
        <v>2189</v>
      </c>
      <c r="AT192" s="35" t="s">
        <v>2190</v>
      </c>
      <c r="AU192" s="35"/>
      <c r="AV192" s="35" t="s">
        <v>2191</v>
      </c>
      <c r="AW192" s="35" t="s">
        <v>2192</v>
      </c>
      <c r="AX192" s="35" t="s">
        <v>270</v>
      </c>
      <c r="AY192" s="35" t="s">
        <v>271</v>
      </c>
      <c r="AZ192" s="35" t="s">
        <v>2148</v>
      </c>
      <c r="BA192" s="35"/>
      <c r="BB192" s="35" t="s">
        <v>272</v>
      </c>
      <c r="BC192" s="35" t="s">
        <v>273</v>
      </c>
      <c r="BD192" s="35" t="s">
        <v>274</v>
      </c>
      <c r="BE192" s="35" t="s">
        <v>271</v>
      </c>
      <c r="BF192" s="35">
        <v>22729</v>
      </c>
      <c r="BG192" s="35"/>
      <c r="BH192" s="35">
        <v>0</v>
      </c>
      <c r="BI192" s="35">
        <v>0</v>
      </c>
      <c r="BJ192" s="35"/>
      <c r="BK192" s="35" t="s">
        <v>585</v>
      </c>
      <c r="BL192" s="35" t="s">
        <v>2193</v>
      </c>
    </row>
    <row r="193" spans="1:64" x14ac:dyDescent="0.3">
      <c r="A193" s="35" t="s">
        <v>43</v>
      </c>
      <c r="B193" s="35" t="s">
        <v>44</v>
      </c>
      <c r="C193" s="35" t="s">
        <v>41</v>
      </c>
      <c r="D193" s="35" t="s">
        <v>42</v>
      </c>
      <c r="E193" s="35" t="s">
        <v>883</v>
      </c>
      <c r="F193" s="35" t="s">
        <v>884</v>
      </c>
      <c r="G193" s="35" t="s">
        <v>1997</v>
      </c>
      <c r="H193" s="35" t="s">
        <v>1998</v>
      </c>
      <c r="I193" s="35"/>
      <c r="J193" s="35" t="s">
        <v>47</v>
      </c>
      <c r="K193" s="35" t="s">
        <v>47</v>
      </c>
      <c r="L193" s="35"/>
      <c r="M193" s="35">
        <v>5</v>
      </c>
      <c r="N193" s="35" t="s">
        <v>262</v>
      </c>
      <c r="O193" s="35" t="s">
        <v>263</v>
      </c>
      <c r="P193" s="35" t="s">
        <v>52</v>
      </c>
      <c r="Q193" s="35"/>
      <c r="R193" s="35" t="s">
        <v>197</v>
      </c>
      <c r="S193" s="35" t="s">
        <v>185</v>
      </c>
      <c r="T193" s="35">
        <v>0</v>
      </c>
      <c r="U193" s="35" t="s">
        <v>264</v>
      </c>
      <c r="V193" s="35">
        <v>0</v>
      </c>
      <c r="W193" s="35" t="s">
        <v>265</v>
      </c>
      <c r="X193" s="35">
        <v>86000</v>
      </c>
      <c r="Y193" s="35">
        <v>4.99</v>
      </c>
      <c r="Z193" s="38">
        <v>6536.0573333333332</v>
      </c>
      <c r="AA193" s="38">
        <v>5375</v>
      </c>
      <c r="AB193" s="35" t="s">
        <v>95</v>
      </c>
      <c r="AC193" s="38">
        <v>86000</v>
      </c>
      <c r="AD193" s="38">
        <v>86000</v>
      </c>
      <c r="AE193" s="38">
        <v>0</v>
      </c>
      <c r="AF193" s="38">
        <v>0</v>
      </c>
      <c r="AG193" s="38">
        <v>0</v>
      </c>
      <c r="AH193" s="38">
        <v>0</v>
      </c>
      <c r="AI193" s="38">
        <v>0</v>
      </c>
      <c r="AJ193" s="38">
        <v>0</v>
      </c>
      <c r="AK193" s="35"/>
      <c r="AL193" s="35" t="s">
        <v>1843</v>
      </c>
      <c r="AM193" s="35" t="s">
        <v>2013</v>
      </c>
      <c r="AN193" s="35" t="s">
        <v>2014</v>
      </c>
      <c r="AO193" s="35">
        <v>16</v>
      </c>
      <c r="AP193" s="35">
        <v>16</v>
      </c>
      <c r="AQ193" s="35" t="s">
        <v>1364</v>
      </c>
      <c r="AR193" s="35" t="s">
        <v>1364</v>
      </c>
      <c r="AS193" s="35" t="s">
        <v>1364</v>
      </c>
      <c r="AT193" s="35" t="s">
        <v>2015</v>
      </c>
      <c r="AU193" s="35"/>
      <c r="AV193" s="35" t="s">
        <v>1998</v>
      </c>
      <c r="AW193" s="35" t="s">
        <v>2016</v>
      </c>
      <c r="AX193" s="35" t="s">
        <v>1040</v>
      </c>
      <c r="AY193" s="35" t="s">
        <v>271</v>
      </c>
      <c r="AZ193" s="35"/>
      <c r="BA193" s="35"/>
      <c r="BB193" s="35" t="s">
        <v>272</v>
      </c>
      <c r="BC193" s="35" t="s">
        <v>273</v>
      </c>
      <c r="BD193" s="35" t="s">
        <v>274</v>
      </c>
      <c r="BE193" s="35" t="s">
        <v>271</v>
      </c>
      <c r="BF193" s="35">
        <v>8600</v>
      </c>
      <c r="BG193" s="35"/>
      <c r="BH193" s="35">
        <v>0</v>
      </c>
      <c r="BI193" s="35">
        <v>0</v>
      </c>
      <c r="BJ193" s="35"/>
      <c r="BK193" s="35" t="s">
        <v>585</v>
      </c>
      <c r="BL193" s="35" t="s">
        <v>2017</v>
      </c>
    </row>
    <row r="194" spans="1:64" x14ac:dyDescent="0.3">
      <c r="A194" s="35" t="s">
        <v>43</v>
      </c>
      <c r="B194" s="35" t="s">
        <v>44</v>
      </c>
      <c r="C194" s="35" t="s">
        <v>41</v>
      </c>
      <c r="D194" s="35" t="s">
        <v>42</v>
      </c>
      <c r="E194" s="35" t="s">
        <v>883</v>
      </c>
      <c r="F194" s="35" t="s">
        <v>884</v>
      </c>
      <c r="G194" s="35" t="s">
        <v>2135</v>
      </c>
      <c r="H194" s="35" t="s">
        <v>2136</v>
      </c>
      <c r="I194" s="35"/>
      <c r="J194" s="35" t="s">
        <v>47</v>
      </c>
      <c r="K194" s="35" t="s">
        <v>47</v>
      </c>
      <c r="L194" s="35"/>
      <c r="M194" s="35">
        <v>6</v>
      </c>
      <c r="N194" s="35" t="s">
        <v>262</v>
      </c>
      <c r="O194" s="35" t="s">
        <v>263</v>
      </c>
      <c r="P194" s="35" t="s">
        <v>52</v>
      </c>
      <c r="Q194" s="35"/>
      <c r="R194" s="35" t="s">
        <v>168</v>
      </c>
      <c r="S194" s="35" t="s">
        <v>185</v>
      </c>
      <c r="T194" s="35">
        <v>0</v>
      </c>
      <c r="U194" s="35" t="s">
        <v>264</v>
      </c>
      <c r="V194" s="35">
        <v>0</v>
      </c>
      <c r="W194" s="35" t="s">
        <v>265</v>
      </c>
      <c r="X194" s="35">
        <v>64000</v>
      </c>
      <c r="Y194" s="35">
        <v>4.99</v>
      </c>
      <c r="Z194" s="38">
        <v>4864.0426666666663</v>
      </c>
      <c r="AA194" s="38">
        <v>4000</v>
      </c>
      <c r="AB194" s="35" t="s">
        <v>95</v>
      </c>
      <c r="AC194" s="38">
        <v>64000</v>
      </c>
      <c r="AD194" s="38">
        <v>64000</v>
      </c>
      <c r="AE194" s="38">
        <v>0</v>
      </c>
      <c r="AF194" s="38">
        <v>0</v>
      </c>
      <c r="AG194" s="38">
        <v>0</v>
      </c>
      <c r="AH194" s="38">
        <v>0</v>
      </c>
      <c r="AI194" s="38">
        <v>0</v>
      </c>
      <c r="AJ194" s="38">
        <v>0</v>
      </c>
      <c r="AK194" s="35"/>
      <c r="AL194" s="35" t="s">
        <v>1898</v>
      </c>
      <c r="AM194" s="35" t="s">
        <v>2165</v>
      </c>
      <c r="AN194" s="35" t="s">
        <v>2164</v>
      </c>
      <c r="AO194" s="35">
        <v>16</v>
      </c>
      <c r="AP194" s="35">
        <v>16</v>
      </c>
      <c r="AQ194" s="35" t="s">
        <v>2194</v>
      </c>
      <c r="AR194" s="35" t="s">
        <v>2195</v>
      </c>
      <c r="AS194" s="35" t="s">
        <v>1230</v>
      </c>
      <c r="AT194" s="35" t="s">
        <v>2196</v>
      </c>
      <c r="AU194" s="35"/>
      <c r="AV194" s="35" t="s">
        <v>1730</v>
      </c>
      <c r="AW194" s="35" t="s">
        <v>1731</v>
      </c>
      <c r="AX194" s="35" t="s">
        <v>322</v>
      </c>
      <c r="AY194" s="35" t="s">
        <v>271</v>
      </c>
      <c r="AZ194" s="35"/>
      <c r="BA194" s="35"/>
      <c r="BB194" s="35" t="s">
        <v>272</v>
      </c>
      <c r="BC194" s="35" t="s">
        <v>273</v>
      </c>
      <c r="BD194" s="35" t="s">
        <v>274</v>
      </c>
      <c r="BE194" s="35" t="s">
        <v>271</v>
      </c>
      <c r="BF194" s="35">
        <v>6400</v>
      </c>
      <c r="BG194" s="35"/>
      <c r="BH194" s="35">
        <v>0</v>
      </c>
      <c r="BI194" s="35">
        <v>0</v>
      </c>
      <c r="BJ194" s="35"/>
      <c r="BK194" s="35" t="s">
        <v>585</v>
      </c>
      <c r="BL194" s="35" t="s">
        <v>2197</v>
      </c>
    </row>
    <row r="195" spans="1:64" x14ac:dyDescent="0.3">
      <c r="A195" s="35" t="s">
        <v>43</v>
      </c>
      <c r="B195" s="35" t="s">
        <v>44</v>
      </c>
      <c r="C195" s="35" t="s">
        <v>467</v>
      </c>
      <c r="D195" s="35" t="s">
        <v>424</v>
      </c>
      <c r="E195" s="35" t="s">
        <v>189</v>
      </c>
      <c r="F195" s="35" t="s">
        <v>191</v>
      </c>
      <c r="G195" s="35" t="s">
        <v>2146</v>
      </c>
      <c r="H195" s="35" t="s">
        <v>1103</v>
      </c>
      <c r="I195" s="35"/>
      <c r="J195" s="35" t="s">
        <v>47</v>
      </c>
      <c r="K195" s="35" t="s">
        <v>43</v>
      </c>
      <c r="L195" s="35"/>
      <c r="M195" s="35">
        <v>6</v>
      </c>
      <c r="N195" s="35" t="s">
        <v>262</v>
      </c>
      <c r="O195" s="35" t="s">
        <v>263</v>
      </c>
      <c r="P195" s="35" t="s">
        <v>52</v>
      </c>
      <c r="Q195" s="35"/>
      <c r="R195" s="35" t="s">
        <v>168</v>
      </c>
      <c r="S195" s="35" t="s">
        <v>1173</v>
      </c>
      <c r="T195" s="35">
        <v>0</v>
      </c>
      <c r="U195" s="35" t="s">
        <v>264</v>
      </c>
      <c r="V195" s="35">
        <v>0</v>
      </c>
      <c r="W195" s="35" t="s">
        <v>265</v>
      </c>
      <c r="X195" s="35">
        <v>71000</v>
      </c>
      <c r="Y195" s="35">
        <v>4.99</v>
      </c>
      <c r="Z195" s="38">
        <v>5396.047333333333</v>
      </c>
      <c r="AA195" s="38">
        <v>4437.5</v>
      </c>
      <c r="AB195" s="35" t="s">
        <v>95</v>
      </c>
      <c r="AC195" s="38">
        <v>71000</v>
      </c>
      <c r="AD195" s="38">
        <v>71000</v>
      </c>
      <c r="AE195" s="38">
        <v>0</v>
      </c>
      <c r="AF195" s="38">
        <v>0</v>
      </c>
      <c r="AG195" s="38">
        <v>0</v>
      </c>
      <c r="AH195" s="38">
        <v>0</v>
      </c>
      <c r="AI195" s="38">
        <v>0</v>
      </c>
      <c r="AJ195" s="38">
        <v>0</v>
      </c>
      <c r="AK195" s="35"/>
      <c r="AL195" s="35" t="s">
        <v>1898</v>
      </c>
      <c r="AM195" s="35" t="s">
        <v>2165</v>
      </c>
      <c r="AN195" s="35" t="s">
        <v>2164</v>
      </c>
      <c r="AO195" s="35">
        <v>16</v>
      </c>
      <c r="AP195" s="35">
        <v>16</v>
      </c>
      <c r="AQ195" s="35" t="s">
        <v>1149</v>
      </c>
      <c r="AR195" s="35" t="s">
        <v>1149</v>
      </c>
      <c r="AS195" s="35" t="s">
        <v>2198</v>
      </c>
      <c r="AT195" s="35" t="s">
        <v>2199</v>
      </c>
      <c r="AU195" s="35"/>
      <c r="AV195" s="35" t="s">
        <v>2200</v>
      </c>
      <c r="AW195" s="35" t="s">
        <v>1778</v>
      </c>
      <c r="AX195" s="35" t="s">
        <v>295</v>
      </c>
      <c r="AY195" s="35" t="s">
        <v>271</v>
      </c>
      <c r="AZ195" s="35" t="s">
        <v>2149</v>
      </c>
      <c r="BA195" s="35"/>
      <c r="BB195" s="35" t="s">
        <v>272</v>
      </c>
      <c r="BC195" s="35" t="s">
        <v>273</v>
      </c>
      <c r="BD195" s="35" t="s">
        <v>274</v>
      </c>
      <c r="BE195" s="35" t="s">
        <v>271</v>
      </c>
      <c r="BF195" s="35">
        <v>7100</v>
      </c>
      <c r="BG195" s="35"/>
      <c r="BH195" s="35">
        <v>0</v>
      </c>
      <c r="BI195" s="35">
        <v>0</v>
      </c>
      <c r="BJ195" s="35"/>
      <c r="BK195" s="35" t="s">
        <v>585</v>
      </c>
      <c r="BL195" s="35" t="s">
        <v>2201</v>
      </c>
    </row>
    <row r="196" spans="1:64" x14ac:dyDescent="0.3">
      <c r="A196" s="35" t="s">
        <v>43</v>
      </c>
      <c r="B196" s="35" t="s">
        <v>44</v>
      </c>
      <c r="C196" s="35" t="s">
        <v>467</v>
      </c>
      <c r="D196" s="35" t="s">
        <v>424</v>
      </c>
      <c r="E196" s="35" t="s">
        <v>39</v>
      </c>
      <c r="F196" s="35" t="s">
        <v>40</v>
      </c>
      <c r="G196" s="35" t="s">
        <v>2026</v>
      </c>
      <c r="H196" s="35" t="s">
        <v>186</v>
      </c>
      <c r="I196" s="35"/>
      <c r="J196" s="35" t="s">
        <v>47</v>
      </c>
      <c r="K196" s="35" t="s">
        <v>43</v>
      </c>
      <c r="L196" s="35"/>
      <c r="M196" s="35">
        <v>9</v>
      </c>
      <c r="N196" s="35" t="s">
        <v>262</v>
      </c>
      <c r="O196" s="35" t="s">
        <v>263</v>
      </c>
      <c r="P196" s="35" t="s">
        <v>52</v>
      </c>
      <c r="Q196" s="35"/>
      <c r="R196" s="35" t="s">
        <v>124</v>
      </c>
      <c r="S196" s="35" t="s">
        <v>982</v>
      </c>
      <c r="T196" s="35">
        <v>0</v>
      </c>
      <c r="U196" s="35" t="s">
        <v>264</v>
      </c>
      <c r="V196" s="35">
        <v>0</v>
      </c>
      <c r="W196" s="35" t="s">
        <v>265</v>
      </c>
      <c r="X196" s="35">
        <v>100000</v>
      </c>
      <c r="Y196" s="35">
        <v>4.99</v>
      </c>
      <c r="Z196" s="38">
        <v>7600.0666666666657</v>
      </c>
      <c r="AA196" s="38">
        <v>6250</v>
      </c>
      <c r="AB196" s="35" t="s">
        <v>95</v>
      </c>
      <c r="AC196" s="38">
        <v>100000</v>
      </c>
      <c r="AD196" s="38">
        <v>100000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5"/>
      <c r="AL196" s="35" t="s">
        <v>1884</v>
      </c>
      <c r="AM196" s="35" t="s">
        <v>2044</v>
      </c>
      <c r="AN196" s="35" t="s">
        <v>2042</v>
      </c>
      <c r="AO196" s="35">
        <v>16</v>
      </c>
      <c r="AP196" s="35">
        <v>16</v>
      </c>
      <c r="AQ196" s="35" t="s">
        <v>842</v>
      </c>
      <c r="AR196" s="35" t="s">
        <v>842</v>
      </c>
      <c r="AS196" s="35" t="s">
        <v>842</v>
      </c>
      <c r="AT196" s="35" t="s">
        <v>2027</v>
      </c>
      <c r="AU196" s="35"/>
      <c r="AV196" s="35" t="s">
        <v>2060</v>
      </c>
      <c r="AW196" s="35" t="s">
        <v>2061</v>
      </c>
      <c r="AX196" s="35" t="s">
        <v>546</v>
      </c>
      <c r="AY196" s="35" t="s">
        <v>271</v>
      </c>
      <c r="AZ196" s="35" t="s">
        <v>2027</v>
      </c>
      <c r="BA196" s="35"/>
      <c r="BB196" s="35" t="s">
        <v>272</v>
      </c>
      <c r="BC196" s="35" t="s">
        <v>273</v>
      </c>
      <c r="BD196" s="35" t="s">
        <v>274</v>
      </c>
      <c r="BE196" s="35" t="s">
        <v>271</v>
      </c>
      <c r="BF196" s="35">
        <v>10000</v>
      </c>
      <c r="BG196" s="35"/>
      <c r="BH196" s="35">
        <v>0</v>
      </c>
      <c r="BI196" s="35">
        <v>0</v>
      </c>
      <c r="BJ196" s="35"/>
      <c r="BK196" s="35" t="s">
        <v>585</v>
      </c>
      <c r="BL196" s="35" t="s">
        <v>2062</v>
      </c>
    </row>
    <row r="197" spans="1:64" x14ac:dyDescent="0.3">
      <c r="A197" s="35" t="s">
        <v>43</v>
      </c>
      <c r="B197" s="35" t="s">
        <v>44</v>
      </c>
      <c r="C197" s="35" t="s">
        <v>460</v>
      </c>
      <c r="D197" s="35" t="s">
        <v>396</v>
      </c>
      <c r="E197" s="35" t="s">
        <v>1210</v>
      </c>
      <c r="F197" s="35" t="s">
        <v>2141</v>
      </c>
      <c r="G197" s="35" t="s">
        <v>2142</v>
      </c>
      <c r="H197" s="35" t="s">
        <v>2143</v>
      </c>
      <c r="I197" s="35"/>
      <c r="J197" s="35" t="s">
        <v>47</v>
      </c>
      <c r="K197" s="35" t="s">
        <v>43</v>
      </c>
      <c r="L197" s="35"/>
      <c r="M197" s="35">
        <v>5</v>
      </c>
      <c r="N197" s="35" t="s">
        <v>262</v>
      </c>
      <c r="O197" s="35" t="s">
        <v>263</v>
      </c>
      <c r="P197" s="35" t="s">
        <v>52</v>
      </c>
      <c r="Q197" s="35"/>
      <c r="R197" s="35" t="s">
        <v>168</v>
      </c>
      <c r="S197" s="35" t="s">
        <v>147</v>
      </c>
      <c r="T197" s="35">
        <v>0</v>
      </c>
      <c r="U197" s="35" t="s">
        <v>264</v>
      </c>
      <c r="V197" s="35">
        <v>0</v>
      </c>
      <c r="W197" s="35" t="s">
        <v>265</v>
      </c>
      <c r="X197" s="35">
        <v>110000</v>
      </c>
      <c r="Y197" s="35">
        <v>4.99</v>
      </c>
      <c r="Z197" s="38">
        <v>8360.0733333333337</v>
      </c>
      <c r="AA197" s="38">
        <v>6875</v>
      </c>
      <c r="AB197" s="35" t="s">
        <v>95</v>
      </c>
      <c r="AC197" s="38">
        <v>110000</v>
      </c>
      <c r="AD197" s="38">
        <v>110000</v>
      </c>
      <c r="AE197" s="38">
        <v>0</v>
      </c>
      <c r="AF197" s="38">
        <v>0</v>
      </c>
      <c r="AG197" s="38">
        <v>0</v>
      </c>
      <c r="AH197" s="38">
        <v>0</v>
      </c>
      <c r="AI197" s="38">
        <v>0</v>
      </c>
      <c r="AJ197" s="38">
        <v>0</v>
      </c>
      <c r="AK197" s="35"/>
      <c r="AL197" s="35" t="s">
        <v>1898</v>
      </c>
      <c r="AM197" s="35" t="s">
        <v>2165</v>
      </c>
      <c r="AN197" s="35" t="s">
        <v>2164</v>
      </c>
      <c r="AO197" s="35">
        <v>16</v>
      </c>
      <c r="AP197" s="35">
        <v>16</v>
      </c>
      <c r="AQ197" s="35" t="s">
        <v>2202</v>
      </c>
      <c r="AR197" s="35" t="s">
        <v>2203</v>
      </c>
      <c r="AS197" s="35" t="s">
        <v>2204</v>
      </c>
      <c r="AT197" s="35" t="s">
        <v>2150</v>
      </c>
      <c r="AU197" s="35"/>
      <c r="AV197" s="35" t="s">
        <v>2205</v>
      </c>
      <c r="AW197" s="35" t="s">
        <v>2206</v>
      </c>
      <c r="AX197" s="35" t="s">
        <v>555</v>
      </c>
      <c r="AY197" s="35" t="s">
        <v>271</v>
      </c>
      <c r="AZ197" s="35" t="s">
        <v>2150</v>
      </c>
      <c r="BA197" s="35"/>
      <c r="BB197" s="35" t="s">
        <v>272</v>
      </c>
      <c r="BC197" s="35" t="s">
        <v>273</v>
      </c>
      <c r="BD197" s="35" t="s">
        <v>274</v>
      </c>
      <c r="BE197" s="35" t="s">
        <v>271</v>
      </c>
      <c r="BF197" s="35">
        <v>11000</v>
      </c>
      <c r="BG197" s="35"/>
      <c r="BH197" s="35">
        <v>0</v>
      </c>
      <c r="BI197" s="35">
        <v>0</v>
      </c>
      <c r="BJ197" s="35"/>
      <c r="BK197" s="35" t="s">
        <v>585</v>
      </c>
      <c r="BL197" s="35" t="s">
        <v>2207</v>
      </c>
    </row>
    <row r="198" spans="1:64" x14ac:dyDescent="0.3">
      <c r="A198" s="35" t="s">
        <v>43</v>
      </c>
      <c r="B198" s="35" t="s">
        <v>44</v>
      </c>
      <c r="C198" s="35" t="s">
        <v>460</v>
      </c>
      <c r="D198" s="35" t="s">
        <v>396</v>
      </c>
      <c r="E198" s="35" t="s">
        <v>154</v>
      </c>
      <c r="F198" s="35" t="s">
        <v>155</v>
      </c>
      <c r="G198" s="35" t="s">
        <v>2081</v>
      </c>
      <c r="H198" s="35" t="s">
        <v>2082</v>
      </c>
      <c r="I198" s="35"/>
      <c r="J198" s="35" t="s">
        <v>47</v>
      </c>
      <c r="K198" s="35" t="s">
        <v>43</v>
      </c>
      <c r="L198" s="35"/>
      <c r="M198" s="35">
        <v>8</v>
      </c>
      <c r="N198" s="35" t="s">
        <v>262</v>
      </c>
      <c r="O198" s="35" t="s">
        <v>263</v>
      </c>
      <c r="P198" s="35" t="s">
        <v>52</v>
      </c>
      <c r="Q198" s="35"/>
      <c r="R198" s="35" t="s">
        <v>197</v>
      </c>
      <c r="S198" s="35" t="s">
        <v>125</v>
      </c>
      <c r="T198" s="35">
        <v>0</v>
      </c>
      <c r="U198" s="35" t="s">
        <v>264</v>
      </c>
      <c r="V198" s="35">
        <v>0</v>
      </c>
      <c r="W198" s="35" t="s">
        <v>265</v>
      </c>
      <c r="X198" s="35">
        <v>101000</v>
      </c>
      <c r="Y198" s="35">
        <v>4.99</v>
      </c>
      <c r="Z198" s="38">
        <v>7676.0673333333334</v>
      </c>
      <c r="AA198" s="38">
        <v>6312.5</v>
      </c>
      <c r="AB198" s="35" t="s">
        <v>95</v>
      </c>
      <c r="AC198" s="38">
        <v>101000</v>
      </c>
      <c r="AD198" s="38">
        <v>101000</v>
      </c>
      <c r="AE198" s="38">
        <v>0</v>
      </c>
      <c r="AF198" s="38">
        <v>0</v>
      </c>
      <c r="AG198" s="38">
        <v>0</v>
      </c>
      <c r="AH198" s="38">
        <v>0</v>
      </c>
      <c r="AI198" s="38">
        <v>0</v>
      </c>
      <c r="AJ198" s="38">
        <v>0</v>
      </c>
      <c r="AK198" s="35"/>
      <c r="AL198" s="35" t="s">
        <v>1899</v>
      </c>
      <c r="AM198" s="35" t="s">
        <v>2013</v>
      </c>
      <c r="AN198" s="35" t="s">
        <v>2014</v>
      </c>
      <c r="AO198" s="35">
        <v>16</v>
      </c>
      <c r="AP198" s="35">
        <v>16</v>
      </c>
      <c r="AQ198" s="35" t="s">
        <v>2119</v>
      </c>
      <c r="AR198" s="35" t="s">
        <v>2120</v>
      </c>
      <c r="AS198" s="35" t="s">
        <v>2121</v>
      </c>
      <c r="AT198" s="35" t="s">
        <v>2122</v>
      </c>
      <c r="AU198" s="35"/>
      <c r="AV198" s="35" t="s">
        <v>2123</v>
      </c>
      <c r="AW198" s="35" t="s">
        <v>2124</v>
      </c>
      <c r="AX198" s="35" t="s">
        <v>274</v>
      </c>
      <c r="AY198" s="35" t="s">
        <v>271</v>
      </c>
      <c r="AZ198" s="35" t="s">
        <v>2090</v>
      </c>
      <c r="BA198" s="35"/>
      <c r="BB198" s="35" t="s">
        <v>272</v>
      </c>
      <c r="BC198" s="35" t="s">
        <v>273</v>
      </c>
      <c r="BD198" s="35" t="s">
        <v>274</v>
      </c>
      <c r="BE198" s="35" t="s">
        <v>271</v>
      </c>
      <c r="BF198" s="35">
        <v>10100</v>
      </c>
      <c r="BG198" s="35"/>
      <c r="BH198" s="35">
        <v>0</v>
      </c>
      <c r="BI198" s="35">
        <v>0</v>
      </c>
      <c r="BJ198" s="35"/>
      <c r="BK198" s="35" t="s">
        <v>585</v>
      </c>
      <c r="BL198" s="35" t="s">
        <v>2125</v>
      </c>
    </row>
    <row r="199" spans="1:64" x14ac:dyDescent="0.3">
      <c r="A199" s="35" t="s">
        <v>49</v>
      </c>
      <c r="B199" s="35" t="s">
        <v>450</v>
      </c>
      <c r="C199" s="35" t="s">
        <v>451</v>
      </c>
      <c r="D199" s="35" t="s">
        <v>388</v>
      </c>
      <c r="E199" s="35" t="s">
        <v>1145</v>
      </c>
      <c r="F199" s="35" t="s">
        <v>1840</v>
      </c>
      <c r="G199" s="35" t="s">
        <v>2033</v>
      </c>
      <c r="H199" s="35" t="s">
        <v>2034</v>
      </c>
      <c r="I199" s="35"/>
      <c r="J199" s="35" t="s">
        <v>47</v>
      </c>
      <c r="K199" s="35" t="s">
        <v>43</v>
      </c>
      <c r="L199" s="35"/>
      <c r="M199" s="35">
        <v>6</v>
      </c>
      <c r="N199" s="35" t="s">
        <v>262</v>
      </c>
      <c r="O199" s="35" t="s">
        <v>263</v>
      </c>
      <c r="P199" s="35" t="s">
        <v>52</v>
      </c>
      <c r="Q199" s="35"/>
      <c r="R199" s="35" t="s">
        <v>124</v>
      </c>
      <c r="S199" s="35" t="s">
        <v>160</v>
      </c>
      <c r="T199" s="35">
        <v>0</v>
      </c>
      <c r="U199" s="35" t="s">
        <v>264</v>
      </c>
      <c r="V199" s="35">
        <v>0</v>
      </c>
      <c r="W199" s="35" t="s">
        <v>265</v>
      </c>
      <c r="X199" s="35">
        <v>192000</v>
      </c>
      <c r="Y199" s="35">
        <v>4.99</v>
      </c>
      <c r="Z199" s="38">
        <v>14592.128000000001</v>
      </c>
      <c r="AA199" s="38">
        <v>12000</v>
      </c>
      <c r="AB199" s="35" t="s">
        <v>95</v>
      </c>
      <c r="AC199" s="38">
        <v>192000</v>
      </c>
      <c r="AD199" s="38">
        <v>192000</v>
      </c>
      <c r="AE199" s="38">
        <v>0</v>
      </c>
      <c r="AF199" s="38">
        <v>0</v>
      </c>
      <c r="AG199" s="38">
        <v>0</v>
      </c>
      <c r="AH199" s="38">
        <v>0</v>
      </c>
      <c r="AI199" s="38">
        <v>0</v>
      </c>
      <c r="AJ199" s="38">
        <v>0</v>
      </c>
      <c r="AK199" s="35"/>
      <c r="AL199" s="35" t="s">
        <v>1884</v>
      </c>
      <c r="AM199" s="35" t="s">
        <v>2044</v>
      </c>
      <c r="AN199" s="35" t="s">
        <v>2042</v>
      </c>
      <c r="AO199" s="35">
        <v>16</v>
      </c>
      <c r="AP199" s="35">
        <v>16</v>
      </c>
      <c r="AQ199" s="35" t="s">
        <v>2063</v>
      </c>
      <c r="AR199" s="35" t="s">
        <v>2064</v>
      </c>
      <c r="AS199" s="35" t="s">
        <v>2065</v>
      </c>
      <c r="AT199" s="35" t="s">
        <v>2066</v>
      </c>
      <c r="AU199" s="35"/>
      <c r="AV199" s="35" t="s">
        <v>1408</v>
      </c>
      <c r="AW199" s="35" t="s">
        <v>273</v>
      </c>
      <c r="AX199" s="35" t="s">
        <v>270</v>
      </c>
      <c r="AY199" s="35" t="s">
        <v>271</v>
      </c>
      <c r="AZ199" s="35" t="s">
        <v>2035</v>
      </c>
      <c r="BA199" s="35"/>
      <c r="BB199" s="35" t="s">
        <v>272</v>
      </c>
      <c r="BC199" s="35" t="s">
        <v>273</v>
      </c>
      <c r="BD199" s="35" t="s">
        <v>274</v>
      </c>
      <c r="BE199" s="35" t="s">
        <v>271</v>
      </c>
      <c r="BF199" s="35">
        <v>19200</v>
      </c>
      <c r="BG199" s="35"/>
      <c r="BH199" s="35">
        <v>0</v>
      </c>
      <c r="BI199" s="35">
        <v>0</v>
      </c>
      <c r="BJ199" s="35"/>
      <c r="BK199" s="35" t="s">
        <v>585</v>
      </c>
      <c r="BL199" s="35" t="s">
        <v>2067</v>
      </c>
    </row>
    <row r="200" spans="1:64" x14ac:dyDescent="0.3">
      <c r="A200" s="35" t="s">
        <v>49</v>
      </c>
      <c r="B200" s="35" t="s">
        <v>450</v>
      </c>
      <c r="C200" s="35" t="s">
        <v>451</v>
      </c>
      <c r="D200" s="35" t="s">
        <v>388</v>
      </c>
      <c r="E200" s="35" t="s">
        <v>170</v>
      </c>
      <c r="F200" s="35" t="s">
        <v>171</v>
      </c>
      <c r="G200" s="35" t="s">
        <v>2147</v>
      </c>
      <c r="H200" s="35" t="s">
        <v>1998</v>
      </c>
      <c r="I200" s="35"/>
      <c r="J200" s="35" t="s">
        <v>47</v>
      </c>
      <c r="K200" s="35" t="s">
        <v>43</v>
      </c>
      <c r="L200" s="35"/>
      <c r="M200" s="35">
        <v>8</v>
      </c>
      <c r="N200" s="35" t="s">
        <v>262</v>
      </c>
      <c r="O200" s="35" t="s">
        <v>263</v>
      </c>
      <c r="P200" s="35" t="s">
        <v>52</v>
      </c>
      <c r="Q200" s="35"/>
      <c r="R200" s="35" t="s">
        <v>168</v>
      </c>
      <c r="S200" s="35" t="s">
        <v>127</v>
      </c>
      <c r="T200" s="35">
        <v>0</v>
      </c>
      <c r="U200" s="35" t="s">
        <v>264</v>
      </c>
      <c r="V200" s="35">
        <v>0</v>
      </c>
      <c r="W200" s="35" t="s">
        <v>265</v>
      </c>
      <c r="X200" s="35">
        <v>80000</v>
      </c>
      <c r="Y200" s="35">
        <v>6.47</v>
      </c>
      <c r="Z200" s="38">
        <v>6400</v>
      </c>
      <c r="AA200" s="38">
        <v>5000</v>
      </c>
      <c r="AB200" s="35" t="s">
        <v>95</v>
      </c>
      <c r="AC200" s="38">
        <v>80000</v>
      </c>
      <c r="AD200" s="38">
        <v>80000</v>
      </c>
      <c r="AE200" s="38">
        <v>0</v>
      </c>
      <c r="AF200" s="38">
        <v>0</v>
      </c>
      <c r="AG200" s="38">
        <v>0</v>
      </c>
      <c r="AH200" s="38">
        <v>0</v>
      </c>
      <c r="AI200" s="38">
        <v>0</v>
      </c>
      <c r="AJ200" s="38">
        <v>0</v>
      </c>
      <c r="AK200" s="35"/>
      <c r="AL200" s="35" t="s">
        <v>1898</v>
      </c>
      <c r="AM200" s="35" t="s">
        <v>2165</v>
      </c>
      <c r="AN200" s="35" t="s">
        <v>2164</v>
      </c>
      <c r="AO200" s="35">
        <v>16</v>
      </c>
      <c r="AP200" s="35">
        <v>16</v>
      </c>
      <c r="AQ200" s="35" t="s">
        <v>2208</v>
      </c>
      <c r="AR200" s="35" t="s">
        <v>2209</v>
      </c>
      <c r="AS200" s="35" t="s">
        <v>2210</v>
      </c>
      <c r="AT200" s="35" t="s">
        <v>2154</v>
      </c>
      <c r="AU200" s="35"/>
      <c r="AV200" s="35" t="s">
        <v>960</v>
      </c>
      <c r="AW200" s="35" t="s">
        <v>961</v>
      </c>
      <c r="AX200" s="35" t="s">
        <v>962</v>
      </c>
      <c r="AY200" s="35" t="s">
        <v>338</v>
      </c>
      <c r="AZ200" s="35" t="s">
        <v>2154</v>
      </c>
      <c r="BA200" s="35"/>
      <c r="BB200" s="35" t="s">
        <v>272</v>
      </c>
      <c r="BC200" s="35" t="s">
        <v>273</v>
      </c>
      <c r="BD200" s="35" t="s">
        <v>274</v>
      </c>
      <c r="BE200" s="35" t="s">
        <v>271</v>
      </c>
      <c r="BF200" s="35">
        <v>8000</v>
      </c>
      <c r="BG200" s="35"/>
      <c r="BH200" s="35">
        <v>0</v>
      </c>
      <c r="BI200" s="35">
        <v>0</v>
      </c>
      <c r="BJ200" s="35"/>
      <c r="BK200" s="35" t="s">
        <v>585</v>
      </c>
      <c r="BL200" s="35" t="s">
        <v>2211</v>
      </c>
    </row>
    <row r="201" spans="1:64" x14ac:dyDescent="0.3">
      <c r="A201" s="35" t="s">
        <v>49</v>
      </c>
      <c r="B201" s="35" t="s">
        <v>450</v>
      </c>
      <c r="C201" s="35" t="s">
        <v>451</v>
      </c>
      <c r="D201" s="35" t="s">
        <v>388</v>
      </c>
      <c r="E201" s="35" t="s">
        <v>170</v>
      </c>
      <c r="F201" s="35" t="s">
        <v>171</v>
      </c>
      <c r="G201" s="35" t="s">
        <v>1960</v>
      </c>
      <c r="H201" s="35" t="s">
        <v>1961</v>
      </c>
      <c r="I201" s="35"/>
      <c r="J201" s="35" t="s">
        <v>47</v>
      </c>
      <c r="K201" s="35" t="s">
        <v>43</v>
      </c>
      <c r="L201" s="35"/>
      <c r="M201" s="35">
        <v>5</v>
      </c>
      <c r="N201" s="35" t="s">
        <v>262</v>
      </c>
      <c r="O201" s="35" t="s">
        <v>263</v>
      </c>
      <c r="P201" s="35" t="s">
        <v>52</v>
      </c>
      <c r="Q201" s="35"/>
      <c r="R201" s="35" t="s">
        <v>126</v>
      </c>
      <c r="S201" s="35" t="s">
        <v>1178</v>
      </c>
      <c r="T201" s="35">
        <v>0</v>
      </c>
      <c r="U201" s="35" t="s">
        <v>264</v>
      </c>
      <c r="V201" s="35">
        <v>0</v>
      </c>
      <c r="W201" s="35" t="s">
        <v>265</v>
      </c>
      <c r="X201" s="35">
        <v>68000</v>
      </c>
      <c r="Y201" s="35">
        <v>4.99</v>
      </c>
      <c r="Z201" s="38">
        <v>5168.0453333333335</v>
      </c>
      <c r="AA201" s="38">
        <v>4250</v>
      </c>
      <c r="AB201" s="35" t="s">
        <v>95</v>
      </c>
      <c r="AC201" s="38">
        <v>68000</v>
      </c>
      <c r="AD201" s="38">
        <v>68000</v>
      </c>
      <c r="AE201" s="38">
        <v>0</v>
      </c>
      <c r="AF201" s="38">
        <v>0</v>
      </c>
      <c r="AG201" s="38">
        <v>0</v>
      </c>
      <c r="AH201" s="38">
        <v>0</v>
      </c>
      <c r="AI201" s="38">
        <v>0</v>
      </c>
      <c r="AJ201" s="38">
        <v>0</v>
      </c>
      <c r="AK201" s="35"/>
      <c r="AL201" s="35" t="s">
        <v>1823</v>
      </c>
      <c r="AM201" s="35" t="s">
        <v>1975</v>
      </c>
      <c r="AN201" s="35" t="s">
        <v>1965</v>
      </c>
      <c r="AO201" s="35">
        <v>16</v>
      </c>
      <c r="AP201" s="35">
        <v>16</v>
      </c>
      <c r="AQ201" s="35" t="s">
        <v>1984</v>
      </c>
      <c r="AR201" s="35" t="s">
        <v>1985</v>
      </c>
      <c r="AS201" s="35" t="s">
        <v>1986</v>
      </c>
      <c r="AT201" s="35" t="s">
        <v>1987</v>
      </c>
      <c r="AU201" s="35"/>
      <c r="AV201" s="35" t="s">
        <v>1988</v>
      </c>
      <c r="AW201" s="35" t="s">
        <v>1989</v>
      </c>
      <c r="AX201" s="35" t="s">
        <v>794</v>
      </c>
      <c r="AY201" s="35" t="s">
        <v>338</v>
      </c>
      <c r="AZ201" s="35" t="s">
        <v>1990</v>
      </c>
      <c r="BA201" s="35"/>
      <c r="BB201" s="35" t="s">
        <v>272</v>
      </c>
      <c r="BC201" s="35" t="s">
        <v>273</v>
      </c>
      <c r="BD201" s="35" t="s">
        <v>274</v>
      </c>
      <c r="BE201" s="35" t="s">
        <v>271</v>
      </c>
      <c r="BF201" s="35">
        <v>6800</v>
      </c>
      <c r="BG201" s="35"/>
      <c r="BH201" s="35">
        <v>1</v>
      </c>
      <c r="BI201" s="35">
        <v>1</v>
      </c>
      <c r="BJ201" s="35"/>
      <c r="BK201" s="35" t="s">
        <v>585</v>
      </c>
      <c r="BL201" s="35" t="s">
        <v>1991</v>
      </c>
    </row>
    <row r="202" spans="1:64" x14ac:dyDescent="0.3">
      <c r="A202" s="35" t="s">
        <v>49</v>
      </c>
      <c r="B202" s="35" t="s">
        <v>450</v>
      </c>
      <c r="C202" s="35" t="s">
        <v>451</v>
      </c>
      <c r="D202" s="35" t="s">
        <v>388</v>
      </c>
      <c r="E202" s="35" t="s">
        <v>487</v>
      </c>
      <c r="F202" s="35" t="s">
        <v>488</v>
      </c>
      <c r="G202" s="35" t="s">
        <v>2087</v>
      </c>
      <c r="H202" s="35" t="s">
        <v>2088</v>
      </c>
      <c r="I202" s="35"/>
      <c r="J202" s="35" t="s">
        <v>47</v>
      </c>
      <c r="K202" s="35" t="s">
        <v>43</v>
      </c>
      <c r="L202" s="35"/>
      <c r="M202" s="35">
        <v>5</v>
      </c>
      <c r="N202" s="35" t="s">
        <v>262</v>
      </c>
      <c r="O202" s="35" t="s">
        <v>263</v>
      </c>
      <c r="P202" s="35" t="s">
        <v>52</v>
      </c>
      <c r="Q202" s="35"/>
      <c r="R202" s="35" t="s">
        <v>197</v>
      </c>
      <c r="S202" s="35" t="s">
        <v>127</v>
      </c>
      <c r="T202" s="35">
        <v>0</v>
      </c>
      <c r="U202" s="35" t="s">
        <v>264</v>
      </c>
      <c r="V202" s="35">
        <v>0</v>
      </c>
      <c r="W202" s="35" t="s">
        <v>265</v>
      </c>
      <c r="X202" s="35">
        <v>29000</v>
      </c>
      <c r="Y202" s="35">
        <v>4.99</v>
      </c>
      <c r="Z202" s="38">
        <v>2204.0193333333327</v>
      </c>
      <c r="AA202" s="38">
        <v>1812.5</v>
      </c>
      <c r="AB202" s="35" t="s">
        <v>95</v>
      </c>
      <c r="AC202" s="38">
        <v>29000</v>
      </c>
      <c r="AD202" s="38">
        <v>29000</v>
      </c>
      <c r="AE202" s="38">
        <v>0</v>
      </c>
      <c r="AF202" s="38">
        <v>0</v>
      </c>
      <c r="AG202" s="38">
        <v>0</v>
      </c>
      <c r="AH202" s="38">
        <v>0</v>
      </c>
      <c r="AI202" s="38">
        <v>0</v>
      </c>
      <c r="AJ202" s="38">
        <v>0</v>
      </c>
      <c r="AK202" s="35"/>
      <c r="AL202" s="35" t="s">
        <v>1899</v>
      </c>
      <c r="AM202" s="35" t="s">
        <v>2013</v>
      </c>
      <c r="AN202" s="35" t="s">
        <v>2014</v>
      </c>
      <c r="AO202" s="35">
        <v>16</v>
      </c>
      <c r="AP202" s="35">
        <v>16</v>
      </c>
      <c r="AQ202" s="35" t="s">
        <v>2126</v>
      </c>
      <c r="AR202" s="35" t="s">
        <v>2127</v>
      </c>
      <c r="AS202" s="35" t="s">
        <v>2128</v>
      </c>
      <c r="AT202" s="35" t="s">
        <v>2129</v>
      </c>
      <c r="AU202" s="35"/>
      <c r="AV202" s="35" t="s">
        <v>522</v>
      </c>
      <c r="AW202" s="35" t="s">
        <v>523</v>
      </c>
      <c r="AX202" s="35" t="s">
        <v>274</v>
      </c>
      <c r="AY202" s="35" t="s">
        <v>271</v>
      </c>
      <c r="AZ202" s="35" t="s">
        <v>2094</v>
      </c>
      <c r="BA202" s="35"/>
      <c r="BB202" s="35" t="s">
        <v>272</v>
      </c>
      <c r="BC202" s="35" t="s">
        <v>273</v>
      </c>
      <c r="BD202" s="35" t="s">
        <v>274</v>
      </c>
      <c r="BE202" s="35" t="s">
        <v>271</v>
      </c>
      <c r="BF202" s="35">
        <v>2900</v>
      </c>
      <c r="BG202" s="35"/>
      <c r="BH202" s="35">
        <v>0</v>
      </c>
      <c r="BI202" s="35">
        <v>0</v>
      </c>
      <c r="BJ202" s="35"/>
      <c r="BK202" s="35" t="s">
        <v>585</v>
      </c>
      <c r="BL202" s="35" t="s">
        <v>2130</v>
      </c>
    </row>
  </sheetData>
  <autoFilter ref="A8:BP91" xr:uid="{2CDA02A0-B295-400A-87C4-B342511A9F17}"/>
  <mergeCells count="24">
    <mergeCell ref="L8:L9"/>
    <mergeCell ref="A8:A9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X8:X9"/>
    <mergeCell ref="M8:M9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0A0B8-8D6C-4672-80A6-910C5C3BB7FA}">
  <sheetPr codeName="Hoja7"/>
  <dimension ref="A1:J2717"/>
  <sheetViews>
    <sheetView workbookViewId="0">
      <selection activeCell="A2" sqref="A2"/>
    </sheetView>
  </sheetViews>
  <sheetFormatPr baseColWidth="10" defaultRowHeight="14.4" x14ac:dyDescent="0.3"/>
  <cols>
    <col min="1" max="1" width="8.109375" customWidth="1"/>
    <col min="2" max="2" width="22.6640625" customWidth="1"/>
    <col min="3" max="3" width="5.109375" customWidth="1"/>
    <col min="4" max="4" width="17.33203125" customWidth="1"/>
    <col min="8" max="8" width="12.33203125" customWidth="1"/>
  </cols>
  <sheetData>
    <row r="1" spans="1:10" ht="28.95" customHeight="1" x14ac:dyDescent="0.3">
      <c r="A1" s="39" t="s">
        <v>1086</v>
      </c>
      <c r="B1" s="39" t="s">
        <v>1087</v>
      </c>
      <c r="C1" s="39" t="s">
        <v>1088</v>
      </c>
      <c r="D1" s="39" t="s">
        <v>1089</v>
      </c>
      <c r="E1" s="39" t="s">
        <v>1090</v>
      </c>
      <c r="F1" s="39" t="s">
        <v>1091</v>
      </c>
      <c r="G1" s="39" t="s">
        <v>1092</v>
      </c>
      <c r="H1" s="40" t="s">
        <v>1093</v>
      </c>
      <c r="I1" s="39" t="s">
        <v>1094</v>
      </c>
      <c r="J1" s="41"/>
    </row>
    <row r="2" spans="1:10" x14ac:dyDescent="0.3">
      <c r="A2" s="35" t="s">
        <v>45</v>
      </c>
      <c r="B2" t="s">
        <v>46</v>
      </c>
      <c r="C2" s="106">
        <v>1</v>
      </c>
      <c r="D2" s="56">
        <v>45880</v>
      </c>
      <c r="E2" s="107">
        <v>10863</v>
      </c>
      <c r="F2" s="107">
        <v>10336.09</v>
      </c>
      <c r="G2" s="107">
        <v>526.90999999999985</v>
      </c>
      <c r="H2" s="107">
        <v>526.90999999999985</v>
      </c>
      <c r="I2" s="108">
        <v>5.0977690790231109E-2</v>
      </c>
      <c r="J2" s="41"/>
    </row>
    <row r="3" spans="1:10" x14ac:dyDescent="0.3">
      <c r="A3" s="35" t="s">
        <v>45</v>
      </c>
      <c r="B3" t="s">
        <v>46</v>
      </c>
      <c r="C3" s="106">
        <v>2</v>
      </c>
      <c r="D3" s="56">
        <v>45887</v>
      </c>
      <c r="E3" s="107">
        <v>10863</v>
      </c>
      <c r="F3" s="107">
        <v>10336.09</v>
      </c>
      <c r="G3" s="107">
        <v>526.90999999999985</v>
      </c>
      <c r="H3" s="107">
        <v>1053.8199999999997</v>
      </c>
      <c r="I3" s="108">
        <v>5.0977690790231109E-2</v>
      </c>
      <c r="J3" s="41"/>
    </row>
    <row r="4" spans="1:10" x14ac:dyDescent="0.3">
      <c r="A4" s="35" t="s">
        <v>45</v>
      </c>
      <c r="B4" t="s">
        <v>46</v>
      </c>
      <c r="C4" s="106">
        <v>3</v>
      </c>
      <c r="D4" s="56">
        <v>45894</v>
      </c>
      <c r="E4" s="107">
        <v>10863</v>
      </c>
      <c r="F4" s="107">
        <v>10336.09</v>
      </c>
      <c r="G4" s="107">
        <v>526.90999999999985</v>
      </c>
      <c r="H4" s="107">
        <v>1580.7299999999996</v>
      </c>
      <c r="I4" s="108">
        <v>5.0977690790231109E-2</v>
      </c>
      <c r="J4" s="41"/>
    </row>
    <row r="5" spans="1:10" x14ac:dyDescent="0.3">
      <c r="A5" s="35" t="s">
        <v>45</v>
      </c>
      <c r="B5" t="s">
        <v>46</v>
      </c>
      <c r="C5" s="106">
        <v>4</v>
      </c>
      <c r="D5" s="56">
        <v>45901</v>
      </c>
      <c r="E5" s="107">
        <v>10863</v>
      </c>
      <c r="F5" s="107">
        <v>10336.09</v>
      </c>
      <c r="G5" s="107">
        <v>526.90999999999985</v>
      </c>
      <c r="H5" s="107">
        <v>2107.6399999999994</v>
      </c>
      <c r="I5" s="108">
        <v>5.0977690790231109E-2</v>
      </c>
      <c r="J5" s="41"/>
    </row>
    <row r="6" spans="1:10" x14ac:dyDescent="0.3">
      <c r="A6" s="35" t="s">
        <v>45</v>
      </c>
      <c r="B6" t="s">
        <v>46</v>
      </c>
      <c r="C6" s="106">
        <v>5</v>
      </c>
      <c r="D6" s="56">
        <v>45908</v>
      </c>
      <c r="E6" s="107">
        <v>10863</v>
      </c>
      <c r="F6" s="107">
        <v>10336.09</v>
      </c>
      <c r="G6" s="107">
        <v>526.90999999999985</v>
      </c>
      <c r="H6" s="107">
        <v>2634.5499999999993</v>
      </c>
      <c r="I6" s="108">
        <v>5.0977690790231109E-2</v>
      </c>
      <c r="J6" s="41"/>
    </row>
    <row r="7" spans="1:10" x14ac:dyDescent="0.3">
      <c r="A7" s="35" t="s">
        <v>45</v>
      </c>
      <c r="B7" t="s">
        <v>46</v>
      </c>
      <c r="C7" s="106">
        <v>6</v>
      </c>
      <c r="D7" s="56">
        <v>45914</v>
      </c>
      <c r="E7" s="107">
        <v>10863</v>
      </c>
      <c r="F7" s="107">
        <v>10336.09</v>
      </c>
      <c r="G7" s="107">
        <v>526.90999999999985</v>
      </c>
      <c r="H7" s="107">
        <v>3161.4599999999991</v>
      </c>
      <c r="I7" s="108">
        <v>5.0977690790231109E-2</v>
      </c>
      <c r="J7" s="41"/>
    </row>
    <row r="8" spans="1:10" x14ac:dyDescent="0.3">
      <c r="A8" s="35" t="s">
        <v>45</v>
      </c>
      <c r="B8" t="s">
        <v>46</v>
      </c>
      <c r="C8" s="106">
        <v>7</v>
      </c>
      <c r="D8" s="56">
        <v>45924</v>
      </c>
      <c r="E8" s="107">
        <v>11244</v>
      </c>
      <c r="F8" s="107">
        <v>10336.09</v>
      </c>
      <c r="G8" s="107">
        <v>907.90999999999985</v>
      </c>
      <c r="H8" s="107">
        <v>4069.369999999999</v>
      </c>
      <c r="I8" s="108">
        <v>8.7838824932832418E-2</v>
      </c>
      <c r="J8" s="41"/>
    </row>
    <row r="9" spans="1:10" x14ac:dyDescent="0.3">
      <c r="A9" s="35" t="s">
        <v>45</v>
      </c>
      <c r="B9" t="s">
        <v>46</v>
      </c>
      <c r="C9" s="106">
        <v>8</v>
      </c>
      <c r="D9" s="56">
        <v>45929</v>
      </c>
      <c r="E9" s="107">
        <v>11244</v>
      </c>
      <c r="F9" s="107">
        <v>10336.09</v>
      </c>
      <c r="G9" s="107">
        <v>907.90999999999985</v>
      </c>
      <c r="H9" s="107">
        <v>4977.2799999999988</v>
      </c>
      <c r="I9" s="108">
        <v>8.7838824932832418E-2</v>
      </c>
      <c r="J9" s="41"/>
    </row>
    <row r="10" spans="1:10" x14ac:dyDescent="0.3">
      <c r="A10" s="35" t="s">
        <v>45</v>
      </c>
      <c r="B10" t="s">
        <v>46</v>
      </c>
      <c r="C10" s="106">
        <v>9</v>
      </c>
      <c r="D10" s="56">
        <v>45936</v>
      </c>
      <c r="E10" s="107">
        <v>11244</v>
      </c>
      <c r="F10" s="107">
        <v>10336.09</v>
      </c>
      <c r="G10" s="107">
        <v>907.90999999999985</v>
      </c>
      <c r="H10" s="107">
        <v>5885.1899999999987</v>
      </c>
      <c r="I10" s="108">
        <v>8.7838824932832418E-2</v>
      </c>
      <c r="J10" s="41"/>
    </row>
    <row r="11" spans="1:10" x14ac:dyDescent="0.3">
      <c r="A11" s="35" t="s">
        <v>45</v>
      </c>
      <c r="B11" t="s">
        <v>46</v>
      </c>
      <c r="C11" s="106">
        <v>10</v>
      </c>
      <c r="D11" s="56">
        <v>45943</v>
      </c>
      <c r="E11" s="107">
        <v>11244</v>
      </c>
      <c r="F11" s="107">
        <v>10336.09</v>
      </c>
      <c r="G11" s="107">
        <v>907.90999999999985</v>
      </c>
      <c r="H11" s="107">
        <v>6793.0999999999985</v>
      </c>
      <c r="I11" s="108">
        <v>8.7838824932832418E-2</v>
      </c>
      <c r="J11" s="41"/>
    </row>
    <row r="12" spans="1:10" x14ac:dyDescent="0.3">
      <c r="A12" s="35" t="s">
        <v>45</v>
      </c>
      <c r="B12" t="s">
        <v>46</v>
      </c>
      <c r="C12" s="106">
        <v>11</v>
      </c>
      <c r="D12" s="56">
        <v>45950</v>
      </c>
      <c r="E12" s="107">
        <v>11244</v>
      </c>
      <c r="F12" s="107">
        <v>10336.09</v>
      </c>
      <c r="G12" s="107">
        <v>907.90999999999985</v>
      </c>
      <c r="H12" s="107">
        <v>7701.0099999999984</v>
      </c>
      <c r="I12" s="108">
        <v>8.7838824932832418E-2</v>
      </c>
      <c r="J12" s="41"/>
    </row>
    <row r="13" spans="1:10" x14ac:dyDescent="0.3">
      <c r="A13" s="35" t="s">
        <v>45</v>
      </c>
      <c r="B13" t="s">
        <v>46</v>
      </c>
      <c r="C13" s="106">
        <v>12</v>
      </c>
      <c r="D13" s="56">
        <v>45957</v>
      </c>
      <c r="E13" s="107">
        <v>11244</v>
      </c>
      <c r="F13" s="107">
        <v>10336.09</v>
      </c>
      <c r="G13" s="107">
        <v>907.90999999999985</v>
      </c>
      <c r="H13" s="107">
        <v>8608.9199999999983</v>
      </c>
      <c r="I13" s="108">
        <v>8.7838824932832418E-2</v>
      </c>
      <c r="J13" s="41"/>
    </row>
    <row r="14" spans="1:10" x14ac:dyDescent="0.3">
      <c r="A14" s="35" t="s">
        <v>45</v>
      </c>
      <c r="B14" t="s">
        <v>46</v>
      </c>
      <c r="C14" s="106">
        <v>13</v>
      </c>
      <c r="E14" s="107"/>
      <c r="F14" s="107"/>
      <c r="G14" s="107">
        <v>0</v>
      </c>
      <c r="H14" s="107">
        <v>8608.9199999999983</v>
      </c>
      <c r="I14" s="108" t="e">
        <v>#DIV/0!</v>
      </c>
      <c r="J14" s="41"/>
    </row>
    <row r="15" spans="1:10" x14ac:dyDescent="0.3">
      <c r="A15" s="35" t="s">
        <v>45</v>
      </c>
      <c r="B15" t="s">
        <v>46</v>
      </c>
      <c r="C15" s="106">
        <v>14</v>
      </c>
      <c r="E15" s="107"/>
      <c r="F15" s="107"/>
      <c r="G15" s="107">
        <v>0</v>
      </c>
      <c r="H15" s="107">
        <v>8608.9199999999983</v>
      </c>
      <c r="I15" s="108" t="e">
        <v>#DIV/0!</v>
      </c>
      <c r="J15" s="41"/>
    </row>
    <row r="16" spans="1:10" x14ac:dyDescent="0.3">
      <c r="A16" s="35" t="s">
        <v>45</v>
      </c>
      <c r="B16" t="s">
        <v>46</v>
      </c>
      <c r="C16" s="106">
        <v>15</v>
      </c>
      <c r="E16" s="107"/>
      <c r="F16" s="107"/>
      <c r="G16" s="107">
        <v>0</v>
      </c>
      <c r="H16" s="107">
        <v>8608.9199999999983</v>
      </c>
      <c r="I16" s="108" t="e">
        <v>#DIV/0!</v>
      </c>
      <c r="J16" s="41"/>
    </row>
    <row r="17" spans="1:10" ht="15" thickBot="1" x14ac:dyDescent="0.35">
      <c r="A17" s="109" t="s">
        <v>45</v>
      </c>
      <c r="B17" s="110" t="s">
        <v>46</v>
      </c>
      <c r="C17" s="114">
        <v>16</v>
      </c>
      <c r="D17" s="110"/>
      <c r="E17" s="124"/>
      <c r="F17" s="124"/>
      <c r="G17" s="124">
        <v>0</v>
      </c>
      <c r="H17" s="124">
        <v>8608.9199999999983</v>
      </c>
      <c r="I17" s="121" t="e">
        <v>#DIV/0!</v>
      </c>
      <c r="J17" s="41"/>
    </row>
    <row r="18" spans="1:10" x14ac:dyDescent="0.3">
      <c r="A18" s="35" t="s">
        <v>53</v>
      </c>
      <c r="B18" t="s">
        <v>54</v>
      </c>
      <c r="C18" s="106">
        <v>1</v>
      </c>
      <c r="D18" s="56">
        <v>45881</v>
      </c>
      <c r="E18" s="38">
        <v>15730</v>
      </c>
      <c r="F18" s="38">
        <v>14288.13</v>
      </c>
      <c r="G18" s="38">
        <v>1441.8700000000008</v>
      </c>
      <c r="H18" s="38">
        <v>1441.8700000000008</v>
      </c>
      <c r="I18" s="108">
        <v>0.10091383547042201</v>
      </c>
      <c r="J18" s="38"/>
    </row>
    <row r="19" spans="1:10" x14ac:dyDescent="0.3">
      <c r="A19" s="35" t="s">
        <v>53</v>
      </c>
      <c r="B19" t="s">
        <v>54</v>
      </c>
      <c r="C19" s="106">
        <v>2</v>
      </c>
      <c r="D19" s="56">
        <v>45888</v>
      </c>
      <c r="E19" s="38">
        <v>15730</v>
      </c>
      <c r="F19" s="38">
        <v>14288.13</v>
      </c>
      <c r="G19" s="38">
        <v>1441.8700000000008</v>
      </c>
      <c r="H19" s="38">
        <v>2883.7400000000016</v>
      </c>
      <c r="I19" s="108">
        <v>0.10091383547042201</v>
      </c>
      <c r="J19" s="38"/>
    </row>
    <row r="20" spans="1:10" x14ac:dyDescent="0.3">
      <c r="A20" s="35" t="s">
        <v>53</v>
      </c>
      <c r="B20" t="s">
        <v>54</v>
      </c>
      <c r="C20" s="106">
        <v>3</v>
      </c>
      <c r="D20" s="56">
        <v>45895</v>
      </c>
      <c r="E20" s="38">
        <v>15730</v>
      </c>
      <c r="F20" s="38">
        <v>14288.13</v>
      </c>
      <c r="G20" s="38">
        <v>1441.8700000000008</v>
      </c>
      <c r="H20" s="38">
        <v>4325.6100000000024</v>
      </c>
      <c r="I20" s="108">
        <v>0.10091383547042201</v>
      </c>
      <c r="J20" s="38"/>
    </row>
    <row r="21" spans="1:10" x14ac:dyDescent="0.3">
      <c r="A21" s="35" t="s">
        <v>53</v>
      </c>
      <c r="B21" t="s">
        <v>54</v>
      </c>
      <c r="C21" s="106">
        <v>4</v>
      </c>
      <c r="D21" s="56">
        <v>45902</v>
      </c>
      <c r="E21" s="38">
        <v>15729</v>
      </c>
      <c r="F21" s="38">
        <v>14288.13</v>
      </c>
      <c r="G21" s="38">
        <v>1440.8700000000008</v>
      </c>
      <c r="H21" s="38">
        <v>5766.4800000000032</v>
      </c>
      <c r="I21" s="108">
        <v>0.10084384730542072</v>
      </c>
      <c r="J21" s="38"/>
    </row>
    <row r="22" spans="1:10" x14ac:dyDescent="0.3">
      <c r="A22" s="35" t="s">
        <v>53</v>
      </c>
      <c r="B22" t="s">
        <v>54</v>
      </c>
      <c r="C22" s="106">
        <v>5</v>
      </c>
      <c r="D22" s="56">
        <v>45909</v>
      </c>
      <c r="E22" s="38">
        <v>15729</v>
      </c>
      <c r="F22" s="38">
        <v>14288.13</v>
      </c>
      <c r="G22" s="38">
        <v>1440.8700000000008</v>
      </c>
      <c r="H22" s="38">
        <v>7207.350000000004</v>
      </c>
      <c r="I22" s="108">
        <v>0.10084384730542072</v>
      </c>
      <c r="J22" s="38"/>
    </row>
    <row r="23" spans="1:10" x14ac:dyDescent="0.3">
      <c r="A23" s="35" t="s">
        <v>53</v>
      </c>
      <c r="B23" t="s">
        <v>54</v>
      </c>
      <c r="C23" s="106">
        <v>6</v>
      </c>
      <c r="D23" s="56">
        <v>45915</v>
      </c>
      <c r="E23" s="38">
        <v>15730</v>
      </c>
      <c r="F23" s="38">
        <v>14288.13</v>
      </c>
      <c r="G23" s="38">
        <v>1441.8700000000008</v>
      </c>
      <c r="H23" s="38">
        <v>8649.2200000000048</v>
      </c>
      <c r="I23" s="108">
        <v>0.10091383547042201</v>
      </c>
      <c r="J23" s="38"/>
    </row>
    <row r="24" spans="1:10" x14ac:dyDescent="0.3">
      <c r="A24" s="35" t="s">
        <v>53</v>
      </c>
      <c r="B24" t="s">
        <v>54</v>
      </c>
      <c r="C24" s="106">
        <v>7</v>
      </c>
      <c r="D24" s="56">
        <v>45923</v>
      </c>
      <c r="E24" s="38">
        <v>15730</v>
      </c>
      <c r="F24" s="38">
        <v>14288.13</v>
      </c>
      <c r="G24" s="38">
        <v>1441.8700000000008</v>
      </c>
      <c r="H24" s="38">
        <v>10091.090000000006</v>
      </c>
      <c r="I24" s="108">
        <v>0.10091383547042201</v>
      </c>
      <c r="J24" s="38"/>
    </row>
    <row r="25" spans="1:10" x14ac:dyDescent="0.3">
      <c r="A25" s="35" t="s">
        <v>53</v>
      </c>
      <c r="B25" t="s">
        <v>54</v>
      </c>
      <c r="C25" s="106">
        <v>8</v>
      </c>
      <c r="D25" s="56">
        <v>45930</v>
      </c>
      <c r="E25" s="38">
        <v>15730</v>
      </c>
      <c r="F25" s="38">
        <v>14288.13</v>
      </c>
      <c r="G25" s="38">
        <v>1441.8700000000008</v>
      </c>
      <c r="H25" s="38">
        <v>11532.960000000006</v>
      </c>
      <c r="I25" s="108">
        <v>0.10091383547042201</v>
      </c>
      <c r="J25" s="38"/>
    </row>
    <row r="26" spans="1:10" x14ac:dyDescent="0.3">
      <c r="A26" s="35" t="s">
        <v>53</v>
      </c>
      <c r="B26" t="s">
        <v>54</v>
      </c>
      <c r="C26" s="106">
        <v>9</v>
      </c>
      <c r="D26" s="56">
        <v>45937</v>
      </c>
      <c r="E26" s="38">
        <v>15730</v>
      </c>
      <c r="F26" s="38">
        <v>14288.13</v>
      </c>
      <c r="G26" s="38">
        <v>1441.8700000000008</v>
      </c>
      <c r="H26" s="38">
        <v>12974.830000000007</v>
      </c>
      <c r="I26" s="108">
        <v>0.10091383547042201</v>
      </c>
      <c r="J26" s="38"/>
    </row>
    <row r="27" spans="1:10" x14ac:dyDescent="0.3">
      <c r="A27" s="35" t="s">
        <v>53</v>
      </c>
      <c r="B27" t="s">
        <v>54</v>
      </c>
      <c r="C27" s="106">
        <v>10</v>
      </c>
      <c r="D27" s="56">
        <v>45944</v>
      </c>
      <c r="E27" s="38">
        <v>15730</v>
      </c>
      <c r="F27" s="38">
        <v>14288.13</v>
      </c>
      <c r="G27" s="38">
        <v>1441.8700000000008</v>
      </c>
      <c r="H27" s="38">
        <v>14416.700000000008</v>
      </c>
      <c r="I27" s="108">
        <v>0.10091383547042201</v>
      </c>
      <c r="J27" s="38"/>
    </row>
    <row r="28" spans="1:10" x14ac:dyDescent="0.3">
      <c r="A28" s="35" t="s">
        <v>53</v>
      </c>
      <c r="B28" t="s">
        <v>54</v>
      </c>
      <c r="C28" s="106">
        <v>11</v>
      </c>
      <c r="D28" s="56">
        <v>45678</v>
      </c>
      <c r="E28" s="38">
        <v>15730</v>
      </c>
      <c r="F28" s="38">
        <v>14288.13</v>
      </c>
      <c r="G28" s="38">
        <v>1441.8700000000008</v>
      </c>
      <c r="H28" s="38">
        <v>15858.570000000009</v>
      </c>
      <c r="I28" s="108">
        <v>0.10091383547042201</v>
      </c>
      <c r="J28" s="38"/>
    </row>
    <row r="29" spans="1:10" x14ac:dyDescent="0.3">
      <c r="A29" s="35" t="s">
        <v>53</v>
      </c>
      <c r="B29" t="s">
        <v>54</v>
      </c>
      <c r="C29" s="106">
        <v>12</v>
      </c>
      <c r="D29" s="56">
        <v>45958</v>
      </c>
      <c r="E29" s="38">
        <v>15730</v>
      </c>
      <c r="F29" s="38">
        <v>14288.13</v>
      </c>
      <c r="G29" s="38">
        <v>1441.8700000000008</v>
      </c>
      <c r="H29" s="38">
        <v>17300.44000000001</v>
      </c>
      <c r="I29" s="108">
        <v>0.10091383547042201</v>
      </c>
      <c r="J29" s="38"/>
    </row>
    <row r="30" spans="1:10" x14ac:dyDescent="0.3">
      <c r="A30" s="35" t="s">
        <v>53</v>
      </c>
      <c r="B30" t="s">
        <v>54</v>
      </c>
      <c r="C30" s="106">
        <v>13</v>
      </c>
      <c r="E30" s="38"/>
      <c r="F30" s="38"/>
      <c r="G30" s="38">
        <v>0</v>
      </c>
      <c r="H30" s="38">
        <v>17300.44000000001</v>
      </c>
      <c r="I30" s="108" t="e">
        <v>#DIV/0!</v>
      </c>
      <c r="J30" s="38"/>
    </row>
    <row r="31" spans="1:10" x14ac:dyDescent="0.3">
      <c r="A31" s="35" t="s">
        <v>53</v>
      </c>
      <c r="B31" t="s">
        <v>54</v>
      </c>
      <c r="C31" s="106">
        <v>14</v>
      </c>
      <c r="E31" s="38"/>
      <c r="F31" s="38"/>
      <c r="G31" s="38">
        <v>0</v>
      </c>
      <c r="H31" s="38">
        <v>17300.44000000001</v>
      </c>
      <c r="I31" s="108" t="e">
        <v>#DIV/0!</v>
      </c>
      <c r="J31" s="38"/>
    </row>
    <row r="32" spans="1:10" x14ac:dyDescent="0.3">
      <c r="A32" s="35" t="s">
        <v>53</v>
      </c>
      <c r="B32" t="s">
        <v>54</v>
      </c>
      <c r="C32" s="106">
        <v>15</v>
      </c>
      <c r="E32" s="38"/>
      <c r="F32" s="38"/>
      <c r="G32" s="38">
        <v>0</v>
      </c>
      <c r="H32" s="38">
        <v>17300.44000000001</v>
      </c>
      <c r="I32" s="108" t="e">
        <v>#DIV/0!</v>
      </c>
      <c r="J32" s="38"/>
    </row>
    <row r="33" spans="1:10" ht="15" thickBot="1" x14ac:dyDescent="0.35">
      <c r="A33" s="109" t="s">
        <v>53</v>
      </c>
      <c r="B33" s="110" t="s">
        <v>54</v>
      </c>
      <c r="C33" s="114">
        <v>16</v>
      </c>
      <c r="D33" s="110"/>
      <c r="E33" s="115"/>
      <c r="F33" s="115"/>
      <c r="G33" s="115">
        <v>0</v>
      </c>
      <c r="H33" s="115">
        <v>17300.44000000001</v>
      </c>
      <c r="I33" s="121" t="e">
        <v>#DIV/0!</v>
      </c>
      <c r="J33" s="38"/>
    </row>
    <row r="34" spans="1:10" x14ac:dyDescent="0.3">
      <c r="A34" s="35" t="s">
        <v>156</v>
      </c>
      <c r="B34" t="s">
        <v>1095</v>
      </c>
      <c r="C34" s="106">
        <v>1</v>
      </c>
      <c r="D34" s="56">
        <v>45884</v>
      </c>
      <c r="E34" s="38">
        <v>12020</v>
      </c>
      <c r="F34" s="38">
        <v>11400.1</v>
      </c>
      <c r="G34" s="38">
        <v>619.89999999999964</v>
      </c>
      <c r="H34" s="38">
        <v>619.89999999999964</v>
      </c>
      <c r="I34" s="108">
        <v>5.4376715993719321E-2</v>
      </c>
      <c r="J34" s="38"/>
    </row>
    <row r="35" spans="1:10" x14ac:dyDescent="0.3">
      <c r="A35" s="35" t="s">
        <v>156</v>
      </c>
      <c r="B35" t="s">
        <v>1095</v>
      </c>
      <c r="C35" s="106">
        <v>2</v>
      </c>
      <c r="D35" s="56">
        <v>45891</v>
      </c>
      <c r="E35" s="38">
        <v>12020</v>
      </c>
      <c r="F35" s="38">
        <v>11400.1</v>
      </c>
      <c r="G35" s="38">
        <v>619.89999999999964</v>
      </c>
      <c r="H35" s="38">
        <v>1239.7999999999993</v>
      </c>
      <c r="I35" s="108">
        <v>5.4376715993719321E-2</v>
      </c>
      <c r="J35" s="38"/>
    </row>
    <row r="36" spans="1:10" x14ac:dyDescent="0.3">
      <c r="A36" s="35" t="s">
        <v>156</v>
      </c>
      <c r="B36" t="s">
        <v>1095</v>
      </c>
      <c r="C36" s="106">
        <v>3</v>
      </c>
      <c r="D36" s="56">
        <v>45898</v>
      </c>
      <c r="E36" s="38">
        <v>12000</v>
      </c>
      <c r="F36" s="38">
        <v>11401</v>
      </c>
      <c r="G36" s="38">
        <v>599</v>
      </c>
      <c r="H36" s="38">
        <v>1838.7999999999993</v>
      </c>
      <c r="I36" s="108">
        <v>5.2539250942899747E-2</v>
      </c>
      <c r="J36" s="38"/>
    </row>
    <row r="37" spans="1:10" x14ac:dyDescent="0.3">
      <c r="A37" s="35" t="s">
        <v>156</v>
      </c>
      <c r="B37" t="s">
        <v>1095</v>
      </c>
      <c r="C37" s="106">
        <v>4</v>
      </c>
      <c r="D37" s="56">
        <v>45905</v>
      </c>
      <c r="E37" s="38">
        <v>11940</v>
      </c>
      <c r="F37" s="38">
        <v>11400</v>
      </c>
      <c r="G37" s="38">
        <v>540</v>
      </c>
      <c r="H37" s="38">
        <v>2378.7999999999993</v>
      </c>
      <c r="I37" s="108">
        <v>4.736842105263158E-2</v>
      </c>
      <c r="J37" s="38"/>
    </row>
    <row r="38" spans="1:10" x14ac:dyDescent="0.3">
      <c r="A38" s="35" t="s">
        <v>156</v>
      </c>
      <c r="B38" t="s">
        <v>1095</v>
      </c>
      <c r="C38" s="106">
        <v>5</v>
      </c>
      <c r="D38" s="56">
        <v>45912</v>
      </c>
      <c r="E38" s="38">
        <v>11860</v>
      </c>
      <c r="F38" s="38">
        <v>11400</v>
      </c>
      <c r="G38" s="38">
        <v>460</v>
      </c>
      <c r="H38" s="38">
        <v>2838.7999999999993</v>
      </c>
      <c r="I38" s="108">
        <v>4.0350877192982457E-2</v>
      </c>
      <c r="J38" s="38"/>
    </row>
    <row r="39" spans="1:10" x14ac:dyDescent="0.3">
      <c r="A39" s="35" t="s">
        <v>156</v>
      </c>
      <c r="B39" t="s">
        <v>1095</v>
      </c>
      <c r="C39" s="106">
        <v>6</v>
      </c>
      <c r="D39" s="56">
        <v>45919</v>
      </c>
      <c r="E39" s="38">
        <v>11860</v>
      </c>
      <c r="F39" s="38">
        <v>11400</v>
      </c>
      <c r="G39" s="38">
        <v>460</v>
      </c>
      <c r="H39" s="38">
        <v>3298.7999999999993</v>
      </c>
      <c r="I39" s="108">
        <v>4.0350877192982457E-2</v>
      </c>
      <c r="J39" s="38"/>
    </row>
    <row r="40" spans="1:10" x14ac:dyDescent="0.3">
      <c r="A40" s="35" t="s">
        <v>156</v>
      </c>
      <c r="B40" t="s">
        <v>1095</v>
      </c>
      <c r="C40" s="106">
        <v>7</v>
      </c>
      <c r="D40" s="56">
        <v>45926</v>
      </c>
      <c r="E40" s="38">
        <v>11970</v>
      </c>
      <c r="F40" s="38">
        <v>11400</v>
      </c>
      <c r="G40" s="38">
        <v>570</v>
      </c>
      <c r="H40" s="38">
        <v>3868.7999999999993</v>
      </c>
      <c r="I40" s="108">
        <v>0.05</v>
      </c>
      <c r="J40" s="38"/>
    </row>
    <row r="41" spans="1:10" x14ac:dyDescent="0.3">
      <c r="A41" s="35" t="s">
        <v>156</v>
      </c>
      <c r="B41" t="s">
        <v>1095</v>
      </c>
      <c r="C41" s="106">
        <v>8</v>
      </c>
      <c r="D41" s="56">
        <v>45933</v>
      </c>
      <c r="E41" s="38">
        <v>11940</v>
      </c>
      <c r="F41" s="38">
        <v>11400</v>
      </c>
      <c r="G41" s="38">
        <v>540</v>
      </c>
      <c r="H41" s="38">
        <v>4408.7999999999993</v>
      </c>
      <c r="I41" s="108">
        <v>4.736842105263158E-2</v>
      </c>
      <c r="J41" s="38"/>
    </row>
    <row r="42" spans="1:10" x14ac:dyDescent="0.3">
      <c r="A42" s="35" t="s">
        <v>156</v>
      </c>
      <c r="B42" t="s">
        <v>1095</v>
      </c>
      <c r="C42" s="106">
        <v>9</v>
      </c>
      <c r="D42" s="56">
        <v>45940</v>
      </c>
      <c r="E42" s="38">
        <v>11860</v>
      </c>
      <c r="F42" s="38">
        <v>11400</v>
      </c>
      <c r="G42" s="38">
        <v>460</v>
      </c>
      <c r="H42" s="38">
        <v>4868.7999999999993</v>
      </c>
      <c r="I42" s="108">
        <v>4.0350877192982457E-2</v>
      </c>
      <c r="J42" s="38"/>
    </row>
    <row r="43" spans="1:10" x14ac:dyDescent="0.3">
      <c r="A43" s="35" t="s">
        <v>156</v>
      </c>
      <c r="B43" t="s">
        <v>1095</v>
      </c>
      <c r="C43" s="106">
        <v>10</v>
      </c>
      <c r="D43" s="56">
        <v>45947</v>
      </c>
      <c r="E43" s="38">
        <v>11940</v>
      </c>
      <c r="F43" s="38">
        <v>11400</v>
      </c>
      <c r="G43" s="38">
        <v>540</v>
      </c>
      <c r="H43" s="38">
        <v>5408.7999999999993</v>
      </c>
      <c r="I43" s="108">
        <v>4.736842105263158E-2</v>
      </c>
      <c r="J43" s="38"/>
    </row>
    <row r="44" spans="1:10" x14ac:dyDescent="0.3">
      <c r="A44" s="35" t="s">
        <v>156</v>
      </c>
      <c r="B44" t="s">
        <v>1095</v>
      </c>
      <c r="C44" s="106">
        <v>11</v>
      </c>
      <c r="D44" s="56">
        <v>45954</v>
      </c>
      <c r="E44" s="38">
        <v>11760</v>
      </c>
      <c r="F44" s="38">
        <v>11400</v>
      </c>
      <c r="G44" s="38">
        <v>360</v>
      </c>
      <c r="H44" s="38">
        <v>5768.7999999999993</v>
      </c>
      <c r="I44" s="108">
        <v>3.1578947368421054E-2</v>
      </c>
      <c r="J44" s="38"/>
    </row>
    <row r="45" spans="1:10" x14ac:dyDescent="0.3">
      <c r="A45" s="35" t="s">
        <v>156</v>
      </c>
      <c r="B45" t="s">
        <v>1095</v>
      </c>
      <c r="C45" s="106">
        <v>12</v>
      </c>
      <c r="E45" s="38"/>
      <c r="F45" s="38"/>
      <c r="G45" s="38">
        <v>0</v>
      </c>
      <c r="H45" s="38">
        <v>5768.7999999999993</v>
      </c>
      <c r="I45" s="108" t="e">
        <v>#DIV/0!</v>
      </c>
      <c r="J45" s="38"/>
    </row>
    <row r="46" spans="1:10" x14ac:dyDescent="0.3">
      <c r="A46" s="35" t="s">
        <v>156</v>
      </c>
      <c r="B46" t="s">
        <v>1095</v>
      </c>
      <c r="C46" s="106">
        <v>13</v>
      </c>
      <c r="E46" s="38"/>
      <c r="F46" s="38"/>
      <c r="G46" s="38">
        <v>0</v>
      </c>
      <c r="H46" s="38">
        <v>5768.7999999999993</v>
      </c>
      <c r="I46" s="108" t="e">
        <v>#DIV/0!</v>
      </c>
      <c r="J46" s="38"/>
    </row>
    <row r="47" spans="1:10" x14ac:dyDescent="0.3">
      <c r="A47" s="35" t="s">
        <v>156</v>
      </c>
      <c r="B47" t="s">
        <v>1095</v>
      </c>
      <c r="C47" s="106">
        <v>14</v>
      </c>
      <c r="E47" s="38"/>
      <c r="F47" s="38"/>
      <c r="G47" s="38">
        <v>0</v>
      </c>
      <c r="H47" s="38">
        <v>5768.7999999999993</v>
      </c>
      <c r="I47" s="108" t="e">
        <v>#DIV/0!</v>
      </c>
      <c r="J47" s="38"/>
    </row>
    <row r="48" spans="1:10" x14ac:dyDescent="0.3">
      <c r="A48" s="35" t="s">
        <v>156</v>
      </c>
      <c r="B48" t="s">
        <v>1095</v>
      </c>
      <c r="C48" s="106">
        <v>15</v>
      </c>
      <c r="E48" s="38"/>
      <c r="F48" s="38"/>
      <c r="G48" s="38">
        <v>0</v>
      </c>
      <c r="H48" s="38">
        <v>5768.7999999999993</v>
      </c>
      <c r="I48" s="108" t="e">
        <v>#DIV/0!</v>
      </c>
      <c r="J48" s="38"/>
    </row>
    <row r="49" spans="1:10" ht="15" thickBot="1" x14ac:dyDescent="0.35">
      <c r="A49" s="109" t="s">
        <v>156</v>
      </c>
      <c r="B49" s="110" t="s">
        <v>1095</v>
      </c>
      <c r="C49" s="114">
        <v>16</v>
      </c>
      <c r="D49" s="110"/>
      <c r="E49" s="115"/>
      <c r="F49" s="115"/>
      <c r="G49" s="115">
        <v>0</v>
      </c>
      <c r="H49" s="115">
        <v>5768.7999999999993</v>
      </c>
      <c r="I49" s="121" t="e">
        <v>#DIV/0!</v>
      </c>
      <c r="J49" s="38"/>
    </row>
    <row r="50" spans="1:10" x14ac:dyDescent="0.3">
      <c r="A50" s="35" t="s">
        <v>150</v>
      </c>
      <c r="B50" t="s">
        <v>1096</v>
      </c>
      <c r="C50" s="106">
        <v>1</v>
      </c>
      <c r="D50" s="56">
        <v>45887</v>
      </c>
      <c r="E50" s="38">
        <v>12890</v>
      </c>
      <c r="F50" s="38">
        <v>11704.1</v>
      </c>
      <c r="G50" s="38">
        <v>1185.8999999999996</v>
      </c>
      <c r="H50" s="38">
        <v>1185.8999999999996</v>
      </c>
      <c r="I50" s="108">
        <v>0.10132346784460143</v>
      </c>
      <c r="J50" s="38"/>
    </row>
    <row r="51" spans="1:10" x14ac:dyDescent="0.3">
      <c r="A51" s="35" t="s">
        <v>150</v>
      </c>
      <c r="B51" t="s">
        <v>1096</v>
      </c>
      <c r="C51" s="106">
        <v>2</v>
      </c>
      <c r="D51" s="56">
        <v>45894</v>
      </c>
      <c r="E51" s="38">
        <v>12890</v>
      </c>
      <c r="F51" s="38">
        <v>11704.1</v>
      </c>
      <c r="G51" s="38">
        <v>1185.8999999999996</v>
      </c>
      <c r="H51" s="38">
        <v>2371.7999999999993</v>
      </c>
      <c r="I51" s="108">
        <v>0.10132346784460143</v>
      </c>
      <c r="J51" s="38"/>
    </row>
    <row r="52" spans="1:10" x14ac:dyDescent="0.3">
      <c r="A52" s="35" t="s">
        <v>150</v>
      </c>
      <c r="B52" t="s">
        <v>1096</v>
      </c>
      <c r="C52" s="106">
        <v>3</v>
      </c>
      <c r="D52" s="56">
        <v>45901</v>
      </c>
      <c r="E52" s="38">
        <v>12890</v>
      </c>
      <c r="F52" s="38">
        <v>11740</v>
      </c>
      <c r="G52" s="38">
        <v>1150</v>
      </c>
      <c r="H52" s="38">
        <v>3521.7999999999993</v>
      </c>
      <c r="I52" s="108">
        <v>9.7955706984667809E-2</v>
      </c>
      <c r="J52" s="38"/>
    </row>
    <row r="53" spans="1:10" x14ac:dyDescent="0.3">
      <c r="A53" s="35" t="s">
        <v>150</v>
      </c>
      <c r="B53" t="s">
        <v>1096</v>
      </c>
      <c r="C53" s="106">
        <v>4</v>
      </c>
      <c r="D53" s="56">
        <v>45908</v>
      </c>
      <c r="E53" s="38">
        <v>12890</v>
      </c>
      <c r="F53" s="38">
        <v>11704</v>
      </c>
      <c r="G53" s="38">
        <v>1186</v>
      </c>
      <c r="H53" s="38">
        <v>4707.7999999999993</v>
      </c>
      <c r="I53" s="108">
        <v>0.10133287764866712</v>
      </c>
      <c r="J53" s="38"/>
    </row>
    <row r="54" spans="1:10" x14ac:dyDescent="0.3">
      <c r="A54" s="35" t="s">
        <v>150</v>
      </c>
      <c r="B54" t="s">
        <v>1096</v>
      </c>
      <c r="C54" s="106">
        <v>5</v>
      </c>
      <c r="D54" s="56">
        <v>45915</v>
      </c>
      <c r="E54" s="38">
        <v>12890</v>
      </c>
      <c r="F54" s="38">
        <v>11704</v>
      </c>
      <c r="G54" s="38">
        <v>1186</v>
      </c>
      <c r="H54" s="38">
        <v>5893.7999999999993</v>
      </c>
      <c r="I54" s="108">
        <v>0.10133287764866712</v>
      </c>
      <c r="J54" s="38"/>
    </row>
    <row r="55" spans="1:10" x14ac:dyDescent="0.3">
      <c r="A55" s="35" t="s">
        <v>150</v>
      </c>
      <c r="B55" t="s">
        <v>1096</v>
      </c>
      <c r="C55" s="106">
        <v>6</v>
      </c>
      <c r="D55" s="56">
        <v>45922</v>
      </c>
      <c r="E55" s="38">
        <v>12880</v>
      </c>
      <c r="F55" s="38">
        <v>11704</v>
      </c>
      <c r="G55" s="38">
        <v>1176</v>
      </c>
      <c r="H55" s="38">
        <v>7069.7999999999993</v>
      </c>
      <c r="I55" s="108">
        <v>0.10047846889952153</v>
      </c>
      <c r="J55" s="38"/>
    </row>
    <row r="56" spans="1:10" x14ac:dyDescent="0.3">
      <c r="A56" s="35" t="s">
        <v>150</v>
      </c>
      <c r="B56" t="s">
        <v>1096</v>
      </c>
      <c r="C56" s="106">
        <v>7</v>
      </c>
      <c r="D56" s="56">
        <v>45929</v>
      </c>
      <c r="E56" s="38">
        <v>12890</v>
      </c>
      <c r="F56" s="38">
        <v>11704</v>
      </c>
      <c r="G56" s="38">
        <v>1186</v>
      </c>
      <c r="H56" s="38">
        <v>8255.7999999999993</v>
      </c>
      <c r="I56" s="108">
        <v>0.10133287764866712</v>
      </c>
      <c r="J56" s="38"/>
    </row>
    <row r="57" spans="1:10" x14ac:dyDescent="0.3">
      <c r="A57" s="35" t="s">
        <v>150</v>
      </c>
      <c r="B57" t="s">
        <v>1096</v>
      </c>
      <c r="C57" s="106">
        <v>8</v>
      </c>
      <c r="D57" s="56">
        <v>45936</v>
      </c>
      <c r="E57" s="38">
        <v>12880</v>
      </c>
      <c r="F57" s="38">
        <v>11704</v>
      </c>
      <c r="G57" s="38">
        <v>1176</v>
      </c>
      <c r="H57" s="38">
        <v>9431.7999999999993</v>
      </c>
      <c r="I57" s="108">
        <v>0.10047846889952153</v>
      </c>
      <c r="J57" s="38"/>
    </row>
    <row r="58" spans="1:10" x14ac:dyDescent="0.3">
      <c r="A58" s="35" t="s">
        <v>150</v>
      </c>
      <c r="B58" t="s">
        <v>1096</v>
      </c>
      <c r="C58" s="106">
        <v>9</v>
      </c>
      <c r="D58" s="56">
        <v>45943</v>
      </c>
      <c r="E58" s="38">
        <v>12880</v>
      </c>
      <c r="F58" s="38">
        <v>11704</v>
      </c>
      <c r="G58" s="38">
        <v>1176</v>
      </c>
      <c r="H58" s="38">
        <v>10607.8</v>
      </c>
      <c r="I58" s="108">
        <v>0.10047846889952153</v>
      </c>
      <c r="J58" s="38"/>
    </row>
    <row r="59" spans="1:10" x14ac:dyDescent="0.3">
      <c r="A59" s="35" t="s">
        <v>150</v>
      </c>
      <c r="B59" t="s">
        <v>1096</v>
      </c>
      <c r="C59" s="106">
        <v>10</v>
      </c>
      <c r="D59" s="56">
        <v>45950</v>
      </c>
      <c r="E59" s="38">
        <v>12880</v>
      </c>
      <c r="F59" s="38">
        <v>11704</v>
      </c>
      <c r="G59" s="38">
        <v>1176</v>
      </c>
      <c r="H59" s="38">
        <v>11783.8</v>
      </c>
      <c r="I59" s="108">
        <v>0.10047846889952153</v>
      </c>
      <c r="J59" s="38"/>
    </row>
    <row r="60" spans="1:10" x14ac:dyDescent="0.3">
      <c r="A60" s="35" t="s">
        <v>150</v>
      </c>
      <c r="B60" t="s">
        <v>1096</v>
      </c>
      <c r="C60" s="106">
        <v>11</v>
      </c>
      <c r="D60" s="56">
        <v>45957</v>
      </c>
      <c r="E60" s="38">
        <v>12880</v>
      </c>
      <c r="F60" s="38">
        <v>11704</v>
      </c>
      <c r="G60" s="38">
        <v>1176</v>
      </c>
      <c r="H60" s="38">
        <v>12959.8</v>
      </c>
      <c r="I60" s="108">
        <v>0.10047846889952153</v>
      </c>
      <c r="J60" s="38"/>
    </row>
    <row r="61" spans="1:10" x14ac:dyDescent="0.3">
      <c r="A61" s="35" t="s">
        <v>150</v>
      </c>
      <c r="B61" t="s">
        <v>1096</v>
      </c>
      <c r="C61" s="106">
        <v>12</v>
      </c>
      <c r="E61" s="38"/>
      <c r="F61" s="38"/>
      <c r="G61" s="38">
        <v>0</v>
      </c>
      <c r="H61" s="38">
        <v>12959.8</v>
      </c>
      <c r="I61" s="108" t="e">
        <v>#DIV/0!</v>
      </c>
      <c r="J61" s="38"/>
    </row>
    <row r="62" spans="1:10" x14ac:dyDescent="0.3">
      <c r="A62" s="35" t="s">
        <v>150</v>
      </c>
      <c r="B62" t="s">
        <v>1096</v>
      </c>
      <c r="C62" s="106">
        <v>13</v>
      </c>
      <c r="E62" s="38"/>
      <c r="F62" s="38"/>
      <c r="G62" s="38">
        <v>0</v>
      </c>
      <c r="H62" s="38">
        <v>12959.8</v>
      </c>
      <c r="I62" s="108" t="e">
        <v>#DIV/0!</v>
      </c>
      <c r="J62" s="38"/>
    </row>
    <row r="63" spans="1:10" x14ac:dyDescent="0.3">
      <c r="A63" s="35" t="s">
        <v>150</v>
      </c>
      <c r="B63" t="s">
        <v>1096</v>
      </c>
      <c r="C63" s="106">
        <v>14</v>
      </c>
      <c r="E63" s="38"/>
      <c r="F63" s="38"/>
      <c r="G63" s="38">
        <v>0</v>
      </c>
      <c r="H63" s="38">
        <v>12959.8</v>
      </c>
      <c r="I63" s="108" t="e">
        <v>#DIV/0!</v>
      </c>
      <c r="J63" s="38"/>
    </row>
    <row r="64" spans="1:10" x14ac:dyDescent="0.3">
      <c r="A64" s="35" t="s">
        <v>150</v>
      </c>
      <c r="B64" t="s">
        <v>1096</v>
      </c>
      <c r="C64" s="106">
        <v>15</v>
      </c>
      <c r="E64" s="38"/>
      <c r="F64" s="38"/>
      <c r="G64" s="38">
        <v>0</v>
      </c>
      <c r="H64" s="38">
        <v>12959.8</v>
      </c>
      <c r="I64" s="108" t="e">
        <v>#DIV/0!</v>
      </c>
      <c r="J64" s="38"/>
    </row>
    <row r="65" spans="1:10" ht="15" thickBot="1" x14ac:dyDescent="0.35">
      <c r="A65" s="109" t="s">
        <v>150</v>
      </c>
      <c r="B65" s="110" t="s">
        <v>1096</v>
      </c>
      <c r="C65" s="111">
        <v>16</v>
      </c>
      <c r="D65" s="112"/>
      <c r="E65" s="113"/>
      <c r="F65" s="113"/>
      <c r="G65" s="113">
        <v>0</v>
      </c>
      <c r="H65" s="113">
        <v>12959.8</v>
      </c>
      <c r="I65" s="121" t="e">
        <v>#DIV/0!</v>
      </c>
      <c r="J65" s="38"/>
    </row>
    <row r="66" spans="1:10" x14ac:dyDescent="0.3">
      <c r="A66" s="35" t="s">
        <v>172</v>
      </c>
      <c r="B66" t="s">
        <v>106</v>
      </c>
      <c r="C66" s="106">
        <v>1</v>
      </c>
      <c r="D66" s="56">
        <v>45918</v>
      </c>
      <c r="E66" s="38">
        <v>14738</v>
      </c>
      <c r="F66" s="38">
        <v>13984.12</v>
      </c>
      <c r="G66" s="38">
        <v>753.8799999999992</v>
      </c>
      <c r="H66" s="38">
        <v>753.8799999999992</v>
      </c>
      <c r="I66" s="108">
        <v>5.3909720454343869E-2</v>
      </c>
      <c r="J66" s="38"/>
    </row>
    <row r="67" spans="1:10" x14ac:dyDescent="0.3">
      <c r="A67" s="35" t="s">
        <v>172</v>
      </c>
      <c r="B67" t="s">
        <v>106</v>
      </c>
      <c r="C67" s="106">
        <v>2</v>
      </c>
      <c r="D67" s="56">
        <v>45894</v>
      </c>
      <c r="E67" s="38">
        <v>14738</v>
      </c>
      <c r="F67" s="38">
        <v>13984.12</v>
      </c>
      <c r="G67" s="38">
        <v>753.8799999999992</v>
      </c>
      <c r="H67" s="38">
        <v>1507.7599999999984</v>
      </c>
      <c r="I67" s="108">
        <v>5.3909720454343869E-2</v>
      </c>
      <c r="J67" s="38"/>
    </row>
    <row r="68" spans="1:10" x14ac:dyDescent="0.3">
      <c r="A68" s="35" t="s">
        <v>172</v>
      </c>
      <c r="B68" t="s">
        <v>106</v>
      </c>
      <c r="C68" s="106">
        <v>3</v>
      </c>
      <c r="D68" s="56">
        <v>45898</v>
      </c>
      <c r="E68" s="38">
        <v>14695</v>
      </c>
      <c r="F68" s="38">
        <v>13984</v>
      </c>
      <c r="G68" s="38">
        <v>711</v>
      </c>
      <c r="H68" s="38">
        <v>2218.7599999999984</v>
      </c>
      <c r="I68" s="108">
        <v>5.0843821510297482E-2</v>
      </c>
      <c r="J68" s="38"/>
    </row>
    <row r="69" spans="1:10" x14ac:dyDescent="0.3">
      <c r="A69" s="35" t="s">
        <v>172</v>
      </c>
      <c r="B69" t="s">
        <v>106</v>
      </c>
      <c r="C69" s="106">
        <v>4</v>
      </c>
      <c r="D69" s="56">
        <v>45908</v>
      </c>
      <c r="E69" s="38">
        <v>14695</v>
      </c>
      <c r="F69" s="38">
        <v>13984</v>
      </c>
      <c r="G69" s="38">
        <v>711</v>
      </c>
      <c r="H69" s="38">
        <v>2929.7599999999984</v>
      </c>
      <c r="I69" s="108">
        <v>5.0843821510297482E-2</v>
      </c>
      <c r="J69" s="38"/>
    </row>
    <row r="70" spans="1:10" x14ac:dyDescent="0.3">
      <c r="A70" s="35" t="s">
        <v>172</v>
      </c>
      <c r="B70" t="s">
        <v>106</v>
      </c>
      <c r="C70" s="106">
        <v>5</v>
      </c>
      <c r="D70" s="56">
        <v>45915</v>
      </c>
      <c r="E70" s="38">
        <v>14686</v>
      </c>
      <c r="F70" s="38">
        <v>13984</v>
      </c>
      <c r="G70" s="38">
        <v>702</v>
      </c>
      <c r="H70" s="38">
        <v>3631.7599999999984</v>
      </c>
      <c r="I70" s="108">
        <v>5.0200228832951943E-2</v>
      </c>
      <c r="J70" s="38"/>
    </row>
    <row r="71" spans="1:10" x14ac:dyDescent="0.3">
      <c r="A71" s="35" t="s">
        <v>172</v>
      </c>
      <c r="B71" t="s">
        <v>106</v>
      </c>
      <c r="C71" s="106">
        <v>6</v>
      </c>
      <c r="D71" s="56">
        <v>45922</v>
      </c>
      <c r="E71" s="38">
        <v>14695</v>
      </c>
      <c r="F71" s="38">
        <v>13984</v>
      </c>
      <c r="G71" s="38">
        <v>711</v>
      </c>
      <c r="H71" s="38">
        <v>4342.7599999999984</v>
      </c>
      <c r="I71" s="108">
        <v>5.0843821510297482E-2</v>
      </c>
      <c r="J71" s="38"/>
    </row>
    <row r="72" spans="1:10" x14ac:dyDescent="0.3">
      <c r="A72" s="35" t="s">
        <v>172</v>
      </c>
      <c r="B72" t="s">
        <v>106</v>
      </c>
      <c r="C72" s="106">
        <v>7</v>
      </c>
      <c r="D72" s="56">
        <v>45927</v>
      </c>
      <c r="E72" s="38">
        <v>14695</v>
      </c>
      <c r="F72" s="38">
        <v>13984</v>
      </c>
      <c r="G72" s="38">
        <v>711</v>
      </c>
      <c r="H72" s="38">
        <v>5053.7599999999984</v>
      </c>
      <c r="I72" s="108">
        <v>5.0843821510297482E-2</v>
      </c>
      <c r="J72" s="38"/>
    </row>
    <row r="73" spans="1:10" x14ac:dyDescent="0.3">
      <c r="A73" s="35" t="s">
        <v>172</v>
      </c>
      <c r="B73" t="s">
        <v>106</v>
      </c>
      <c r="C73" s="106">
        <v>8</v>
      </c>
      <c r="D73" s="56">
        <v>45936</v>
      </c>
      <c r="E73" s="38">
        <v>14695</v>
      </c>
      <c r="F73" s="38">
        <v>13984</v>
      </c>
      <c r="G73" s="38">
        <v>711</v>
      </c>
      <c r="H73" s="38">
        <v>5764.7599999999984</v>
      </c>
      <c r="I73" s="108">
        <v>5.0843821510297482E-2</v>
      </c>
      <c r="J73" s="38"/>
    </row>
    <row r="74" spans="1:10" x14ac:dyDescent="0.3">
      <c r="A74" s="35" t="s">
        <v>172</v>
      </c>
      <c r="B74" t="s">
        <v>106</v>
      </c>
      <c r="C74" s="106">
        <v>9</v>
      </c>
      <c r="D74" s="56">
        <v>45943</v>
      </c>
      <c r="E74" s="38">
        <v>14695</v>
      </c>
      <c r="F74" s="38">
        <v>13984</v>
      </c>
      <c r="G74" s="38">
        <v>711</v>
      </c>
      <c r="H74" s="38">
        <v>6475.7599999999984</v>
      </c>
      <c r="I74" s="108">
        <v>5.0843821510297482E-2</v>
      </c>
      <c r="J74" s="38"/>
    </row>
    <row r="75" spans="1:10" x14ac:dyDescent="0.3">
      <c r="A75" s="35" t="s">
        <v>172</v>
      </c>
      <c r="B75" t="s">
        <v>106</v>
      </c>
      <c r="C75" s="106">
        <v>10</v>
      </c>
      <c r="D75" s="56">
        <v>45950</v>
      </c>
      <c r="E75" s="38">
        <v>14695</v>
      </c>
      <c r="F75" s="38">
        <v>13984</v>
      </c>
      <c r="G75" s="38">
        <v>711</v>
      </c>
      <c r="H75" s="38">
        <v>7186.7599999999984</v>
      </c>
      <c r="I75" s="108">
        <v>5.0843821510297482E-2</v>
      </c>
      <c r="J75" s="38"/>
    </row>
    <row r="76" spans="1:10" x14ac:dyDescent="0.3">
      <c r="A76" s="35" t="s">
        <v>172</v>
      </c>
      <c r="B76" t="s">
        <v>106</v>
      </c>
      <c r="C76" s="106">
        <v>11</v>
      </c>
      <c r="D76" s="56">
        <v>45957</v>
      </c>
      <c r="E76" s="38">
        <v>14695</v>
      </c>
      <c r="F76" s="38">
        <v>13984</v>
      </c>
      <c r="G76" s="38">
        <v>711</v>
      </c>
      <c r="H76" s="38">
        <v>7897.7599999999984</v>
      </c>
      <c r="I76" s="108">
        <v>5.0843821510297482E-2</v>
      </c>
      <c r="J76" s="38"/>
    </row>
    <row r="77" spans="1:10" x14ac:dyDescent="0.3">
      <c r="A77" s="35" t="s">
        <v>172</v>
      </c>
      <c r="B77" t="s">
        <v>106</v>
      </c>
      <c r="C77" s="106">
        <v>12</v>
      </c>
      <c r="E77" s="38"/>
      <c r="F77" s="38"/>
      <c r="G77" s="38">
        <v>0</v>
      </c>
      <c r="H77" s="38">
        <v>7897.7599999999984</v>
      </c>
      <c r="I77" s="108" t="e">
        <v>#DIV/0!</v>
      </c>
      <c r="J77" s="38"/>
    </row>
    <row r="78" spans="1:10" x14ac:dyDescent="0.3">
      <c r="A78" s="35" t="s">
        <v>172</v>
      </c>
      <c r="B78" t="s">
        <v>106</v>
      </c>
      <c r="C78" s="106">
        <v>13</v>
      </c>
      <c r="E78" s="38"/>
      <c r="F78" s="38"/>
      <c r="G78" s="38">
        <v>0</v>
      </c>
      <c r="H78" s="38">
        <v>7897.7599999999984</v>
      </c>
      <c r="I78" s="108" t="e">
        <v>#DIV/0!</v>
      </c>
      <c r="J78" s="38"/>
    </row>
    <row r="79" spans="1:10" x14ac:dyDescent="0.3">
      <c r="A79" s="35" t="s">
        <v>172</v>
      </c>
      <c r="B79" t="s">
        <v>106</v>
      </c>
      <c r="C79" s="106">
        <v>14</v>
      </c>
      <c r="E79" s="38"/>
      <c r="F79" s="38"/>
      <c r="G79" s="38">
        <v>0</v>
      </c>
      <c r="H79" s="38">
        <v>7897.7599999999984</v>
      </c>
      <c r="I79" s="108" t="e">
        <v>#DIV/0!</v>
      </c>
      <c r="J79" s="38"/>
    </row>
    <row r="80" spans="1:10" x14ac:dyDescent="0.3">
      <c r="A80" s="35" t="s">
        <v>172</v>
      </c>
      <c r="B80" t="s">
        <v>106</v>
      </c>
      <c r="C80" s="106">
        <v>15</v>
      </c>
      <c r="E80" s="38"/>
      <c r="F80" s="38"/>
      <c r="G80" s="38">
        <v>0</v>
      </c>
      <c r="H80" s="38">
        <v>7897.7599999999984</v>
      </c>
      <c r="I80" s="108" t="e">
        <v>#DIV/0!</v>
      </c>
      <c r="J80" s="38"/>
    </row>
    <row r="81" spans="1:10" ht="15" thickBot="1" x14ac:dyDescent="0.35">
      <c r="A81" s="109" t="s">
        <v>172</v>
      </c>
      <c r="B81" s="110" t="s">
        <v>106</v>
      </c>
      <c r="C81" s="111">
        <v>16</v>
      </c>
      <c r="D81" s="112"/>
      <c r="E81" s="113"/>
      <c r="F81" s="113"/>
      <c r="G81" s="113">
        <v>0</v>
      </c>
      <c r="H81" s="113">
        <v>7897.7599999999984</v>
      </c>
      <c r="I81" s="113"/>
      <c r="J81" s="38"/>
    </row>
    <row r="82" spans="1:10" x14ac:dyDescent="0.3">
      <c r="A82" s="35" t="s">
        <v>152</v>
      </c>
      <c r="B82" t="s">
        <v>107</v>
      </c>
      <c r="C82" s="106">
        <v>1</v>
      </c>
      <c r="D82" s="56">
        <v>45884</v>
      </c>
      <c r="E82" s="38">
        <v>11954</v>
      </c>
      <c r="F82" s="38">
        <v>10868.1</v>
      </c>
      <c r="G82" s="38">
        <v>1085.8999999999996</v>
      </c>
      <c r="H82" s="38">
        <v>1085.8999999999996</v>
      </c>
      <c r="I82" s="108">
        <v>9.9916268713022477E-2</v>
      </c>
      <c r="J82" s="38"/>
    </row>
    <row r="83" spans="1:10" x14ac:dyDescent="0.3">
      <c r="A83" s="35" t="s">
        <v>152</v>
      </c>
      <c r="B83" t="s">
        <v>107</v>
      </c>
      <c r="C83" s="106">
        <v>2</v>
      </c>
      <c r="D83" s="56">
        <v>45891</v>
      </c>
      <c r="E83" s="38">
        <v>11954</v>
      </c>
      <c r="F83" s="38">
        <v>10868.1</v>
      </c>
      <c r="G83" s="38">
        <v>1085.8999999999996</v>
      </c>
      <c r="H83" s="38">
        <v>2171.7999999999993</v>
      </c>
      <c r="I83" s="108">
        <v>9.9916268713022477E-2</v>
      </c>
      <c r="J83" s="38"/>
    </row>
    <row r="84" spans="1:10" x14ac:dyDescent="0.3">
      <c r="A84" s="35" t="s">
        <v>152</v>
      </c>
      <c r="B84" t="s">
        <v>107</v>
      </c>
      <c r="C84" s="106">
        <v>3</v>
      </c>
      <c r="D84" s="56">
        <v>45898</v>
      </c>
      <c r="E84" s="38">
        <v>11954</v>
      </c>
      <c r="F84" s="38">
        <v>10868</v>
      </c>
      <c r="G84" s="38">
        <v>1086</v>
      </c>
      <c r="H84" s="38">
        <v>3257.7999999999993</v>
      </c>
      <c r="I84" s="108">
        <v>9.9926389400073617E-2</v>
      </c>
      <c r="J84" s="38"/>
    </row>
    <row r="85" spans="1:10" x14ac:dyDescent="0.3">
      <c r="A85" s="35" t="s">
        <v>152</v>
      </c>
      <c r="B85" t="s">
        <v>107</v>
      </c>
      <c r="C85" s="106">
        <v>4</v>
      </c>
      <c r="D85" s="56">
        <v>45905</v>
      </c>
      <c r="E85" s="38">
        <v>11954</v>
      </c>
      <c r="F85" s="38">
        <v>10868</v>
      </c>
      <c r="G85" s="38">
        <v>1086</v>
      </c>
      <c r="H85" s="38">
        <v>4343.7999999999993</v>
      </c>
      <c r="I85" s="108">
        <v>9.9926389400073617E-2</v>
      </c>
      <c r="J85" s="38"/>
    </row>
    <row r="86" spans="1:10" x14ac:dyDescent="0.3">
      <c r="A86" s="35" t="s">
        <v>152</v>
      </c>
      <c r="B86" t="s">
        <v>107</v>
      </c>
      <c r="C86" s="106">
        <v>5</v>
      </c>
      <c r="D86" s="56">
        <v>45912</v>
      </c>
      <c r="E86" s="38">
        <v>11954</v>
      </c>
      <c r="F86" s="38">
        <v>10868</v>
      </c>
      <c r="G86" s="38">
        <v>1086</v>
      </c>
      <c r="H86" s="38">
        <v>5429.7999999999993</v>
      </c>
      <c r="I86" s="108">
        <v>9.9926389400073617E-2</v>
      </c>
      <c r="J86" s="38"/>
    </row>
    <row r="87" spans="1:10" x14ac:dyDescent="0.3">
      <c r="A87" s="35" t="s">
        <v>152</v>
      </c>
      <c r="B87" t="s">
        <v>107</v>
      </c>
      <c r="C87" s="106">
        <v>6</v>
      </c>
      <c r="D87" s="56">
        <v>45919</v>
      </c>
      <c r="E87" s="38">
        <v>11954</v>
      </c>
      <c r="F87" s="38">
        <v>10868</v>
      </c>
      <c r="G87" s="38">
        <v>1086</v>
      </c>
      <c r="H87" s="38">
        <v>6515.7999999999993</v>
      </c>
      <c r="I87" s="108">
        <v>9.9926389400073617E-2</v>
      </c>
      <c r="J87" s="38"/>
    </row>
    <row r="88" spans="1:10" x14ac:dyDescent="0.3">
      <c r="A88" s="35" t="s">
        <v>152</v>
      </c>
      <c r="B88" t="s">
        <v>107</v>
      </c>
      <c r="C88" s="106">
        <v>7</v>
      </c>
      <c r="D88" s="56">
        <v>45926</v>
      </c>
      <c r="E88" s="38">
        <v>11954</v>
      </c>
      <c r="F88" s="38">
        <v>10868</v>
      </c>
      <c r="G88" s="38">
        <v>1086</v>
      </c>
      <c r="H88" s="38">
        <v>7601.7999999999993</v>
      </c>
      <c r="I88" s="108">
        <v>9.9926389400073617E-2</v>
      </c>
      <c r="J88" s="38"/>
    </row>
    <row r="89" spans="1:10" x14ac:dyDescent="0.3">
      <c r="A89" s="35" t="s">
        <v>152</v>
      </c>
      <c r="B89" t="s">
        <v>107</v>
      </c>
      <c r="C89" s="106">
        <v>8</v>
      </c>
      <c r="D89" s="56">
        <v>45933</v>
      </c>
      <c r="E89" s="38">
        <v>11954</v>
      </c>
      <c r="F89" s="38">
        <v>10868</v>
      </c>
      <c r="G89" s="38">
        <v>1086</v>
      </c>
      <c r="H89" s="38">
        <v>8687.7999999999993</v>
      </c>
      <c r="I89" s="108">
        <v>9.9926389400073617E-2</v>
      </c>
      <c r="J89" s="38"/>
    </row>
    <row r="90" spans="1:10" x14ac:dyDescent="0.3">
      <c r="A90" s="35" t="s">
        <v>152</v>
      </c>
      <c r="B90" t="s">
        <v>107</v>
      </c>
      <c r="C90" s="106">
        <v>9</v>
      </c>
      <c r="D90" s="56">
        <v>45940</v>
      </c>
      <c r="E90" s="38">
        <v>11664</v>
      </c>
      <c r="F90" s="38">
        <v>10868</v>
      </c>
      <c r="G90" s="38">
        <v>796</v>
      </c>
      <c r="H90" s="38">
        <v>9483.7999999999993</v>
      </c>
      <c r="I90" s="108">
        <v>7.3242546926757454E-2</v>
      </c>
      <c r="J90" s="38"/>
    </row>
    <row r="91" spans="1:10" x14ac:dyDescent="0.3">
      <c r="A91" s="35" t="s">
        <v>152</v>
      </c>
      <c r="B91" t="s">
        <v>107</v>
      </c>
      <c r="C91" s="106">
        <v>10</v>
      </c>
      <c r="D91" s="56">
        <v>45950</v>
      </c>
      <c r="E91" s="38">
        <v>11954</v>
      </c>
      <c r="F91" s="38">
        <v>10868</v>
      </c>
      <c r="G91" s="38">
        <v>1086</v>
      </c>
      <c r="H91" s="38">
        <v>10569.8</v>
      </c>
      <c r="I91" s="108">
        <v>9.9926389400073617E-2</v>
      </c>
      <c r="J91" s="38"/>
    </row>
    <row r="92" spans="1:10" x14ac:dyDescent="0.3">
      <c r="A92" s="35" t="s">
        <v>152</v>
      </c>
      <c r="B92" t="s">
        <v>107</v>
      </c>
      <c r="C92" s="106">
        <v>11</v>
      </c>
      <c r="D92" s="56">
        <v>45954</v>
      </c>
      <c r="E92" s="38">
        <v>11954</v>
      </c>
      <c r="F92" s="38">
        <v>10868</v>
      </c>
      <c r="G92" s="38">
        <v>1086</v>
      </c>
      <c r="H92" s="38">
        <v>11655.8</v>
      </c>
      <c r="I92" s="108">
        <v>9.9926389400073617E-2</v>
      </c>
      <c r="J92" s="38"/>
    </row>
    <row r="93" spans="1:10" x14ac:dyDescent="0.3">
      <c r="A93" s="35" t="s">
        <v>152</v>
      </c>
      <c r="B93" t="s">
        <v>107</v>
      </c>
      <c r="C93" s="106">
        <v>12</v>
      </c>
      <c r="E93" s="38"/>
      <c r="F93" s="38"/>
      <c r="G93" s="38">
        <v>0</v>
      </c>
      <c r="H93" s="38">
        <v>11655.8</v>
      </c>
      <c r="I93" s="108" t="e">
        <v>#DIV/0!</v>
      </c>
      <c r="J93" s="38"/>
    </row>
    <row r="94" spans="1:10" x14ac:dyDescent="0.3">
      <c r="A94" s="35" t="s">
        <v>152</v>
      </c>
      <c r="B94" t="s">
        <v>107</v>
      </c>
      <c r="C94" s="106">
        <v>13</v>
      </c>
      <c r="E94" s="38"/>
      <c r="F94" s="38"/>
      <c r="G94" s="38">
        <v>0</v>
      </c>
      <c r="H94" s="38">
        <v>11655.8</v>
      </c>
      <c r="I94" s="108"/>
      <c r="J94" s="38"/>
    </row>
    <row r="95" spans="1:10" x14ac:dyDescent="0.3">
      <c r="A95" s="35" t="s">
        <v>152</v>
      </c>
      <c r="B95" t="s">
        <v>107</v>
      </c>
      <c r="C95" s="106">
        <v>14</v>
      </c>
      <c r="E95" s="38"/>
      <c r="F95" s="38"/>
      <c r="G95" s="38">
        <v>0</v>
      </c>
      <c r="H95" s="38">
        <v>11655.8</v>
      </c>
      <c r="I95" s="108"/>
      <c r="J95" s="38"/>
    </row>
    <row r="96" spans="1:10" x14ac:dyDescent="0.3">
      <c r="A96" s="35" t="s">
        <v>152</v>
      </c>
      <c r="B96" t="s">
        <v>107</v>
      </c>
      <c r="C96" s="106">
        <v>15</v>
      </c>
      <c r="E96" s="38"/>
      <c r="F96" s="38"/>
      <c r="G96" s="38">
        <v>0</v>
      </c>
      <c r="H96" s="38">
        <v>11655.8</v>
      </c>
      <c r="I96" s="108"/>
      <c r="J96" s="38"/>
    </row>
    <row r="97" spans="1:10" ht="15" thickBot="1" x14ac:dyDescent="0.35">
      <c r="A97" s="109" t="s">
        <v>152</v>
      </c>
      <c r="B97" s="110" t="s">
        <v>107</v>
      </c>
      <c r="C97" s="111">
        <v>16</v>
      </c>
      <c r="D97" s="112"/>
      <c r="E97" s="113"/>
      <c r="F97" s="113"/>
      <c r="G97" s="113">
        <v>0</v>
      </c>
      <c r="H97" s="113">
        <v>11655.8</v>
      </c>
      <c r="I97" s="121"/>
      <c r="J97" s="38"/>
    </row>
    <row r="98" spans="1:10" x14ac:dyDescent="0.3">
      <c r="A98" s="35" t="s">
        <v>158</v>
      </c>
      <c r="B98" t="s">
        <v>105</v>
      </c>
      <c r="C98" s="106">
        <v>1</v>
      </c>
      <c r="D98" s="56">
        <v>45887</v>
      </c>
      <c r="E98" s="38">
        <v>10276</v>
      </c>
      <c r="F98" s="38">
        <v>9500.08</v>
      </c>
      <c r="G98" s="38">
        <v>775.92000000000007</v>
      </c>
      <c r="H98" s="38">
        <v>775.92000000000007</v>
      </c>
      <c r="I98" s="108">
        <v>8.1675101683354248E-2</v>
      </c>
      <c r="J98" s="38"/>
    </row>
    <row r="99" spans="1:10" x14ac:dyDescent="0.3">
      <c r="A99" s="35" t="s">
        <v>158</v>
      </c>
      <c r="B99" t="s">
        <v>105</v>
      </c>
      <c r="C99" s="106">
        <v>2</v>
      </c>
      <c r="D99" s="56">
        <v>45894</v>
      </c>
      <c r="E99" s="38">
        <v>10276</v>
      </c>
      <c r="F99" s="38">
        <v>9500.08</v>
      </c>
      <c r="G99" s="38">
        <v>775.92000000000007</v>
      </c>
      <c r="H99" s="38">
        <v>1551.8400000000001</v>
      </c>
      <c r="I99" s="108">
        <v>8.1675101683354248E-2</v>
      </c>
      <c r="J99" s="38"/>
    </row>
    <row r="100" spans="1:10" x14ac:dyDescent="0.3">
      <c r="A100" s="35" t="s">
        <v>158</v>
      </c>
      <c r="B100" t="s">
        <v>105</v>
      </c>
      <c r="C100" s="106">
        <v>3</v>
      </c>
      <c r="D100" s="56">
        <v>45901</v>
      </c>
      <c r="E100" s="38">
        <v>10276</v>
      </c>
      <c r="F100" s="38">
        <v>9500</v>
      </c>
      <c r="G100" s="38">
        <v>776</v>
      </c>
      <c r="H100" s="38">
        <v>2327.84</v>
      </c>
      <c r="I100" s="108">
        <v>8.168421052631579E-2</v>
      </c>
      <c r="J100" s="38"/>
    </row>
    <row r="101" spans="1:10" x14ac:dyDescent="0.3">
      <c r="A101" s="35" t="s">
        <v>158</v>
      </c>
      <c r="B101" t="s">
        <v>105</v>
      </c>
      <c r="C101" s="106">
        <v>4</v>
      </c>
      <c r="D101" s="56">
        <v>45908</v>
      </c>
      <c r="E101" s="38">
        <v>10276</v>
      </c>
      <c r="F101" s="38">
        <v>9500</v>
      </c>
      <c r="G101" s="38">
        <v>776</v>
      </c>
      <c r="H101" s="38">
        <v>3103.84</v>
      </c>
      <c r="I101" s="108">
        <v>8.168421052631579E-2</v>
      </c>
      <c r="J101" s="38"/>
    </row>
    <row r="102" spans="1:10" x14ac:dyDescent="0.3">
      <c r="A102" s="35" t="s">
        <v>158</v>
      </c>
      <c r="B102" t="s">
        <v>105</v>
      </c>
      <c r="C102" s="106">
        <v>5</v>
      </c>
      <c r="D102" s="56">
        <v>45915</v>
      </c>
      <c r="E102" s="38">
        <v>10222</v>
      </c>
      <c r="F102" s="38">
        <v>9500</v>
      </c>
      <c r="G102" s="38">
        <v>722</v>
      </c>
      <c r="H102" s="38">
        <v>3825.84</v>
      </c>
      <c r="I102" s="108">
        <v>7.5999999999999998E-2</v>
      </c>
      <c r="J102" s="38"/>
    </row>
    <row r="103" spans="1:10" x14ac:dyDescent="0.3">
      <c r="A103" s="35" t="s">
        <v>158</v>
      </c>
      <c r="B103" t="s">
        <v>105</v>
      </c>
      <c r="C103" s="106">
        <v>6</v>
      </c>
      <c r="D103" s="56">
        <v>45922</v>
      </c>
      <c r="E103" s="38">
        <v>10246</v>
      </c>
      <c r="F103" s="38">
        <v>9500</v>
      </c>
      <c r="G103" s="38">
        <v>746</v>
      </c>
      <c r="H103" s="38">
        <v>4571.84</v>
      </c>
      <c r="I103" s="108">
        <v>7.852631578947368E-2</v>
      </c>
      <c r="J103" s="38"/>
    </row>
    <row r="104" spans="1:10" x14ac:dyDescent="0.3">
      <c r="A104" s="35" t="s">
        <v>158</v>
      </c>
      <c r="B104" t="s">
        <v>105</v>
      </c>
      <c r="C104" s="106">
        <v>7</v>
      </c>
      <c r="D104" s="56">
        <v>45929</v>
      </c>
      <c r="E104" s="38">
        <v>10240</v>
      </c>
      <c r="F104" s="38">
        <v>9500</v>
      </c>
      <c r="G104" s="38">
        <v>740</v>
      </c>
      <c r="H104" s="38">
        <v>5311.84</v>
      </c>
      <c r="I104" s="108">
        <v>7.7894736842105267E-2</v>
      </c>
      <c r="J104" s="38"/>
    </row>
    <row r="105" spans="1:10" x14ac:dyDescent="0.3">
      <c r="A105" s="35" t="s">
        <v>158</v>
      </c>
      <c r="B105" t="s">
        <v>105</v>
      </c>
      <c r="C105" s="106">
        <v>8</v>
      </c>
      <c r="D105" s="56">
        <v>45936</v>
      </c>
      <c r="E105" s="38">
        <v>10276</v>
      </c>
      <c r="F105" s="38">
        <v>9500</v>
      </c>
      <c r="G105" s="38">
        <v>776</v>
      </c>
      <c r="H105" s="38">
        <v>6087.84</v>
      </c>
      <c r="I105" s="108">
        <v>8.168421052631579E-2</v>
      </c>
      <c r="J105" s="38"/>
    </row>
    <row r="106" spans="1:10" x14ac:dyDescent="0.3">
      <c r="A106" s="35" t="s">
        <v>158</v>
      </c>
      <c r="B106" t="s">
        <v>105</v>
      </c>
      <c r="C106" s="106">
        <v>9</v>
      </c>
      <c r="D106" s="56">
        <v>45943</v>
      </c>
      <c r="E106" s="38">
        <v>10086</v>
      </c>
      <c r="F106" s="38">
        <v>9500</v>
      </c>
      <c r="G106" s="38">
        <v>586</v>
      </c>
      <c r="H106" s="38">
        <v>6673.84</v>
      </c>
      <c r="I106" s="108">
        <v>6.1684210526315793E-2</v>
      </c>
      <c r="J106" s="38"/>
    </row>
    <row r="107" spans="1:10" x14ac:dyDescent="0.3">
      <c r="A107" s="35" t="s">
        <v>158</v>
      </c>
      <c r="B107" t="s">
        <v>105</v>
      </c>
      <c r="C107" s="106">
        <v>10</v>
      </c>
      <c r="D107" s="56">
        <v>45950</v>
      </c>
      <c r="E107" s="38">
        <v>10196</v>
      </c>
      <c r="F107" s="38">
        <v>9500</v>
      </c>
      <c r="G107" s="38">
        <v>696</v>
      </c>
      <c r="H107" s="38">
        <v>7369.84</v>
      </c>
      <c r="I107" s="108">
        <v>7.3263157894736836E-2</v>
      </c>
      <c r="J107" s="38"/>
    </row>
    <row r="108" spans="1:10" x14ac:dyDescent="0.3">
      <c r="A108" s="35" t="s">
        <v>158</v>
      </c>
      <c r="B108" t="s">
        <v>105</v>
      </c>
      <c r="C108" s="106">
        <v>11</v>
      </c>
      <c r="D108" s="56">
        <v>45957</v>
      </c>
      <c r="E108" s="38">
        <v>10200</v>
      </c>
      <c r="F108" s="38">
        <v>9500</v>
      </c>
      <c r="G108" s="38">
        <v>700</v>
      </c>
      <c r="H108" s="38">
        <v>8069.84</v>
      </c>
      <c r="I108" s="108">
        <v>7.3684210526315783E-2</v>
      </c>
      <c r="J108" s="38"/>
    </row>
    <row r="109" spans="1:10" x14ac:dyDescent="0.3">
      <c r="A109" s="35" t="s">
        <v>158</v>
      </c>
      <c r="B109" t="s">
        <v>105</v>
      </c>
      <c r="C109" s="106">
        <v>12</v>
      </c>
      <c r="E109" s="38"/>
      <c r="F109" s="38"/>
      <c r="G109" s="38">
        <v>0</v>
      </c>
      <c r="H109" s="38">
        <v>8069.84</v>
      </c>
      <c r="I109" s="108" t="e">
        <v>#DIV/0!</v>
      </c>
      <c r="J109" s="38"/>
    </row>
    <row r="110" spans="1:10" x14ac:dyDescent="0.3">
      <c r="A110" s="35" t="s">
        <v>158</v>
      </c>
      <c r="B110" t="s">
        <v>105</v>
      </c>
      <c r="C110" s="106">
        <v>13</v>
      </c>
      <c r="E110" s="38"/>
      <c r="F110" s="38"/>
      <c r="G110" s="38">
        <v>0</v>
      </c>
      <c r="H110" s="38">
        <v>8069.84</v>
      </c>
      <c r="I110" s="108" t="e">
        <v>#DIV/0!</v>
      </c>
      <c r="J110" s="38"/>
    </row>
    <row r="111" spans="1:10" x14ac:dyDescent="0.3">
      <c r="A111" s="35" t="s">
        <v>158</v>
      </c>
      <c r="B111" t="s">
        <v>105</v>
      </c>
      <c r="C111" s="106">
        <v>14</v>
      </c>
      <c r="E111" s="38"/>
      <c r="F111" s="38"/>
      <c r="G111" s="38">
        <v>0</v>
      </c>
      <c r="H111" s="38">
        <v>8069.84</v>
      </c>
      <c r="I111" s="38"/>
      <c r="J111" s="38"/>
    </row>
    <row r="112" spans="1:10" x14ac:dyDescent="0.3">
      <c r="A112" s="35" t="s">
        <v>158</v>
      </c>
      <c r="B112" t="s">
        <v>105</v>
      </c>
      <c r="C112" s="106">
        <v>15</v>
      </c>
      <c r="E112" s="38"/>
      <c r="F112" s="38"/>
      <c r="G112" s="38">
        <v>0</v>
      </c>
      <c r="H112" s="38">
        <v>8069.84</v>
      </c>
      <c r="I112" s="38"/>
      <c r="J112" s="38"/>
    </row>
    <row r="113" spans="1:10" ht="15" thickBot="1" x14ac:dyDescent="0.35">
      <c r="A113" s="109" t="s">
        <v>158</v>
      </c>
      <c r="B113" s="110" t="s">
        <v>105</v>
      </c>
      <c r="C113" s="111">
        <v>16</v>
      </c>
      <c r="D113" s="112"/>
      <c r="E113" s="113"/>
      <c r="F113" s="113"/>
      <c r="G113" s="113">
        <v>0</v>
      </c>
      <c r="H113" s="113">
        <v>8069.84</v>
      </c>
      <c r="I113" s="113"/>
      <c r="J113" s="38"/>
    </row>
    <row r="114" spans="1:10" x14ac:dyDescent="0.3">
      <c r="A114" s="35" t="s">
        <v>166</v>
      </c>
      <c r="B114" t="s">
        <v>103</v>
      </c>
      <c r="C114" s="106">
        <v>1</v>
      </c>
      <c r="D114" s="56">
        <v>45887</v>
      </c>
      <c r="E114" s="38">
        <v>6211</v>
      </c>
      <c r="F114" s="38">
        <v>5928.05</v>
      </c>
      <c r="G114" s="38">
        <v>282.94999999999982</v>
      </c>
      <c r="H114" s="38">
        <v>282.94999999999982</v>
      </c>
      <c r="I114" s="108">
        <v>4.7730704025775728E-2</v>
      </c>
      <c r="J114" s="38"/>
    </row>
    <row r="115" spans="1:10" x14ac:dyDescent="0.3">
      <c r="A115" s="35" t="s">
        <v>166</v>
      </c>
      <c r="B115" t="s">
        <v>103</v>
      </c>
      <c r="C115" s="106">
        <v>2</v>
      </c>
      <c r="D115" s="56">
        <v>45894</v>
      </c>
      <c r="E115" s="38">
        <v>6183</v>
      </c>
      <c r="F115" s="38">
        <v>5928.05</v>
      </c>
      <c r="G115" s="38">
        <v>254.94999999999982</v>
      </c>
      <c r="H115" s="38">
        <v>537.89999999999964</v>
      </c>
      <c r="I115" s="108">
        <v>4.3007397036124835E-2</v>
      </c>
      <c r="J115" s="38"/>
    </row>
    <row r="116" spans="1:10" x14ac:dyDescent="0.3">
      <c r="A116" s="35" t="s">
        <v>166</v>
      </c>
      <c r="B116" t="s">
        <v>103</v>
      </c>
      <c r="C116" s="106">
        <v>3</v>
      </c>
      <c r="D116" s="56">
        <v>45901</v>
      </c>
      <c r="E116" s="38">
        <v>6133</v>
      </c>
      <c r="F116" s="38">
        <v>5935</v>
      </c>
      <c r="G116" s="38">
        <v>198</v>
      </c>
      <c r="H116" s="38">
        <v>735.89999999999964</v>
      </c>
      <c r="I116" s="108">
        <v>3.3361415332771691E-2</v>
      </c>
      <c r="J116" s="38"/>
    </row>
    <row r="117" spans="1:10" x14ac:dyDescent="0.3">
      <c r="A117" s="35" t="s">
        <v>166</v>
      </c>
      <c r="B117" t="s">
        <v>103</v>
      </c>
      <c r="C117" s="106">
        <v>4</v>
      </c>
      <c r="D117" s="56">
        <v>45908</v>
      </c>
      <c r="E117" s="38">
        <v>6050</v>
      </c>
      <c r="F117" s="38">
        <v>5935</v>
      </c>
      <c r="G117" s="38">
        <v>115</v>
      </c>
      <c r="H117" s="38">
        <v>850.89999999999964</v>
      </c>
      <c r="I117" s="108">
        <v>1.9376579612468407E-2</v>
      </c>
      <c r="J117" s="38"/>
    </row>
    <row r="118" spans="1:10" x14ac:dyDescent="0.3">
      <c r="A118" s="35" t="s">
        <v>166</v>
      </c>
      <c r="B118" t="s">
        <v>103</v>
      </c>
      <c r="C118" s="106">
        <v>5</v>
      </c>
      <c r="D118" s="56">
        <v>45915</v>
      </c>
      <c r="E118" s="38">
        <v>5931</v>
      </c>
      <c r="F118" s="38">
        <v>5931</v>
      </c>
      <c r="G118" s="38">
        <v>0</v>
      </c>
      <c r="H118" s="38">
        <v>850.89999999999964</v>
      </c>
      <c r="I118" s="108">
        <v>0</v>
      </c>
      <c r="J118" s="38"/>
    </row>
    <row r="119" spans="1:10" x14ac:dyDescent="0.3">
      <c r="A119" s="35" t="s">
        <v>166</v>
      </c>
      <c r="B119" t="s">
        <v>103</v>
      </c>
      <c r="C119" s="106">
        <v>6</v>
      </c>
      <c r="D119" s="56">
        <v>45922</v>
      </c>
      <c r="E119" s="38">
        <v>6050</v>
      </c>
      <c r="F119" s="38">
        <v>5935</v>
      </c>
      <c r="G119" s="38">
        <v>115</v>
      </c>
      <c r="H119" s="38">
        <v>965.89999999999964</v>
      </c>
      <c r="I119" s="108">
        <v>1.9376579612468407E-2</v>
      </c>
      <c r="J119" s="38"/>
    </row>
    <row r="120" spans="1:10" x14ac:dyDescent="0.3">
      <c r="A120" s="35" t="s">
        <v>166</v>
      </c>
      <c r="B120" t="s">
        <v>103</v>
      </c>
      <c r="C120" s="106">
        <v>7</v>
      </c>
      <c r="D120" s="56">
        <v>45929</v>
      </c>
      <c r="E120" s="38">
        <v>5980</v>
      </c>
      <c r="F120" s="38">
        <v>5935</v>
      </c>
      <c r="G120" s="38">
        <v>45</v>
      </c>
      <c r="H120" s="38">
        <v>1010.8999999999996</v>
      </c>
      <c r="I120" s="108">
        <v>7.582139848357203E-3</v>
      </c>
      <c r="J120" s="38"/>
    </row>
    <row r="121" spans="1:10" x14ac:dyDescent="0.3">
      <c r="A121" s="35" t="s">
        <v>166</v>
      </c>
      <c r="B121" t="s">
        <v>103</v>
      </c>
      <c r="C121" s="106">
        <v>8</v>
      </c>
      <c r="D121" s="56">
        <v>45936</v>
      </c>
      <c r="E121" s="38">
        <v>6083</v>
      </c>
      <c r="F121" s="38">
        <v>5929</v>
      </c>
      <c r="G121" s="38">
        <v>154</v>
      </c>
      <c r="H121" s="38">
        <v>1164.8999999999996</v>
      </c>
      <c r="I121" s="108">
        <v>2.5974025974025976E-2</v>
      </c>
      <c r="J121" s="38"/>
    </row>
    <row r="122" spans="1:10" x14ac:dyDescent="0.3">
      <c r="A122" s="35" t="s">
        <v>166</v>
      </c>
      <c r="B122" t="s">
        <v>103</v>
      </c>
      <c r="C122" s="106">
        <v>9</v>
      </c>
      <c r="D122" s="56">
        <v>45943</v>
      </c>
      <c r="E122" s="38">
        <v>6080</v>
      </c>
      <c r="F122" s="38">
        <v>5935</v>
      </c>
      <c r="G122" s="38">
        <v>145</v>
      </c>
      <c r="H122" s="38">
        <v>1309.8999999999996</v>
      </c>
      <c r="I122" s="108">
        <v>2.4431339511373211E-2</v>
      </c>
      <c r="J122" s="38"/>
    </row>
    <row r="123" spans="1:10" x14ac:dyDescent="0.3">
      <c r="A123" s="35" t="s">
        <v>166</v>
      </c>
      <c r="B123" t="s">
        <v>103</v>
      </c>
      <c r="C123" s="106">
        <v>10</v>
      </c>
      <c r="D123" s="56">
        <v>45950</v>
      </c>
      <c r="E123" s="38">
        <v>6000</v>
      </c>
      <c r="F123" s="38">
        <v>5935</v>
      </c>
      <c r="G123" s="38">
        <v>65</v>
      </c>
      <c r="H123" s="38">
        <v>1374.8999999999996</v>
      </c>
      <c r="I123" s="108">
        <v>1.0951979780960405E-2</v>
      </c>
      <c r="J123" s="38"/>
    </row>
    <row r="124" spans="1:10" x14ac:dyDescent="0.3">
      <c r="A124" s="35" t="s">
        <v>166</v>
      </c>
      <c r="B124" t="s">
        <v>103</v>
      </c>
      <c r="C124" s="106">
        <v>11</v>
      </c>
      <c r="G124" s="38">
        <v>0</v>
      </c>
      <c r="H124" s="38">
        <v>1374.8999999999996</v>
      </c>
      <c r="I124" s="108" t="e">
        <v>#DIV/0!</v>
      </c>
      <c r="J124" s="38"/>
    </row>
    <row r="125" spans="1:10" x14ac:dyDescent="0.3">
      <c r="A125" s="35" t="s">
        <v>166</v>
      </c>
      <c r="B125" t="s">
        <v>103</v>
      </c>
      <c r="C125" s="106">
        <v>12</v>
      </c>
      <c r="G125" s="38">
        <v>0</v>
      </c>
      <c r="H125" s="38">
        <v>1374.8999999999996</v>
      </c>
      <c r="J125" s="38"/>
    </row>
    <row r="126" spans="1:10" x14ac:dyDescent="0.3">
      <c r="A126" s="35" t="s">
        <v>166</v>
      </c>
      <c r="B126" t="s">
        <v>103</v>
      </c>
      <c r="C126" s="106">
        <v>13</v>
      </c>
      <c r="G126" s="38">
        <v>0</v>
      </c>
      <c r="H126" s="38">
        <v>1374.8999999999996</v>
      </c>
      <c r="J126" s="38"/>
    </row>
    <row r="127" spans="1:10" x14ac:dyDescent="0.3">
      <c r="A127" s="35" t="s">
        <v>166</v>
      </c>
      <c r="B127" t="s">
        <v>103</v>
      </c>
      <c r="C127" s="106">
        <v>14</v>
      </c>
      <c r="G127" s="38">
        <v>0</v>
      </c>
      <c r="H127" s="38">
        <v>1374.8999999999996</v>
      </c>
      <c r="J127" s="38"/>
    </row>
    <row r="128" spans="1:10" x14ac:dyDescent="0.3">
      <c r="A128" s="35" t="s">
        <v>166</v>
      </c>
      <c r="B128" t="s">
        <v>103</v>
      </c>
      <c r="C128" s="106">
        <v>15</v>
      </c>
      <c r="G128" s="38">
        <v>0</v>
      </c>
      <c r="H128" s="38">
        <v>1374.8999999999996</v>
      </c>
      <c r="J128" s="38"/>
    </row>
    <row r="129" spans="1:10" ht="15" thickBot="1" x14ac:dyDescent="0.35">
      <c r="A129" s="109" t="s">
        <v>166</v>
      </c>
      <c r="B129" s="110" t="s">
        <v>103</v>
      </c>
      <c r="C129" s="111">
        <v>16</v>
      </c>
      <c r="D129" s="112"/>
      <c r="E129" s="112"/>
      <c r="F129" s="112"/>
      <c r="G129" s="113">
        <v>0</v>
      </c>
      <c r="H129" s="113">
        <v>1374.8999999999996</v>
      </c>
      <c r="I129" s="112"/>
      <c r="J129" s="38"/>
    </row>
    <row r="130" spans="1:10" x14ac:dyDescent="0.3">
      <c r="A130" s="35" t="s">
        <v>183</v>
      </c>
      <c r="B130" t="s">
        <v>162</v>
      </c>
      <c r="C130" s="106">
        <v>1</v>
      </c>
      <c r="D130" s="56">
        <v>45888</v>
      </c>
      <c r="E130" s="38">
        <v>7911</v>
      </c>
      <c r="F130" s="38">
        <v>7448.07</v>
      </c>
      <c r="G130" s="38">
        <v>462.93000000000029</v>
      </c>
      <c r="H130" s="38">
        <v>462.93000000000029</v>
      </c>
      <c r="I130" s="108">
        <v>6.2154356766249551E-2</v>
      </c>
      <c r="J130" s="38"/>
    </row>
    <row r="131" spans="1:10" x14ac:dyDescent="0.3">
      <c r="A131" s="35" t="s">
        <v>183</v>
      </c>
      <c r="B131" t="s">
        <v>162</v>
      </c>
      <c r="C131" s="106">
        <v>2</v>
      </c>
      <c r="D131" s="56">
        <v>45895</v>
      </c>
      <c r="E131" s="38">
        <v>7911</v>
      </c>
      <c r="F131" s="38">
        <v>7448.07</v>
      </c>
      <c r="G131" s="38">
        <v>462.93000000000029</v>
      </c>
      <c r="H131" s="38">
        <v>925.86000000000058</v>
      </c>
      <c r="I131" s="108">
        <v>6.2154356766249551E-2</v>
      </c>
      <c r="J131" s="38"/>
    </row>
    <row r="132" spans="1:10" x14ac:dyDescent="0.3">
      <c r="A132" s="35" t="s">
        <v>183</v>
      </c>
      <c r="B132" t="s">
        <v>162</v>
      </c>
      <c r="C132" s="106">
        <v>3</v>
      </c>
      <c r="D132" s="56">
        <v>45902</v>
      </c>
      <c r="E132" s="38">
        <v>7911</v>
      </c>
      <c r="F132" s="38">
        <v>7448.01</v>
      </c>
      <c r="G132" s="38">
        <v>462.98999999999978</v>
      </c>
      <c r="H132" s="38">
        <v>1388.8500000000004</v>
      </c>
      <c r="I132" s="108">
        <v>6.2162913315100245E-2</v>
      </c>
      <c r="J132" s="38"/>
    </row>
    <row r="133" spans="1:10" x14ac:dyDescent="0.3">
      <c r="A133" s="35" t="s">
        <v>183</v>
      </c>
      <c r="B133" t="s">
        <v>162</v>
      </c>
      <c r="C133" s="106">
        <v>4</v>
      </c>
      <c r="D133" s="56">
        <v>45909</v>
      </c>
      <c r="E133" s="38">
        <v>7911</v>
      </c>
      <c r="F133" s="38">
        <v>7448.01</v>
      </c>
      <c r="G133" s="38">
        <v>462.98999999999978</v>
      </c>
      <c r="H133" s="38">
        <v>1851.8400000000001</v>
      </c>
      <c r="I133" s="108">
        <v>6.2162913315100245E-2</v>
      </c>
      <c r="J133" s="38"/>
    </row>
    <row r="134" spans="1:10" x14ac:dyDescent="0.3">
      <c r="A134" s="35" t="s">
        <v>183</v>
      </c>
      <c r="B134" t="s">
        <v>162</v>
      </c>
      <c r="C134" s="106">
        <v>5</v>
      </c>
      <c r="D134" s="56">
        <v>45915</v>
      </c>
      <c r="E134" s="38">
        <v>7911</v>
      </c>
      <c r="F134" s="38">
        <v>7448.01</v>
      </c>
      <c r="G134" s="38">
        <v>462.98999999999978</v>
      </c>
      <c r="H134" s="38">
        <v>2314.83</v>
      </c>
      <c r="I134" s="108">
        <v>6.2162913315100245E-2</v>
      </c>
      <c r="J134" s="38"/>
    </row>
    <row r="135" spans="1:10" x14ac:dyDescent="0.3">
      <c r="A135" s="35" t="s">
        <v>183</v>
      </c>
      <c r="B135" t="s">
        <v>162</v>
      </c>
      <c r="C135" s="106">
        <v>6</v>
      </c>
      <c r="D135" s="56">
        <v>45923</v>
      </c>
      <c r="E135" s="38">
        <v>7911</v>
      </c>
      <c r="F135" s="38">
        <v>7448.01</v>
      </c>
      <c r="G135" s="38">
        <v>462.98999999999978</v>
      </c>
      <c r="H135" s="38">
        <v>2777.8199999999997</v>
      </c>
      <c r="I135" s="108">
        <v>6.2162913315100245E-2</v>
      </c>
      <c r="J135" s="38"/>
    </row>
    <row r="136" spans="1:10" x14ac:dyDescent="0.3">
      <c r="A136" s="35" t="s">
        <v>183</v>
      </c>
      <c r="B136" t="s">
        <v>162</v>
      </c>
      <c r="C136" s="106">
        <v>7</v>
      </c>
      <c r="D136" s="56">
        <v>45930</v>
      </c>
      <c r="E136" s="38">
        <v>7911</v>
      </c>
      <c r="F136" s="38">
        <v>7448.01</v>
      </c>
      <c r="G136" s="38">
        <v>462.98999999999978</v>
      </c>
      <c r="H136" s="38">
        <v>3240.8099999999995</v>
      </c>
      <c r="I136" s="108">
        <v>6.2162913315100245E-2</v>
      </c>
      <c r="J136" s="38"/>
    </row>
    <row r="137" spans="1:10" x14ac:dyDescent="0.3">
      <c r="A137" s="35" t="s">
        <v>183</v>
      </c>
      <c r="B137" t="s">
        <v>162</v>
      </c>
      <c r="C137" s="106">
        <v>8</v>
      </c>
      <c r="D137" s="56">
        <v>45937</v>
      </c>
      <c r="E137" s="38">
        <v>7911</v>
      </c>
      <c r="F137" s="38">
        <v>7448.01</v>
      </c>
      <c r="G137" s="38">
        <v>462.98999999999978</v>
      </c>
      <c r="H137" s="38">
        <v>3703.7999999999993</v>
      </c>
      <c r="I137" s="108">
        <v>6.2162913315100245E-2</v>
      </c>
    </row>
    <row r="138" spans="1:10" x14ac:dyDescent="0.3">
      <c r="A138" s="35" t="s">
        <v>183</v>
      </c>
      <c r="B138" t="s">
        <v>162</v>
      </c>
      <c r="C138" s="106">
        <v>9</v>
      </c>
      <c r="D138" s="56">
        <v>45944</v>
      </c>
      <c r="E138" s="38">
        <v>7911</v>
      </c>
      <c r="F138" s="38">
        <v>7448.01</v>
      </c>
      <c r="G138" s="38">
        <v>462.98999999999978</v>
      </c>
      <c r="H138" s="38">
        <v>4166.7899999999991</v>
      </c>
      <c r="I138" s="108">
        <v>6.2162913315100245E-2</v>
      </c>
    </row>
    <row r="139" spans="1:10" x14ac:dyDescent="0.3">
      <c r="A139" s="35" t="s">
        <v>183</v>
      </c>
      <c r="B139" t="s">
        <v>162</v>
      </c>
      <c r="C139" s="106">
        <v>10</v>
      </c>
      <c r="D139" s="56">
        <v>45951</v>
      </c>
      <c r="E139" s="38">
        <v>7911</v>
      </c>
      <c r="F139" s="38">
        <v>7448.01</v>
      </c>
      <c r="G139" s="38">
        <v>462.98999999999978</v>
      </c>
      <c r="H139" s="38">
        <v>4629.7799999999988</v>
      </c>
      <c r="I139" s="108">
        <v>6.2162913315100245E-2</v>
      </c>
    </row>
    <row r="140" spans="1:10" x14ac:dyDescent="0.3">
      <c r="A140" s="35" t="s">
        <v>183</v>
      </c>
      <c r="B140" t="s">
        <v>162</v>
      </c>
      <c r="C140" s="106">
        <v>11</v>
      </c>
      <c r="D140" s="56">
        <v>45958</v>
      </c>
      <c r="E140" s="38">
        <v>7911</v>
      </c>
      <c r="F140" s="38">
        <v>7448.01</v>
      </c>
      <c r="G140" s="38">
        <v>462.98999999999978</v>
      </c>
      <c r="H140" s="38">
        <v>5092.7699999999986</v>
      </c>
      <c r="I140" s="108">
        <v>6.2162913315100245E-2</v>
      </c>
    </row>
    <row r="141" spans="1:10" x14ac:dyDescent="0.3">
      <c r="A141" s="35" t="s">
        <v>183</v>
      </c>
      <c r="B141" t="s">
        <v>162</v>
      </c>
      <c r="C141" s="106">
        <v>12</v>
      </c>
      <c r="E141" s="38"/>
      <c r="F141" s="38"/>
      <c r="G141" s="38">
        <v>0</v>
      </c>
      <c r="H141" s="38">
        <v>5092.7699999999986</v>
      </c>
      <c r="I141" s="108" t="e">
        <v>#DIV/0!</v>
      </c>
    </row>
    <row r="142" spans="1:10" x14ac:dyDescent="0.3">
      <c r="A142" s="35" t="s">
        <v>183</v>
      </c>
      <c r="B142" t="s">
        <v>162</v>
      </c>
      <c r="C142" s="106">
        <v>13</v>
      </c>
      <c r="E142" s="38"/>
      <c r="F142" s="38"/>
      <c r="G142" s="38">
        <v>0</v>
      </c>
      <c r="H142" s="38">
        <v>5092.7699999999986</v>
      </c>
      <c r="I142" s="108" t="e">
        <v>#DIV/0!</v>
      </c>
    </row>
    <row r="143" spans="1:10" x14ac:dyDescent="0.3">
      <c r="A143" s="35" t="s">
        <v>183</v>
      </c>
      <c r="B143" t="s">
        <v>162</v>
      </c>
      <c r="C143" s="106">
        <v>14</v>
      </c>
      <c r="E143" s="38"/>
      <c r="F143" s="38"/>
      <c r="G143" s="38">
        <v>0</v>
      </c>
      <c r="H143" s="38">
        <v>5092.7699999999986</v>
      </c>
      <c r="I143" s="108" t="e">
        <v>#DIV/0!</v>
      </c>
    </row>
    <row r="144" spans="1:10" x14ac:dyDescent="0.3">
      <c r="A144" s="35" t="s">
        <v>183</v>
      </c>
      <c r="B144" t="s">
        <v>162</v>
      </c>
      <c r="C144" s="106">
        <v>15</v>
      </c>
      <c r="E144" s="38"/>
      <c r="F144" s="38"/>
      <c r="G144" s="38">
        <v>0</v>
      </c>
      <c r="H144" s="38">
        <v>5092.7699999999986</v>
      </c>
      <c r="I144" s="108" t="e">
        <v>#DIV/0!</v>
      </c>
    </row>
    <row r="145" spans="1:9" ht="15" thickBot="1" x14ac:dyDescent="0.35">
      <c r="A145" s="109" t="s">
        <v>183</v>
      </c>
      <c r="B145" s="110" t="s">
        <v>162</v>
      </c>
      <c r="C145" s="111">
        <v>16</v>
      </c>
      <c r="D145" s="112"/>
      <c r="E145" s="113"/>
      <c r="F145" s="113"/>
      <c r="G145" s="113">
        <v>0</v>
      </c>
      <c r="H145" s="113">
        <v>5092.7699999999986</v>
      </c>
      <c r="I145" s="112"/>
    </row>
    <row r="146" spans="1:9" x14ac:dyDescent="0.3">
      <c r="A146" s="35" t="s">
        <v>193</v>
      </c>
      <c r="B146" t="s">
        <v>180</v>
      </c>
      <c r="C146" s="106">
        <v>1</v>
      </c>
      <c r="D146" s="56">
        <v>45887</v>
      </c>
      <c r="E146" s="38">
        <v>4955</v>
      </c>
      <c r="F146" s="38">
        <v>4712.04</v>
      </c>
      <c r="G146" s="38">
        <v>242.96000000000004</v>
      </c>
      <c r="H146" s="38">
        <v>242.96000000000004</v>
      </c>
      <c r="I146" s="108">
        <v>5.1561531735723816E-2</v>
      </c>
    </row>
    <row r="147" spans="1:9" x14ac:dyDescent="0.3">
      <c r="A147" s="35" t="s">
        <v>193</v>
      </c>
      <c r="B147" t="s">
        <v>180</v>
      </c>
      <c r="C147" s="106">
        <v>2</v>
      </c>
      <c r="D147" s="56">
        <v>45894</v>
      </c>
      <c r="E147" s="38">
        <v>4955</v>
      </c>
      <c r="F147" s="38">
        <v>4712.04</v>
      </c>
      <c r="G147" s="38">
        <v>242.96000000000004</v>
      </c>
      <c r="H147" s="38">
        <v>485.92000000000007</v>
      </c>
      <c r="I147" s="108">
        <v>5.1561531735723816E-2</v>
      </c>
    </row>
    <row r="148" spans="1:9" x14ac:dyDescent="0.3">
      <c r="A148" s="35" t="s">
        <v>193</v>
      </c>
      <c r="B148" t="s">
        <v>180</v>
      </c>
      <c r="C148" s="106">
        <v>3</v>
      </c>
      <c r="D148" s="56">
        <v>45901</v>
      </c>
      <c r="E148" s="38">
        <v>4955</v>
      </c>
      <c r="F148" s="38">
        <v>4712.04</v>
      </c>
      <c r="G148" s="38">
        <v>242.96000000000004</v>
      </c>
      <c r="H148" s="38">
        <v>728.88000000000011</v>
      </c>
      <c r="I148" s="108">
        <v>5.1561531735723816E-2</v>
      </c>
    </row>
    <row r="149" spans="1:9" x14ac:dyDescent="0.3">
      <c r="A149" s="35" t="s">
        <v>193</v>
      </c>
      <c r="B149" t="s">
        <v>180</v>
      </c>
      <c r="C149" s="106">
        <v>4</v>
      </c>
      <c r="D149" s="56">
        <v>45908</v>
      </c>
      <c r="E149" s="38">
        <v>4955</v>
      </c>
      <c r="F149" s="38">
        <v>4712.04</v>
      </c>
      <c r="G149" s="38">
        <v>242.96000000000004</v>
      </c>
      <c r="H149" s="38">
        <v>971.84000000000015</v>
      </c>
      <c r="I149" s="108">
        <v>5.1561531735723816E-2</v>
      </c>
    </row>
    <row r="150" spans="1:9" x14ac:dyDescent="0.3">
      <c r="A150" s="35" t="s">
        <v>193</v>
      </c>
      <c r="B150" t="s">
        <v>180</v>
      </c>
      <c r="C150" s="106">
        <v>5</v>
      </c>
      <c r="D150" s="56">
        <v>45916</v>
      </c>
      <c r="E150" s="38">
        <v>4955</v>
      </c>
      <c r="F150" s="38">
        <v>4712.04</v>
      </c>
      <c r="G150" s="38">
        <v>242.96000000000004</v>
      </c>
      <c r="H150" s="38">
        <v>1214.8000000000002</v>
      </c>
      <c r="I150" s="108">
        <v>5.1561531735723816E-2</v>
      </c>
    </row>
    <row r="151" spans="1:9" x14ac:dyDescent="0.3">
      <c r="A151" s="35" t="s">
        <v>193</v>
      </c>
      <c r="B151" t="s">
        <v>180</v>
      </c>
      <c r="C151" s="106">
        <v>6</v>
      </c>
      <c r="D151" s="56">
        <v>45924</v>
      </c>
      <c r="E151" s="38">
        <v>4954</v>
      </c>
      <c r="F151" s="38">
        <v>4712.04</v>
      </c>
      <c r="G151" s="38">
        <v>241.96000000000004</v>
      </c>
      <c r="H151" s="38">
        <v>1456.7600000000002</v>
      </c>
      <c r="I151" s="108">
        <v>5.1349309428612669E-2</v>
      </c>
    </row>
    <row r="152" spans="1:9" x14ac:dyDescent="0.3">
      <c r="A152" s="35" t="s">
        <v>193</v>
      </c>
      <c r="B152" t="s">
        <v>180</v>
      </c>
      <c r="C152" s="106">
        <v>7</v>
      </c>
      <c r="D152" s="56">
        <v>45931</v>
      </c>
      <c r="E152" s="38">
        <v>4956</v>
      </c>
      <c r="F152" s="38">
        <v>4712.04</v>
      </c>
      <c r="G152" s="38">
        <v>243.96000000000004</v>
      </c>
      <c r="H152" s="38">
        <v>1700.7200000000003</v>
      </c>
      <c r="I152" s="108">
        <v>5.1773754042834956E-2</v>
      </c>
    </row>
    <row r="153" spans="1:9" x14ac:dyDescent="0.3">
      <c r="A153" s="35" t="s">
        <v>193</v>
      </c>
      <c r="B153" t="s">
        <v>180</v>
      </c>
      <c r="C153" s="106">
        <v>8</v>
      </c>
      <c r="D153" s="56">
        <v>45938</v>
      </c>
      <c r="E153" s="38">
        <v>4955</v>
      </c>
      <c r="F153" s="38">
        <v>4714.04</v>
      </c>
      <c r="G153" s="38">
        <v>240.96000000000004</v>
      </c>
      <c r="H153" s="38">
        <v>1941.6800000000003</v>
      </c>
      <c r="I153" s="108">
        <v>5.1115391468888688E-2</v>
      </c>
    </row>
    <row r="154" spans="1:9" x14ac:dyDescent="0.3">
      <c r="A154" s="35" t="s">
        <v>193</v>
      </c>
      <c r="B154" t="s">
        <v>180</v>
      </c>
      <c r="C154" s="106">
        <v>9</v>
      </c>
      <c r="D154" s="56">
        <v>45945</v>
      </c>
      <c r="E154" s="38">
        <v>4959</v>
      </c>
      <c r="F154" s="38">
        <v>4714.04</v>
      </c>
      <c r="G154" s="38">
        <v>244.96000000000004</v>
      </c>
      <c r="H154" s="38">
        <v>2186.6400000000003</v>
      </c>
      <c r="I154" s="108">
        <v>5.1963920543737441E-2</v>
      </c>
    </row>
    <row r="155" spans="1:9" x14ac:dyDescent="0.3">
      <c r="A155" s="35" t="s">
        <v>193</v>
      </c>
      <c r="B155" t="s">
        <v>180</v>
      </c>
      <c r="C155" s="106">
        <v>10</v>
      </c>
      <c r="D155" s="56">
        <v>45952</v>
      </c>
      <c r="E155" s="38">
        <v>4955</v>
      </c>
      <c r="F155" s="38">
        <v>4714.04</v>
      </c>
      <c r="G155" s="38">
        <v>240.96000000000004</v>
      </c>
      <c r="H155" s="38">
        <v>2427.6000000000004</v>
      </c>
      <c r="I155" s="108">
        <v>5.1115391468888688E-2</v>
      </c>
    </row>
    <row r="156" spans="1:9" x14ac:dyDescent="0.3">
      <c r="A156" s="35" t="s">
        <v>193</v>
      </c>
      <c r="B156" t="s">
        <v>180</v>
      </c>
      <c r="C156" s="106">
        <v>11</v>
      </c>
      <c r="D156" s="56">
        <v>45959</v>
      </c>
      <c r="E156" s="38">
        <v>4955</v>
      </c>
      <c r="F156" s="38">
        <v>4714.04</v>
      </c>
      <c r="G156" s="38">
        <v>240.96000000000004</v>
      </c>
      <c r="H156" s="38">
        <v>2668.5600000000004</v>
      </c>
      <c r="I156" s="108">
        <v>5.1115391468888688E-2</v>
      </c>
    </row>
    <row r="157" spans="1:9" x14ac:dyDescent="0.3">
      <c r="A157" s="35" t="s">
        <v>193</v>
      </c>
      <c r="B157" t="s">
        <v>180</v>
      </c>
      <c r="C157" s="106">
        <v>12</v>
      </c>
      <c r="E157" s="38"/>
      <c r="F157" s="38"/>
      <c r="G157" s="38">
        <v>0</v>
      </c>
      <c r="H157" s="38">
        <v>2668.5600000000004</v>
      </c>
      <c r="I157" s="108" t="e">
        <v>#DIV/0!</v>
      </c>
    </row>
    <row r="158" spans="1:9" x14ac:dyDescent="0.3">
      <c r="A158" s="35" t="s">
        <v>193</v>
      </c>
      <c r="B158" t="s">
        <v>180</v>
      </c>
      <c r="C158" s="106">
        <v>13</v>
      </c>
      <c r="E158" s="38"/>
      <c r="F158" s="38"/>
      <c r="G158" s="38">
        <v>0</v>
      </c>
      <c r="H158" s="38">
        <v>2668.5600000000004</v>
      </c>
      <c r="I158" s="108" t="e">
        <v>#DIV/0!</v>
      </c>
    </row>
    <row r="159" spans="1:9" x14ac:dyDescent="0.3">
      <c r="A159" s="35" t="s">
        <v>193</v>
      </c>
      <c r="B159" t="s">
        <v>180</v>
      </c>
      <c r="C159" s="106">
        <v>14</v>
      </c>
      <c r="E159" s="38"/>
      <c r="F159" s="38"/>
      <c r="G159" s="38">
        <v>0</v>
      </c>
      <c r="H159" s="38">
        <v>2668.5600000000004</v>
      </c>
      <c r="I159" s="108" t="e">
        <v>#DIV/0!</v>
      </c>
    </row>
    <row r="160" spans="1:9" x14ac:dyDescent="0.3">
      <c r="A160" s="35" t="s">
        <v>193</v>
      </c>
      <c r="B160" t="s">
        <v>180</v>
      </c>
      <c r="C160" s="106">
        <v>15</v>
      </c>
      <c r="E160" s="38"/>
      <c r="F160" s="38"/>
      <c r="G160" s="38">
        <v>0</v>
      </c>
      <c r="H160" s="38">
        <v>2668.5600000000004</v>
      </c>
      <c r="I160" s="108" t="e">
        <v>#DIV/0!</v>
      </c>
    </row>
    <row r="161" spans="1:9" ht="15" thickBot="1" x14ac:dyDescent="0.35">
      <c r="A161" s="109" t="s">
        <v>193</v>
      </c>
      <c r="B161" s="110" t="s">
        <v>180</v>
      </c>
      <c r="C161" s="111">
        <v>16</v>
      </c>
      <c r="D161" s="112"/>
      <c r="E161" s="113"/>
      <c r="F161" s="113"/>
      <c r="G161" s="113">
        <v>0</v>
      </c>
      <c r="H161" s="113">
        <v>2668.5600000000004</v>
      </c>
      <c r="I161" s="112"/>
    </row>
    <row r="162" spans="1:9" x14ac:dyDescent="0.3">
      <c r="A162" s="35" t="s">
        <v>398</v>
      </c>
      <c r="B162" t="s">
        <v>174</v>
      </c>
      <c r="C162" s="106">
        <v>1</v>
      </c>
      <c r="D162" s="56">
        <v>45894</v>
      </c>
      <c r="E162" s="38">
        <v>4602</v>
      </c>
      <c r="F162" s="38">
        <v>3882.18</v>
      </c>
      <c r="G162" s="38">
        <v>719.82000000000016</v>
      </c>
      <c r="H162" s="38">
        <v>719.82000000000016</v>
      </c>
      <c r="I162" s="108">
        <v>0.18541644127783879</v>
      </c>
    </row>
    <row r="163" spans="1:9" x14ac:dyDescent="0.3">
      <c r="A163" s="35" t="s">
        <v>398</v>
      </c>
      <c r="B163" t="s">
        <v>174</v>
      </c>
      <c r="C163" s="106">
        <v>2</v>
      </c>
      <c r="D163" s="56">
        <v>45901</v>
      </c>
      <c r="E163" s="38">
        <v>4702</v>
      </c>
      <c r="F163" s="38">
        <v>3882</v>
      </c>
      <c r="G163" s="38">
        <v>820</v>
      </c>
      <c r="H163" s="38">
        <v>1539.8200000000002</v>
      </c>
      <c r="I163" s="108">
        <v>0.211231324059763</v>
      </c>
    </row>
    <row r="164" spans="1:9" x14ac:dyDescent="0.3">
      <c r="A164" s="35" t="s">
        <v>398</v>
      </c>
      <c r="B164" t="s">
        <v>174</v>
      </c>
      <c r="C164" s="106">
        <v>3</v>
      </c>
      <c r="D164" s="56">
        <v>45908</v>
      </c>
      <c r="E164" s="38">
        <v>4641</v>
      </c>
      <c r="F164" s="38">
        <v>3882</v>
      </c>
      <c r="G164" s="38">
        <v>759</v>
      </c>
      <c r="H164" s="38">
        <v>2298.8200000000002</v>
      </c>
      <c r="I164" s="108">
        <v>0.19551777434312209</v>
      </c>
    </row>
    <row r="165" spans="1:9" x14ac:dyDescent="0.3">
      <c r="A165" s="35" t="s">
        <v>398</v>
      </c>
      <c r="B165" t="s">
        <v>174</v>
      </c>
      <c r="C165" s="106">
        <v>4</v>
      </c>
      <c r="D165" s="56">
        <v>45915</v>
      </c>
      <c r="E165" s="38">
        <v>4641</v>
      </c>
      <c r="F165" s="38">
        <v>3882</v>
      </c>
      <c r="G165" s="38">
        <v>759</v>
      </c>
      <c r="H165" s="38">
        <v>3057.82</v>
      </c>
      <c r="I165" s="108">
        <v>0.19551777434312209</v>
      </c>
    </row>
    <row r="166" spans="1:9" x14ac:dyDescent="0.3">
      <c r="A166" s="35" t="s">
        <v>398</v>
      </c>
      <c r="B166" t="s">
        <v>174</v>
      </c>
      <c r="C166" s="106">
        <v>5</v>
      </c>
      <c r="D166" s="56">
        <v>45922</v>
      </c>
      <c r="E166" s="38">
        <v>4641</v>
      </c>
      <c r="F166" s="38">
        <v>3882</v>
      </c>
      <c r="G166" s="38">
        <v>759</v>
      </c>
      <c r="H166" s="38">
        <v>3816.82</v>
      </c>
      <c r="I166" s="108">
        <v>0.19551777434312209</v>
      </c>
    </row>
    <row r="167" spans="1:9" x14ac:dyDescent="0.3">
      <c r="A167" s="35" t="s">
        <v>398</v>
      </c>
      <c r="B167" t="s">
        <v>174</v>
      </c>
      <c r="C167" s="106">
        <v>6</v>
      </c>
      <c r="D167" s="56">
        <v>45929</v>
      </c>
      <c r="E167" s="38">
        <v>4641</v>
      </c>
      <c r="F167" s="38">
        <v>3882</v>
      </c>
      <c r="G167" s="38">
        <v>759</v>
      </c>
      <c r="H167" s="38">
        <v>4575.82</v>
      </c>
      <c r="I167" s="108">
        <v>0.19551777434312209</v>
      </c>
    </row>
    <row r="168" spans="1:9" x14ac:dyDescent="0.3">
      <c r="A168" s="35" t="s">
        <v>398</v>
      </c>
      <c r="B168" t="s">
        <v>174</v>
      </c>
      <c r="C168" s="106">
        <v>7</v>
      </c>
      <c r="D168" s="56">
        <v>45929</v>
      </c>
      <c r="E168" s="38">
        <v>4641</v>
      </c>
      <c r="F168" s="38">
        <v>3882</v>
      </c>
      <c r="G168" s="38">
        <v>759</v>
      </c>
      <c r="H168" s="38">
        <v>5334.82</v>
      </c>
      <c r="I168" s="108">
        <v>0.19551777434312209</v>
      </c>
    </row>
    <row r="169" spans="1:9" x14ac:dyDescent="0.3">
      <c r="A169" s="35" t="s">
        <v>398</v>
      </c>
      <c r="B169" t="s">
        <v>174</v>
      </c>
      <c r="C169" s="106">
        <v>8</v>
      </c>
      <c r="D169" s="56">
        <v>45943</v>
      </c>
      <c r="E169" s="38">
        <v>4541</v>
      </c>
      <c r="F169" s="38">
        <v>3882</v>
      </c>
      <c r="G169" s="38">
        <v>659</v>
      </c>
      <c r="H169" s="38">
        <v>5993.82</v>
      </c>
      <c r="I169" s="108">
        <v>0.16975785677485833</v>
      </c>
    </row>
    <row r="170" spans="1:9" x14ac:dyDescent="0.3">
      <c r="A170" s="35" t="s">
        <v>398</v>
      </c>
      <c r="B170" t="s">
        <v>174</v>
      </c>
      <c r="C170" s="106">
        <v>9</v>
      </c>
      <c r="D170" s="56">
        <v>45950</v>
      </c>
      <c r="E170" s="38">
        <v>4641</v>
      </c>
      <c r="F170" s="38">
        <v>3882</v>
      </c>
      <c r="G170" s="38">
        <v>759</v>
      </c>
      <c r="H170" s="38">
        <v>6752.82</v>
      </c>
      <c r="I170" s="108">
        <v>0.19551777434312209</v>
      </c>
    </row>
    <row r="171" spans="1:9" x14ac:dyDescent="0.3">
      <c r="A171" s="35" t="s">
        <v>398</v>
      </c>
      <c r="B171" t="s">
        <v>174</v>
      </c>
      <c r="C171" s="106">
        <v>10</v>
      </c>
      <c r="D171" s="56">
        <v>45957</v>
      </c>
      <c r="E171" s="38">
        <v>4641</v>
      </c>
      <c r="F171" s="38">
        <v>3882</v>
      </c>
      <c r="G171" s="38">
        <v>759</v>
      </c>
      <c r="H171" s="38">
        <v>7511.82</v>
      </c>
      <c r="I171" s="108">
        <v>0.19551777434312209</v>
      </c>
    </row>
    <row r="172" spans="1:9" x14ac:dyDescent="0.3">
      <c r="A172" s="35" t="s">
        <v>398</v>
      </c>
      <c r="B172" t="s">
        <v>174</v>
      </c>
      <c r="C172" s="106">
        <v>11</v>
      </c>
      <c r="E172" s="38"/>
      <c r="F172" s="38"/>
      <c r="G172" s="38">
        <v>0</v>
      </c>
      <c r="H172" s="38">
        <v>7511.82</v>
      </c>
      <c r="I172" s="108" t="e">
        <v>#DIV/0!</v>
      </c>
    </row>
    <row r="173" spans="1:9" x14ac:dyDescent="0.3">
      <c r="A173" s="35" t="s">
        <v>398</v>
      </c>
      <c r="B173" t="s">
        <v>174</v>
      </c>
      <c r="C173" s="106">
        <v>12</v>
      </c>
      <c r="E173" s="38"/>
      <c r="F173" s="38"/>
      <c r="G173" s="38">
        <v>0</v>
      </c>
      <c r="H173" s="38">
        <v>7511.82</v>
      </c>
      <c r="I173" s="108" t="e">
        <v>#DIV/0!</v>
      </c>
    </row>
    <row r="174" spans="1:9" x14ac:dyDescent="0.3">
      <c r="A174" s="35" t="s">
        <v>398</v>
      </c>
      <c r="B174" t="s">
        <v>174</v>
      </c>
      <c r="C174" s="106">
        <v>13</v>
      </c>
      <c r="E174" s="38"/>
      <c r="F174" s="38"/>
      <c r="G174" s="38">
        <v>0</v>
      </c>
      <c r="H174" s="38">
        <v>7511.82</v>
      </c>
      <c r="I174" s="108" t="e">
        <v>#DIV/0!</v>
      </c>
    </row>
    <row r="175" spans="1:9" x14ac:dyDescent="0.3">
      <c r="A175" s="35" t="s">
        <v>398</v>
      </c>
      <c r="B175" t="s">
        <v>174</v>
      </c>
      <c r="C175" s="106">
        <v>14</v>
      </c>
      <c r="E175" s="38"/>
      <c r="F175" s="38"/>
      <c r="G175" s="38">
        <v>0</v>
      </c>
      <c r="H175" s="38">
        <v>7511.82</v>
      </c>
      <c r="I175" s="108" t="e">
        <v>#DIV/0!</v>
      </c>
    </row>
    <row r="176" spans="1:9" x14ac:dyDescent="0.3">
      <c r="A176" s="35" t="s">
        <v>398</v>
      </c>
      <c r="B176" t="s">
        <v>174</v>
      </c>
      <c r="C176" s="106">
        <v>15</v>
      </c>
      <c r="E176" s="38"/>
      <c r="F176" s="38"/>
      <c r="G176" s="38">
        <v>0</v>
      </c>
      <c r="H176" s="38">
        <v>7511.82</v>
      </c>
      <c r="I176" s="108" t="e">
        <v>#DIV/0!</v>
      </c>
    </row>
    <row r="177" spans="1:9" ht="15" thickBot="1" x14ac:dyDescent="0.35">
      <c r="A177" s="109" t="s">
        <v>398</v>
      </c>
      <c r="B177" s="110" t="s">
        <v>174</v>
      </c>
      <c r="C177" s="114">
        <v>16</v>
      </c>
      <c r="D177" s="110"/>
      <c r="E177" s="115"/>
      <c r="F177" s="115"/>
      <c r="G177" s="115">
        <v>0</v>
      </c>
      <c r="H177" s="115">
        <v>7511.82</v>
      </c>
      <c r="I177" s="110"/>
    </row>
    <row r="178" spans="1:9" x14ac:dyDescent="0.3">
      <c r="A178" s="35" t="s">
        <v>192</v>
      </c>
      <c r="B178" t="s">
        <v>179</v>
      </c>
      <c r="C178" s="106">
        <v>1</v>
      </c>
      <c r="D178" s="56">
        <v>45888</v>
      </c>
      <c r="E178" s="38">
        <v>13783</v>
      </c>
      <c r="F178" s="38">
        <v>12920.11</v>
      </c>
      <c r="G178" s="38">
        <v>862.88999999999942</v>
      </c>
      <c r="H178" s="38">
        <v>862.88999999999942</v>
      </c>
      <c r="I178" s="108">
        <v>6.6786583086366869E-2</v>
      </c>
    </row>
    <row r="179" spans="1:9" x14ac:dyDescent="0.3">
      <c r="A179" s="35" t="s">
        <v>192</v>
      </c>
      <c r="B179" t="s">
        <v>179</v>
      </c>
      <c r="C179" s="106">
        <v>2</v>
      </c>
      <c r="D179" s="56">
        <v>45895</v>
      </c>
      <c r="E179" s="38">
        <v>13783</v>
      </c>
      <c r="F179" s="38">
        <v>12920.11</v>
      </c>
      <c r="G179" s="38">
        <v>862.88999999999942</v>
      </c>
      <c r="H179" s="38">
        <v>1725.7799999999988</v>
      </c>
      <c r="I179" s="108">
        <v>6.6786583086366869E-2</v>
      </c>
    </row>
    <row r="180" spans="1:9" x14ac:dyDescent="0.3">
      <c r="A180" s="35" t="s">
        <v>192</v>
      </c>
      <c r="B180" t="s">
        <v>179</v>
      </c>
      <c r="C180" s="106">
        <v>3</v>
      </c>
      <c r="D180" s="56">
        <v>45902</v>
      </c>
      <c r="E180" s="38">
        <v>13783</v>
      </c>
      <c r="F180" s="38">
        <v>12920</v>
      </c>
      <c r="G180" s="38">
        <v>863</v>
      </c>
      <c r="H180" s="38">
        <v>2588.7799999999988</v>
      </c>
      <c r="I180" s="108">
        <v>6.6795665634674928E-2</v>
      </c>
    </row>
    <row r="181" spans="1:9" x14ac:dyDescent="0.3">
      <c r="A181" s="35" t="s">
        <v>192</v>
      </c>
      <c r="B181" t="s">
        <v>179</v>
      </c>
      <c r="C181" s="106">
        <v>4</v>
      </c>
      <c r="D181" s="56">
        <v>45909</v>
      </c>
      <c r="E181" s="38">
        <v>13783</v>
      </c>
      <c r="F181" s="38">
        <v>12920</v>
      </c>
      <c r="G181" s="38">
        <v>863</v>
      </c>
      <c r="H181" s="38">
        <v>3451.7799999999988</v>
      </c>
      <c r="I181" s="108">
        <v>6.6795665634674928E-2</v>
      </c>
    </row>
    <row r="182" spans="1:9" x14ac:dyDescent="0.3">
      <c r="A182" s="35" t="s">
        <v>192</v>
      </c>
      <c r="B182" t="s">
        <v>179</v>
      </c>
      <c r="C182" s="106">
        <v>5</v>
      </c>
      <c r="D182" s="56">
        <v>45916</v>
      </c>
      <c r="E182" s="38">
        <v>13783</v>
      </c>
      <c r="F182" s="38">
        <v>12920</v>
      </c>
      <c r="G182" s="38">
        <v>863</v>
      </c>
      <c r="H182" s="38">
        <v>4314.7799999999988</v>
      </c>
      <c r="I182" s="108">
        <v>6.6795665634674928E-2</v>
      </c>
    </row>
    <row r="183" spans="1:9" x14ac:dyDescent="0.3">
      <c r="A183" s="35" t="s">
        <v>192</v>
      </c>
      <c r="B183" t="s">
        <v>179</v>
      </c>
      <c r="C183" s="106">
        <v>6</v>
      </c>
      <c r="D183" s="56">
        <v>45923</v>
      </c>
      <c r="E183" s="38">
        <v>13783</v>
      </c>
      <c r="F183" s="38">
        <v>12920</v>
      </c>
      <c r="G183" s="38">
        <v>863</v>
      </c>
      <c r="H183" s="38">
        <v>5177.7799999999988</v>
      </c>
      <c r="I183" s="108">
        <v>6.6795665634674928E-2</v>
      </c>
    </row>
    <row r="184" spans="1:9" x14ac:dyDescent="0.3">
      <c r="A184" s="35" t="s">
        <v>192</v>
      </c>
      <c r="B184" t="s">
        <v>179</v>
      </c>
      <c r="C184" s="106">
        <v>7</v>
      </c>
      <c r="D184" s="56">
        <v>45931</v>
      </c>
      <c r="E184" s="38">
        <v>13783</v>
      </c>
      <c r="F184" s="38">
        <v>12920</v>
      </c>
      <c r="G184" s="38">
        <v>863</v>
      </c>
      <c r="H184" s="38">
        <v>6040.7799999999988</v>
      </c>
      <c r="I184" s="108">
        <v>6.6795665634674928E-2</v>
      </c>
    </row>
    <row r="185" spans="1:9" x14ac:dyDescent="0.3">
      <c r="A185" s="35" t="s">
        <v>192</v>
      </c>
      <c r="B185" t="s">
        <v>179</v>
      </c>
      <c r="C185" s="106">
        <v>8</v>
      </c>
      <c r="D185" s="56">
        <v>45937</v>
      </c>
      <c r="E185" s="38">
        <v>13783</v>
      </c>
      <c r="F185" s="38">
        <v>12920</v>
      </c>
      <c r="G185" s="38">
        <v>863</v>
      </c>
      <c r="H185" s="38">
        <v>6903.7799999999988</v>
      </c>
      <c r="I185" s="108">
        <v>6.6795665634674928E-2</v>
      </c>
    </row>
    <row r="186" spans="1:9" x14ac:dyDescent="0.3">
      <c r="A186" s="35" t="s">
        <v>192</v>
      </c>
      <c r="B186" t="s">
        <v>179</v>
      </c>
      <c r="C186" s="106">
        <v>9</v>
      </c>
      <c r="D186" s="56">
        <v>45945</v>
      </c>
      <c r="E186" s="38">
        <v>13783</v>
      </c>
      <c r="F186" s="38">
        <v>12920</v>
      </c>
      <c r="G186" s="38">
        <v>863</v>
      </c>
      <c r="H186" s="38">
        <v>7766.7799999999988</v>
      </c>
      <c r="I186" s="108">
        <v>6.6795665634674928E-2</v>
      </c>
    </row>
    <row r="187" spans="1:9" x14ac:dyDescent="0.3">
      <c r="A187" s="35" t="s">
        <v>192</v>
      </c>
      <c r="B187" t="s">
        <v>179</v>
      </c>
      <c r="C187" s="106">
        <v>10</v>
      </c>
      <c r="D187" s="56">
        <v>45952</v>
      </c>
      <c r="E187" s="38">
        <v>13783</v>
      </c>
      <c r="F187" s="38">
        <v>12920</v>
      </c>
      <c r="G187" s="38">
        <v>863</v>
      </c>
      <c r="H187" s="38">
        <v>8629.7799999999988</v>
      </c>
      <c r="I187" s="108">
        <v>6.6795665634674928E-2</v>
      </c>
    </row>
    <row r="188" spans="1:9" x14ac:dyDescent="0.3">
      <c r="A188" s="35" t="s">
        <v>192</v>
      </c>
      <c r="B188" t="s">
        <v>179</v>
      </c>
      <c r="C188" s="106">
        <v>11</v>
      </c>
      <c r="D188" s="56">
        <v>45959</v>
      </c>
      <c r="E188" s="38">
        <v>13783</v>
      </c>
      <c r="F188" s="38">
        <v>12921</v>
      </c>
      <c r="G188" s="38">
        <v>862</v>
      </c>
      <c r="H188" s="38">
        <v>9491.7799999999988</v>
      </c>
      <c r="I188" s="108">
        <v>6.6713102701029328E-2</v>
      </c>
    </row>
    <row r="189" spans="1:9" x14ac:dyDescent="0.3">
      <c r="A189" s="35" t="s">
        <v>192</v>
      </c>
      <c r="B189" t="s">
        <v>179</v>
      </c>
      <c r="C189" s="106">
        <v>12</v>
      </c>
      <c r="E189" s="38"/>
      <c r="F189" s="38"/>
      <c r="G189" s="38">
        <v>0</v>
      </c>
      <c r="H189" s="38">
        <v>9491.7799999999988</v>
      </c>
      <c r="I189" s="108" t="e">
        <v>#DIV/0!</v>
      </c>
    </row>
    <row r="190" spans="1:9" x14ac:dyDescent="0.3">
      <c r="A190" s="35" t="s">
        <v>192</v>
      </c>
      <c r="B190" t="s">
        <v>179</v>
      </c>
      <c r="C190" s="106">
        <v>13</v>
      </c>
      <c r="E190" s="38"/>
      <c r="F190" s="38"/>
      <c r="G190" s="38">
        <v>0</v>
      </c>
      <c r="H190" s="38">
        <v>9491.7799999999988</v>
      </c>
      <c r="I190" s="108" t="e">
        <v>#DIV/0!</v>
      </c>
    </row>
    <row r="191" spans="1:9" x14ac:dyDescent="0.3">
      <c r="A191" s="35" t="s">
        <v>192</v>
      </c>
      <c r="B191" t="s">
        <v>179</v>
      </c>
      <c r="C191" s="106">
        <v>14</v>
      </c>
      <c r="E191" s="38"/>
      <c r="F191" s="38"/>
      <c r="G191" s="38">
        <v>0</v>
      </c>
      <c r="H191" s="38">
        <v>9491.7799999999988</v>
      </c>
      <c r="I191" s="108" t="e">
        <v>#DIV/0!</v>
      </c>
    </row>
    <row r="192" spans="1:9" x14ac:dyDescent="0.3">
      <c r="A192" s="35" t="s">
        <v>192</v>
      </c>
      <c r="B192" t="s">
        <v>179</v>
      </c>
      <c r="C192" s="106">
        <v>15</v>
      </c>
      <c r="E192" s="38"/>
      <c r="F192" s="38"/>
      <c r="G192" s="38">
        <v>0</v>
      </c>
      <c r="H192" s="38">
        <v>9491.7799999999988</v>
      </c>
      <c r="I192" s="108" t="e">
        <v>#DIV/0!</v>
      </c>
    </row>
    <row r="193" spans="1:9" ht="15" thickBot="1" x14ac:dyDescent="0.35">
      <c r="A193" s="109" t="s">
        <v>192</v>
      </c>
      <c r="B193" s="110" t="s">
        <v>179</v>
      </c>
      <c r="C193" s="114">
        <v>16</v>
      </c>
      <c r="D193" s="110"/>
      <c r="E193" s="115"/>
      <c r="F193" s="115"/>
      <c r="G193" s="115">
        <v>0</v>
      </c>
      <c r="H193" s="115">
        <v>9491.7799999999988</v>
      </c>
      <c r="I193" s="110"/>
    </row>
    <row r="194" spans="1:9" x14ac:dyDescent="0.3">
      <c r="A194" s="35" t="s">
        <v>194</v>
      </c>
      <c r="B194" t="s">
        <v>104</v>
      </c>
      <c r="C194" s="106">
        <v>1</v>
      </c>
      <c r="D194" s="56">
        <v>45888</v>
      </c>
      <c r="E194" s="38">
        <v>4876</v>
      </c>
      <c r="F194" s="38">
        <v>4560.04</v>
      </c>
      <c r="G194" s="38">
        <v>315.96000000000004</v>
      </c>
      <c r="H194" s="38">
        <v>315.96000000000004</v>
      </c>
      <c r="I194" s="108">
        <v>6.9288865887141352E-2</v>
      </c>
    </row>
    <row r="195" spans="1:9" x14ac:dyDescent="0.3">
      <c r="A195" s="35" t="s">
        <v>194</v>
      </c>
      <c r="B195" t="s">
        <v>104</v>
      </c>
      <c r="C195" s="106">
        <v>2</v>
      </c>
      <c r="D195" s="56">
        <v>45895</v>
      </c>
      <c r="E195" s="38">
        <v>4812</v>
      </c>
      <c r="F195" s="38">
        <v>4561</v>
      </c>
      <c r="G195" s="38">
        <v>251</v>
      </c>
      <c r="H195" s="38">
        <v>566.96</v>
      </c>
      <c r="I195" s="108">
        <v>5.5031791273843458E-2</v>
      </c>
    </row>
    <row r="196" spans="1:9" x14ac:dyDescent="0.3">
      <c r="A196" s="35" t="s">
        <v>194</v>
      </c>
      <c r="B196" t="s">
        <v>104</v>
      </c>
      <c r="C196" s="106">
        <v>3</v>
      </c>
      <c r="D196" s="56">
        <v>45902</v>
      </c>
      <c r="E196" s="38">
        <v>4800</v>
      </c>
      <c r="F196" s="38">
        <v>4560</v>
      </c>
      <c r="G196" s="38">
        <v>240</v>
      </c>
      <c r="H196" s="38">
        <v>806.96</v>
      </c>
      <c r="I196" s="108">
        <v>5.2631578947368418E-2</v>
      </c>
    </row>
    <row r="197" spans="1:9" x14ac:dyDescent="0.3">
      <c r="A197" s="35" t="s">
        <v>194</v>
      </c>
      <c r="B197" t="s">
        <v>104</v>
      </c>
      <c r="C197" s="106">
        <v>4</v>
      </c>
      <c r="D197" s="56">
        <v>45909</v>
      </c>
      <c r="E197" s="38">
        <v>4800</v>
      </c>
      <c r="F197" s="38">
        <v>4560</v>
      </c>
      <c r="G197" s="38">
        <v>240</v>
      </c>
      <c r="H197" s="38">
        <v>1046.96</v>
      </c>
      <c r="I197" s="108">
        <v>5.2631578947368418E-2</v>
      </c>
    </row>
    <row r="198" spans="1:9" x14ac:dyDescent="0.3">
      <c r="A198" s="35" t="s">
        <v>194</v>
      </c>
      <c r="B198" t="s">
        <v>104</v>
      </c>
      <c r="C198" s="106">
        <v>5</v>
      </c>
      <c r="D198" s="56">
        <v>45916</v>
      </c>
      <c r="E198" s="38">
        <v>4800</v>
      </c>
      <c r="F198" s="38">
        <v>4560</v>
      </c>
      <c r="G198" s="38">
        <v>240</v>
      </c>
      <c r="H198" s="38">
        <v>1286.96</v>
      </c>
      <c r="I198" s="108">
        <v>5.2631578947368418E-2</v>
      </c>
    </row>
    <row r="199" spans="1:9" x14ac:dyDescent="0.3">
      <c r="A199" s="35" t="s">
        <v>194</v>
      </c>
      <c r="B199" t="s">
        <v>104</v>
      </c>
      <c r="C199" s="106">
        <v>6</v>
      </c>
      <c r="D199" s="56">
        <v>45923</v>
      </c>
      <c r="E199" s="38">
        <v>4800</v>
      </c>
      <c r="F199" s="38">
        <v>4560</v>
      </c>
      <c r="G199" s="38">
        <v>240</v>
      </c>
      <c r="H199" s="38">
        <v>1526.96</v>
      </c>
      <c r="I199" s="108">
        <v>5.2631578947368418E-2</v>
      </c>
    </row>
    <row r="200" spans="1:9" x14ac:dyDescent="0.3">
      <c r="A200" s="35" t="s">
        <v>194</v>
      </c>
      <c r="B200" t="s">
        <v>104</v>
      </c>
      <c r="C200" s="106">
        <v>7</v>
      </c>
      <c r="D200" s="56">
        <v>45930</v>
      </c>
      <c r="E200" s="38">
        <v>4800</v>
      </c>
      <c r="F200" s="38">
        <v>4561</v>
      </c>
      <c r="G200" s="38">
        <v>239</v>
      </c>
      <c r="H200" s="38">
        <v>1765.96</v>
      </c>
      <c r="I200" s="108">
        <v>5.2400789300591978E-2</v>
      </c>
    </row>
    <row r="201" spans="1:9" x14ac:dyDescent="0.3">
      <c r="A201" s="35" t="s">
        <v>194</v>
      </c>
      <c r="B201" t="s">
        <v>104</v>
      </c>
      <c r="C201" s="106">
        <v>8</v>
      </c>
      <c r="D201" s="56">
        <v>45937</v>
      </c>
      <c r="E201" s="38">
        <v>4800</v>
      </c>
      <c r="F201" s="38">
        <v>4561</v>
      </c>
      <c r="G201" s="38">
        <v>239</v>
      </c>
      <c r="H201" s="38">
        <v>2004.96</v>
      </c>
      <c r="I201" s="108">
        <v>5.2400789300591978E-2</v>
      </c>
    </row>
    <row r="202" spans="1:9" x14ac:dyDescent="0.3">
      <c r="A202" s="35" t="s">
        <v>194</v>
      </c>
      <c r="B202" t="s">
        <v>104</v>
      </c>
      <c r="C202" s="106">
        <v>9</v>
      </c>
      <c r="D202" s="56">
        <v>45944</v>
      </c>
      <c r="E202" s="38">
        <v>4800</v>
      </c>
      <c r="F202" s="38">
        <v>4560</v>
      </c>
      <c r="G202" s="38">
        <v>240</v>
      </c>
      <c r="H202" s="38">
        <v>2244.96</v>
      </c>
      <c r="I202" s="108">
        <v>5.2631578947368418E-2</v>
      </c>
    </row>
    <row r="203" spans="1:9" x14ac:dyDescent="0.3">
      <c r="A203" s="35" t="s">
        <v>194</v>
      </c>
      <c r="B203" t="s">
        <v>104</v>
      </c>
      <c r="C203" s="106">
        <v>10</v>
      </c>
      <c r="D203" s="56">
        <v>45951</v>
      </c>
      <c r="E203" s="38">
        <v>4800</v>
      </c>
      <c r="F203" s="38">
        <v>4560</v>
      </c>
      <c r="G203" s="38">
        <v>240</v>
      </c>
      <c r="H203" s="38">
        <v>2484.96</v>
      </c>
      <c r="I203" s="108">
        <v>5.2631578947368418E-2</v>
      </c>
    </row>
    <row r="204" spans="1:9" x14ac:dyDescent="0.3">
      <c r="A204" s="35" t="s">
        <v>194</v>
      </c>
      <c r="B204" t="s">
        <v>104</v>
      </c>
      <c r="C204" s="106">
        <v>11</v>
      </c>
      <c r="D204" s="56">
        <v>45958</v>
      </c>
      <c r="E204" s="38">
        <v>4800</v>
      </c>
      <c r="F204" s="38">
        <v>4560</v>
      </c>
      <c r="G204" s="38">
        <v>240</v>
      </c>
      <c r="H204" s="38">
        <v>2724.96</v>
      </c>
      <c r="I204" s="108">
        <v>5.2631578947368418E-2</v>
      </c>
    </row>
    <row r="205" spans="1:9" x14ac:dyDescent="0.3">
      <c r="A205" s="35" t="s">
        <v>194</v>
      </c>
      <c r="B205" t="s">
        <v>104</v>
      </c>
      <c r="C205" s="106">
        <v>12</v>
      </c>
      <c r="E205" s="38"/>
      <c r="F205" s="38"/>
      <c r="G205" s="38">
        <v>0</v>
      </c>
      <c r="H205" s="38">
        <v>2724.96</v>
      </c>
      <c r="I205" s="108" t="e">
        <v>#DIV/0!</v>
      </c>
    </row>
    <row r="206" spans="1:9" x14ac:dyDescent="0.3">
      <c r="A206" s="35" t="s">
        <v>194</v>
      </c>
      <c r="B206" t="s">
        <v>104</v>
      </c>
      <c r="C206" s="106">
        <v>13</v>
      </c>
      <c r="E206" s="38"/>
      <c r="F206" s="38"/>
      <c r="G206" s="38">
        <v>0</v>
      </c>
      <c r="H206" s="38">
        <v>2724.96</v>
      </c>
      <c r="I206" s="108" t="e">
        <v>#DIV/0!</v>
      </c>
    </row>
    <row r="207" spans="1:9" x14ac:dyDescent="0.3">
      <c r="A207" s="35" t="s">
        <v>194</v>
      </c>
      <c r="B207" t="s">
        <v>104</v>
      </c>
      <c r="C207" s="106">
        <v>14</v>
      </c>
      <c r="E207" s="38"/>
      <c r="F207" s="38"/>
      <c r="G207" s="38">
        <v>0</v>
      </c>
      <c r="H207" s="38">
        <v>2724.96</v>
      </c>
      <c r="I207" s="108" t="e">
        <v>#DIV/0!</v>
      </c>
    </row>
    <row r="208" spans="1:9" x14ac:dyDescent="0.3">
      <c r="A208" s="35" t="s">
        <v>194</v>
      </c>
      <c r="B208" t="s">
        <v>104</v>
      </c>
      <c r="C208" s="106">
        <v>15</v>
      </c>
      <c r="E208" s="38"/>
      <c r="F208" s="38"/>
      <c r="G208" s="38">
        <v>0</v>
      </c>
      <c r="H208" s="38">
        <v>2724.96</v>
      </c>
      <c r="I208" s="108" t="e">
        <v>#DIV/0!</v>
      </c>
    </row>
    <row r="209" spans="1:9" ht="15" thickBot="1" x14ac:dyDescent="0.35">
      <c r="A209" s="109" t="s">
        <v>194</v>
      </c>
      <c r="B209" s="110" t="s">
        <v>104</v>
      </c>
      <c r="C209" s="114">
        <v>16</v>
      </c>
      <c r="D209" s="110"/>
      <c r="E209" s="115"/>
      <c r="F209" s="115"/>
      <c r="G209" s="115">
        <v>0</v>
      </c>
      <c r="H209" s="115">
        <v>2724.96</v>
      </c>
      <c r="I209" s="110"/>
    </row>
    <row r="210" spans="1:9" x14ac:dyDescent="0.3">
      <c r="A210" s="35" t="s">
        <v>195</v>
      </c>
      <c r="B210" t="s">
        <v>181</v>
      </c>
      <c r="C210" s="106">
        <v>1</v>
      </c>
      <c r="D210" s="56">
        <v>45887</v>
      </c>
      <c r="E210" s="38">
        <v>8228.07</v>
      </c>
      <c r="F210" s="38">
        <v>7828.07</v>
      </c>
      <c r="G210" s="38">
        <v>400</v>
      </c>
      <c r="H210" s="38">
        <v>400</v>
      </c>
      <c r="I210" s="108">
        <v>5.1098163404261841E-2</v>
      </c>
    </row>
    <row r="211" spans="1:9" x14ac:dyDescent="0.3">
      <c r="A211" s="35" t="s">
        <v>195</v>
      </c>
      <c r="B211" t="s">
        <v>181</v>
      </c>
      <c r="C211" s="106">
        <v>2</v>
      </c>
      <c r="D211" s="56">
        <v>45894</v>
      </c>
      <c r="E211" s="38">
        <v>8230</v>
      </c>
      <c r="F211" s="38">
        <v>7828.07</v>
      </c>
      <c r="G211" s="38">
        <v>401.93000000000029</v>
      </c>
      <c r="H211" s="38">
        <v>801.93000000000029</v>
      </c>
      <c r="I211" s="108">
        <v>5.1344712042687445E-2</v>
      </c>
    </row>
    <row r="212" spans="1:9" x14ac:dyDescent="0.3">
      <c r="A212" s="35" t="s">
        <v>195</v>
      </c>
      <c r="B212" t="s">
        <v>181</v>
      </c>
      <c r="C212" s="106">
        <v>3</v>
      </c>
      <c r="D212" s="56">
        <v>45908</v>
      </c>
      <c r="E212" s="38">
        <v>8235</v>
      </c>
      <c r="F212" s="38">
        <v>7829</v>
      </c>
      <c r="G212" s="38">
        <v>406</v>
      </c>
      <c r="H212" s="38">
        <v>1207.9300000000003</v>
      </c>
      <c r="I212" s="108">
        <v>5.1858474901009068E-2</v>
      </c>
    </row>
    <row r="213" spans="1:9" x14ac:dyDescent="0.3">
      <c r="A213" s="35" t="s">
        <v>195</v>
      </c>
      <c r="B213" t="s">
        <v>181</v>
      </c>
      <c r="C213" s="106">
        <v>4</v>
      </c>
      <c r="D213" s="56">
        <v>45915</v>
      </c>
      <c r="E213" s="38">
        <v>8235</v>
      </c>
      <c r="F213" s="38">
        <v>7828</v>
      </c>
      <c r="G213" s="38">
        <v>407</v>
      </c>
      <c r="H213" s="38">
        <v>1614.9300000000003</v>
      </c>
      <c r="I213" s="108">
        <v>5.1992846193152788E-2</v>
      </c>
    </row>
    <row r="214" spans="1:9" x14ac:dyDescent="0.3">
      <c r="A214" s="35" t="s">
        <v>195</v>
      </c>
      <c r="B214" t="s">
        <v>181</v>
      </c>
      <c r="C214" s="106">
        <v>5</v>
      </c>
      <c r="D214" s="56">
        <v>45929</v>
      </c>
      <c r="E214" s="38">
        <v>7919</v>
      </c>
      <c r="F214" s="38">
        <v>7828</v>
      </c>
      <c r="G214" s="38">
        <v>91</v>
      </c>
      <c r="H214" s="38">
        <v>1705.9300000000003</v>
      </c>
      <c r="I214" s="108">
        <v>1.1624936126724578E-2</v>
      </c>
    </row>
    <row r="215" spans="1:9" x14ac:dyDescent="0.3">
      <c r="A215" s="35" t="s">
        <v>195</v>
      </c>
      <c r="B215" t="s">
        <v>181</v>
      </c>
      <c r="C215" s="106">
        <v>6</v>
      </c>
      <c r="D215" s="56">
        <v>45936</v>
      </c>
      <c r="E215" s="38">
        <v>8150</v>
      </c>
      <c r="F215" s="38">
        <v>7829</v>
      </c>
      <c r="G215" s="38">
        <v>321</v>
      </c>
      <c r="H215" s="38">
        <v>2026.9300000000003</v>
      </c>
      <c r="I215" s="108">
        <v>4.1001405032571207E-2</v>
      </c>
    </row>
    <row r="216" spans="1:9" x14ac:dyDescent="0.3">
      <c r="A216" s="35" t="s">
        <v>195</v>
      </c>
      <c r="B216" t="s">
        <v>181</v>
      </c>
      <c r="C216" s="106">
        <v>7</v>
      </c>
      <c r="D216" s="56">
        <v>45944</v>
      </c>
      <c r="E216" s="38">
        <v>7910</v>
      </c>
      <c r="F216" s="38">
        <v>7910</v>
      </c>
      <c r="G216" s="38">
        <v>0</v>
      </c>
      <c r="H216" s="38">
        <v>2026.9300000000003</v>
      </c>
      <c r="I216" s="108">
        <v>0</v>
      </c>
    </row>
    <row r="217" spans="1:9" x14ac:dyDescent="0.3">
      <c r="A217" s="35" t="s">
        <v>195</v>
      </c>
      <c r="B217" t="s">
        <v>181</v>
      </c>
      <c r="C217" s="106">
        <v>8</v>
      </c>
      <c r="D217" s="56">
        <v>45950</v>
      </c>
      <c r="E217" s="38">
        <v>8050</v>
      </c>
      <c r="F217" s="38">
        <v>7830</v>
      </c>
      <c r="G217" s="38">
        <v>220</v>
      </c>
      <c r="H217" s="38">
        <v>2246.9300000000003</v>
      </c>
      <c r="I217" s="108">
        <v>2.8097062579821201E-2</v>
      </c>
    </row>
    <row r="218" spans="1:9" x14ac:dyDescent="0.3">
      <c r="A218" s="35" t="s">
        <v>195</v>
      </c>
      <c r="B218" t="s">
        <v>181</v>
      </c>
      <c r="C218" s="106">
        <v>9</v>
      </c>
      <c r="D218" s="56">
        <v>45957</v>
      </c>
      <c r="E218" s="38">
        <v>8193</v>
      </c>
      <c r="F218" s="38">
        <v>7828</v>
      </c>
      <c r="G218" s="38">
        <v>365</v>
      </c>
      <c r="H218" s="38">
        <v>2611.9300000000003</v>
      </c>
      <c r="I218" s="108">
        <v>4.6627491057741444E-2</v>
      </c>
    </row>
    <row r="219" spans="1:9" x14ac:dyDescent="0.3">
      <c r="A219" s="35" t="s">
        <v>195</v>
      </c>
      <c r="B219" t="s">
        <v>181</v>
      </c>
      <c r="C219" s="106">
        <v>10</v>
      </c>
      <c r="E219" s="38"/>
      <c r="F219" s="38"/>
      <c r="G219" s="38">
        <v>0</v>
      </c>
      <c r="H219" s="38">
        <v>2611.9300000000003</v>
      </c>
      <c r="I219" s="108" t="e">
        <v>#DIV/0!</v>
      </c>
    </row>
    <row r="220" spans="1:9" x14ac:dyDescent="0.3">
      <c r="A220" s="35" t="s">
        <v>195</v>
      </c>
      <c r="B220" t="s">
        <v>181</v>
      </c>
      <c r="C220" s="106">
        <v>11</v>
      </c>
      <c r="E220" s="38"/>
      <c r="F220" s="38"/>
      <c r="G220" s="38">
        <v>0</v>
      </c>
      <c r="H220" s="38">
        <v>2611.9300000000003</v>
      </c>
      <c r="I220" s="108" t="e">
        <v>#DIV/0!</v>
      </c>
    </row>
    <row r="221" spans="1:9" x14ac:dyDescent="0.3">
      <c r="A221" s="35" t="s">
        <v>195</v>
      </c>
      <c r="B221" t="s">
        <v>181</v>
      </c>
      <c r="C221" s="106">
        <v>12</v>
      </c>
      <c r="E221" s="38"/>
      <c r="F221" s="38"/>
      <c r="G221" s="38">
        <v>0</v>
      </c>
      <c r="H221" s="38">
        <v>2611.9300000000003</v>
      </c>
      <c r="I221" s="108" t="e">
        <v>#DIV/0!</v>
      </c>
    </row>
    <row r="222" spans="1:9" x14ac:dyDescent="0.3">
      <c r="A222" s="35" t="s">
        <v>195</v>
      </c>
      <c r="B222" t="s">
        <v>181</v>
      </c>
      <c r="C222" s="106">
        <v>13</v>
      </c>
      <c r="E222" s="38"/>
      <c r="F222" s="38"/>
      <c r="G222" s="38">
        <v>0</v>
      </c>
      <c r="H222" s="38">
        <v>2611.9300000000003</v>
      </c>
      <c r="I222" s="108" t="e">
        <v>#DIV/0!</v>
      </c>
    </row>
    <row r="223" spans="1:9" x14ac:dyDescent="0.3">
      <c r="A223" s="35" t="s">
        <v>195</v>
      </c>
      <c r="B223" t="s">
        <v>181</v>
      </c>
      <c r="C223" s="106">
        <v>14</v>
      </c>
      <c r="E223" s="38"/>
      <c r="F223" s="38"/>
      <c r="G223" s="38">
        <v>0</v>
      </c>
      <c r="H223" s="38">
        <v>2611.9300000000003</v>
      </c>
      <c r="I223" s="108" t="e">
        <v>#DIV/0!</v>
      </c>
    </row>
    <row r="224" spans="1:9" x14ac:dyDescent="0.3">
      <c r="A224" s="35" t="s">
        <v>195</v>
      </c>
      <c r="B224" t="s">
        <v>181</v>
      </c>
      <c r="C224" s="106">
        <v>15</v>
      </c>
      <c r="E224" s="38"/>
      <c r="F224" s="38"/>
      <c r="G224" s="38">
        <v>0</v>
      </c>
      <c r="H224" s="38">
        <v>2611.9300000000003</v>
      </c>
      <c r="I224" s="108" t="e">
        <v>#DIV/0!</v>
      </c>
    </row>
    <row r="225" spans="1:9" ht="15" thickBot="1" x14ac:dyDescent="0.35">
      <c r="A225" s="109" t="s">
        <v>195</v>
      </c>
      <c r="B225" s="110" t="s">
        <v>181</v>
      </c>
      <c r="C225" s="114">
        <v>16</v>
      </c>
      <c r="D225" s="110"/>
      <c r="E225" s="115"/>
      <c r="F225" s="115"/>
      <c r="G225" s="115">
        <v>0</v>
      </c>
      <c r="H225" s="115">
        <v>2611.9300000000003</v>
      </c>
      <c r="I225" s="110"/>
    </row>
    <row r="226" spans="1:9" x14ac:dyDescent="0.3">
      <c r="A226" s="35" t="s">
        <v>389</v>
      </c>
      <c r="B226" t="s">
        <v>182</v>
      </c>
      <c r="C226" s="106">
        <v>1</v>
      </c>
      <c r="D226" s="56">
        <v>45892</v>
      </c>
      <c r="E226" s="38">
        <v>5706</v>
      </c>
      <c r="F226" s="38">
        <v>5396.05</v>
      </c>
      <c r="G226" s="38">
        <v>309.94999999999982</v>
      </c>
      <c r="H226" s="38">
        <v>309.94999999999982</v>
      </c>
      <c r="I226" s="108">
        <v>5.7440164564820526E-2</v>
      </c>
    </row>
    <row r="227" spans="1:9" x14ac:dyDescent="0.3">
      <c r="A227" s="35" t="s">
        <v>389</v>
      </c>
      <c r="B227" t="s">
        <v>182</v>
      </c>
      <c r="C227" s="106">
        <v>2</v>
      </c>
      <c r="D227" s="56">
        <v>45899</v>
      </c>
      <c r="E227" s="38">
        <v>5706</v>
      </c>
      <c r="F227" s="38">
        <v>5396</v>
      </c>
      <c r="G227" s="38">
        <v>310</v>
      </c>
      <c r="H227" s="38">
        <v>619.94999999999982</v>
      </c>
      <c r="I227" s="108">
        <v>5.7449962935507783E-2</v>
      </c>
    </row>
    <row r="228" spans="1:9" x14ac:dyDescent="0.3">
      <c r="A228" s="35" t="s">
        <v>389</v>
      </c>
      <c r="B228" t="s">
        <v>182</v>
      </c>
      <c r="C228" s="106">
        <v>3</v>
      </c>
      <c r="D228" s="56">
        <v>45906</v>
      </c>
      <c r="E228" s="38">
        <v>5706</v>
      </c>
      <c r="F228" s="38">
        <v>5396</v>
      </c>
      <c r="G228" s="38">
        <v>310</v>
      </c>
      <c r="H228" s="38">
        <v>929.94999999999982</v>
      </c>
      <c r="I228" s="108">
        <v>5.7449962935507783E-2</v>
      </c>
    </row>
    <row r="229" spans="1:9" x14ac:dyDescent="0.3">
      <c r="A229" s="35" t="s">
        <v>389</v>
      </c>
      <c r="B229" t="s">
        <v>182</v>
      </c>
      <c r="C229" s="106">
        <v>4</v>
      </c>
      <c r="D229" s="56">
        <v>45913</v>
      </c>
      <c r="E229" s="38">
        <v>5706</v>
      </c>
      <c r="F229" s="38">
        <v>5396</v>
      </c>
      <c r="G229" s="38">
        <v>310</v>
      </c>
      <c r="H229" s="38">
        <v>1239.9499999999998</v>
      </c>
      <c r="I229" s="108">
        <v>5.7449962935507783E-2</v>
      </c>
    </row>
    <row r="230" spans="1:9" x14ac:dyDescent="0.3">
      <c r="A230" s="35" t="s">
        <v>389</v>
      </c>
      <c r="B230" t="s">
        <v>182</v>
      </c>
      <c r="C230" s="106">
        <v>5</v>
      </c>
      <c r="D230" s="56">
        <v>45920</v>
      </c>
      <c r="E230" s="38">
        <v>5706</v>
      </c>
      <c r="F230" s="38">
        <v>5396</v>
      </c>
      <c r="G230" s="38">
        <v>310</v>
      </c>
      <c r="H230" s="38">
        <v>1549.9499999999998</v>
      </c>
      <c r="I230" s="108">
        <v>5.7449962935507783E-2</v>
      </c>
    </row>
    <row r="231" spans="1:9" x14ac:dyDescent="0.3">
      <c r="A231" s="35" t="s">
        <v>389</v>
      </c>
      <c r="B231" t="s">
        <v>182</v>
      </c>
      <c r="C231" s="106">
        <v>6</v>
      </c>
      <c r="D231" s="56">
        <v>45927</v>
      </c>
      <c r="E231" s="38">
        <v>5706</v>
      </c>
      <c r="F231" s="38">
        <v>5396</v>
      </c>
      <c r="G231" s="38">
        <v>310</v>
      </c>
      <c r="H231" s="38">
        <v>1859.9499999999998</v>
      </c>
      <c r="I231" s="108">
        <v>5.7449962935507783E-2</v>
      </c>
    </row>
    <row r="232" spans="1:9" x14ac:dyDescent="0.3">
      <c r="A232" s="35" t="s">
        <v>389</v>
      </c>
      <c r="B232" t="s">
        <v>182</v>
      </c>
      <c r="C232" s="106">
        <v>7</v>
      </c>
      <c r="D232" s="56">
        <v>45934</v>
      </c>
      <c r="E232" s="38">
        <v>5706</v>
      </c>
      <c r="F232" s="38">
        <v>5396</v>
      </c>
      <c r="G232" s="38">
        <v>310</v>
      </c>
      <c r="H232" s="38">
        <v>2169.9499999999998</v>
      </c>
      <c r="I232" s="108">
        <v>5.7449962935507783E-2</v>
      </c>
    </row>
    <row r="233" spans="1:9" x14ac:dyDescent="0.3">
      <c r="A233" s="35" t="s">
        <v>389</v>
      </c>
      <c r="B233" t="s">
        <v>182</v>
      </c>
      <c r="C233" s="106">
        <v>8</v>
      </c>
      <c r="D233" s="56">
        <v>45942</v>
      </c>
      <c r="E233" s="38">
        <v>5706</v>
      </c>
      <c r="F233" s="38">
        <v>5396</v>
      </c>
      <c r="G233" s="38">
        <v>310</v>
      </c>
      <c r="H233" s="38">
        <v>2479.9499999999998</v>
      </c>
      <c r="I233" s="108">
        <v>5.7449962935507783E-2</v>
      </c>
    </row>
    <row r="234" spans="1:9" x14ac:dyDescent="0.3">
      <c r="A234" s="35" t="s">
        <v>389</v>
      </c>
      <c r="B234" t="s">
        <v>182</v>
      </c>
      <c r="C234" s="106">
        <v>9</v>
      </c>
      <c r="D234" s="56">
        <v>45948</v>
      </c>
      <c r="E234" s="38">
        <v>5706</v>
      </c>
      <c r="F234" s="38">
        <v>5396</v>
      </c>
      <c r="G234" s="38">
        <v>310</v>
      </c>
      <c r="H234" s="38">
        <v>2789.95</v>
      </c>
      <c r="I234" s="108">
        <v>5.7449962935507783E-2</v>
      </c>
    </row>
    <row r="235" spans="1:9" x14ac:dyDescent="0.3">
      <c r="A235" s="35" t="s">
        <v>389</v>
      </c>
      <c r="B235" t="s">
        <v>182</v>
      </c>
      <c r="C235" s="106">
        <v>10</v>
      </c>
      <c r="D235" s="56">
        <v>45955</v>
      </c>
      <c r="E235" s="38">
        <v>5706</v>
      </c>
      <c r="F235" s="38">
        <v>5396</v>
      </c>
      <c r="G235" s="38">
        <v>310</v>
      </c>
      <c r="H235" s="38">
        <v>3099.95</v>
      </c>
      <c r="I235" s="108">
        <v>5.7449962935507783E-2</v>
      </c>
    </row>
    <row r="236" spans="1:9" x14ac:dyDescent="0.3">
      <c r="A236" s="35" t="s">
        <v>389</v>
      </c>
      <c r="B236" t="s">
        <v>182</v>
      </c>
      <c r="C236" s="106">
        <v>11</v>
      </c>
      <c r="E236" s="38"/>
      <c r="F236" s="38"/>
      <c r="G236" s="38">
        <v>0</v>
      </c>
      <c r="H236" s="38">
        <v>3099.95</v>
      </c>
      <c r="I236" s="108" t="e">
        <v>#DIV/0!</v>
      </c>
    </row>
    <row r="237" spans="1:9" x14ac:dyDescent="0.3">
      <c r="A237" s="35" t="s">
        <v>389</v>
      </c>
      <c r="B237" t="s">
        <v>182</v>
      </c>
      <c r="C237" s="106">
        <v>12</v>
      </c>
      <c r="E237" s="38"/>
      <c r="F237" s="38"/>
      <c r="G237" s="38">
        <v>0</v>
      </c>
      <c r="H237" s="38">
        <v>3099.95</v>
      </c>
      <c r="I237" s="108" t="e">
        <v>#DIV/0!</v>
      </c>
    </row>
    <row r="238" spans="1:9" x14ac:dyDescent="0.3">
      <c r="A238" s="35" t="s">
        <v>389</v>
      </c>
      <c r="B238" t="s">
        <v>182</v>
      </c>
      <c r="C238" s="106">
        <v>13</v>
      </c>
      <c r="E238" s="38"/>
      <c r="F238" s="38"/>
      <c r="G238" s="38">
        <v>0</v>
      </c>
      <c r="H238" s="38">
        <v>3099.95</v>
      </c>
      <c r="I238" s="108" t="e">
        <v>#DIV/0!</v>
      </c>
    </row>
    <row r="239" spans="1:9" x14ac:dyDescent="0.3">
      <c r="A239" s="35" t="s">
        <v>389</v>
      </c>
      <c r="B239" t="s">
        <v>182</v>
      </c>
      <c r="C239" s="106">
        <v>14</v>
      </c>
      <c r="E239" s="38"/>
      <c r="F239" s="38"/>
      <c r="G239" s="38">
        <v>0</v>
      </c>
      <c r="H239" s="38">
        <v>3099.95</v>
      </c>
      <c r="I239" s="108" t="e">
        <v>#DIV/0!</v>
      </c>
    </row>
    <row r="240" spans="1:9" x14ac:dyDescent="0.3">
      <c r="A240" s="35" t="s">
        <v>389</v>
      </c>
      <c r="B240" t="s">
        <v>182</v>
      </c>
      <c r="C240" s="106">
        <v>15</v>
      </c>
      <c r="E240" s="38"/>
      <c r="F240" s="38"/>
      <c r="G240" s="38">
        <v>0</v>
      </c>
      <c r="H240" s="38">
        <v>3099.95</v>
      </c>
      <c r="I240" s="108" t="e">
        <v>#DIV/0!</v>
      </c>
    </row>
    <row r="241" spans="1:9" ht="15" thickBot="1" x14ac:dyDescent="0.35">
      <c r="A241" s="109" t="s">
        <v>389</v>
      </c>
      <c r="B241" s="110" t="s">
        <v>182</v>
      </c>
      <c r="C241" s="114">
        <v>16</v>
      </c>
      <c r="D241" s="110"/>
      <c r="E241" s="115"/>
      <c r="F241" s="115"/>
      <c r="G241" s="115">
        <v>0</v>
      </c>
      <c r="H241" s="115">
        <v>3099.95</v>
      </c>
      <c r="I241" s="110"/>
    </row>
    <row r="242" spans="1:9" x14ac:dyDescent="0.3">
      <c r="A242" s="35" t="s">
        <v>1097</v>
      </c>
      <c r="B242" t="s">
        <v>391</v>
      </c>
      <c r="C242" s="106">
        <v>1</v>
      </c>
      <c r="D242" s="56">
        <v>45902</v>
      </c>
      <c r="E242" s="38">
        <v>11940</v>
      </c>
      <c r="F242" s="38">
        <v>11401</v>
      </c>
      <c r="G242" s="38">
        <v>539</v>
      </c>
      <c r="H242" s="38">
        <v>539</v>
      </c>
      <c r="I242" s="108">
        <v>4.727655468818525E-2</v>
      </c>
    </row>
    <row r="243" spans="1:9" x14ac:dyDescent="0.3">
      <c r="A243" s="35" t="s">
        <v>1097</v>
      </c>
      <c r="B243" t="s">
        <v>391</v>
      </c>
      <c r="C243" s="106">
        <v>2</v>
      </c>
      <c r="D243" s="56">
        <v>45909</v>
      </c>
      <c r="E243" s="38">
        <v>11891</v>
      </c>
      <c r="F243" s="38">
        <v>11401</v>
      </c>
      <c r="G243" s="38">
        <v>490</v>
      </c>
      <c r="H243" s="38">
        <v>1029</v>
      </c>
      <c r="I243" s="108">
        <v>4.2978686080168409E-2</v>
      </c>
    </row>
    <row r="244" spans="1:9" x14ac:dyDescent="0.3">
      <c r="A244" s="35" t="s">
        <v>1097</v>
      </c>
      <c r="B244" t="s">
        <v>391</v>
      </c>
      <c r="C244" s="106">
        <v>3</v>
      </c>
      <c r="D244" s="56">
        <v>45916</v>
      </c>
      <c r="E244" s="38">
        <v>12060</v>
      </c>
      <c r="F244" s="38">
        <v>11401</v>
      </c>
      <c r="G244" s="38">
        <v>659</v>
      </c>
      <c r="H244" s="38">
        <v>1688</v>
      </c>
      <c r="I244" s="108">
        <v>5.7801947197614244E-2</v>
      </c>
    </row>
    <row r="245" spans="1:9" x14ac:dyDescent="0.3">
      <c r="A245" s="35" t="s">
        <v>1097</v>
      </c>
      <c r="B245" t="s">
        <v>391</v>
      </c>
      <c r="C245" s="106">
        <v>4</v>
      </c>
      <c r="D245" s="56">
        <v>45923</v>
      </c>
      <c r="E245" s="38">
        <v>11847</v>
      </c>
      <c r="F245" s="38">
        <v>11401</v>
      </c>
      <c r="G245" s="38">
        <v>446</v>
      </c>
      <c r="H245" s="38">
        <v>2134</v>
      </c>
      <c r="I245" s="108">
        <v>3.9119375493377774E-2</v>
      </c>
    </row>
    <row r="246" spans="1:9" x14ac:dyDescent="0.3">
      <c r="A246" s="35" t="s">
        <v>1097</v>
      </c>
      <c r="B246" t="s">
        <v>391</v>
      </c>
      <c r="C246" s="106">
        <v>5</v>
      </c>
      <c r="D246" s="56">
        <v>45930</v>
      </c>
      <c r="E246" s="38">
        <v>11917</v>
      </c>
      <c r="F246" s="38">
        <v>11401</v>
      </c>
      <c r="G246" s="38">
        <v>516</v>
      </c>
      <c r="H246" s="38">
        <v>2650</v>
      </c>
      <c r="I246" s="108">
        <v>4.5259187790544692E-2</v>
      </c>
    </row>
    <row r="247" spans="1:9" x14ac:dyDescent="0.3">
      <c r="A247" s="35" t="s">
        <v>1097</v>
      </c>
      <c r="B247" t="s">
        <v>391</v>
      </c>
      <c r="C247" s="106">
        <v>6</v>
      </c>
      <c r="D247" s="56">
        <v>45937</v>
      </c>
      <c r="E247" s="38">
        <v>11857</v>
      </c>
      <c r="F247" s="38">
        <v>11401</v>
      </c>
      <c r="G247" s="38">
        <v>456</v>
      </c>
      <c r="H247" s="38">
        <v>3106</v>
      </c>
      <c r="I247" s="108">
        <v>3.9996491535830188E-2</v>
      </c>
    </row>
    <row r="248" spans="1:9" x14ac:dyDescent="0.3">
      <c r="A248" s="35" t="s">
        <v>1097</v>
      </c>
      <c r="B248" t="s">
        <v>391</v>
      </c>
      <c r="C248" s="106">
        <v>7</v>
      </c>
      <c r="D248" s="56">
        <v>45944</v>
      </c>
      <c r="E248" s="38">
        <v>11922</v>
      </c>
      <c r="F248" s="38">
        <v>11401</v>
      </c>
      <c r="G248" s="38">
        <v>521</v>
      </c>
      <c r="H248" s="38">
        <v>3627</v>
      </c>
      <c r="I248" s="108">
        <v>4.5697745811770898E-2</v>
      </c>
    </row>
    <row r="249" spans="1:9" x14ac:dyDescent="0.3">
      <c r="A249" s="35" t="s">
        <v>1097</v>
      </c>
      <c r="B249" t="s">
        <v>391</v>
      </c>
      <c r="C249" s="106">
        <v>8</v>
      </c>
      <c r="D249" s="56">
        <v>45951</v>
      </c>
      <c r="E249" s="38">
        <v>11956</v>
      </c>
      <c r="F249" s="38">
        <v>11401</v>
      </c>
      <c r="G249" s="38">
        <v>555</v>
      </c>
      <c r="H249" s="38">
        <v>4182</v>
      </c>
      <c r="I249" s="108">
        <v>4.8679940356109112E-2</v>
      </c>
    </row>
    <row r="250" spans="1:9" x14ac:dyDescent="0.3">
      <c r="A250" s="35" t="s">
        <v>1097</v>
      </c>
      <c r="B250" t="s">
        <v>391</v>
      </c>
      <c r="C250" s="106">
        <v>9</v>
      </c>
      <c r="D250" s="56">
        <v>45958</v>
      </c>
      <c r="E250" s="38">
        <v>11980</v>
      </c>
      <c r="F250" s="38">
        <v>11401</v>
      </c>
      <c r="G250" s="38">
        <v>579</v>
      </c>
      <c r="H250" s="38">
        <v>4761</v>
      </c>
      <c r="I250" s="108">
        <v>5.0785018857994912E-2</v>
      </c>
    </row>
    <row r="251" spans="1:9" x14ac:dyDescent="0.3">
      <c r="A251" s="35" t="s">
        <v>1097</v>
      </c>
      <c r="B251" t="s">
        <v>391</v>
      </c>
      <c r="C251" s="106">
        <v>10</v>
      </c>
      <c r="E251" s="38"/>
      <c r="F251" s="38"/>
      <c r="G251" s="38">
        <v>0</v>
      </c>
      <c r="H251" s="38">
        <v>4761</v>
      </c>
      <c r="I251" s="108" t="e">
        <v>#DIV/0!</v>
      </c>
    </row>
    <row r="252" spans="1:9" x14ac:dyDescent="0.3">
      <c r="A252" s="35" t="s">
        <v>1097</v>
      </c>
      <c r="B252" t="s">
        <v>391</v>
      </c>
      <c r="C252" s="106">
        <v>11</v>
      </c>
      <c r="E252" s="38"/>
      <c r="F252" s="38"/>
      <c r="G252" s="38">
        <v>0</v>
      </c>
      <c r="H252" s="38">
        <v>4761</v>
      </c>
      <c r="I252" s="108" t="e">
        <v>#DIV/0!</v>
      </c>
    </row>
    <row r="253" spans="1:9" x14ac:dyDescent="0.3">
      <c r="A253" s="35" t="s">
        <v>1097</v>
      </c>
      <c r="B253" t="s">
        <v>391</v>
      </c>
      <c r="C253" s="106">
        <v>12</v>
      </c>
      <c r="E253" s="38"/>
      <c r="F253" s="38"/>
      <c r="G253" s="38">
        <v>0</v>
      </c>
      <c r="H253" s="38">
        <v>4761</v>
      </c>
      <c r="I253" s="108" t="e">
        <v>#DIV/0!</v>
      </c>
    </row>
    <row r="254" spans="1:9" x14ac:dyDescent="0.3">
      <c r="A254" s="35" t="s">
        <v>1097</v>
      </c>
      <c r="B254" t="s">
        <v>391</v>
      </c>
      <c r="C254" s="106">
        <v>13</v>
      </c>
      <c r="E254" s="38"/>
      <c r="F254" s="38"/>
      <c r="G254" s="38">
        <v>0</v>
      </c>
      <c r="H254" s="38">
        <v>4761</v>
      </c>
      <c r="I254" s="108" t="e">
        <v>#DIV/0!</v>
      </c>
    </row>
    <row r="255" spans="1:9" x14ac:dyDescent="0.3">
      <c r="A255" s="35" t="s">
        <v>1097</v>
      </c>
      <c r="B255" t="s">
        <v>391</v>
      </c>
      <c r="C255" s="106">
        <v>14</v>
      </c>
      <c r="E255" s="38"/>
      <c r="F255" s="38"/>
      <c r="G255" s="38">
        <v>0</v>
      </c>
      <c r="H255" s="38">
        <v>4761</v>
      </c>
      <c r="I255" s="108" t="e">
        <v>#DIV/0!</v>
      </c>
    </row>
    <row r="256" spans="1:9" x14ac:dyDescent="0.3">
      <c r="A256" s="35" t="s">
        <v>1097</v>
      </c>
      <c r="B256" t="s">
        <v>391</v>
      </c>
      <c r="C256" s="106">
        <v>15</v>
      </c>
      <c r="E256" s="38"/>
      <c r="F256" s="38"/>
      <c r="G256" s="38">
        <v>0</v>
      </c>
      <c r="H256" s="38">
        <v>4761</v>
      </c>
      <c r="I256" s="108" t="e">
        <v>#DIV/0!</v>
      </c>
    </row>
    <row r="257" spans="1:9" ht="15" thickBot="1" x14ac:dyDescent="0.35">
      <c r="A257" s="109" t="s">
        <v>1097</v>
      </c>
      <c r="B257" s="110" t="s">
        <v>391</v>
      </c>
      <c r="C257" s="114">
        <v>16</v>
      </c>
      <c r="D257" s="110"/>
      <c r="E257" s="115"/>
      <c r="F257" s="115"/>
      <c r="G257" s="115">
        <v>0</v>
      </c>
      <c r="H257" s="115">
        <v>4761</v>
      </c>
      <c r="I257" s="110"/>
    </row>
    <row r="258" spans="1:9" x14ac:dyDescent="0.3">
      <c r="A258" s="35" t="s">
        <v>425</v>
      </c>
      <c r="B258" t="s">
        <v>394</v>
      </c>
      <c r="C258" s="106">
        <v>1</v>
      </c>
      <c r="D258" s="56">
        <v>45895</v>
      </c>
      <c r="E258" s="38">
        <v>14374</v>
      </c>
      <c r="F258" s="38">
        <v>13680.12</v>
      </c>
      <c r="G258" s="38">
        <v>693.8799999999992</v>
      </c>
      <c r="H258" s="38">
        <v>693.8799999999992</v>
      </c>
      <c r="I258" s="108">
        <v>5.0721777294351157E-2</v>
      </c>
    </row>
    <row r="259" spans="1:9" x14ac:dyDescent="0.3">
      <c r="A259" s="35" t="s">
        <v>425</v>
      </c>
      <c r="B259" t="s">
        <v>394</v>
      </c>
      <c r="C259" s="106">
        <v>2</v>
      </c>
      <c r="D259" s="56">
        <v>45902</v>
      </c>
      <c r="E259" s="38">
        <v>14374</v>
      </c>
      <c r="F259" s="38">
        <v>13680.12</v>
      </c>
      <c r="G259" s="38">
        <v>693.8799999999992</v>
      </c>
      <c r="H259" s="38">
        <v>1387.7599999999984</v>
      </c>
      <c r="I259" s="108">
        <v>5.0721777294351157E-2</v>
      </c>
    </row>
    <row r="260" spans="1:9" x14ac:dyDescent="0.3">
      <c r="A260" s="35" t="s">
        <v>425</v>
      </c>
      <c r="B260" t="s">
        <v>394</v>
      </c>
      <c r="C260" s="106">
        <v>3</v>
      </c>
      <c r="D260" s="56">
        <v>45909</v>
      </c>
      <c r="E260" s="38">
        <v>14374</v>
      </c>
      <c r="F260" s="38">
        <v>13680.12</v>
      </c>
      <c r="G260" s="38">
        <v>693.8799999999992</v>
      </c>
      <c r="H260" s="38">
        <v>2081.6399999999976</v>
      </c>
      <c r="I260" s="108">
        <v>5.0721777294351157E-2</v>
      </c>
    </row>
    <row r="261" spans="1:9" x14ac:dyDescent="0.3">
      <c r="A261" s="35" t="s">
        <v>425</v>
      </c>
      <c r="B261" t="s">
        <v>394</v>
      </c>
      <c r="C261" s="106">
        <v>4</v>
      </c>
      <c r="D261" s="56">
        <v>45914</v>
      </c>
      <c r="E261" s="38">
        <v>14374</v>
      </c>
      <c r="F261" s="38">
        <v>13680.12</v>
      </c>
      <c r="G261" s="38">
        <v>693.8799999999992</v>
      </c>
      <c r="H261" s="38">
        <v>2775.5199999999968</v>
      </c>
      <c r="I261" s="108">
        <v>5.0721777294351157E-2</v>
      </c>
    </row>
    <row r="262" spans="1:9" x14ac:dyDescent="0.3">
      <c r="A262" s="35" t="s">
        <v>425</v>
      </c>
      <c r="B262" t="s">
        <v>394</v>
      </c>
      <c r="C262" s="106">
        <v>5</v>
      </c>
      <c r="D262" s="56">
        <v>45923</v>
      </c>
      <c r="E262" s="38">
        <v>14374</v>
      </c>
      <c r="F262" s="38">
        <v>13680.12</v>
      </c>
      <c r="G262" s="38">
        <v>693.8799999999992</v>
      </c>
      <c r="H262" s="38">
        <v>3469.399999999996</v>
      </c>
      <c r="I262" s="108">
        <v>5.0721777294351157E-2</v>
      </c>
    </row>
    <row r="263" spans="1:9" x14ac:dyDescent="0.3">
      <c r="A263" s="35" t="s">
        <v>425</v>
      </c>
      <c r="B263" t="s">
        <v>394</v>
      </c>
      <c r="C263" s="106">
        <v>6</v>
      </c>
      <c r="D263" s="56">
        <v>45930</v>
      </c>
      <c r="E263" s="38">
        <v>14374</v>
      </c>
      <c r="F263" s="38">
        <v>13680.12</v>
      </c>
      <c r="G263" s="38">
        <v>693.8799999999992</v>
      </c>
      <c r="H263" s="38">
        <v>4163.2799999999952</v>
      </c>
      <c r="I263" s="108">
        <v>5.0721777294351157E-2</v>
      </c>
    </row>
    <row r="264" spans="1:9" x14ac:dyDescent="0.3">
      <c r="A264" s="35" t="s">
        <v>425</v>
      </c>
      <c r="B264" t="s">
        <v>394</v>
      </c>
      <c r="C264" s="106">
        <v>7</v>
      </c>
      <c r="D264" s="56">
        <v>45937</v>
      </c>
      <c r="E264" s="38">
        <v>14374</v>
      </c>
      <c r="F264" s="38">
        <v>13680.12</v>
      </c>
      <c r="G264" s="38">
        <v>693.8799999999992</v>
      </c>
      <c r="H264" s="38">
        <v>4857.1599999999944</v>
      </c>
      <c r="I264" s="108">
        <v>5.0721777294351157E-2</v>
      </c>
    </row>
    <row r="265" spans="1:9" x14ac:dyDescent="0.3">
      <c r="A265" s="35" t="s">
        <v>425</v>
      </c>
      <c r="B265" t="s">
        <v>394</v>
      </c>
      <c r="C265" s="106">
        <v>8</v>
      </c>
      <c r="D265" s="56">
        <v>45944</v>
      </c>
      <c r="E265" s="38">
        <v>14374</v>
      </c>
      <c r="F265" s="38">
        <v>13680.12</v>
      </c>
      <c r="G265" s="38">
        <v>693.8799999999992</v>
      </c>
      <c r="H265" s="38">
        <v>5551.0399999999936</v>
      </c>
      <c r="I265" s="108">
        <v>5.0721777294351157E-2</v>
      </c>
    </row>
    <row r="266" spans="1:9" x14ac:dyDescent="0.3">
      <c r="A266" s="35" t="s">
        <v>425</v>
      </c>
      <c r="B266" t="s">
        <v>394</v>
      </c>
      <c r="C266" s="106">
        <v>9</v>
      </c>
      <c r="D266" s="56">
        <v>45951</v>
      </c>
      <c r="E266" s="38">
        <v>14374</v>
      </c>
      <c r="F266" s="38">
        <v>13680.12</v>
      </c>
      <c r="G266" s="38">
        <v>693.8799999999992</v>
      </c>
      <c r="H266" s="38">
        <v>6244.9199999999928</v>
      </c>
      <c r="I266" s="108">
        <v>5.0721777294351157E-2</v>
      </c>
    </row>
    <row r="267" spans="1:9" x14ac:dyDescent="0.3">
      <c r="A267" s="35" t="s">
        <v>425</v>
      </c>
      <c r="B267" t="s">
        <v>394</v>
      </c>
      <c r="C267" s="106">
        <v>10</v>
      </c>
      <c r="D267" s="56">
        <v>45958</v>
      </c>
      <c r="E267" s="38">
        <v>14374</v>
      </c>
      <c r="F267" s="38">
        <v>13680.12</v>
      </c>
      <c r="G267" s="38">
        <v>693.8799999999992</v>
      </c>
      <c r="H267" s="38">
        <v>6938.799999999992</v>
      </c>
      <c r="I267" s="108">
        <v>5.0721777294351157E-2</v>
      </c>
    </row>
    <row r="268" spans="1:9" x14ac:dyDescent="0.3">
      <c r="A268" s="35" t="s">
        <v>425</v>
      </c>
      <c r="B268" t="s">
        <v>394</v>
      </c>
      <c r="C268" s="106">
        <v>11</v>
      </c>
      <c r="E268" s="38"/>
      <c r="F268" s="38"/>
      <c r="G268" s="38">
        <v>0</v>
      </c>
      <c r="H268" s="38">
        <v>6938.799999999992</v>
      </c>
      <c r="I268" s="108" t="e">
        <v>#DIV/0!</v>
      </c>
    </row>
    <row r="269" spans="1:9" x14ac:dyDescent="0.3">
      <c r="A269" s="35" t="s">
        <v>425</v>
      </c>
      <c r="B269" t="s">
        <v>394</v>
      </c>
      <c r="C269" s="106">
        <v>12</v>
      </c>
      <c r="E269" s="38"/>
      <c r="F269" s="38"/>
      <c r="G269" s="38">
        <v>0</v>
      </c>
      <c r="H269" s="38">
        <v>6938.799999999992</v>
      </c>
    </row>
    <row r="270" spans="1:9" x14ac:dyDescent="0.3">
      <c r="A270" s="35" t="s">
        <v>425</v>
      </c>
      <c r="B270" t="s">
        <v>394</v>
      </c>
      <c r="C270" s="106">
        <v>13</v>
      </c>
      <c r="E270" s="38"/>
      <c r="F270" s="38"/>
      <c r="G270" s="38">
        <v>0</v>
      </c>
      <c r="H270" s="38">
        <v>6938.799999999992</v>
      </c>
    </row>
    <row r="271" spans="1:9" x14ac:dyDescent="0.3">
      <c r="A271" s="35" t="s">
        <v>425</v>
      </c>
      <c r="B271" t="s">
        <v>394</v>
      </c>
      <c r="C271" s="106">
        <v>14</v>
      </c>
      <c r="E271" s="38"/>
      <c r="F271" s="38"/>
      <c r="G271" s="38">
        <v>0</v>
      </c>
      <c r="H271" s="38">
        <v>6938.799999999992</v>
      </c>
    </row>
    <row r="272" spans="1:9" x14ac:dyDescent="0.3">
      <c r="A272" s="35" t="s">
        <v>425</v>
      </c>
      <c r="B272" t="s">
        <v>394</v>
      </c>
      <c r="C272" s="106">
        <v>15</v>
      </c>
      <c r="E272" s="38"/>
      <c r="F272" s="38"/>
      <c r="G272" s="38">
        <v>0</v>
      </c>
      <c r="H272" s="38">
        <v>6938.799999999992</v>
      </c>
    </row>
    <row r="273" spans="1:9" ht="15" thickBot="1" x14ac:dyDescent="0.35">
      <c r="A273" s="109" t="s">
        <v>425</v>
      </c>
      <c r="B273" s="110" t="s">
        <v>394</v>
      </c>
      <c r="C273" s="114">
        <v>16</v>
      </c>
      <c r="D273" s="110"/>
      <c r="E273" s="115"/>
      <c r="F273" s="115"/>
      <c r="G273" s="115">
        <v>0</v>
      </c>
      <c r="H273" s="115">
        <v>6938.799999999992</v>
      </c>
      <c r="I273" s="112"/>
    </row>
    <row r="274" spans="1:9" x14ac:dyDescent="0.3">
      <c r="A274" s="35" t="s">
        <v>397</v>
      </c>
      <c r="B274" t="s">
        <v>187</v>
      </c>
      <c r="C274" s="106">
        <v>1</v>
      </c>
      <c r="D274" s="56">
        <v>45894</v>
      </c>
      <c r="E274" s="38">
        <v>10233</v>
      </c>
      <c r="F274" s="38">
        <v>9272.08</v>
      </c>
      <c r="G274" s="38">
        <v>960.92000000000007</v>
      </c>
      <c r="H274" s="38">
        <v>960.92000000000007</v>
      </c>
      <c r="I274" s="108">
        <v>0.10363586164053805</v>
      </c>
    </row>
    <row r="275" spans="1:9" x14ac:dyDescent="0.3">
      <c r="A275" s="35" t="s">
        <v>397</v>
      </c>
      <c r="B275" t="s">
        <v>187</v>
      </c>
      <c r="C275" s="106">
        <v>2</v>
      </c>
      <c r="D275" s="56">
        <v>45901</v>
      </c>
      <c r="E275" s="38">
        <v>10233</v>
      </c>
      <c r="F275" s="38">
        <v>9273</v>
      </c>
      <c r="G275" s="38">
        <v>960</v>
      </c>
      <c r="H275" s="38">
        <v>1920.92</v>
      </c>
      <c r="I275" s="108">
        <v>0.10352636687156259</v>
      </c>
    </row>
    <row r="276" spans="1:9" x14ac:dyDescent="0.3">
      <c r="A276" s="35" t="s">
        <v>397</v>
      </c>
      <c r="B276" t="s">
        <v>187</v>
      </c>
      <c r="C276" s="106">
        <v>3</v>
      </c>
      <c r="D276" s="56">
        <v>45908</v>
      </c>
      <c r="E276" s="38">
        <v>9898</v>
      </c>
      <c r="F276" s="38">
        <v>9281</v>
      </c>
      <c r="G276" s="38">
        <v>617</v>
      </c>
      <c r="H276" s="38">
        <v>2537.92</v>
      </c>
      <c r="I276" s="108">
        <v>6.647990518263118E-2</v>
      </c>
    </row>
    <row r="277" spans="1:9" x14ac:dyDescent="0.3">
      <c r="A277" s="35" t="s">
        <v>397</v>
      </c>
      <c r="B277" t="s">
        <v>187</v>
      </c>
      <c r="C277" s="106">
        <v>4</v>
      </c>
      <c r="D277" s="56">
        <v>45918</v>
      </c>
      <c r="E277" s="38">
        <v>9283</v>
      </c>
      <c r="F277" s="38">
        <v>9283</v>
      </c>
      <c r="G277" s="38">
        <v>0</v>
      </c>
      <c r="H277" s="38">
        <v>2537.92</v>
      </c>
      <c r="I277" s="108">
        <v>0</v>
      </c>
    </row>
    <row r="278" spans="1:9" x14ac:dyDescent="0.3">
      <c r="A278" s="35" t="s">
        <v>397</v>
      </c>
      <c r="B278" t="s">
        <v>187</v>
      </c>
      <c r="C278" s="106">
        <v>5</v>
      </c>
      <c r="D278" s="56">
        <v>45924</v>
      </c>
      <c r="E278" s="38">
        <v>9301</v>
      </c>
      <c r="F278" s="38">
        <v>9301</v>
      </c>
      <c r="G278" s="38">
        <v>0</v>
      </c>
      <c r="H278" s="38">
        <v>2537.92</v>
      </c>
      <c r="I278" s="108">
        <v>0</v>
      </c>
    </row>
    <row r="279" spans="1:9" x14ac:dyDescent="0.3">
      <c r="A279" s="35" t="s">
        <v>397</v>
      </c>
      <c r="B279" t="s">
        <v>187</v>
      </c>
      <c r="C279" s="106">
        <v>6</v>
      </c>
      <c r="D279" s="56">
        <v>45930</v>
      </c>
      <c r="E279" s="38">
        <v>9272.08</v>
      </c>
      <c r="F279" s="38">
        <v>9272.08</v>
      </c>
      <c r="G279" s="38">
        <v>0</v>
      </c>
      <c r="H279" s="38">
        <v>2537.92</v>
      </c>
      <c r="I279" s="108">
        <v>0</v>
      </c>
    </row>
    <row r="280" spans="1:9" x14ac:dyDescent="0.3">
      <c r="A280" s="35" t="s">
        <v>397</v>
      </c>
      <c r="B280" t="s">
        <v>187</v>
      </c>
      <c r="C280" s="106">
        <v>7</v>
      </c>
      <c r="D280" s="56">
        <v>45950</v>
      </c>
      <c r="E280" s="38">
        <v>9272.08</v>
      </c>
      <c r="F280" s="38">
        <v>9272.08</v>
      </c>
      <c r="G280" s="38">
        <v>0</v>
      </c>
      <c r="H280" s="38">
        <v>2537.92</v>
      </c>
      <c r="I280" s="108">
        <v>0</v>
      </c>
    </row>
    <row r="281" spans="1:9" x14ac:dyDescent="0.3">
      <c r="A281" s="35" t="s">
        <v>397</v>
      </c>
      <c r="B281" t="s">
        <v>187</v>
      </c>
      <c r="C281" s="106">
        <v>8</v>
      </c>
      <c r="D281" s="56">
        <v>45958</v>
      </c>
      <c r="E281" s="38">
        <v>3760.84</v>
      </c>
      <c r="F281" s="38">
        <v>3760.84</v>
      </c>
      <c r="G281" s="38">
        <v>0</v>
      </c>
      <c r="H281" s="38">
        <v>2537.92</v>
      </c>
      <c r="I281" s="108">
        <v>0</v>
      </c>
    </row>
    <row r="282" spans="1:9" x14ac:dyDescent="0.3">
      <c r="A282" s="35" t="s">
        <v>397</v>
      </c>
      <c r="B282" t="s">
        <v>187</v>
      </c>
      <c r="C282" s="106">
        <v>9</v>
      </c>
      <c r="E282" s="38"/>
      <c r="F282" s="38"/>
      <c r="G282" s="38">
        <v>0</v>
      </c>
      <c r="H282" s="38">
        <v>2537.92</v>
      </c>
      <c r="I282" s="108" t="e">
        <v>#DIV/0!</v>
      </c>
    </row>
    <row r="283" spans="1:9" x14ac:dyDescent="0.3">
      <c r="A283" s="35" t="s">
        <v>397</v>
      </c>
      <c r="B283" t="s">
        <v>187</v>
      </c>
      <c r="C283" s="106">
        <v>10</v>
      </c>
      <c r="E283" s="38"/>
      <c r="F283" s="38"/>
      <c r="G283" s="38">
        <v>0</v>
      </c>
      <c r="H283" s="38">
        <v>2537.92</v>
      </c>
      <c r="I283" s="108" t="e">
        <v>#DIV/0!</v>
      </c>
    </row>
    <row r="284" spans="1:9" x14ac:dyDescent="0.3">
      <c r="A284" s="35" t="s">
        <v>397</v>
      </c>
      <c r="B284" t="s">
        <v>187</v>
      </c>
      <c r="C284" s="106">
        <v>11</v>
      </c>
      <c r="E284" s="38"/>
      <c r="F284" s="38"/>
      <c r="G284" s="38">
        <v>0</v>
      </c>
      <c r="H284" s="38">
        <v>2537.92</v>
      </c>
      <c r="I284" s="108" t="e">
        <v>#DIV/0!</v>
      </c>
    </row>
    <row r="285" spans="1:9" x14ac:dyDescent="0.3">
      <c r="A285" s="35" t="s">
        <v>397</v>
      </c>
      <c r="B285" t="s">
        <v>187</v>
      </c>
      <c r="C285" s="106">
        <v>12</v>
      </c>
      <c r="E285" s="38"/>
      <c r="F285" s="38"/>
      <c r="G285" s="38">
        <v>0</v>
      </c>
      <c r="H285" s="38">
        <v>2537.92</v>
      </c>
      <c r="I285" s="108" t="e">
        <v>#DIV/0!</v>
      </c>
    </row>
    <row r="286" spans="1:9" x14ac:dyDescent="0.3">
      <c r="A286" s="35" t="s">
        <v>397</v>
      </c>
      <c r="B286" t="s">
        <v>187</v>
      </c>
      <c r="C286" s="106">
        <v>13</v>
      </c>
      <c r="E286" s="38"/>
      <c r="F286" s="38"/>
      <c r="G286" s="38">
        <v>0</v>
      </c>
      <c r="H286" s="38">
        <v>2537.92</v>
      </c>
      <c r="I286" s="108" t="e">
        <v>#DIV/0!</v>
      </c>
    </row>
    <row r="287" spans="1:9" x14ac:dyDescent="0.3">
      <c r="A287" s="35" t="s">
        <v>397</v>
      </c>
      <c r="B287" t="s">
        <v>187</v>
      </c>
      <c r="C287" s="106">
        <v>14</v>
      </c>
      <c r="E287" s="38"/>
      <c r="F287" s="38"/>
      <c r="G287" s="38">
        <v>0</v>
      </c>
      <c r="H287" s="38">
        <v>2537.92</v>
      </c>
      <c r="I287" s="108" t="e">
        <v>#DIV/0!</v>
      </c>
    </row>
    <row r="288" spans="1:9" x14ac:dyDescent="0.3">
      <c r="A288" s="35" t="s">
        <v>397</v>
      </c>
      <c r="B288" t="s">
        <v>187</v>
      </c>
      <c r="C288" s="106">
        <v>15</v>
      </c>
      <c r="E288" s="38"/>
      <c r="F288" s="38"/>
      <c r="G288" s="38">
        <v>0</v>
      </c>
      <c r="H288" s="38">
        <v>2537.92</v>
      </c>
      <c r="I288" s="108" t="e">
        <v>#DIV/0!</v>
      </c>
    </row>
    <row r="289" spans="1:9" ht="15" thickBot="1" x14ac:dyDescent="0.35">
      <c r="A289" s="109" t="s">
        <v>397</v>
      </c>
      <c r="B289" s="110" t="s">
        <v>187</v>
      </c>
      <c r="C289" s="114">
        <v>16</v>
      </c>
      <c r="D289" s="110"/>
      <c r="E289" s="115"/>
      <c r="F289" s="115"/>
      <c r="G289" s="115">
        <v>0</v>
      </c>
      <c r="H289" s="115">
        <v>2537.92</v>
      </c>
      <c r="I289" s="110"/>
    </row>
    <row r="290" spans="1:9" x14ac:dyDescent="0.3">
      <c r="A290" s="35" t="s">
        <v>492</v>
      </c>
      <c r="B290" t="s">
        <v>435</v>
      </c>
      <c r="C290" s="106">
        <v>1</v>
      </c>
      <c r="D290" s="56">
        <v>45897</v>
      </c>
      <c r="E290" s="38">
        <v>4200</v>
      </c>
      <c r="F290" s="38">
        <v>3876.03</v>
      </c>
      <c r="G290" s="38">
        <v>323.9699999999998</v>
      </c>
      <c r="H290" s="38">
        <v>323.9699999999998</v>
      </c>
      <c r="I290" s="108">
        <v>8.3582944404455017E-2</v>
      </c>
    </row>
    <row r="291" spans="1:9" x14ac:dyDescent="0.3">
      <c r="A291" s="35" t="s">
        <v>492</v>
      </c>
      <c r="B291" t="s">
        <v>435</v>
      </c>
      <c r="C291" s="106">
        <v>2</v>
      </c>
      <c r="D291" s="56">
        <v>45904</v>
      </c>
      <c r="E291" s="38">
        <v>4200</v>
      </c>
      <c r="F291" s="38">
        <v>3876.03</v>
      </c>
      <c r="G291" s="38">
        <v>323.9699999999998</v>
      </c>
      <c r="H291" s="38">
        <v>647.9399999999996</v>
      </c>
      <c r="I291" s="108">
        <v>8.3582944404455017E-2</v>
      </c>
    </row>
    <row r="292" spans="1:9" x14ac:dyDescent="0.3">
      <c r="A292" s="35" t="s">
        <v>492</v>
      </c>
      <c r="B292" t="s">
        <v>435</v>
      </c>
      <c r="C292" s="106">
        <v>3</v>
      </c>
      <c r="D292" s="56">
        <v>45911</v>
      </c>
      <c r="E292" s="38">
        <v>4200</v>
      </c>
      <c r="F292" s="38">
        <v>3876.03</v>
      </c>
      <c r="G292" s="38">
        <v>323.9699999999998</v>
      </c>
      <c r="H292" s="38">
        <v>971.9099999999994</v>
      </c>
      <c r="I292" s="108">
        <v>8.3582944404455017E-2</v>
      </c>
    </row>
    <row r="293" spans="1:9" x14ac:dyDescent="0.3">
      <c r="A293" s="35" t="s">
        <v>492</v>
      </c>
      <c r="B293" t="s">
        <v>435</v>
      </c>
      <c r="C293" s="106">
        <v>4</v>
      </c>
      <c r="D293" s="56">
        <v>45918</v>
      </c>
      <c r="E293" s="38">
        <v>4200</v>
      </c>
      <c r="F293" s="38">
        <v>3876.03</v>
      </c>
      <c r="G293" s="38">
        <v>323.9699999999998</v>
      </c>
      <c r="H293" s="38">
        <v>1295.8799999999992</v>
      </c>
      <c r="I293" s="108">
        <v>8.3582944404455017E-2</v>
      </c>
    </row>
    <row r="294" spans="1:9" x14ac:dyDescent="0.3">
      <c r="A294" s="35" t="s">
        <v>492</v>
      </c>
      <c r="B294" t="s">
        <v>435</v>
      </c>
      <c r="C294" s="106">
        <v>5</v>
      </c>
      <c r="D294" s="56">
        <v>45925</v>
      </c>
      <c r="E294" s="38">
        <v>4200</v>
      </c>
      <c r="F294" s="38">
        <v>3876.03</v>
      </c>
      <c r="G294" s="38">
        <v>323.9699999999998</v>
      </c>
      <c r="H294" s="38">
        <v>1619.849999999999</v>
      </c>
      <c r="I294" s="108">
        <v>8.3582944404455017E-2</v>
      </c>
    </row>
    <row r="295" spans="1:9" x14ac:dyDescent="0.3">
      <c r="A295" s="35" t="s">
        <v>492</v>
      </c>
      <c r="B295" t="s">
        <v>435</v>
      </c>
      <c r="C295" s="106">
        <v>6</v>
      </c>
      <c r="D295" s="56">
        <v>45932</v>
      </c>
      <c r="E295" s="38">
        <v>4200</v>
      </c>
      <c r="F295" s="38">
        <v>3876.03</v>
      </c>
      <c r="G295" s="38">
        <v>323.9699999999998</v>
      </c>
      <c r="H295" s="38">
        <v>1943.8199999999988</v>
      </c>
      <c r="I295" s="108">
        <v>8.3582944404455017E-2</v>
      </c>
    </row>
    <row r="296" spans="1:9" x14ac:dyDescent="0.3">
      <c r="A296" s="35" t="s">
        <v>492</v>
      </c>
      <c r="B296" t="s">
        <v>435</v>
      </c>
      <c r="C296" s="106">
        <v>7</v>
      </c>
      <c r="D296" s="56">
        <v>45939</v>
      </c>
      <c r="E296" s="38">
        <v>4200</v>
      </c>
      <c r="F296" s="38">
        <v>3876.03</v>
      </c>
      <c r="G296" s="38">
        <v>323.9699999999998</v>
      </c>
      <c r="H296" s="38">
        <v>2267.7899999999986</v>
      </c>
      <c r="I296" s="108">
        <v>8.3582944404455017E-2</v>
      </c>
    </row>
    <row r="297" spans="1:9" x14ac:dyDescent="0.3">
      <c r="A297" s="35" t="s">
        <v>492</v>
      </c>
      <c r="B297" t="s">
        <v>435</v>
      </c>
      <c r="C297" s="106">
        <v>8</v>
      </c>
      <c r="D297" s="56">
        <v>45946</v>
      </c>
      <c r="E297" s="38">
        <v>4200</v>
      </c>
      <c r="F297" s="38">
        <v>3876.03</v>
      </c>
      <c r="G297" s="38">
        <v>323.9699999999998</v>
      </c>
      <c r="H297" s="38">
        <v>2591.7599999999984</v>
      </c>
      <c r="I297" s="108">
        <v>8.3582944404455017E-2</v>
      </c>
    </row>
    <row r="298" spans="1:9" x14ac:dyDescent="0.3">
      <c r="A298" s="35" t="s">
        <v>492</v>
      </c>
      <c r="B298" t="s">
        <v>435</v>
      </c>
      <c r="C298" s="106">
        <v>9</v>
      </c>
      <c r="D298" s="56">
        <v>45953</v>
      </c>
      <c r="E298" s="38">
        <v>4200</v>
      </c>
      <c r="F298" s="38">
        <v>3876.03</v>
      </c>
      <c r="G298" s="38">
        <v>323.9699999999998</v>
      </c>
      <c r="H298" s="38">
        <v>2915.7299999999982</v>
      </c>
      <c r="I298" s="108">
        <v>8.3582944404455017E-2</v>
      </c>
    </row>
    <row r="299" spans="1:9" x14ac:dyDescent="0.3">
      <c r="A299" s="35" t="s">
        <v>492</v>
      </c>
      <c r="B299" t="s">
        <v>435</v>
      </c>
      <c r="C299" s="106">
        <v>10</v>
      </c>
      <c r="D299" s="56">
        <v>45960</v>
      </c>
      <c r="E299" s="38">
        <v>4200</v>
      </c>
      <c r="F299" s="38">
        <v>3876.03</v>
      </c>
      <c r="G299" s="38">
        <v>323.9699999999998</v>
      </c>
      <c r="H299" s="38">
        <v>3239.699999999998</v>
      </c>
      <c r="I299" s="108">
        <v>8.3582944404455017E-2</v>
      </c>
    </row>
    <row r="300" spans="1:9" x14ac:dyDescent="0.3">
      <c r="A300" s="35" t="s">
        <v>492</v>
      </c>
      <c r="B300" t="s">
        <v>435</v>
      </c>
      <c r="C300" s="106">
        <v>11</v>
      </c>
      <c r="E300" s="38"/>
      <c r="F300" s="38"/>
      <c r="G300" s="38">
        <v>0</v>
      </c>
      <c r="H300" s="38">
        <v>3239.699999999998</v>
      </c>
      <c r="I300" s="108" t="e">
        <v>#DIV/0!</v>
      </c>
    </row>
    <row r="301" spans="1:9" x14ac:dyDescent="0.3">
      <c r="A301" s="35" t="s">
        <v>492</v>
      </c>
      <c r="B301" t="s">
        <v>435</v>
      </c>
      <c r="C301" s="106">
        <v>12</v>
      </c>
      <c r="E301" s="38"/>
      <c r="F301" s="38"/>
      <c r="G301" s="38">
        <v>0</v>
      </c>
      <c r="H301" s="38">
        <v>3239.699999999998</v>
      </c>
      <c r="I301" s="108" t="e">
        <v>#DIV/0!</v>
      </c>
    </row>
    <row r="302" spans="1:9" x14ac:dyDescent="0.3">
      <c r="A302" s="35" t="s">
        <v>492</v>
      </c>
      <c r="B302" t="s">
        <v>435</v>
      </c>
      <c r="C302" s="106">
        <v>13</v>
      </c>
      <c r="E302" s="38"/>
      <c r="F302" s="38"/>
      <c r="G302" s="38">
        <v>0</v>
      </c>
      <c r="H302" s="38">
        <v>3239.699999999998</v>
      </c>
      <c r="I302" s="108" t="e">
        <v>#DIV/0!</v>
      </c>
    </row>
    <row r="303" spans="1:9" x14ac:dyDescent="0.3">
      <c r="A303" s="35" t="s">
        <v>492</v>
      </c>
      <c r="B303" t="s">
        <v>435</v>
      </c>
      <c r="C303" s="106">
        <v>14</v>
      </c>
      <c r="E303" s="38"/>
      <c r="F303" s="38"/>
      <c r="G303" s="38">
        <v>0</v>
      </c>
      <c r="H303" s="38">
        <v>3239.699999999998</v>
      </c>
      <c r="I303" s="108" t="e">
        <v>#DIV/0!</v>
      </c>
    </row>
    <row r="304" spans="1:9" x14ac:dyDescent="0.3">
      <c r="A304" s="35" t="s">
        <v>492</v>
      </c>
      <c r="B304" t="s">
        <v>435</v>
      </c>
      <c r="C304" s="106">
        <v>15</v>
      </c>
      <c r="E304" s="38"/>
      <c r="F304" s="38"/>
      <c r="G304" s="38">
        <v>0</v>
      </c>
      <c r="H304" s="38">
        <v>3239.699999999998</v>
      </c>
      <c r="I304" s="108" t="e">
        <v>#DIV/0!</v>
      </c>
    </row>
    <row r="305" spans="1:9" ht="15" thickBot="1" x14ac:dyDescent="0.35">
      <c r="A305" s="109" t="s">
        <v>492</v>
      </c>
      <c r="B305" s="110" t="s">
        <v>435</v>
      </c>
      <c r="C305" s="114">
        <v>16</v>
      </c>
      <c r="D305" s="110"/>
      <c r="E305" s="115"/>
      <c r="F305" s="115"/>
      <c r="G305" s="115">
        <v>0</v>
      </c>
      <c r="H305" s="115">
        <v>3239.699999999998</v>
      </c>
      <c r="I305" s="110"/>
    </row>
    <row r="306" spans="1:9" x14ac:dyDescent="0.3">
      <c r="A306" s="35" t="s">
        <v>432</v>
      </c>
      <c r="B306" t="s">
        <v>399</v>
      </c>
      <c r="C306" s="106">
        <v>1</v>
      </c>
      <c r="D306" s="56">
        <v>45896</v>
      </c>
      <c r="E306" s="38">
        <v>6236</v>
      </c>
      <c r="F306" s="38">
        <v>5852</v>
      </c>
      <c r="G306" s="38">
        <v>384</v>
      </c>
      <c r="H306" s="38">
        <v>384</v>
      </c>
      <c r="I306" s="108">
        <v>6.5618591934381409E-2</v>
      </c>
    </row>
    <row r="307" spans="1:9" x14ac:dyDescent="0.3">
      <c r="A307" s="35" t="s">
        <v>432</v>
      </c>
      <c r="B307" t="s">
        <v>399</v>
      </c>
      <c r="C307" s="106">
        <v>2</v>
      </c>
      <c r="D307" s="56">
        <v>45903</v>
      </c>
      <c r="E307" s="38">
        <v>6160</v>
      </c>
      <c r="F307" s="38">
        <v>5852</v>
      </c>
      <c r="G307" s="38">
        <v>308</v>
      </c>
      <c r="H307" s="38">
        <v>692</v>
      </c>
      <c r="I307" s="108">
        <v>5.2631578947368418E-2</v>
      </c>
    </row>
    <row r="308" spans="1:9" x14ac:dyDescent="0.3">
      <c r="A308" s="35" t="s">
        <v>432</v>
      </c>
      <c r="B308" t="s">
        <v>399</v>
      </c>
      <c r="C308" s="106">
        <v>3</v>
      </c>
      <c r="D308" s="56">
        <v>45909</v>
      </c>
      <c r="E308" s="38">
        <v>6238</v>
      </c>
      <c r="F308" s="38">
        <v>5852</v>
      </c>
      <c r="G308" s="38">
        <v>386</v>
      </c>
      <c r="H308" s="38">
        <v>1078</v>
      </c>
      <c r="I308" s="108">
        <v>6.596035543403965E-2</v>
      </c>
    </row>
    <row r="309" spans="1:9" x14ac:dyDescent="0.3">
      <c r="A309" s="35" t="s">
        <v>432</v>
      </c>
      <c r="B309" t="s">
        <v>399</v>
      </c>
      <c r="C309" s="106">
        <v>4</v>
      </c>
      <c r="D309" s="56">
        <v>45917</v>
      </c>
      <c r="E309" s="38">
        <v>6238</v>
      </c>
      <c r="F309" s="38">
        <v>5852</v>
      </c>
      <c r="G309" s="38">
        <v>386</v>
      </c>
      <c r="H309" s="38">
        <v>1464</v>
      </c>
      <c r="I309" s="108">
        <v>6.596035543403965E-2</v>
      </c>
    </row>
    <row r="310" spans="1:9" x14ac:dyDescent="0.3">
      <c r="A310" s="35" t="s">
        <v>432</v>
      </c>
      <c r="B310" t="s">
        <v>399</v>
      </c>
      <c r="C310" s="106">
        <v>5</v>
      </c>
      <c r="D310" s="56">
        <v>45924</v>
      </c>
      <c r="E310" s="38">
        <v>6238</v>
      </c>
      <c r="F310" s="38">
        <v>5852</v>
      </c>
      <c r="G310" s="38">
        <v>386</v>
      </c>
      <c r="H310" s="38">
        <v>1850</v>
      </c>
      <c r="I310" s="108">
        <v>6.596035543403965E-2</v>
      </c>
    </row>
    <row r="311" spans="1:9" x14ac:dyDescent="0.3">
      <c r="A311" s="35" t="s">
        <v>432</v>
      </c>
      <c r="B311" t="s">
        <v>399</v>
      </c>
      <c r="C311" s="106">
        <v>6</v>
      </c>
      <c r="D311" s="56">
        <v>45931</v>
      </c>
      <c r="E311" s="38">
        <v>6238</v>
      </c>
      <c r="F311" s="38">
        <v>5852</v>
      </c>
      <c r="G311" s="38">
        <v>386</v>
      </c>
      <c r="H311" s="38">
        <v>2236</v>
      </c>
      <c r="I311" s="108">
        <v>6.596035543403965E-2</v>
      </c>
    </row>
    <row r="312" spans="1:9" x14ac:dyDescent="0.3">
      <c r="A312" s="35" t="s">
        <v>432</v>
      </c>
      <c r="B312" t="s">
        <v>399</v>
      </c>
      <c r="C312" s="106">
        <v>7</v>
      </c>
      <c r="D312" s="56">
        <v>45938</v>
      </c>
      <c r="E312" s="38">
        <v>6238</v>
      </c>
      <c r="F312" s="38">
        <v>5852</v>
      </c>
      <c r="G312" s="38">
        <v>386</v>
      </c>
      <c r="H312" s="38">
        <v>2622</v>
      </c>
      <c r="I312" s="108">
        <v>6.596035543403965E-2</v>
      </c>
    </row>
    <row r="313" spans="1:9" x14ac:dyDescent="0.3">
      <c r="A313" s="35" t="s">
        <v>432</v>
      </c>
      <c r="B313" t="s">
        <v>399</v>
      </c>
      <c r="C313" s="106">
        <v>8</v>
      </c>
      <c r="D313" s="56">
        <v>45945</v>
      </c>
      <c r="E313" s="38">
        <v>6238</v>
      </c>
      <c r="F313" s="38">
        <v>5852</v>
      </c>
      <c r="G313" s="38">
        <v>386</v>
      </c>
      <c r="H313" s="38">
        <v>3008</v>
      </c>
      <c r="I313" s="108">
        <v>6.596035543403965E-2</v>
      </c>
    </row>
    <row r="314" spans="1:9" x14ac:dyDescent="0.3">
      <c r="A314" s="35" t="s">
        <v>432</v>
      </c>
      <c r="B314" t="s">
        <v>399</v>
      </c>
      <c r="C314" s="106">
        <v>9</v>
      </c>
      <c r="D314" s="56">
        <v>45952</v>
      </c>
      <c r="E314" s="38">
        <v>6238</v>
      </c>
      <c r="F314" s="38">
        <v>5852</v>
      </c>
      <c r="G314" s="38">
        <v>386</v>
      </c>
      <c r="H314" s="38">
        <v>3394</v>
      </c>
      <c r="I314" s="108">
        <v>6.596035543403965E-2</v>
      </c>
    </row>
    <row r="315" spans="1:9" x14ac:dyDescent="0.3">
      <c r="A315" s="35" t="s">
        <v>432</v>
      </c>
      <c r="B315" t="s">
        <v>399</v>
      </c>
      <c r="C315" s="106">
        <v>10</v>
      </c>
      <c r="D315" s="56">
        <v>45959</v>
      </c>
      <c r="E315" s="38">
        <v>6152</v>
      </c>
      <c r="F315" s="38">
        <v>5852</v>
      </c>
      <c r="G315" s="38">
        <v>300</v>
      </c>
      <c r="H315" s="38">
        <v>3694</v>
      </c>
      <c r="I315" s="108">
        <v>5.1264524948735478E-2</v>
      </c>
    </row>
    <row r="316" spans="1:9" x14ac:dyDescent="0.3">
      <c r="A316" s="35" t="s">
        <v>432</v>
      </c>
      <c r="B316" t="s">
        <v>399</v>
      </c>
      <c r="C316" s="106">
        <v>11</v>
      </c>
      <c r="E316" s="38"/>
      <c r="F316" s="38"/>
      <c r="G316" s="38">
        <v>0</v>
      </c>
      <c r="H316" s="38">
        <v>3694</v>
      </c>
      <c r="I316" s="108" t="e">
        <v>#DIV/0!</v>
      </c>
    </row>
    <row r="317" spans="1:9" x14ac:dyDescent="0.3">
      <c r="A317" s="35" t="s">
        <v>432</v>
      </c>
      <c r="B317" t="s">
        <v>399</v>
      </c>
      <c r="C317" s="106">
        <v>12</v>
      </c>
      <c r="E317" s="38"/>
      <c r="F317" s="38"/>
      <c r="G317" s="38">
        <v>0</v>
      </c>
      <c r="H317" s="38">
        <v>3694</v>
      </c>
      <c r="I317" s="108" t="e">
        <v>#DIV/0!</v>
      </c>
    </row>
    <row r="318" spans="1:9" x14ac:dyDescent="0.3">
      <c r="A318" s="35" t="s">
        <v>432</v>
      </c>
      <c r="B318" t="s">
        <v>399</v>
      </c>
      <c r="C318" s="106">
        <v>13</v>
      </c>
      <c r="E318" s="38"/>
      <c r="F318" s="38"/>
      <c r="G318" s="38">
        <v>0</v>
      </c>
      <c r="H318" s="38">
        <v>3694</v>
      </c>
      <c r="I318" s="108" t="e">
        <v>#DIV/0!</v>
      </c>
    </row>
    <row r="319" spans="1:9" x14ac:dyDescent="0.3">
      <c r="A319" s="35" t="s">
        <v>432</v>
      </c>
      <c r="B319" t="s">
        <v>399</v>
      </c>
      <c r="C319" s="106">
        <v>14</v>
      </c>
      <c r="E319" s="38"/>
      <c r="F319" s="38"/>
      <c r="G319" s="38">
        <v>0</v>
      </c>
      <c r="H319" s="38">
        <v>3694</v>
      </c>
      <c r="I319" s="108" t="e">
        <v>#DIV/0!</v>
      </c>
    </row>
    <row r="320" spans="1:9" x14ac:dyDescent="0.3">
      <c r="A320" s="35" t="s">
        <v>432</v>
      </c>
      <c r="B320" t="s">
        <v>399</v>
      </c>
      <c r="C320" s="106">
        <v>15</v>
      </c>
      <c r="E320" s="38"/>
      <c r="F320" s="38"/>
      <c r="G320" s="38">
        <v>0</v>
      </c>
      <c r="H320" s="38">
        <v>3694</v>
      </c>
      <c r="I320" s="108" t="e">
        <v>#DIV/0!</v>
      </c>
    </row>
    <row r="321" spans="1:9" ht="15" thickBot="1" x14ac:dyDescent="0.35">
      <c r="A321" s="109" t="s">
        <v>432</v>
      </c>
      <c r="B321" s="110" t="s">
        <v>399</v>
      </c>
      <c r="C321" s="114">
        <v>16</v>
      </c>
      <c r="D321" s="110"/>
      <c r="E321" s="115"/>
      <c r="F321" s="115"/>
      <c r="G321" s="115">
        <v>0</v>
      </c>
      <c r="H321" s="115">
        <v>3694</v>
      </c>
      <c r="I321" s="110"/>
    </row>
    <row r="322" spans="1:9" x14ac:dyDescent="0.3">
      <c r="A322" s="35" t="s">
        <v>678</v>
      </c>
      <c r="B322" t="s">
        <v>395</v>
      </c>
      <c r="C322" s="106">
        <v>1</v>
      </c>
      <c r="D322" s="56">
        <v>45904</v>
      </c>
      <c r="E322" s="38">
        <v>6150</v>
      </c>
      <c r="F322" s="38">
        <v>5783</v>
      </c>
      <c r="G322" s="38">
        <v>367</v>
      </c>
      <c r="H322" s="38">
        <v>367</v>
      </c>
      <c r="I322" s="108">
        <v>6.3461871001210438E-2</v>
      </c>
    </row>
    <row r="323" spans="1:9" x14ac:dyDescent="0.3">
      <c r="A323" s="35" t="s">
        <v>678</v>
      </c>
      <c r="B323" t="s">
        <v>395</v>
      </c>
      <c r="C323" s="106">
        <v>2</v>
      </c>
      <c r="D323" s="56">
        <v>45911</v>
      </c>
      <c r="E323" s="38">
        <v>6163</v>
      </c>
      <c r="F323" s="38">
        <v>5783</v>
      </c>
      <c r="G323" s="38">
        <v>380</v>
      </c>
      <c r="H323" s="38">
        <v>747</v>
      </c>
      <c r="I323" s="108">
        <v>6.5709839183814622E-2</v>
      </c>
    </row>
    <row r="324" spans="1:9" x14ac:dyDescent="0.3">
      <c r="A324" s="35" t="s">
        <v>678</v>
      </c>
      <c r="B324" t="s">
        <v>395</v>
      </c>
      <c r="C324" s="106">
        <v>3</v>
      </c>
      <c r="D324" s="56">
        <v>45918</v>
      </c>
      <c r="E324" s="38">
        <v>6163</v>
      </c>
      <c r="F324" s="38">
        <v>5783</v>
      </c>
      <c r="G324" s="38">
        <v>380</v>
      </c>
      <c r="H324" s="38">
        <v>1127</v>
      </c>
      <c r="I324" s="108">
        <v>6.5709839183814622E-2</v>
      </c>
    </row>
    <row r="325" spans="1:9" x14ac:dyDescent="0.3">
      <c r="A325" s="35" t="s">
        <v>678</v>
      </c>
      <c r="B325" t="s">
        <v>395</v>
      </c>
      <c r="C325" s="106">
        <v>4</v>
      </c>
      <c r="D325" s="56">
        <v>45925</v>
      </c>
      <c r="E325" s="38">
        <v>6130</v>
      </c>
      <c r="F325" s="38">
        <v>5783</v>
      </c>
      <c r="G325" s="38">
        <v>347</v>
      </c>
      <c r="H325" s="38">
        <v>1474</v>
      </c>
      <c r="I325" s="108">
        <v>6.0003458412588619E-2</v>
      </c>
    </row>
    <row r="326" spans="1:9" x14ac:dyDescent="0.3">
      <c r="A326" s="35" t="s">
        <v>678</v>
      </c>
      <c r="B326" t="s">
        <v>395</v>
      </c>
      <c r="C326" s="106">
        <v>5</v>
      </c>
      <c r="D326" s="56">
        <v>45932</v>
      </c>
      <c r="E326" s="38">
        <v>6163</v>
      </c>
      <c r="F326" s="38">
        <v>5783</v>
      </c>
      <c r="G326" s="38">
        <v>380</v>
      </c>
      <c r="H326" s="38">
        <v>1854</v>
      </c>
      <c r="I326" s="108">
        <v>6.5709839183814622E-2</v>
      </c>
    </row>
    <row r="327" spans="1:9" x14ac:dyDescent="0.3">
      <c r="A327" s="35" t="s">
        <v>678</v>
      </c>
      <c r="B327" t="s">
        <v>395</v>
      </c>
      <c r="C327" s="106">
        <v>6</v>
      </c>
      <c r="D327" s="56">
        <v>45939</v>
      </c>
      <c r="E327" s="38">
        <v>6163</v>
      </c>
      <c r="F327" s="38">
        <v>5783</v>
      </c>
      <c r="G327" s="38">
        <v>380</v>
      </c>
      <c r="H327" s="38">
        <v>2234</v>
      </c>
      <c r="I327" s="108">
        <v>6.5709839183814622E-2</v>
      </c>
    </row>
    <row r="328" spans="1:9" x14ac:dyDescent="0.3">
      <c r="A328" s="35" t="s">
        <v>678</v>
      </c>
      <c r="B328" t="s">
        <v>395</v>
      </c>
      <c r="C328" s="106">
        <v>7</v>
      </c>
      <c r="D328" s="56">
        <v>45946</v>
      </c>
      <c r="E328" s="38">
        <v>6163</v>
      </c>
      <c r="F328" s="38">
        <v>5783</v>
      </c>
      <c r="G328" s="38">
        <v>380</v>
      </c>
      <c r="H328" s="38">
        <v>2614</v>
      </c>
      <c r="I328" s="108">
        <v>6.5709839183814622E-2</v>
      </c>
    </row>
    <row r="329" spans="1:9" x14ac:dyDescent="0.3">
      <c r="A329" s="35" t="s">
        <v>678</v>
      </c>
      <c r="B329" t="s">
        <v>395</v>
      </c>
      <c r="C329" s="106">
        <v>8</v>
      </c>
      <c r="D329" s="56">
        <v>45953</v>
      </c>
      <c r="E329" s="38">
        <v>6133</v>
      </c>
      <c r="F329" s="38">
        <v>5783</v>
      </c>
      <c r="G329" s="38">
        <v>350</v>
      </c>
      <c r="H329" s="38">
        <v>2964</v>
      </c>
      <c r="I329" s="108">
        <v>6.0522220300881897E-2</v>
      </c>
    </row>
    <row r="330" spans="1:9" x14ac:dyDescent="0.3">
      <c r="A330" s="35" t="s">
        <v>678</v>
      </c>
      <c r="B330" t="s">
        <v>395</v>
      </c>
      <c r="C330" s="106">
        <v>9</v>
      </c>
      <c r="E330" s="38"/>
      <c r="F330" s="38"/>
      <c r="G330" s="38">
        <v>0</v>
      </c>
      <c r="H330" s="38">
        <v>2964</v>
      </c>
      <c r="I330" s="108" t="e">
        <v>#DIV/0!</v>
      </c>
    </row>
    <row r="331" spans="1:9" x14ac:dyDescent="0.3">
      <c r="A331" s="35" t="s">
        <v>678</v>
      </c>
      <c r="B331" t="s">
        <v>395</v>
      </c>
      <c r="C331" s="106">
        <v>10</v>
      </c>
      <c r="E331" s="38"/>
      <c r="F331" s="38"/>
      <c r="G331" s="38">
        <v>0</v>
      </c>
      <c r="H331" s="38">
        <v>2964</v>
      </c>
      <c r="I331" s="108" t="e">
        <v>#DIV/0!</v>
      </c>
    </row>
    <row r="332" spans="1:9" x14ac:dyDescent="0.3">
      <c r="A332" s="35" t="s">
        <v>678</v>
      </c>
      <c r="B332" t="s">
        <v>395</v>
      </c>
      <c r="C332" s="106">
        <v>11</v>
      </c>
      <c r="E332" s="38"/>
      <c r="F332" s="38"/>
      <c r="G332" s="38">
        <v>0</v>
      </c>
      <c r="H332" s="38">
        <v>2964</v>
      </c>
      <c r="I332" s="108" t="e">
        <v>#DIV/0!</v>
      </c>
    </row>
    <row r="333" spans="1:9" x14ac:dyDescent="0.3">
      <c r="A333" s="35" t="s">
        <v>678</v>
      </c>
      <c r="B333" t="s">
        <v>395</v>
      </c>
      <c r="C333" s="106">
        <v>12</v>
      </c>
      <c r="E333" s="38"/>
      <c r="F333" s="38"/>
      <c r="G333" s="38">
        <v>0</v>
      </c>
      <c r="H333" s="38">
        <v>2964</v>
      </c>
    </row>
    <row r="334" spans="1:9" x14ac:dyDescent="0.3">
      <c r="A334" s="35" t="s">
        <v>678</v>
      </c>
      <c r="B334" t="s">
        <v>395</v>
      </c>
      <c r="C334" s="106">
        <v>13</v>
      </c>
      <c r="E334" s="38"/>
      <c r="F334" s="38"/>
      <c r="G334" s="38">
        <v>0</v>
      </c>
      <c r="H334" s="38">
        <v>2964</v>
      </c>
    </row>
    <row r="335" spans="1:9" x14ac:dyDescent="0.3">
      <c r="A335" s="35" t="s">
        <v>678</v>
      </c>
      <c r="B335" t="s">
        <v>395</v>
      </c>
      <c r="C335" s="106">
        <v>14</v>
      </c>
      <c r="E335" s="38"/>
      <c r="F335" s="38"/>
      <c r="G335" s="38">
        <v>0</v>
      </c>
      <c r="H335" s="38">
        <v>2964</v>
      </c>
    </row>
    <row r="336" spans="1:9" x14ac:dyDescent="0.3">
      <c r="A336" s="35" t="s">
        <v>678</v>
      </c>
      <c r="B336" t="s">
        <v>395</v>
      </c>
      <c r="C336" s="106">
        <v>15</v>
      </c>
      <c r="E336" s="38"/>
      <c r="F336" s="38"/>
      <c r="G336" s="38">
        <v>0</v>
      </c>
      <c r="H336" s="38">
        <v>2964</v>
      </c>
    </row>
    <row r="337" spans="1:9" ht="15" thickBot="1" x14ac:dyDescent="0.35">
      <c r="A337" s="109" t="s">
        <v>678</v>
      </c>
      <c r="B337" s="110" t="s">
        <v>395</v>
      </c>
      <c r="C337" s="114">
        <v>16</v>
      </c>
      <c r="D337" s="110"/>
      <c r="E337" s="115"/>
      <c r="F337" s="115"/>
      <c r="G337" s="115">
        <v>0</v>
      </c>
      <c r="H337" s="115">
        <v>2964</v>
      </c>
      <c r="I337" s="110"/>
    </row>
    <row r="338" spans="1:9" x14ac:dyDescent="0.3">
      <c r="A338" s="35" t="s">
        <v>566</v>
      </c>
      <c r="B338" t="s">
        <v>428</v>
      </c>
      <c r="C338" s="106">
        <v>1</v>
      </c>
      <c r="D338" s="56">
        <v>45901</v>
      </c>
      <c r="E338" s="38">
        <v>12160</v>
      </c>
      <c r="F338" s="38">
        <v>11408</v>
      </c>
      <c r="G338" s="38">
        <v>752</v>
      </c>
      <c r="H338" s="38">
        <v>752</v>
      </c>
      <c r="I338" s="108">
        <v>6.5918653576437586E-2</v>
      </c>
    </row>
    <row r="339" spans="1:9" x14ac:dyDescent="0.3">
      <c r="A339" s="35" t="s">
        <v>566</v>
      </c>
      <c r="B339" t="s">
        <v>428</v>
      </c>
      <c r="C339" s="106">
        <v>2</v>
      </c>
      <c r="D339" s="56">
        <v>45908</v>
      </c>
      <c r="E339" s="38">
        <v>12160</v>
      </c>
      <c r="F339" s="38">
        <v>11408</v>
      </c>
      <c r="G339" s="38">
        <v>752</v>
      </c>
      <c r="H339" s="38">
        <v>1504</v>
      </c>
      <c r="I339" s="108">
        <v>6.5918653576437586E-2</v>
      </c>
    </row>
    <row r="340" spans="1:9" x14ac:dyDescent="0.3">
      <c r="A340" s="35" t="s">
        <v>566</v>
      </c>
      <c r="B340" t="s">
        <v>428</v>
      </c>
      <c r="C340" s="106">
        <v>3</v>
      </c>
      <c r="D340" s="56">
        <v>45914</v>
      </c>
      <c r="E340" s="38">
        <v>12160</v>
      </c>
      <c r="F340" s="38">
        <v>11408</v>
      </c>
      <c r="G340" s="38">
        <v>752</v>
      </c>
      <c r="H340" s="38">
        <v>2256</v>
      </c>
      <c r="I340" s="108">
        <v>6.5918653576437586E-2</v>
      </c>
    </row>
    <row r="341" spans="1:9" x14ac:dyDescent="0.3">
      <c r="A341" s="35" t="s">
        <v>566</v>
      </c>
      <c r="B341" t="s">
        <v>428</v>
      </c>
      <c r="C341" s="106">
        <v>4</v>
      </c>
      <c r="D341" s="56">
        <v>45922</v>
      </c>
      <c r="E341" s="38">
        <v>12160</v>
      </c>
      <c r="F341" s="38">
        <v>11408</v>
      </c>
      <c r="G341" s="38">
        <v>752</v>
      </c>
      <c r="H341" s="38">
        <v>3008</v>
      </c>
      <c r="I341" s="108">
        <v>6.5918653576437586E-2</v>
      </c>
    </row>
    <row r="342" spans="1:9" x14ac:dyDescent="0.3">
      <c r="A342" s="35" t="s">
        <v>566</v>
      </c>
      <c r="B342" t="s">
        <v>428</v>
      </c>
      <c r="C342" s="106">
        <v>5</v>
      </c>
      <c r="D342" s="56">
        <v>45929</v>
      </c>
      <c r="E342" s="38">
        <v>12160</v>
      </c>
      <c r="F342" s="38">
        <v>11408</v>
      </c>
      <c r="G342" s="38">
        <v>752</v>
      </c>
      <c r="H342" s="38">
        <v>3760</v>
      </c>
      <c r="I342" s="108">
        <v>6.5918653576437586E-2</v>
      </c>
    </row>
    <row r="343" spans="1:9" x14ac:dyDescent="0.3">
      <c r="A343" s="35" t="s">
        <v>566</v>
      </c>
      <c r="B343" t="s">
        <v>428</v>
      </c>
      <c r="C343" s="106">
        <v>6</v>
      </c>
      <c r="D343" s="56">
        <v>45936</v>
      </c>
      <c r="E343" s="38">
        <v>12170</v>
      </c>
      <c r="F343" s="38">
        <v>11408</v>
      </c>
      <c r="G343" s="38">
        <v>762</v>
      </c>
      <c r="H343" s="38">
        <v>4522</v>
      </c>
      <c r="I343" s="108">
        <v>6.6795231416549791E-2</v>
      </c>
    </row>
    <row r="344" spans="1:9" x14ac:dyDescent="0.3">
      <c r="A344" s="35" t="s">
        <v>566</v>
      </c>
      <c r="B344" t="s">
        <v>428</v>
      </c>
      <c r="C344" s="106">
        <v>7</v>
      </c>
      <c r="D344" s="56">
        <v>45943</v>
      </c>
      <c r="E344" s="38">
        <v>12160</v>
      </c>
      <c r="F344" s="38">
        <v>11408</v>
      </c>
      <c r="G344" s="38">
        <v>752</v>
      </c>
      <c r="H344" s="38">
        <v>5274</v>
      </c>
      <c r="I344" s="108">
        <v>6.5918653576437586E-2</v>
      </c>
    </row>
    <row r="345" spans="1:9" x14ac:dyDescent="0.3">
      <c r="A345" s="35" t="s">
        <v>566</v>
      </c>
      <c r="B345" t="s">
        <v>428</v>
      </c>
      <c r="C345" s="106">
        <v>8</v>
      </c>
      <c r="D345" s="56">
        <v>45950</v>
      </c>
      <c r="E345" s="38">
        <v>12160</v>
      </c>
      <c r="F345" s="38">
        <v>11408</v>
      </c>
      <c r="G345" s="38">
        <v>752</v>
      </c>
      <c r="H345" s="38">
        <v>6026</v>
      </c>
      <c r="I345" s="108">
        <v>6.5918653576437586E-2</v>
      </c>
    </row>
    <row r="346" spans="1:9" x14ac:dyDescent="0.3">
      <c r="A346" s="35" t="s">
        <v>566</v>
      </c>
      <c r="B346" t="s">
        <v>428</v>
      </c>
      <c r="C346" s="106">
        <v>9</v>
      </c>
      <c r="D346" s="56">
        <v>45957</v>
      </c>
      <c r="E346" s="38">
        <v>12168</v>
      </c>
      <c r="F346" s="38">
        <v>11408</v>
      </c>
      <c r="G346" s="38">
        <v>760</v>
      </c>
      <c r="H346" s="38">
        <v>6786</v>
      </c>
      <c r="I346" s="108">
        <v>6.6619915848527347E-2</v>
      </c>
    </row>
    <row r="347" spans="1:9" x14ac:dyDescent="0.3">
      <c r="A347" s="35" t="s">
        <v>566</v>
      </c>
      <c r="B347" t="s">
        <v>428</v>
      </c>
      <c r="C347" s="106">
        <v>10</v>
      </c>
      <c r="E347" s="38"/>
      <c r="F347" s="38"/>
      <c r="G347" s="38">
        <v>0</v>
      </c>
      <c r="H347" s="38">
        <v>6786</v>
      </c>
      <c r="I347" s="108" t="e">
        <v>#DIV/0!</v>
      </c>
    </row>
    <row r="348" spans="1:9" x14ac:dyDescent="0.3">
      <c r="A348" s="35" t="s">
        <v>566</v>
      </c>
      <c r="B348" t="s">
        <v>428</v>
      </c>
      <c r="C348" s="106">
        <v>11</v>
      </c>
      <c r="E348" s="38"/>
      <c r="F348" s="38"/>
      <c r="G348" s="38">
        <v>0</v>
      </c>
      <c r="H348" s="38">
        <v>6786</v>
      </c>
      <c r="I348" s="108" t="e">
        <v>#DIV/0!</v>
      </c>
    </row>
    <row r="349" spans="1:9" x14ac:dyDescent="0.3">
      <c r="A349" s="35" t="s">
        <v>566</v>
      </c>
      <c r="B349" t="s">
        <v>428</v>
      </c>
      <c r="C349" s="106">
        <v>12</v>
      </c>
      <c r="E349" s="38"/>
      <c r="F349" s="38"/>
      <c r="G349" s="38">
        <v>0</v>
      </c>
      <c r="H349" s="38">
        <v>6786</v>
      </c>
      <c r="I349" s="108" t="e">
        <v>#DIV/0!</v>
      </c>
    </row>
    <row r="350" spans="1:9" x14ac:dyDescent="0.3">
      <c r="A350" s="35" t="s">
        <v>566</v>
      </c>
      <c r="B350" t="s">
        <v>428</v>
      </c>
      <c r="C350" s="106">
        <v>13</v>
      </c>
      <c r="E350" s="38"/>
      <c r="F350" s="38"/>
      <c r="G350" s="38">
        <v>0</v>
      </c>
      <c r="H350" s="38">
        <v>6786</v>
      </c>
      <c r="I350" s="108" t="e">
        <v>#DIV/0!</v>
      </c>
    </row>
    <row r="351" spans="1:9" x14ac:dyDescent="0.3">
      <c r="A351" s="35" t="s">
        <v>566</v>
      </c>
      <c r="B351" t="s">
        <v>428</v>
      </c>
      <c r="C351" s="106">
        <v>14</v>
      </c>
      <c r="E351" s="38"/>
      <c r="F351" s="38"/>
      <c r="G351" s="38">
        <v>0</v>
      </c>
      <c r="H351" s="38">
        <v>6786</v>
      </c>
      <c r="I351" s="108" t="e">
        <v>#DIV/0!</v>
      </c>
    </row>
    <row r="352" spans="1:9" x14ac:dyDescent="0.3">
      <c r="A352" s="35" t="s">
        <v>566</v>
      </c>
      <c r="B352" t="s">
        <v>428</v>
      </c>
      <c r="C352" s="106">
        <v>15</v>
      </c>
      <c r="E352" s="38"/>
      <c r="F352" s="38"/>
      <c r="G352" s="38">
        <v>0</v>
      </c>
      <c r="H352" s="38">
        <v>6786</v>
      </c>
      <c r="I352" s="108" t="e">
        <v>#DIV/0!</v>
      </c>
    </row>
    <row r="353" spans="1:9" ht="15" thickBot="1" x14ac:dyDescent="0.35">
      <c r="A353" s="109" t="s">
        <v>566</v>
      </c>
      <c r="B353" s="110" t="s">
        <v>428</v>
      </c>
      <c r="C353" s="114">
        <v>16</v>
      </c>
      <c r="D353" s="110"/>
      <c r="E353" s="115"/>
      <c r="F353" s="115"/>
      <c r="G353" s="115">
        <v>0</v>
      </c>
      <c r="H353" s="115">
        <v>6786</v>
      </c>
      <c r="I353" s="112"/>
    </row>
    <row r="354" spans="1:9" x14ac:dyDescent="0.3">
      <c r="A354" s="35" t="s">
        <v>498</v>
      </c>
      <c r="B354" t="s">
        <v>440</v>
      </c>
      <c r="C354" s="106">
        <v>1</v>
      </c>
      <c r="D354" s="56">
        <v>45898</v>
      </c>
      <c r="E354" s="38">
        <v>10693</v>
      </c>
      <c r="F354" s="38">
        <v>10184.09</v>
      </c>
      <c r="G354" s="38">
        <v>508.90999999999985</v>
      </c>
      <c r="H354" s="38">
        <v>508.90999999999985</v>
      </c>
      <c r="I354" s="108">
        <v>4.9971082345108872E-2</v>
      </c>
    </row>
    <row r="355" spans="1:9" x14ac:dyDescent="0.3">
      <c r="A355" s="35" t="s">
        <v>498</v>
      </c>
      <c r="B355" t="s">
        <v>440</v>
      </c>
      <c r="C355" s="106">
        <v>2</v>
      </c>
      <c r="D355" s="56">
        <v>45905</v>
      </c>
      <c r="E355" s="38">
        <v>10693</v>
      </c>
      <c r="F355" s="38">
        <v>10184.09</v>
      </c>
      <c r="G355" s="38">
        <v>508.90999999999985</v>
      </c>
      <c r="H355" s="38">
        <v>1017.8199999999997</v>
      </c>
      <c r="I355" s="108">
        <v>4.9971082345108872E-2</v>
      </c>
    </row>
    <row r="356" spans="1:9" x14ac:dyDescent="0.3">
      <c r="A356" s="35" t="s">
        <v>498</v>
      </c>
      <c r="B356" t="s">
        <v>440</v>
      </c>
      <c r="C356" s="106">
        <v>3</v>
      </c>
      <c r="D356" s="56">
        <v>45912</v>
      </c>
      <c r="E356" s="38">
        <v>10693</v>
      </c>
      <c r="F356" s="38">
        <v>10184.09</v>
      </c>
      <c r="G356" s="38">
        <v>508.90999999999985</v>
      </c>
      <c r="H356" s="38">
        <v>1526.7299999999996</v>
      </c>
      <c r="I356" s="108">
        <v>4.9971082345108872E-2</v>
      </c>
    </row>
    <row r="357" spans="1:9" x14ac:dyDescent="0.3">
      <c r="A357" s="35" t="s">
        <v>498</v>
      </c>
      <c r="B357" t="s">
        <v>440</v>
      </c>
      <c r="C357" s="106">
        <v>4</v>
      </c>
      <c r="D357" s="56">
        <v>45919</v>
      </c>
      <c r="E357" s="38">
        <v>10693</v>
      </c>
      <c r="F357" s="38">
        <v>10184.09</v>
      </c>
      <c r="G357" s="38">
        <v>508.90999999999985</v>
      </c>
      <c r="H357" s="38">
        <v>2035.6399999999994</v>
      </c>
      <c r="I357" s="108">
        <v>4.9971082345108872E-2</v>
      </c>
    </row>
    <row r="358" spans="1:9" x14ac:dyDescent="0.3">
      <c r="A358" s="35" t="s">
        <v>498</v>
      </c>
      <c r="B358" t="s">
        <v>440</v>
      </c>
      <c r="C358" s="106">
        <v>5</v>
      </c>
      <c r="D358" s="56">
        <v>45926</v>
      </c>
      <c r="E358" s="38">
        <v>10693</v>
      </c>
      <c r="F358" s="38">
        <v>10184.09</v>
      </c>
      <c r="G358" s="38">
        <v>508.90999999999985</v>
      </c>
      <c r="H358" s="38">
        <v>2544.5499999999993</v>
      </c>
      <c r="I358" s="108">
        <v>4.9971082345108872E-2</v>
      </c>
    </row>
    <row r="359" spans="1:9" x14ac:dyDescent="0.3">
      <c r="A359" s="35" t="s">
        <v>498</v>
      </c>
      <c r="B359" t="s">
        <v>440</v>
      </c>
      <c r="C359" s="106">
        <v>6</v>
      </c>
      <c r="D359" s="56">
        <v>45933</v>
      </c>
      <c r="E359" s="38">
        <v>10693</v>
      </c>
      <c r="F359" s="38">
        <v>10184.09</v>
      </c>
      <c r="G359" s="38">
        <v>508.90999999999985</v>
      </c>
      <c r="H359" s="38">
        <v>3053.4599999999991</v>
      </c>
      <c r="I359" s="108">
        <v>4.9971082345108872E-2</v>
      </c>
    </row>
    <row r="360" spans="1:9" x14ac:dyDescent="0.3">
      <c r="A360" s="35" t="s">
        <v>498</v>
      </c>
      <c r="B360" t="s">
        <v>440</v>
      </c>
      <c r="C360" s="106">
        <v>7</v>
      </c>
      <c r="D360" s="56">
        <v>45940</v>
      </c>
      <c r="E360" s="38">
        <v>10693</v>
      </c>
      <c r="F360" s="38">
        <v>10184.09</v>
      </c>
      <c r="G360" s="38">
        <v>508.90999999999985</v>
      </c>
      <c r="H360" s="38">
        <v>3562.369999999999</v>
      </c>
      <c r="I360" s="108">
        <v>4.9971082345108872E-2</v>
      </c>
    </row>
    <row r="361" spans="1:9" x14ac:dyDescent="0.3">
      <c r="A361" s="35" t="s">
        <v>498</v>
      </c>
      <c r="B361" t="s">
        <v>440</v>
      </c>
      <c r="C361" s="106">
        <v>8</v>
      </c>
      <c r="D361" s="56">
        <v>45947</v>
      </c>
      <c r="E361" s="38">
        <v>10693</v>
      </c>
      <c r="F361" s="38">
        <v>10184.09</v>
      </c>
      <c r="G361" s="38">
        <v>508.90999999999985</v>
      </c>
      <c r="H361" s="38">
        <v>4071.2799999999988</v>
      </c>
      <c r="I361" s="108">
        <v>4.9971082345108872E-2</v>
      </c>
    </row>
    <row r="362" spans="1:9" x14ac:dyDescent="0.3">
      <c r="A362" s="35" t="s">
        <v>498</v>
      </c>
      <c r="B362" t="s">
        <v>440</v>
      </c>
      <c r="C362" s="106">
        <v>9</v>
      </c>
      <c r="D362" s="56">
        <v>45954</v>
      </c>
      <c r="E362" s="38">
        <v>10693</v>
      </c>
      <c r="F362" s="38">
        <v>10184.09</v>
      </c>
      <c r="G362" s="38">
        <v>508.90999999999985</v>
      </c>
      <c r="H362" s="38">
        <v>4580.1899999999987</v>
      </c>
      <c r="I362" s="108">
        <v>4.9971082345108872E-2</v>
      </c>
    </row>
    <row r="363" spans="1:9" x14ac:dyDescent="0.3">
      <c r="A363" s="35" t="s">
        <v>498</v>
      </c>
      <c r="B363" t="s">
        <v>440</v>
      </c>
      <c r="C363" s="106">
        <v>10</v>
      </c>
      <c r="E363" s="38"/>
      <c r="F363" s="38"/>
      <c r="G363" s="38">
        <v>0</v>
      </c>
      <c r="H363" s="38">
        <v>4580.1899999999987</v>
      </c>
      <c r="I363" s="108" t="e">
        <v>#DIV/0!</v>
      </c>
    </row>
    <row r="364" spans="1:9" x14ac:dyDescent="0.3">
      <c r="A364" s="35" t="s">
        <v>498</v>
      </c>
      <c r="B364" t="s">
        <v>440</v>
      </c>
      <c r="C364" s="106">
        <v>11</v>
      </c>
      <c r="E364" s="38"/>
      <c r="F364" s="38"/>
      <c r="G364" s="38">
        <v>0</v>
      </c>
      <c r="H364" s="38">
        <v>4580.1899999999987</v>
      </c>
    </row>
    <row r="365" spans="1:9" x14ac:dyDescent="0.3">
      <c r="A365" s="35" t="s">
        <v>498</v>
      </c>
      <c r="B365" t="s">
        <v>440</v>
      </c>
      <c r="C365" s="106">
        <v>12</v>
      </c>
      <c r="E365" s="38"/>
      <c r="F365" s="38"/>
      <c r="G365" s="38">
        <v>0</v>
      </c>
      <c r="H365" s="38">
        <v>4580.1899999999987</v>
      </c>
    </row>
    <row r="366" spans="1:9" x14ac:dyDescent="0.3">
      <c r="A366" s="35" t="s">
        <v>498</v>
      </c>
      <c r="B366" t="s">
        <v>440</v>
      </c>
      <c r="C366" s="106">
        <v>13</v>
      </c>
      <c r="E366" s="38"/>
      <c r="F366" s="38"/>
      <c r="G366" s="38">
        <v>0</v>
      </c>
      <c r="H366" s="38">
        <v>4580.1899999999987</v>
      </c>
    </row>
    <row r="367" spans="1:9" x14ac:dyDescent="0.3">
      <c r="A367" s="35" t="s">
        <v>498</v>
      </c>
      <c r="B367" t="s">
        <v>440</v>
      </c>
      <c r="C367" s="106">
        <v>14</v>
      </c>
      <c r="E367" s="38"/>
      <c r="F367" s="38"/>
      <c r="G367" s="38">
        <v>0</v>
      </c>
      <c r="H367" s="38">
        <v>4580.1899999999987</v>
      </c>
    </row>
    <row r="368" spans="1:9" x14ac:dyDescent="0.3">
      <c r="A368" s="35" t="s">
        <v>498</v>
      </c>
      <c r="B368" t="s">
        <v>440</v>
      </c>
      <c r="C368" s="106">
        <v>15</v>
      </c>
      <c r="E368" s="38"/>
      <c r="F368" s="38"/>
      <c r="G368" s="38">
        <v>0</v>
      </c>
      <c r="H368" s="38">
        <v>4580.1899999999987</v>
      </c>
    </row>
    <row r="369" spans="1:9" ht="15" thickBot="1" x14ac:dyDescent="0.35">
      <c r="A369" s="109" t="s">
        <v>498</v>
      </c>
      <c r="B369" s="110" t="s">
        <v>440</v>
      </c>
      <c r="C369" s="114">
        <v>16</v>
      </c>
      <c r="D369" s="110"/>
      <c r="E369" s="115"/>
      <c r="F369" s="115"/>
      <c r="G369" s="115">
        <v>0</v>
      </c>
      <c r="H369" s="115">
        <v>4580.1899999999987</v>
      </c>
      <c r="I369" s="110"/>
    </row>
    <row r="370" spans="1:9" x14ac:dyDescent="0.3">
      <c r="A370" s="35" t="s">
        <v>489</v>
      </c>
      <c r="B370" t="s">
        <v>434</v>
      </c>
      <c r="C370" s="106">
        <v>1</v>
      </c>
      <c r="D370" s="56">
        <v>45897</v>
      </c>
      <c r="E370" s="38">
        <v>6160</v>
      </c>
      <c r="F370" s="38">
        <v>5852</v>
      </c>
      <c r="G370" s="38">
        <v>308</v>
      </c>
      <c r="H370" s="38">
        <v>308</v>
      </c>
      <c r="I370" s="108">
        <v>5.2631578947368418E-2</v>
      </c>
    </row>
    <row r="371" spans="1:9" x14ac:dyDescent="0.3">
      <c r="A371" s="35" t="s">
        <v>489</v>
      </c>
      <c r="B371" t="s">
        <v>434</v>
      </c>
      <c r="C371" s="106">
        <v>2</v>
      </c>
      <c r="D371" s="56">
        <v>45904</v>
      </c>
      <c r="E371" s="38">
        <v>6160</v>
      </c>
      <c r="F371" s="38">
        <v>5852</v>
      </c>
      <c r="G371" s="38">
        <v>308</v>
      </c>
      <c r="H371" s="38">
        <v>616</v>
      </c>
      <c r="I371" s="108">
        <v>5.2631578947368418E-2</v>
      </c>
    </row>
    <row r="372" spans="1:9" x14ac:dyDescent="0.3">
      <c r="A372" s="35" t="s">
        <v>489</v>
      </c>
      <c r="B372" t="s">
        <v>434</v>
      </c>
      <c r="C372" s="106">
        <v>3</v>
      </c>
      <c r="D372" s="56">
        <v>45911</v>
      </c>
      <c r="E372" s="38">
        <v>6160</v>
      </c>
      <c r="F372" s="38">
        <v>5852</v>
      </c>
      <c r="G372" s="38">
        <v>308</v>
      </c>
      <c r="H372" s="38">
        <v>924</v>
      </c>
      <c r="I372" s="108">
        <v>5.2631578947368418E-2</v>
      </c>
    </row>
    <row r="373" spans="1:9" x14ac:dyDescent="0.3">
      <c r="A373" s="35" t="s">
        <v>489</v>
      </c>
      <c r="B373" t="s">
        <v>434</v>
      </c>
      <c r="C373" s="106">
        <v>4</v>
      </c>
      <c r="D373" s="56">
        <v>45918</v>
      </c>
      <c r="E373" s="38">
        <v>6160</v>
      </c>
      <c r="F373" s="38">
        <v>5852</v>
      </c>
      <c r="G373" s="38">
        <v>308</v>
      </c>
      <c r="H373" s="38">
        <v>1232</v>
      </c>
      <c r="I373" s="108">
        <v>5.2631578947368418E-2</v>
      </c>
    </row>
    <row r="374" spans="1:9" x14ac:dyDescent="0.3">
      <c r="A374" s="35" t="s">
        <v>489</v>
      </c>
      <c r="B374" t="s">
        <v>434</v>
      </c>
      <c r="C374" s="106">
        <v>5</v>
      </c>
      <c r="D374" s="56">
        <v>45925</v>
      </c>
      <c r="E374" s="38">
        <v>6160</v>
      </c>
      <c r="F374" s="38">
        <v>5852</v>
      </c>
      <c r="G374" s="38">
        <v>308</v>
      </c>
      <c r="H374" s="38">
        <v>1540</v>
      </c>
      <c r="I374" s="108">
        <v>5.2631578947368418E-2</v>
      </c>
    </row>
    <row r="375" spans="1:9" x14ac:dyDescent="0.3">
      <c r="A375" s="35" t="s">
        <v>489</v>
      </c>
      <c r="B375" t="s">
        <v>434</v>
      </c>
      <c r="C375" s="106">
        <v>6</v>
      </c>
      <c r="D375" s="56">
        <v>45932</v>
      </c>
      <c r="E375" s="38">
        <v>6170</v>
      </c>
      <c r="F375" s="38">
        <v>5852</v>
      </c>
      <c r="G375" s="38">
        <v>318</v>
      </c>
      <c r="H375" s="38">
        <v>1858</v>
      </c>
      <c r="I375" s="108">
        <v>5.4340396445659606E-2</v>
      </c>
    </row>
    <row r="376" spans="1:9" x14ac:dyDescent="0.3">
      <c r="A376" s="35" t="s">
        <v>489</v>
      </c>
      <c r="B376" t="s">
        <v>434</v>
      </c>
      <c r="C376" s="106">
        <v>7</v>
      </c>
      <c r="D376" s="56">
        <v>45939</v>
      </c>
      <c r="E376" s="38">
        <v>6160</v>
      </c>
      <c r="F376" s="38">
        <v>5852</v>
      </c>
      <c r="G376" s="38">
        <v>308</v>
      </c>
      <c r="H376" s="38">
        <v>2166</v>
      </c>
      <c r="I376" s="108">
        <v>5.2631578947368418E-2</v>
      </c>
    </row>
    <row r="377" spans="1:9" x14ac:dyDescent="0.3">
      <c r="A377" s="35" t="s">
        <v>489</v>
      </c>
      <c r="B377" t="s">
        <v>434</v>
      </c>
      <c r="C377" s="106">
        <v>8</v>
      </c>
      <c r="D377" s="56">
        <v>45946</v>
      </c>
      <c r="E377" s="38">
        <v>6200</v>
      </c>
      <c r="F377" s="38">
        <v>5852</v>
      </c>
      <c r="G377" s="38">
        <v>348</v>
      </c>
      <c r="H377" s="38">
        <v>2514</v>
      </c>
      <c r="I377" s="108">
        <v>5.9466848940533154E-2</v>
      </c>
    </row>
    <row r="378" spans="1:9" x14ac:dyDescent="0.3">
      <c r="A378" s="35" t="s">
        <v>489</v>
      </c>
      <c r="B378" t="s">
        <v>434</v>
      </c>
      <c r="C378" s="106">
        <v>9</v>
      </c>
      <c r="D378" s="56">
        <v>45953</v>
      </c>
      <c r="E378" s="38">
        <v>6170</v>
      </c>
      <c r="F378" s="38">
        <v>5852</v>
      </c>
      <c r="G378" s="38">
        <v>318</v>
      </c>
      <c r="H378" s="38">
        <v>2832</v>
      </c>
      <c r="I378" s="108">
        <v>5.4340396445659606E-2</v>
      </c>
    </row>
    <row r="379" spans="1:9" x14ac:dyDescent="0.3">
      <c r="A379" s="35" t="s">
        <v>489</v>
      </c>
      <c r="B379" t="s">
        <v>434</v>
      </c>
      <c r="C379" s="106">
        <v>10</v>
      </c>
      <c r="D379" s="56">
        <v>45960</v>
      </c>
      <c r="E379" s="38">
        <v>6160</v>
      </c>
      <c r="F379" s="38">
        <v>5832</v>
      </c>
      <c r="G379" s="38">
        <v>328</v>
      </c>
      <c r="H379" s="38">
        <v>3160</v>
      </c>
      <c r="I379" s="108">
        <v>5.6241426611796985E-2</v>
      </c>
    </row>
    <row r="380" spans="1:9" x14ac:dyDescent="0.3">
      <c r="A380" s="35" t="s">
        <v>489</v>
      </c>
      <c r="B380" t="s">
        <v>434</v>
      </c>
      <c r="C380" s="106">
        <v>11</v>
      </c>
      <c r="D380" s="56">
        <v>45960</v>
      </c>
      <c r="E380" s="38">
        <v>6160</v>
      </c>
      <c r="F380" s="38">
        <v>5832</v>
      </c>
      <c r="G380" s="38">
        <v>328</v>
      </c>
      <c r="H380" s="38">
        <v>3488</v>
      </c>
      <c r="I380" s="108">
        <v>5.6241426611796985E-2</v>
      </c>
    </row>
    <row r="381" spans="1:9" x14ac:dyDescent="0.3">
      <c r="A381" s="35" t="s">
        <v>489</v>
      </c>
      <c r="B381" t="s">
        <v>434</v>
      </c>
      <c r="C381" s="106">
        <v>12</v>
      </c>
      <c r="E381" s="38"/>
      <c r="F381" s="38"/>
      <c r="G381" s="38">
        <v>0</v>
      </c>
      <c r="H381" s="38">
        <v>3488</v>
      </c>
      <c r="I381" s="108" t="e">
        <v>#DIV/0!</v>
      </c>
    </row>
    <row r="382" spans="1:9" x14ac:dyDescent="0.3">
      <c r="A382" s="35" t="s">
        <v>489</v>
      </c>
      <c r="B382" t="s">
        <v>434</v>
      </c>
      <c r="C382" s="106">
        <v>13</v>
      </c>
      <c r="E382" s="38"/>
      <c r="F382" s="38"/>
      <c r="G382" s="38">
        <v>0</v>
      </c>
      <c r="H382" s="38">
        <v>3488</v>
      </c>
      <c r="I382" s="108" t="e">
        <v>#DIV/0!</v>
      </c>
    </row>
    <row r="383" spans="1:9" x14ac:dyDescent="0.3">
      <c r="A383" s="35" t="s">
        <v>489</v>
      </c>
      <c r="B383" t="s">
        <v>434</v>
      </c>
      <c r="C383" s="106">
        <v>14</v>
      </c>
      <c r="E383" s="38"/>
      <c r="F383" s="38"/>
      <c r="G383" s="38">
        <v>0</v>
      </c>
      <c r="H383" s="38">
        <v>3488</v>
      </c>
      <c r="I383" s="108" t="e">
        <v>#DIV/0!</v>
      </c>
    </row>
    <row r="384" spans="1:9" x14ac:dyDescent="0.3">
      <c r="A384" s="35" t="s">
        <v>489</v>
      </c>
      <c r="B384" t="s">
        <v>434</v>
      </c>
      <c r="C384" s="106">
        <v>15</v>
      </c>
      <c r="E384" s="38"/>
      <c r="F384" s="38"/>
      <c r="G384" s="38">
        <v>0</v>
      </c>
      <c r="H384" s="38">
        <v>3488</v>
      </c>
      <c r="I384" s="108" t="e">
        <v>#DIV/0!</v>
      </c>
    </row>
    <row r="385" spans="1:9" ht="15" thickBot="1" x14ac:dyDescent="0.35">
      <c r="A385" s="109" t="s">
        <v>489</v>
      </c>
      <c r="B385" s="110" t="s">
        <v>434</v>
      </c>
      <c r="C385" s="114">
        <v>16</v>
      </c>
      <c r="D385" s="110"/>
      <c r="E385" s="115"/>
      <c r="F385" s="115"/>
      <c r="G385" s="115">
        <v>0</v>
      </c>
      <c r="H385" s="115">
        <v>3488</v>
      </c>
      <c r="I385" s="110"/>
    </row>
    <row r="386" spans="1:9" x14ac:dyDescent="0.3">
      <c r="A386" s="35" t="s">
        <v>491</v>
      </c>
      <c r="B386" t="s">
        <v>436</v>
      </c>
      <c r="C386" s="106">
        <v>1</v>
      </c>
      <c r="D386" s="56">
        <v>45897</v>
      </c>
      <c r="E386" s="38">
        <v>13955</v>
      </c>
      <c r="F386" s="38">
        <v>12696</v>
      </c>
      <c r="G386" s="38">
        <v>1259</v>
      </c>
      <c r="H386" s="38">
        <v>1259</v>
      </c>
      <c r="I386" s="122">
        <v>9.9165091367359792E-2</v>
      </c>
    </row>
    <row r="387" spans="1:9" x14ac:dyDescent="0.3">
      <c r="A387" s="35" t="s">
        <v>491</v>
      </c>
      <c r="B387" t="s">
        <v>436</v>
      </c>
      <c r="C387" s="106">
        <v>2</v>
      </c>
      <c r="D387" s="56">
        <v>45905</v>
      </c>
      <c r="E387" s="38">
        <v>14045</v>
      </c>
      <c r="F387" s="38">
        <v>12696</v>
      </c>
      <c r="G387" s="38">
        <v>1349</v>
      </c>
      <c r="H387" s="38">
        <v>2608</v>
      </c>
      <c r="I387" s="108">
        <v>0.10625393824826718</v>
      </c>
    </row>
    <row r="388" spans="1:9" x14ac:dyDescent="0.3">
      <c r="A388" s="35" t="s">
        <v>491</v>
      </c>
      <c r="B388" t="s">
        <v>436</v>
      </c>
      <c r="C388" s="106">
        <v>3</v>
      </c>
      <c r="D388" s="56">
        <v>45912</v>
      </c>
      <c r="E388" s="38">
        <v>13942</v>
      </c>
      <c r="F388" s="38">
        <v>12696</v>
      </c>
      <c r="G388" s="38">
        <v>1246</v>
      </c>
      <c r="H388" s="38">
        <v>3854</v>
      </c>
      <c r="I388" s="108">
        <v>9.8141146817895403E-2</v>
      </c>
    </row>
    <row r="389" spans="1:9" x14ac:dyDescent="0.3">
      <c r="A389" s="35" t="s">
        <v>491</v>
      </c>
      <c r="B389" t="s">
        <v>436</v>
      </c>
      <c r="C389" s="106">
        <v>4</v>
      </c>
      <c r="D389" s="56">
        <v>45919</v>
      </c>
      <c r="E389" s="38">
        <v>14045</v>
      </c>
      <c r="F389" s="38">
        <v>12696</v>
      </c>
      <c r="G389" s="38">
        <v>1349</v>
      </c>
      <c r="H389" s="38">
        <v>5203</v>
      </c>
      <c r="I389" s="108">
        <v>0.10625393824826718</v>
      </c>
    </row>
    <row r="390" spans="1:9" x14ac:dyDescent="0.3">
      <c r="A390" s="35" t="s">
        <v>491</v>
      </c>
      <c r="B390" t="s">
        <v>436</v>
      </c>
      <c r="C390" s="106">
        <v>5</v>
      </c>
      <c r="D390" s="56">
        <v>45926</v>
      </c>
      <c r="E390" s="38">
        <v>14051</v>
      </c>
      <c r="F390" s="38">
        <v>12696</v>
      </c>
      <c r="G390" s="38">
        <v>1355</v>
      </c>
      <c r="H390" s="38">
        <v>6558</v>
      </c>
      <c r="I390" s="108">
        <v>0.10672652804032766</v>
      </c>
    </row>
    <row r="391" spans="1:9" x14ac:dyDescent="0.3">
      <c r="A391" s="35" t="s">
        <v>491</v>
      </c>
      <c r="B391" t="s">
        <v>436</v>
      </c>
      <c r="C391" s="106">
        <v>6</v>
      </c>
      <c r="D391" s="56">
        <v>45933</v>
      </c>
      <c r="E391" s="38">
        <v>14051</v>
      </c>
      <c r="F391" s="38">
        <v>12696</v>
      </c>
      <c r="G391" s="38">
        <v>1355</v>
      </c>
      <c r="H391" s="38">
        <v>7913</v>
      </c>
      <c r="I391" s="108">
        <v>0.10672652804032766</v>
      </c>
    </row>
    <row r="392" spans="1:9" x14ac:dyDescent="0.3">
      <c r="A392" s="35" t="s">
        <v>491</v>
      </c>
      <c r="B392" t="s">
        <v>436</v>
      </c>
      <c r="C392" s="106">
        <v>7</v>
      </c>
      <c r="D392" s="56">
        <v>45940</v>
      </c>
      <c r="E392" s="38">
        <v>14051</v>
      </c>
      <c r="F392" s="38">
        <v>12696</v>
      </c>
      <c r="G392" s="38">
        <v>1355</v>
      </c>
      <c r="H392" s="38">
        <v>9268</v>
      </c>
      <c r="I392" s="108">
        <v>0.10672652804032766</v>
      </c>
    </row>
    <row r="393" spans="1:9" x14ac:dyDescent="0.3">
      <c r="A393" s="35" t="s">
        <v>491</v>
      </c>
      <c r="B393" t="s">
        <v>436</v>
      </c>
      <c r="C393" s="106">
        <v>8</v>
      </c>
      <c r="D393" s="56">
        <v>45947</v>
      </c>
      <c r="E393" s="38">
        <v>14051</v>
      </c>
      <c r="F393" s="38">
        <v>12693</v>
      </c>
      <c r="G393" s="38">
        <v>1358</v>
      </c>
      <c r="H393" s="38">
        <v>10626</v>
      </c>
      <c r="I393" s="108">
        <v>0.10698810367919326</v>
      </c>
    </row>
    <row r="394" spans="1:9" x14ac:dyDescent="0.3">
      <c r="A394" s="35" t="s">
        <v>491</v>
      </c>
      <c r="B394" t="s">
        <v>436</v>
      </c>
      <c r="C394" s="106">
        <v>9</v>
      </c>
      <c r="D394" s="56">
        <v>45954</v>
      </c>
      <c r="E394" s="38">
        <v>13864</v>
      </c>
      <c r="F394" s="38">
        <v>12693</v>
      </c>
      <c r="G394" s="38">
        <v>1171</v>
      </c>
      <c r="H394" s="38">
        <v>11797</v>
      </c>
      <c r="I394" s="108">
        <v>9.2255573938391233E-2</v>
      </c>
    </row>
    <row r="395" spans="1:9" x14ac:dyDescent="0.3">
      <c r="A395" s="35" t="s">
        <v>491</v>
      </c>
      <c r="B395" t="s">
        <v>436</v>
      </c>
      <c r="C395" s="106">
        <v>10</v>
      </c>
      <c r="D395" s="56">
        <v>45961</v>
      </c>
      <c r="E395" s="38">
        <v>13351</v>
      </c>
      <c r="F395" s="38">
        <v>12696</v>
      </c>
      <c r="G395" s="38">
        <v>655</v>
      </c>
      <c r="H395" s="38">
        <v>12452</v>
      </c>
      <c r="I395" s="108">
        <v>5.159105229993699E-2</v>
      </c>
    </row>
    <row r="396" spans="1:9" x14ac:dyDescent="0.3">
      <c r="A396" s="35" t="s">
        <v>491</v>
      </c>
      <c r="B396" t="s">
        <v>436</v>
      </c>
      <c r="C396" s="106">
        <v>11</v>
      </c>
      <c r="E396" s="38"/>
      <c r="F396" s="38"/>
      <c r="G396" s="38">
        <v>0</v>
      </c>
      <c r="H396" s="38">
        <v>12452</v>
      </c>
      <c r="I396" s="108" t="e">
        <v>#DIV/0!</v>
      </c>
    </row>
    <row r="397" spans="1:9" x14ac:dyDescent="0.3">
      <c r="A397" s="35" t="s">
        <v>491</v>
      </c>
      <c r="B397" t="s">
        <v>436</v>
      </c>
      <c r="C397" s="106">
        <v>12</v>
      </c>
      <c r="E397" s="38"/>
      <c r="F397" s="38"/>
      <c r="G397" s="38">
        <v>0</v>
      </c>
      <c r="H397" s="38">
        <v>12452</v>
      </c>
      <c r="I397" s="108" t="e">
        <v>#DIV/0!</v>
      </c>
    </row>
    <row r="398" spans="1:9" x14ac:dyDescent="0.3">
      <c r="A398" s="35" t="s">
        <v>491</v>
      </c>
      <c r="B398" t="s">
        <v>436</v>
      </c>
      <c r="C398" s="106">
        <v>13</v>
      </c>
      <c r="E398" s="38"/>
      <c r="F398" s="38"/>
      <c r="G398" s="38">
        <v>0</v>
      </c>
      <c r="H398" s="38">
        <v>12452</v>
      </c>
      <c r="I398" s="108" t="e">
        <v>#DIV/0!</v>
      </c>
    </row>
    <row r="399" spans="1:9" x14ac:dyDescent="0.3">
      <c r="A399" s="35" t="s">
        <v>491</v>
      </c>
      <c r="B399" t="s">
        <v>436</v>
      </c>
      <c r="C399" s="106">
        <v>14</v>
      </c>
      <c r="E399" s="38"/>
      <c r="F399" s="38"/>
      <c r="G399" s="38">
        <v>0</v>
      </c>
      <c r="H399" s="38">
        <v>12452</v>
      </c>
      <c r="I399" s="108" t="e">
        <v>#DIV/0!</v>
      </c>
    </row>
    <row r="400" spans="1:9" x14ac:dyDescent="0.3">
      <c r="A400" s="35" t="s">
        <v>491</v>
      </c>
      <c r="B400" t="s">
        <v>436</v>
      </c>
      <c r="C400" s="106">
        <v>15</v>
      </c>
      <c r="E400" s="38"/>
      <c r="F400" s="38"/>
      <c r="G400" s="38">
        <v>0</v>
      </c>
      <c r="H400" s="38">
        <v>12452</v>
      </c>
      <c r="I400" s="108" t="e">
        <v>#DIV/0!</v>
      </c>
    </row>
    <row r="401" spans="1:9" ht="15" thickBot="1" x14ac:dyDescent="0.35">
      <c r="A401" s="109" t="s">
        <v>491</v>
      </c>
      <c r="B401" s="110" t="s">
        <v>436</v>
      </c>
      <c r="C401" s="114">
        <v>16</v>
      </c>
      <c r="D401" s="110"/>
      <c r="E401" s="115"/>
      <c r="F401" s="115"/>
      <c r="G401" s="115">
        <v>0</v>
      </c>
      <c r="H401" s="115">
        <v>12452</v>
      </c>
      <c r="I401" s="110"/>
    </row>
    <row r="402" spans="1:9" x14ac:dyDescent="0.3">
      <c r="A402" s="35" t="s">
        <v>503</v>
      </c>
      <c r="B402" t="s">
        <v>429</v>
      </c>
      <c r="C402" s="106">
        <v>1</v>
      </c>
      <c r="D402" s="56">
        <v>45898</v>
      </c>
      <c r="E402" s="38">
        <v>5681</v>
      </c>
      <c r="F402" s="38">
        <v>5321</v>
      </c>
      <c r="G402" s="38">
        <v>360</v>
      </c>
      <c r="H402" s="38">
        <v>360</v>
      </c>
      <c r="I402" s="108">
        <v>6.7656455553467387E-2</v>
      </c>
    </row>
    <row r="403" spans="1:9" x14ac:dyDescent="0.3">
      <c r="A403" s="35" t="s">
        <v>503</v>
      </c>
      <c r="B403" t="s">
        <v>429</v>
      </c>
      <c r="C403" s="106">
        <v>2</v>
      </c>
      <c r="D403" s="56">
        <v>45905</v>
      </c>
      <c r="E403" s="38">
        <v>5681</v>
      </c>
      <c r="F403" s="38">
        <v>5324</v>
      </c>
      <c r="G403" s="38">
        <v>357</v>
      </c>
      <c r="H403" s="38">
        <v>717</v>
      </c>
      <c r="I403" s="108">
        <v>6.7054845980465821E-2</v>
      </c>
    </row>
    <row r="404" spans="1:9" x14ac:dyDescent="0.3">
      <c r="A404" s="35" t="s">
        <v>503</v>
      </c>
      <c r="B404" t="s">
        <v>429</v>
      </c>
      <c r="C404" s="106">
        <v>3</v>
      </c>
      <c r="D404" s="56">
        <v>45912</v>
      </c>
      <c r="E404" s="38">
        <v>5681</v>
      </c>
      <c r="F404" s="38">
        <v>5324</v>
      </c>
      <c r="G404" s="38">
        <v>357</v>
      </c>
      <c r="H404" s="38">
        <v>1074</v>
      </c>
      <c r="I404" s="108">
        <v>6.7054845980465821E-2</v>
      </c>
    </row>
    <row r="405" spans="1:9" x14ac:dyDescent="0.3">
      <c r="A405" s="35" t="s">
        <v>503</v>
      </c>
      <c r="B405" t="s">
        <v>429</v>
      </c>
      <c r="C405" s="106">
        <v>4</v>
      </c>
      <c r="D405" s="56">
        <v>45919</v>
      </c>
      <c r="E405" s="38">
        <v>5681</v>
      </c>
      <c r="F405" s="38">
        <v>5324</v>
      </c>
      <c r="G405" s="38">
        <v>357</v>
      </c>
      <c r="H405" s="38">
        <v>1431</v>
      </c>
      <c r="I405" s="108">
        <v>6.7054845980465821E-2</v>
      </c>
    </row>
    <row r="406" spans="1:9" x14ac:dyDescent="0.3">
      <c r="A406" s="35" t="s">
        <v>503</v>
      </c>
      <c r="B406" t="s">
        <v>429</v>
      </c>
      <c r="C406" s="106">
        <v>5</v>
      </c>
      <c r="D406" s="56">
        <v>45926</v>
      </c>
      <c r="E406" s="38">
        <v>5681</v>
      </c>
      <c r="F406" s="38">
        <v>5324</v>
      </c>
      <c r="G406" s="38">
        <v>357</v>
      </c>
      <c r="H406" s="38">
        <v>1788</v>
      </c>
      <c r="I406" s="108">
        <v>6.7054845980465821E-2</v>
      </c>
    </row>
    <row r="407" spans="1:9" x14ac:dyDescent="0.3">
      <c r="A407" s="35" t="s">
        <v>503</v>
      </c>
      <c r="B407" t="s">
        <v>429</v>
      </c>
      <c r="C407" s="106">
        <v>6</v>
      </c>
      <c r="D407" s="56">
        <v>45933</v>
      </c>
      <c r="E407" s="38">
        <v>5681</v>
      </c>
      <c r="F407" s="38">
        <v>5324</v>
      </c>
      <c r="G407" s="38">
        <v>357</v>
      </c>
      <c r="H407" s="38">
        <v>2145</v>
      </c>
      <c r="I407" s="108">
        <v>6.7054845980465821E-2</v>
      </c>
    </row>
    <row r="408" spans="1:9" x14ac:dyDescent="0.3">
      <c r="A408" s="35" t="s">
        <v>503</v>
      </c>
      <c r="B408" t="s">
        <v>429</v>
      </c>
      <c r="C408" s="106">
        <v>7</v>
      </c>
      <c r="D408" s="56">
        <v>45940</v>
      </c>
      <c r="E408" s="38">
        <v>5681</v>
      </c>
      <c r="F408" s="38">
        <v>5321</v>
      </c>
      <c r="G408" s="38">
        <v>360</v>
      </c>
      <c r="H408" s="38">
        <v>2505</v>
      </c>
      <c r="I408" s="108">
        <v>6.7656455553467387E-2</v>
      </c>
    </row>
    <row r="409" spans="1:9" x14ac:dyDescent="0.3">
      <c r="A409" s="35" t="s">
        <v>503</v>
      </c>
      <c r="B409" t="s">
        <v>429</v>
      </c>
      <c r="C409" s="106">
        <v>8</v>
      </c>
      <c r="D409" s="56">
        <v>45947</v>
      </c>
      <c r="E409" s="38">
        <v>5681</v>
      </c>
      <c r="F409" s="38">
        <v>5324</v>
      </c>
      <c r="G409" s="38">
        <v>357</v>
      </c>
      <c r="H409" s="38">
        <v>2862</v>
      </c>
      <c r="I409" s="108">
        <v>6.7054845980465821E-2</v>
      </c>
    </row>
    <row r="410" spans="1:9" x14ac:dyDescent="0.3">
      <c r="A410" s="35" t="s">
        <v>503</v>
      </c>
      <c r="B410" t="s">
        <v>429</v>
      </c>
      <c r="C410" s="106">
        <v>9</v>
      </c>
      <c r="D410" s="56">
        <v>45954</v>
      </c>
      <c r="E410" s="38">
        <v>5681</v>
      </c>
      <c r="F410" s="38">
        <v>5324</v>
      </c>
      <c r="G410" s="38">
        <v>357</v>
      </c>
      <c r="H410" s="38">
        <v>3219</v>
      </c>
      <c r="I410" s="108">
        <v>6.7054845980465821E-2</v>
      </c>
    </row>
    <row r="411" spans="1:9" x14ac:dyDescent="0.3">
      <c r="A411" s="35" t="s">
        <v>503</v>
      </c>
      <c r="B411" t="s">
        <v>429</v>
      </c>
      <c r="C411" s="106">
        <v>10</v>
      </c>
      <c r="E411" s="38"/>
      <c r="F411" s="38"/>
      <c r="G411" s="38">
        <v>0</v>
      </c>
      <c r="H411" s="38">
        <v>3219</v>
      </c>
      <c r="I411" s="108" t="e">
        <v>#DIV/0!</v>
      </c>
    </row>
    <row r="412" spans="1:9" x14ac:dyDescent="0.3">
      <c r="A412" s="35" t="s">
        <v>503</v>
      </c>
      <c r="B412" t="s">
        <v>429</v>
      </c>
      <c r="C412" s="106">
        <v>11</v>
      </c>
      <c r="E412" s="38"/>
      <c r="F412" s="38"/>
      <c r="G412" s="38">
        <v>0</v>
      </c>
      <c r="H412" s="38">
        <v>3219</v>
      </c>
      <c r="I412" s="108" t="e">
        <v>#DIV/0!</v>
      </c>
    </row>
    <row r="413" spans="1:9" x14ac:dyDescent="0.3">
      <c r="A413" s="35" t="s">
        <v>503</v>
      </c>
      <c r="B413" t="s">
        <v>429</v>
      </c>
      <c r="C413" s="106">
        <v>12</v>
      </c>
      <c r="E413" s="38"/>
      <c r="F413" s="38"/>
      <c r="G413" s="38">
        <v>0</v>
      </c>
      <c r="H413" s="38">
        <v>3219</v>
      </c>
      <c r="I413" s="108" t="e">
        <v>#DIV/0!</v>
      </c>
    </row>
    <row r="414" spans="1:9" x14ac:dyDescent="0.3">
      <c r="A414" s="35" t="s">
        <v>503</v>
      </c>
      <c r="B414" t="s">
        <v>429</v>
      </c>
      <c r="C414" s="106">
        <v>13</v>
      </c>
      <c r="E414" s="38"/>
      <c r="F414" s="38"/>
      <c r="G414" s="38">
        <v>0</v>
      </c>
      <c r="H414" s="38">
        <v>3219</v>
      </c>
      <c r="I414" s="108" t="e">
        <v>#DIV/0!</v>
      </c>
    </row>
    <row r="415" spans="1:9" x14ac:dyDescent="0.3">
      <c r="A415" s="35" t="s">
        <v>503</v>
      </c>
      <c r="B415" t="s">
        <v>429</v>
      </c>
      <c r="C415" s="106">
        <v>14</v>
      </c>
      <c r="E415" s="38"/>
      <c r="F415" s="38"/>
      <c r="G415" s="38">
        <v>0</v>
      </c>
      <c r="H415" s="38">
        <v>3219</v>
      </c>
    </row>
    <row r="416" spans="1:9" x14ac:dyDescent="0.3">
      <c r="A416" s="35" t="s">
        <v>503</v>
      </c>
      <c r="B416" t="s">
        <v>429</v>
      </c>
      <c r="C416" s="106">
        <v>15</v>
      </c>
      <c r="E416" s="38"/>
      <c r="F416" s="38"/>
      <c r="G416" s="38">
        <v>0</v>
      </c>
      <c r="H416" s="38">
        <v>3219</v>
      </c>
    </row>
    <row r="417" spans="1:9" ht="15" thickBot="1" x14ac:dyDescent="0.35">
      <c r="A417" s="109" t="s">
        <v>503</v>
      </c>
      <c r="B417" s="110" t="s">
        <v>429</v>
      </c>
      <c r="C417" s="114">
        <v>16</v>
      </c>
      <c r="D417" s="110"/>
      <c r="E417" s="115"/>
      <c r="F417" s="115"/>
      <c r="G417" s="115">
        <v>0</v>
      </c>
      <c r="H417" s="115">
        <v>3219</v>
      </c>
      <c r="I417" s="110"/>
    </row>
    <row r="418" spans="1:9" x14ac:dyDescent="0.3">
      <c r="A418" s="35" t="s">
        <v>652</v>
      </c>
      <c r="B418" t="s">
        <v>506</v>
      </c>
      <c r="C418" s="106">
        <v>1</v>
      </c>
      <c r="D418" s="56">
        <v>45903</v>
      </c>
      <c r="E418" s="38">
        <v>7593</v>
      </c>
      <c r="F418" s="38">
        <v>7077</v>
      </c>
      <c r="G418" s="38">
        <v>516</v>
      </c>
      <c r="H418" s="38">
        <v>516</v>
      </c>
      <c r="I418" s="108">
        <v>7.2912250953793986E-2</v>
      </c>
    </row>
    <row r="419" spans="1:9" x14ac:dyDescent="0.3">
      <c r="A419" s="35" t="s">
        <v>652</v>
      </c>
      <c r="B419" t="s">
        <v>506</v>
      </c>
      <c r="C419" s="106">
        <v>2</v>
      </c>
      <c r="D419" s="56">
        <v>45910</v>
      </c>
      <c r="E419" s="38">
        <v>7722</v>
      </c>
      <c r="F419" s="38">
        <v>7077</v>
      </c>
      <c r="G419" s="38">
        <v>645</v>
      </c>
      <c r="H419" s="38">
        <v>1161</v>
      </c>
      <c r="I419" s="108">
        <v>9.1140313692242472E-2</v>
      </c>
    </row>
    <row r="420" spans="1:9" x14ac:dyDescent="0.3">
      <c r="A420" s="35" t="s">
        <v>652</v>
      </c>
      <c r="B420" t="s">
        <v>506</v>
      </c>
      <c r="C420" s="106">
        <v>3</v>
      </c>
      <c r="D420" s="56">
        <v>45917</v>
      </c>
      <c r="E420" s="38">
        <v>7722</v>
      </c>
      <c r="F420" s="38">
        <v>7069</v>
      </c>
      <c r="G420" s="38">
        <v>653</v>
      </c>
      <c r="H420" s="38">
        <v>1814</v>
      </c>
      <c r="I420" s="108">
        <v>9.2375159145565142E-2</v>
      </c>
    </row>
    <row r="421" spans="1:9" x14ac:dyDescent="0.3">
      <c r="A421" s="35" t="s">
        <v>652</v>
      </c>
      <c r="B421" t="s">
        <v>506</v>
      </c>
      <c r="C421" s="106">
        <v>4</v>
      </c>
      <c r="D421" s="56">
        <v>45924</v>
      </c>
      <c r="E421" s="38">
        <v>7776</v>
      </c>
      <c r="F421" s="38">
        <v>7069</v>
      </c>
      <c r="G421" s="38">
        <v>707</v>
      </c>
      <c r="H421" s="38">
        <v>2521</v>
      </c>
      <c r="I421" s="108">
        <v>0.10001414627245721</v>
      </c>
    </row>
    <row r="422" spans="1:9" x14ac:dyDescent="0.3">
      <c r="A422" s="35" t="s">
        <v>652</v>
      </c>
      <c r="B422" t="s">
        <v>506</v>
      </c>
      <c r="C422" s="106">
        <v>5</v>
      </c>
      <c r="D422" s="56">
        <v>45931</v>
      </c>
      <c r="E422" s="38">
        <v>7753</v>
      </c>
      <c r="F422" s="38">
        <v>7077</v>
      </c>
      <c r="G422" s="38">
        <v>676</v>
      </c>
      <c r="H422" s="38">
        <v>3197</v>
      </c>
      <c r="I422" s="108">
        <v>9.5520700861947153E-2</v>
      </c>
    </row>
    <row r="423" spans="1:9" x14ac:dyDescent="0.3">
      <c r="A423" s="35" t="s">
        <v>652</v>
      </c>
      <c r="B423" t="s">
        <v>506</v>
      </c>
      <c r="C423" s="106">
        <v>6</v>
      </c>
      <c r="D423" s="56">
        <v>45938</v>
      </c>
      <c r="E423" s="38">
        <v>7756</v>
      </c>
      <c r="F423" s="38">
        <v>7070</v>
      </c>
      <c r="G423" s="38">
        <v>686</v>
      </c>
      <c r="H423" s="38">
        <v>3883</v>
      </c>
      <c r="I423" s="108">
        <v>9.7029702970297033E-2</v>
      </c>
    </row>
    <row r="424" spans="1:9" x14ac:dyDescent="0.3">
      <c r="A424" s="35" t="s">
        <v>652</v>
      </c>
      <c r="B424" t="s">
        <v>506</v>
      </c>
      <c r="C424" s="106">
        <v>7</v>
      </c>
      <c r="D424" s="56">
        <v>45947</v>
      </c>
      <c r="E424" s="38">
        <v>7784</v>
      </c>
      <c r="F424" s="38">
        <v>7077</v>
      </c>
      <c r="G424" s="38">
        <v>707</v>
      </c>
      <c r="H424" s="38">
        <v>4590</v>
      </c>
      <c r="I424" s="108">
        <v>9.9901088031651833E-2</v>
      </c>
    </row>
    <row r="425" spans="1:9" x14ac:dyDescent="0.3">
      <c r="A425" s="35" t="s">
        <v>652</v>
      </c>
      <c r="B425" t="s">
        <v>506</v>
      </c>
      <c r="C425" s="106">
        <v>8</v>
      </c>
      <c r="D425" s="56">
        <v>45952</v>
      </c>
      <c r="E425" s="38">
        <v>7957</v>
      </c>
      <c r="F425" s="38">
        <v>7070</v>
      </c>
      <c r="G425" s="38">
        <v>887</v>
      </c>
      <c r="H425" s="38">
        <v>5477</v>
      </c>
      <c r="I425" s="108">
        <v>0.12545968882602546</v>
      </c>
    </row>
    <row r="426" spans="1:9" x14ac:dyDescent="0.3">
      <c r="A426" s="35" t="s">
        <v>652</v>
      </c>
      <c r="B426" t="s">
        <v>506</v>
      </c>
      <c r="C426" s="106">
        <v>9</v>
      </c>
      <c r="D426" s="56">
        <v>45959</v>
      </c>
      <c r="E426" s="38">
        <v>8073</v>
      </c>
      <c r="F426" s="38">
        <v>7077</v>
      </c>
      <c r="G426" s="38">
        <v>996</v>
      </c>
      <c r="H426" s="38">
        <v>6473</v>
      </c>
      <c r="I426" s="108">
        <v>0.1407376006782535</v>
      </c>
    </row>
    <row r="427" spans="1:9" x14ac:dyDescent="0.3">
      <c r="A427" s="35" t="s">
        <v>652</v>
      </c>
      <c r="B427" t="s">
        <v>506</v>
      </c>
      <c r="C427" s="106">
        <v>10</v>
      </c>
      <c r="E427" s="38"/>
      <c r="F427" s="38"/>
      <c r="G427" s="38">
        <v>0</v>
      </c>
      <c r="H427" s="38">
        <v>6473</v>
      </c>
      <c r="I427" s="108" t="e">
        <v>#DIV/0!</v>
      </c>
    </row>
    <row r="428" spans="1:9" x14ac:dyDescent="0.3">
      <c r="A428" s="35" t="s">
        <v>652</v>
      </c>
      <c r="B428" t="s">
        <v>506</v>
      </c>
      <c r="C428" s="106">
        <v>11</v>
      </c>
      <c r="E428" s="38"/>
      <c r="F428" s="38"/>
      <c r="G428" s="38">
        <v>0</v>
      </c>
      <c r="H428" s="38">
        <v>6473</v>
      </c>
      <c r="I428" s="108" t="e">
        <v>#DIV/0!</v>
      </c>
    </row>
    <row r="429" spans="1:9" x14ac:dyDescent="0.3">
      <c r="A429" s="35" t="s">
        <v>652</v>
      </c>
      <c r="B429" t="s">
        <v>506</v>
      </c>
      <c r="C429" s="106">
        <v>12</v>
      </c>
      <c r="E429" s="38"/>
      <c r="F429" s="38"/>
      <c r="G429" s="38">
        <v>0</v>
      </c>
      <c r="H429" s="38">
        <v>6473</v>
      </c>
    </row>
    <row r="430" spans="1:9" x14ac:dyDescent="0.3">
      <c r="A430" s="35" t="s">
        <v>652</v>
      </c>
      <c r="B430" t="s">
        <v>506</v>
      </c>
      <c r="C430" s="106">
        <v>13</v>
      </c>
      <c r="E430" s="38"/>
      <c r="F430" s="38"/>
      <c r="G430" s="38">
        <v>0</v>
      </c>
      <c r="H430" s="38">
        <v>6473</v>
      </c>
    </row>
    <row r="431" spans="1:9" x14ac:dyDescent="0.3">
      <c r="A431" s="35" t="s">
        <v>652</v>
      </c>
      <c r="B431" t="s">
        <v>506</v>
      </c>
      <c r="C431" s="106">
        <v>14</v>
      </c>
      <c r="E431" s="38"/>
      <c r="F431" s="38"/>
      <c r="G431" s="38">
        <v>0</v>
      </c>
      <c r="H431" s="38">
        <v>6473</v>
      </c>
    </row>
    <row r="432" spans="1:9" x14ac:dyDescent="0.3">
      <c r="A432" s="35" t="s">
        <v>652</v>
      </c>
      <c r="B432" t="s">
        <v>506</v>
      </c>
      <c r="C432" s="106">
        <v>15</v>
      </c>
      <c r="E432" s="38"/>
      <c r="F432" s="38"/>
      <c r="G432" s="38">
        <v>0</v>
      </c>
      <c r="H432" s="38">
        <v>6473</v>
      </c>
    </row>
    <row r="433" spans="1:9" ht="15" thickBot="1" x14ac:dyDescent="0.35">
      <c r="A433" s="109" t="s">
        <v>652</v>
      </c>
      <c r="B433" s="110" t="s">
        <v>506</v>
      </c>
      <c r="C433" s="114">
        <v>16</v>
      </c>
      <c r="D433" s="110"/>
      <c r="E433" s="115"/>
      <c r="F433" s="115"/>
      <c r="G433" s="115">
        <v>0</v>
      </c>
      <c r="H433" s="115">
        <v>6473</v>
      </c>
      <c r="I433" s="110"/>
    </row>
    <row r="434" spans="1:9" x14ac:dyDescent="0.3">
      <c r="A434" s="35" t="s">
        <v>568</v>
      </c>
      <c r="B434" t="s">
        <v>569</v>
      </c>
      <c r="C434" s="106">
        <v>1</v>
      </c>
      <c r="D434" s="56">
        <v>45902</v>
      </c>
      <c r="E434" s="38">
        <v>10394</v>
      </c>
      <c r="F434" s="38">
        <v>9804</v>
      </c>
      <c r="G434" s="38">
        <v>590</v>
      </c>
      <c r="H434" s="38">
        <v>590</v>
      </c>
      <c r="I434" s="108">
        <v>6.0179518563851488E-2</v>
      </c>
    </row>
    <row r="435" spans="1:9" x14ac:dyDescent="0.3">
      <c r="A435" s="35" t="s">
        <v>568</v>
      </c>
      <c r="B435" t="s">
        <v>569</v>
      </c>
      <c r="C435" s="106">
        <v>2</v>
      </c>
      <c r="D435" s="56">
        <v>45909</v>
      </c>
      <c r="E435" s="38">
        <v>10394</v>
      </c>
      <c r="F435" s="38">
        <v>9804</v>
      </c>
      <c r="G435" s="38">
        <v>590</v>
      </c>
      <c r="H435" s="38">
        <v>1180</v>
      </c>
      <c r="I435" s="108">
        <v>6.0179518563851488E-2</v>
      </c>
    </row>
    <row r="436" spans="1:9" x14ac:dyDescent="0.3">
      <c r="A436" s="35" t="s">
        <v>568</v>
      </c>
      <c r="B436" t="s">
        <v>569</v>
      </c>
      <c r="C436" s="106">
        <v>3</v>
      </c>
      <c r="D436" s="56">
        <v>45916</v>
      </c>
      <c r="E436" s="38">
        <v>10415</v>
      </c>
      <c r="F436" s="38">
        <v>9804</v>
      </c>
      <c r="G436" s="38">
        <v>611</v>
      </c>
      <c r="H436" s="38">
        <v>1791</v>
      </c>
      <c r="I436" s="108">
        <v>6.2321501427988577E-2</v>
      </c>
    </row>
    <row r="437" spans="1:9" x14ac:dyDescent="0.3">
      <c r="A437" s="35" t="s">
        <v>568</v>
      </c>
      <c r="B437" t="s">
        <v>569</v>
      </c>
      <c r="C437" s="106">
        <v>4</v>
      </c>
      <c r="D437" s="56">
        <v>45923</v>
      </c>
      <c r="E437" s="38">
        <v>10395</v>
      </c>
      <c r="F437" s="38">
        <v>9804</v>
      </c>
      <c r="G437" s="38">
        <v>591</v>
      </c>
      <c r="H437" s="38">
        <v>2382</v>
      </c>
      <c r="I437" s="108">
        <v>6.0281517747858018E-2</v>
      </c>
    </row>
    <row r="438" spans="1:9" x14ac:dyDescent="0.3">
      <c r="A438" s="35" t="s">
        <v>568</v>
      </c>
      <c r="B438" t="s">
        <v>569</v>
      </c>
      <c r="C438" s="106">
        <v>5</v>
      </c>
      <c r="D438" s="56">
        <v>45930</v>
      </c>
      <c r="E438" s="38">
        <v>10395</v>
      </c>
      <c r="F438" s="38">
        <v>9804</v>
      </c>
      <c r="G438" s="38">
        <v>591</v>
      </c>
      <c r="H438" s="38">
        <v>2973</v>
      </c>
      <c r="I438" s="108">
        <v>6.0281517747858018E-2</v>
      </c>
    </row>
    <row r="439" spans="1:9" x14ac:dyDescent="0.3">
      <c r="A439" s="35" t="s">
        <v>568</v>
      </c>
      <c r="B439" t="s">
        <v>569</v>
      </c>
      <c r="C439" s="106">
        <v>6</v>
      </c>
      <c r="D439" s="56">
        <v>45937</v>
      </c>
      <c r="E439" s="38">
        <v>10395</v>
      </c>
      <c r="F439" s="38">
        <v>9804</v>
      </c>
      <c r="G439" s="38">
        <v>591</v>
      </c>
      <c r="H439" s="38">
        <v>3564</v>
      </c>
      <c r="I439" s="108">
        <v>6.0281517747858018E-2</v>
      </c>
    </row>
    <row r="440" spans="1:9" x14ac:dyDescent="0.3">
      <c r="A440" s="35" t="s">
        <v>568</v>
      </c>
      <c r="B440" t="s">
        <v>569</v>
      </c>
      <c r="C440" s="106">
        <v>7</v>
      </c>
      <c r="D440" s="56">
        <v>45944</v>
      </c>
      <c r="E440" s="38">
        <v>10395</v>
      </c>
      <c r="F440" s="38">
        <v>9804</v>
      </c>
      <c r="G440" s="38">
        <v>591</v>
      </c>
      <c r="H440" s="38">
        <v>4155</v>
      </c>
      <c r="I440" s="108">
        <v>6.0281517747858018E-2</v>
      </c>
    </row>
    <row r="441" spans="1:9" x14ac:dyDescent="0.3">
      <c r="A441" s="35" t="s">
        <v>568</v>
      </c>
      <c r="B441" t="s">
        <v>569</v>
      </c>
      <c r="C441" s="106">
        <v>8</v>
      </c>
      <c r="D441" s="56">
        <v>45951</v>
      </c>
      <c r="E441" s="38">
        <v>10395</v>
      </c>
      <c r="F441" s="38">
        <v>9804</v>
      </c>
      <c r="G441" s="38">
        <v>591</v>
      </c>
      <c r="H441" s="38">
        <v>4746</v>
      </c>
      <c r="I441" s="108">
        <v>6.0281517747858018E-2</v>
      </c>
    </row>
    <row r="442" spans="1:9" x14ac:dyDescent="0.3">
      <c r="A442" s="35" t="s">
        <v>568</v>
      </c>
      <c r="B442" t="s">
        <v>569</v>
      </c>
      <c r="C442" s="106">
        <v>9</v>
      </c>
      <c r="D442" s="56">
        <v>45958</v>
      </c>
      <c r="E442" s="38">
        <v>10395</v>
      </c>
      <c r="F442" s="38">
        <v>9804</v>
      </c>
      <c r="G442" s="38">
        <v>591</v>
      </c>
      <c r="H442" s="38">
        <v>5337</v>
      </c>
      <c r="I442" s="108">
        <v>6.0281517747858018E-2</v>
      </c>
    </row>
    <row r="443" spans="1:9" x14ac:dyDescent="0.3">
      <c r="A443" s="35" t="s">
        <v>568</v>
      </c>
      <c r="B443" t="s">
        <v>569</v>
      </c>
      <c r="C443" s="106">
        <v>10</v>
      </c>
      <c r="D443" s="56"/>
      <c r="E443" s="38"/>
      <c r="F443" s="38"/>
      <c r="G443" s="38">
        <v>0</v>
      </c>
      <c r="H443" s="38">
        <v>5337</v>
      </c>
      <c r="I443" s="108" t="e">
        <v>#DIV/0!</v>
      </c>
    </row>
    <row r="444" spans="1:9" x14ac:dyDescent="0.3">
      <c r="A444" s="35" t="s">
        <v>568</v>
      </c>
      <c r="B444" t="s">
        <v>569</v>
      </c>
      <c r="C444" s="106">
        <v>11</v>
      </c>
      <c r="E444" s="38"/>
      <c r="F444" s="38"/>
      <c r="G444" s="38">
        <v>0</v>
      </c>
      <c r="H444" s="38">
        <v>5337</v>
      </c>
      <c r="I444" s="108" t="e">
        <v>#DIV/0!</v>
      </c>
    </row>
    <row r="445" spans="1:9" x14ac:dyDescent="0.3">
      <c r="A445" s="35" t="s">
        <v>568</v>
      </c>
      <c r="B445" t="s">
        <v>569</v>
      </c>
      <c r="C445" s="106">
        <v>12</v>
      </c>
      <c r="E445" s="38"/>
      <c r="F445" s="38"/>
      <c r="G445" s="38">
        <v>0</v>
      </c>
      <c r="H445" s="38">
        <v>5337</v>
      </c>
    </row>
    <row r="446" spans="1:9" x14ac:dyDescent="0.3">
      <c r="A446" s="35" t="s">
        <v>568</v>
      </c>
      <c r="B446" t="s">
        <v>569</v>
      </c>
      <c r="C446" s="106">
        <v>13</v>
      </c>
      <c r="E446" s="38"/>
      <c r="F446" s="38"/>
      <c r="G446" s="38">
        <v>0</v>
      </c>
      <c r="H446" s="38">
        <v>5337</v>
      </c>
    </row>
    <row r="447" spans="1:9" x14ac:dyDescent="0.3">
      <c r="A447" s="35" t="s">
        <v>568</v>
      </c>
      <c r="B447" t="s">
        <v>569</v>
      </c>
      <c r="C447" s="106">
        <v>14</v>
      </c>
      <c r="E447" s="38"/>
      <c r="F447" s="38"/>
      <c r="G447" s="38">
        <v>0</v>
      </c>
      <c r="H447" s="38">
        <v>5337</v>
      </c>
    </row>
    <row r="448" spans="1:9" x14ac:dyDescent="0.3">
      <c r="A448" s="35" t="s">
        <v>568</v>
      </c>
      <c r="B448" t="s">
        <v>569</v>
      </c>
      <c r="C448" s="106">
        <v>15</v>
      </c>
      <c r="E448" s="38"/>
      <c r="F448" s="38"/>
      <c r="G448" s="38">
        <v>0</v>
      </c>
      <c r="H448" s="38">
        <v>5337</v>
      </c>
    </row>
    <row r="449" spans="1:9" ht="15" thickBot="1" x14ac:dyDescent="0.35">
      <c r="A449" s="109" t="s">
        <v>568</v>
      </c>
      <c r="B449" s="110" t="s">
        <v>569</v>
      </c>
      <c r="C449" s="114">
        <v>16</v>
      </c>
      <c r="D449" s="110"/>
      <c r="E449" s="115"/>
      <c r="F449" s="115"/>
      <c r="G449" s="115">
        <v>0</v>
      </c>
      <c r="H449" s="115">
        <v>5337</v>
      </c>
      <c r="I449" s="110"/>
    </row>
    <row r="450" spans="1:9" x14ac:dyDescent="0.3">
      <c r="A450" s="35" t="s">
        <v>1098</v>
      </c>
      <c r="B450" t="s">
        <v>496</v>
      </c>
      <c r="C450" s="106">
        <v>1</v>
      </c>
      <c r="D450" s="56">
        <v>45898</v>
      </c>
      <c r="E450" s="38">
        <v>11700</v>
      </c>
      <c r="F450" s="38">
        <v>11097</v>
      </c>
      <c r="G450" s="38">
        <v>603</v>
      </c>
      <c r="H450" s="38">
        <v>603</v>
      </c>
      <c r="I450" s="108">
        <v>5.4339010543390104E-2</v>
      </c>
    </row>
    <row r="451" spans="1:9" x14ac:dyDescent="0.3">
      <c r="A451" s="35" t="s">
        <v>1098</v>
      </c>
      <c r="B451" t="s">
        <v>496</v>
      </c>
      <c r="C451" s="106">
        <v>2</v>
      </c>
      <c r="D451" s="56">
        <v>45905</v>
      </c>
      <c r="E451" s="38">
        <v>11700</v>
      </c>
      <c r="F451" s="38">
        <v>11096.11</v>
      </c>
      <c r="G451" s="38">
        <v>603.88999999999942</v>
      </c>
      <c r="H451" s="38">
        <v>1206.8899999999994</v>
      </c>
      <c r="I451" s="108">
        <v>5.4423577271674434E-2</v>
      </c>
    </row>
    <row r="452" spans="1:9" x14ac:dyDescent="0.3">
      <c r="A452" s="35" t="s">
        <v>1098</v>
      </c>
      <c r="B452" t="s">
        <v>496</v>
      </c>
      <c r="C452" s="106">
        <v>3</v>
      </c>
      <c r="D452" s="56">
        <v>45911</v>
      </c>
      <c r="E452" s="38">
        <v>11679</v>
      </c>
      <c r="F452" s="38">
        <v>11096.11</v>
      </c>
      <c r="G452" s="38">
        <v>582.88999999999942</v>
      </c>
      <c r="H452" s="38">
        <v>1789.7799999999988</v>
      </c>
      <c r="I452" s="108">
        <v>5.2531022132981685E-2</v>
      </c>
    </row>
    <row r="453" spans="1:9" x14ac:dyDescent="0.3">
      <c r="A453" s="35" t="s">
        <v>1098</v>
      </c>
      <c r="B453" t="s">
        <v>496</v>
      </c>
      <c r="C453" s="106">
        <v>4</v>
      </c>
      <c r="D453" s="56">
        <v>45918</v>
      </c>
      <c r="E453" s="38">
        <v>11679</v>
      </c>
      <c r="F453" s="38">
        <v>11096.11</v>
      </c>
      <c r="G453" s="38">
        <v>582.88999999999942</v>
      </c>
      <c r="H453" s="38">
        <v>2372.6699999999983</v>
      </c>
      <c r="I453" s="108">
        <v>5.2531022132981685E-2</v>
      </c>
    </row>
    <row r="454" spans="1:9" x14ac:dyDescent="0.3">
      <c r="A454" s="35" t="s">
        <v>1098</v>
      </c>
      <c r="B454" t="s">
        <v>496</v>
      </c>
      <c r="C454" s="106">
        <v>5</v>
      </c>
      <c r="D454" s="56">
        <v>45926</v>
      </c>
      <c r="E454" s="38">
        <v>11679</v>
      </c>
      <c r="F454" s="38">
        <v>11096.11</v>
      </c>
      <c r="G454" s="38">
        <v>582.88999999999942</v>
      </c>
      <c r="H454" s="38">
        <v>2955.5599999999977</v>
      </c>
      <c r="I454" s="108">
        <v>5.2531022132981685E-2</v>
      </c>
    </row>
    <row r="455" spans="1:9" x14ac:dyDescent="0.3">
      <c r="A455" s="35" t="s">
        <v>1098</v>
      </c>
      <c r="B455" t="s">
        <v>496</v>
      </c>
      <c r="C455" s="106">
        <v>6</v>
      </c>
      <c r="D455" s="56">
        <v>45933</v>
      </c>
      <c r="E455" s="38">
        <v>11679</v>
      </c>
      <c r="F455" s="38">
        <v>11096.11</v>
      </c>
      <c r="G455" s="38">
        <v>582.88999999999942</v>
      </c>
      <c r="H455" s="38">
        <v>3538.4499999999971</v>
      </c>
      <c r="I455" s="108">
        <v>5.2531022132981685E-2</v>
      </c>
    </row>
    <row r="456" spans="1:9" x14ac:dyDescent="0.3">
      <c r="A456" s="35" t="s">
        <v>1098</v>
      </c>
      <c r="B456" t="s">
        <v>496</v>
      </c>
      <c r="C456" s="106">
        <v>7</v>
      </c>
      <c r="D456" s="56">
        <v>45940</v>
      </c>
      <c r="E456" s="38">
        <v>11679</v>
      </c>
      <c r="F456" s="38">
        <v>11096.11</v>
      </c>
      <c r="G456" s="38">
        <v>582.88999999999942</v>
      </c>
      <c r="H456" s="38">
        <v>4121.3399999999965</v>
      </c>
      <c r="I456" s="108">
        <v>5.2531022132981685E-2</v>
      </c>
    </row>
    <row r="457" spans="1:9" x14ac:dyDescent="0.3">
      <c r="A457" s="35" t="s">
        <v>1098</v>
      </c>
      <c r="B457" t="s">
        <v>496</v>
      </c>
      <c r="C457" s="106">
        <v>8</v>
      </c>
      <c r="D457" s="56">
        <v>45947</v>
      </c>
      <c r="E457" s="38">
        <v>11679</v>
      </c>
      <c r="F457" s="38">
        <v>11096.11</v>
      </c>
      <c r="G457" s="38">
        <v>582.88999999999942</v>
      </c>
      <c r="H457" s="38">
        <v>4704.2299999999959</v>
      </c>
      <c r="I457" s="108">
        <v>5.2531022132981685E-2</v>
      </c>
    </row>
    <row r="458" spans="1:9" x14ac:dyDescent="0.3">
      <c r="A458" s="35" t="s">
        <v>1098</v>
      </c>
      <c r="B458" t="s">
        <v>496</v>
      </c>
      <c r="C458" s="106">
        <v>9</v>
      </c>
      <c r="D458" s="56">
        <v>45954</v>
      </c>
      <c r="E458" s="38">
        <v>11679</v>
      </c>
      <c r="F458" s="38">
        <v>11096.11</v>
      </c>
      <c r="G458" s="38">
        <v>582.88999999999942</v>
      </c>
      <c r="H458" s="38">
        <v>5287.1199999999953</v>
      </c>
      <c r="I458" s="108">
        <v>5.2531022132981685E-2</v>
      </c>
    </row>
    <row r="459" spans="1:9" x14ac:dyDescent="0.3">
      <c r="A459" s="35" t="s">
        <v>1098</v>
      </c>
      <c r="B459" t="s">
        <v>496</v>
      </c>
      <c r="C459" s="106">
        <v>10</v>
      </c>
      <c r="E459" s="38"/>
      <c r="F459" s="38"/>
      <c r="G459" s="38">
        <v>0</v>
      </c>
      <c r="H459" s="38">
        <v>5287.1199999999953</v>
      </c>
      <c r="I459" s="108" t="e">
        <v>#DIV/0!</v>
      </c>
    </row>
    <row r="460" spans="1:9" x14ac:dyDescent="0.3">
      <c r="A460" s="35" t="s">
        <v>1098</v>
      </c>
      <c r="B460" t="s">
        <v>496</v>
      </c>
      <c r="C460" s="106">
        <v>11</v>
      </c>
      <c r="E460" s="38"/>
      <c r="F460" s="38"/>
      <c r="G460" s="38">
        <v>0</v>
      </c>
      <c r="H460" s="38">
        <v>5287.1199999999953</v>
      </c>
    </row>
    <row r="461" spans="1:9" x14ac:dyDescent="0.3">
      <c r="A461" s="35" t="s">
        <v>1098</v>
      </c>
      <c r="B461" t="s">
        <v>496</v>
      </c>
      <c r="C461" s="106">
        <v>12</v>
      </c>
      <c r="E461" s="38"/>
      <c r="F461" s="38"/>
      <c r="G461" s="38">
        <v>0</v>
      </c>
      <c r="H461" s="38">
        <v>5287.1199999999953</v>
      </c>
    </row>
    <row r="462" spans="1:9" x14ac:dyDescent="0.3">
      <c r="A462" s="35" t="s">
        <v>1098</v>
      </c>
      <c r="B462" t="s">
        <v>496</v>
      </c>
      <c r="C462" s="106">
        <v>13</v>
      </c>
      <c r="E462" s="38"/>
      <c r="F462" s="38"/>
      <c r="G462" s="38">
        <v>0</v>
      </c>
      <c r="H462" s="38">
        <v>5287.1199999999953</v>
      </c>
    </row>
    <row r="463" spans="1:9" x14ac:dyDescent="0.3">
      <c r="A463" s="35" t="s">
        <v>1098</v>
      </c>
      <c r="B463" t="s">
        <v>496</v>
      </c>
      <c r="C463" s="106">
        <v>14</v>
      </c>
      <c r="E463" s="38"/>
      <c r="F463" s="38"/>
      <c r="G463" s="38">
        <v>0</v>
      </c>
      <c r="H463" s="38">
        <v>5287.1199999999953</v>
      </c>
    </row>
    <row r="464" spans="1:9" x14ac:dyDescent="0.3">
      <c r="A464" s="35" t="s">
        <v>1098</v>
      </c>
      <c r="B464" t="s">
        <v>496</v>
      </c>
      <c r="C464" s="106">
        <v>15</v>
      </c>
      <c r="E464" s="38"/>
      <c r="F464" s="38"/>
      <c r="G464" s="38">
        <v>0</v>
      </c>
      <c r="H464" s="38">
        <v>5287.1199999999953</v>
      </c>
    </row>
    <row r="465" spans="1:9" ht="15" thickBot="1" x14ac:dyDescent="0.35">
      <c r="A465" s="109" t="s">
        <v>1098</v>
      </c>
      <c r="B465" s="110" t="s">
        <v>496</v>
      </c>
      <c r="C465" s="114">
        <v>16</v>
      </c>
      <c r="D465" s="110"/>
      <c r="E465" s="115"/>
      <c r="F465" s="115"/>
      <c r="G465" s="115">
        <v>0</v>
      </c>
      <c r="H465" s="115">
        <v>5287.1199999999953</v>
      </c>
      <c r="I465" s="110"/>
    </row>
    <row r="466" spans="1:9" x14ac:dyDescent="0.3">
      <c r="A466" s="35" t="s">
        <v>605</v>
      </c>
      <c r="B466" t="s">
        <v>606</v>
      </c>
      <c r="C466" s="106">
        <v>1</v>
      </c>
      <c r="D466" s="56">
        <v>45902</v>
      </c>
      <c r="E466" s="38">
        <v>4606</v>
      </c>
      <c r="F466" s="38">
        <v>4332.04</v>
      </c>
      <c r="G466" s="38">
        <v>273.96000000000004</v>
      </c>
      <c r="H466" s="38">
        <v>273.96000000000004</v>
      </c>
      <c r="I466" s="108">
        <v>6.3240413292582717E-2</v>
      </c>
    </row>
    <row r="467" spans="1:9" x14ac:dyDescent="0.3">
      <c r="A467" s="35" t="s">
        <v>605</v>
      </c>
      <c r="B467" t="s">
        <v>606</v>
      </c>
      <c r="C467" s="106">
        <v>2</v>
      </c>
      <c r="D467" s="56">
        <v>45909</v>
      </c>
      <c r="E467" s="38">
        <v>4551</v>
      </c>
      <c r="F467" s="38">
        <v>4332.04</v>
      </c>
      <c r="G467" s="38">
        <v>218.96000000000004</v>
      </c>
      <c r="H467" s="38">
        <v>492.92000000000007</v>
      </c>
      <c r="I467" s="108">
        <v>5.0544316303635248E-2</v>
      </c>
    </row>
    <row r="468" spans="1:9" x14ac:dyDescent="0.3">
      <c r="A468" s="35" t="s">
        <v>605</v>
      </c>
      <c r="B468" t="s">
        <v>606</v>
      </c>
      <c r="C468" s="106">
        <v>3</v>
      </c>
      <c r="D468" s="56">
        <v>45916</v>
      </c>
      <c r="E468" s="38">
        <v>4574</v>
      </c>
      <c r="F468" s="38">
        <v>4332.04</v>
      </c>
      <c r="G468" s="38">
        <v>241.96000000000004</v>
      </c>
      <c r="H468" s="38">
        <v>734.88000000000011</v>
      </c>
      <c r="I468" s="108">
        <v>5.5853593226286011E-2</v>
      </c>
    </row>
    <row r="469" spans="1:9" x14ac:dyDescent="0.3">
      <c r="A469" s="35" t="s">
        <v>605</v>
      </c>
      <c r="B469" t="s">
        <v>606</v>
      </c>
      <c r="C469" s="106">
        <v>4</v>
      </c>
      <c r="D469" s="56">
        <v>45923</v>
      </c>
      <c r="E469" s="38">
        <v>4550</v>
      </c>
      <c r="F469" s="38">
        <v>4332.04</v>
      </c>
      <c r="G469" s="38">
        <v>217.96000000000004</v>
      </c>
      <c r="H469" s="38">
        <v>952.84000000000015</v>
      </c>
      <c r="I469" s="108">
        <v>5.0313478176563474E-2</v>
      </c>
    </row>
    <row r="470" spans="1:9" x14ac:dyDescent="0.3">
      <c r="A470" s="35" t="s">
        <v>605</v>
      </c>
      <c r="B470" t="s">
        <v>606</v>
      </c>
      <c r="C470" s="106">
        <v>5</v>
      </c>
      <c r="D470" s="56">
        <v>45930</v>
      </c>
      <c r="E470" s="38">
        <v>4550</v>
      </c>
      <c r="F470" s="38">
        <v>4332.04</v>
      </c>
      <c r="G470" s="38">
        <v>217.96000000000004</v>
      </c>
      <c r="H470" s="38">
        <v>1170.8000000000002</v>
      </c>
      <c r="I470" s="108">
        <v>5.0313478176563474E-2</v>
      </c>
    </row>
    <row r="471" spans="1:9" x14ac:dyDescent="0.3">
      <c r="A471" s="35" t="s">
        <v>605</v>
      </c>
      <c r="B471" t="s">
        <v>606</v>
      </c>
      <c r="C471" s="106">
        <v>6</v>
      </c>
      <c r="D471" s="56">
        <v>45937</v>
      </c>
      <c r="E471" s="38">
        <v>4550</v>
      </c>
      <c r="F471" s="38">
        <v>4332.04</v>
      </c>
      <c r="G471" s="38">
        <v>217.96000000000004</v>
      </c>
      <c r="H471" s="38">
        <v>1388.7600000000002</v>
      </c>
      <c r="I471" s="108">
        <v>5.0313478176563474E-2</v>
      </c>
    </row>
    <row r="472" spans="1:9" x14ac:dyDescent="0.3">
      <c r="A472" s="35" t="s">
        <v>605</v>
      </c>
      <c r="B472" t="s">
        <v>606</v>
      </c>
      <c r="C472" s="106">
        <v>7</v>
      </c>
      <c r="D472" s="56">
        <v>45944</v>
      </c>
      <c r="E472" s="38">
        <v>4550</v>
      </c>
      <c r="F472" s="38">
        <v>4332.04</v>
      </c>
      <c r="G472" s="38">
        <v>217.96000000000004</v>
      </c>
      <c r="H472" s="38">
        <v>1606.7200000000003</v>
      </c>
      <c r="I472" s="108">
        <v>5.0313478176563474E-2</v>
      </c>
    </row>
    <row r="473" spans="1:9" x14ac:dyDescent="0.3">
      <c r="A473" s="35" t="s">
        <v>605</v>
      </c>
      <c r="B473" t="s">
        <v>606</v>
      </c>
      <c r="C473" s="106">
        <v>8</v>
      </c>
      <c r="D473" s="56">
        <v>45951</v>
      </c>
      <c r="E473" s="38">
        <v>4550</v>
      </c>
      <c r="F473" s="38">
        <v>4332.04</v>
      </c>
      <c r="G473" s="38">
        <v>217.96000000000004</v>
      </c>
      <c r="H473" s="38">
        <v>1824.6800000000003</v>
      </c>
      <c r="I473" s="108">
        <v>5.0313478176563474E-2</v>
      </c>
    </row>
    <row r="474" spans="1:9" x14ac:dyDescent="0.3">
      <c r="A474" s="35" t="s">
        <v>605</v>
      </c>
      <c r="B474" t="s">
        <v>606</v>
      </c>
      <c r="C474" s="106">
        <v>9</v>
      </c>
      <c r="D474" s="56">
        <v>45958</v>
      </c>
      <c r="E474" s="38">
        <v>4550</v>
      </c>
      <c r="F474" s="38">
        <v>4332.04</v>
      </c>
      <c r="G474" s="38">
        <v>217.96000000000004</v>
      </c>
      <c r="H474" s="38">
        <v>2042.6400000000003</v>
      </c>
      <c r="I474" s="108">
        <v>5.0313478176563474E-2</v>
      </c>
    </row>
    <row r="475" spans="1:9" x14ac:dyDescent="0.3">
      <c r="A475" s="35" t="s">
        <v>605</v>
      </c>
      <c r="B475" t="s">
        <v>606</v>
      </c>
      <c r="C475" s="106">
        <v>10</v>
      </c>
      <c r="E475" s="38"/>
      <c r="F475" s="38"/>
      <c r="G475" s="38">
        <v>0</v>
      </c>
      <c r="H475" s="38">
        <v>2042.6400000000003</v>
      </c>
      <c r="I475" s="108" t="e">
        <v>#DIV/0!</v>
      </c>
    </row>
    <row r="476" spans="1:9" x14ac:dyDescent="0.3">
      <c r="A476" s="35" t="s">
        <v>605</v>
      </c>
      <c r="B476" t="s">
        <v>606</v>
      </c>
      <c r="C476" s="106">
        <v>11</v>
      </c>
      <c r="E476" s="38"/>
      <c r="F476" s="38"/>
      <c r="G476" s="38">
        <v>0</v>
      </c>
      <c r="H476" s="38">
        <v>2042.6400000000003</v>
      </c>
      <c r="I476" s="108" t="e">
        <v>#DIV/0!</v>
      </c>
    </row>
    <row r="477" spans="1:9" x14ac:dyDescent="0.3">
      <c r="A477" s="35" t="s">
        <v>605</v>
      </c>
      <c r="B477" t="s">
        <v>606</v>
      </c>
      <c r="C477" s="106">
        <v>12</v>
      </c>
      <c r="E477" s="38"/>
      <c r="F477" s="38"/>
      <c r="G477" s="38">
        <v>0</v>
      </c>
      <c r="H477" s="38">
        <v>2042.6400000000003</v>
      </c>
      <c r="I477" s="108" t="e">
        <v>#DIV/0!</v>
      </c>
    </row>
    <row r="478" spans="1:9" x14ac:dyDescent="0.3">
      <c r="A478" s="35" t="s">
        <v>605</v>
      </c>
      <c r="B478" t="s">
        <v>606</v>
      </c>
      <c r="C478" s="106">
        <v>13</v>
      </c>
      <c r="E478" s="38"/>
      <c r="F478" s="38"/>
      <c r="G478" s="38">
        <v>0</v>
      </c>
      <c r="H478" s="38">
        <v>2042.6400000000003</v>
      </c>
    </row>
    <row r="479" spans="1:9" x14ac:dyDescent="0.3">
      <c r="A479" s="35" t="s">
        <v>605</v>
      </c>
      <c r="B479" t="s">
        <v>606</v>
      </c>
      <c r="C479" s="106">
        <v>14</v>
      </c>
      <c r="E479" s="38"/>
      <c r="F479" s="38"/>
      <c r="G479" s="38">
        <v>0</v>
      </c>
      <c r="H479" s="38">
        <v>2042.6400000000003</v>
      </c>
    </row>
    <row r="480" spans="1:9" x14ac:dyDescent="0.3">
      <c r="A480" s="35" t="s">
        <v>605</v>
      </c>
      <c r="B480" t="s">
        <v>606</v>
      </c>
      <c r="C480" s="106">
        <v>15</v>
      </c>
      <c r="E480" s="38"/>
      <c r="F480" s="38"/>
      <c r="G480" s="38">
        <v>0</v>
      </c>
      <c r="H480" s="38">
        <v>2042.6400000000003</v>
      </c>
    </row>
    <row r="481" spans="1:9" ht="15" thickBot="1" x14ac:dyDescent="0.35">
      <c r="A481" s="109" t="s">
        <v>605</v>
      </c>
      <c r="B481" s="110" t="s">
        <v>606</v>
      </c>
      <c r="C481" s="114">
        <v>16</v>
      </c>
      <c r="D481" s="110"/>
      <c r="E481" s="115"/>
      <c r="F481" s="115"/>
      <c r="G481" s="115">
        <v>0</v>
      </c>
      <c r="H481" s="115">
        <v>2042.6400000000003</v>
      </c>
      <c r="I481" s="110"/>
    </row>
    <row r="482" spans="1:9" x14ac:dyDescent="0.3">
      <c r="A482" s="35" t="s">
        <v>595</v>
      </c>
      <c r="B482" t="s">
        <v>596</v>
      </c>
      <c r="C482" s="106">
        <v>1</v>
      </c>
      <c r="D482" s="56">
        <v>45902</v>
      </c>
      <c r="E482" s="38">
        <v>9589</v>
      </c>
      <c r="F482" s="38">
        <v>9120</v>
      </c>
      <c r="G482" s="38">
        <v>469</v>
      </c>
      <c r="H482" s="38">
        <v>469</v>
      </c>
      <c r="I482" s="108">
        <v>5.1425438596491228E-2</v>
      </c>
    </row>
    <row r="483" spans="1:9" x14ac:dyDescent="0.3">
      <c r="A483" s="35" t="s">
        <v>595</v>
      </c>
      <c r="B483" t="s">
        <v>596</v>
      </c>
      <c r="C483" s="106">
        <v>2</v>
      </c>
      <c r="D483" s="56">
        <v>45909</v>
      </c>
      <c r="E483" s="38">
        <v>9589</v>
      </c>
      <c r="F483" s="38">
        <v>9120</v>
      </c>
      <c r="G483" s="38">
        <v>469</v>
      </c>
      <c r="H483" s="38">
        <v>938</v>
      </c>
      <c r="I483" s="108">
        <v>5.1425438596491228E-2</v>
      </c>
    </row>
    <row r="484" spans="1:9" x14ac:dyDescent="0.3">
      <c r="A484" s="35" t="s">
        <v>595</v>
      </c>
      <c r="B484" t="s">
        <v>596</v>
      </c>
      <c r="C484" s="106">
        <v>3</v>
      </c>
      <c r="D484" s="56">
        <v>45915</v>
      </c>
      <c r="E484" s="38">
        <v>9589</v>
      </c>
      <c r="F484" s="38">
        <v>9120</v>
      </c>
      <c r="G484" s="38">
        <v>469</v>
      </c>
      <c r="H484" s="38">
        <v>1407</v>
      </c>
      <c r="I484" s="108">
        <v>5.1425438596491228E-2</v>
      </c>
    </row>
    <row r="485" spans="1:9" x14ac:dyDescent="0.3">
      <c r="A485" s="35" t="s">
        <v>595</v>
      </c>
      <c r="B485" t="s">
        <v>596</v>
      </c>
      <c r="C485" s="106">
        <v>4</v>
      </c>
      <c r="D485" s="56">
        <v>45923</v>
      </c>
      <c r="E485" s="38">
        <v>9589</v>
      </c>
      <c r="F485" s="38">
        <v>9120</v>
      </c>
      <c r="G485" s="38">
        <v>469</v>
      </c>
      <c r="H485" s="38">
        <v>1876</v>
      </c>
      <c r="I485" s="108">
        <v>5.1425438596491228E-2</v>
      </c>
    </row>
    <row r="486" spans="1:9" x14ac:dyDescent="0.3">
      <c r="A486" s="35" t="s">
        <v>595</v>
      </c>
      <c r="B486" t="s">
        <v>596</v>
      </c>
      <c r="C486" s="106">
        <v>5</v>
      </c>
      <c r="D486" s="56">
        <v>45930</v>
      </c>
      <c r="E486" s="38">
        <v>9589</v>
      </c>
      <c r="F486" s="38">
        <v>9120</v>
      </c>
      <c r="G486" s="38">
        <v>469</v>
      </c>
      <c r="H486" s="38">
        <v>2345</v>
      </c>
      <c r="I486" s="108">
        <v>5.1425438596491228E-2</v>
      </c>
    </row>
    <row r="487" spans="1:9" x14ac:dyDescent="0.3">
      <c r="A487" s="35" t="s">
        <v>595</v>
      </c>
      <c r="B487" t="s">
        <v>596</v>
      </c>
      <c r="C487" s="106">
        <v>6</v>
      </c>
      <c r="D487" s="56">
        <v>45937</v>
      </c>
      <c r="E487" s="38">
        <v>9589</v>
      </c>
      <c r="F487" s="38">
        <v>9120</v>
      </c>
      <c r="G487" s="38">
        <v>469</v>
      </c>
      <c r="H487" s="38">
        <v>2814</v>
      </c>
      <c r="I487" s="108">
        <v>5.1425438596491228E-2</v>
      </c>
    </row>
    <row r="488" spans="1:9" x14ac:dyDescent="0.3">
      <c r="A488" s="35" t="s">
        <v>595</v>
      </c>
      <c r="B488" t="s">
        <v>596</v>
      </c>
      <c r="C488" s="106">
        <v>7</v>
      </c>
      <c r="D488" s="56">
        <v>45944</v>
      </c>
      <c r="E488" s="38">
        <v>9589</v>
      </c>
      <c r="F488" s="38">
        <v>9120</v>
      </c>
      <c r="G488" s="38">
        <v>469</v>
      </c>
      <c r="H488" s="38">
        <v>3283</v>
      </c>
      <c r="I488" s="108">
        <v>5.1425438596491228E-2</v>
      </c>
    </row>
    <row r="489" spans="1:9" x14ac:dyDescent="0.3">
      <c r="A489" s="35" t="s">
        <v>595</v>
      </c>
      <c r="B489" t="s">
        <v>596</v>
      </c>
      <c r="C489" s="106">
        <v>8</v>
      </c>
      <c r="D489" s="56">
        <v>45951</v>
      </c>
      <c r="E489" s="38">
        <v>9589</v>
      </c>
      <c r="F489" s="38">
        <v>9120</v>
      </c>
      <c r="G489" s="38">
        <v>469</v>
      </c>
      <c r="H489" s="38">
        <v>3752</v>
      </c>
      <c r="I489" s="108">
        <v>5.1425438596491228E-2</v>
      </c>
    </row>
    <row r="490" spans="1:9" x14ac:dyDescent="0.3">
      <c r="A490" s="35" t="s">
        <v>595</v>
      </c>
      <c r="B490" t="s">
        <v>596</v>
      </c>
      <c r="C490" s="106">
        <v>9</v>
      </c>
      <c r="D490" s="56">
        <v>45958</v>
      </c>
      <c r="E490" s="38">
        <v>9589</v>
      </c>
      <c r="F490" s="38">
        <v>9120</v>
      </c>
      <c r="G490" s="38">
        <v>469</v>
      </c>
      <c r="H490" s="38">
        <v>4221</v>
      </c>
      <c r="I490" s="108">
        <v>5.1425438596491228E-2</v>
      </c>
    </row>
    <row r="491" spans="1:9" x14ac:dyDescent="0.3">
      <c r="A491" s="35" t="s">
        <v>595</v>
      </c>
      <c r="B491" t="s">
        <v>596</v>
      </c>
      <c r="C491" s="106">
        <v>10</v>
      </c>
      <c r="E491" s="38"/>
      <c r="F491" s="38"/>
      <c r="G491" s="38">
        <v>0</v>
      </c>
      <c r="H491" s="38">
        <v>4221</v>
      </c>
      <c r="I491" s="108" t="e">
        <v>#DIV/0!</v>
      </c>
    </row>
    <row r="492" spans="1:9" x14ac:dyDescent="0.3">
      <c r="A492" s="35" t="s">
        <v>595</v>
      </c>
      <c r="B492" t="s">
        <v>596</v>
      </c>
      <c r="C492" s="106">
        <v>11</v>
      </c>
      <c r="E492" s="38"/>
      <c r="F492" s="38"/>
      <c r="G492" s="38">
        <v>0</v>
      </c>
      <c r="H492" s="38">
        <v>4221</v>
      </c>
      <c r="I492" s="108" t="e">
        <v>#DIV/0!</v>
      </c>
    </row>
    <row r="493" spans="1:9" x14ac:dyDescent="0.3">
      <c r="A493" s="35" t="s">
        <v>595</v>
      </c>
      <c r="B493" t="s">
        <v>596</v>
      </c>
      <c r="C493" s="106">
        <v>12</v>
      </c>
      <c r="E493" s="38"/>
      <c r="F493" s="38"/>
      <c r="G493" s="38">
        <v>0</v>
      </c>
      <c r="H493" s="38">
        <v>4221</v>
      </c>
      <c r="I493" s="108" t="e">
        <v>#DIV/0!</v>
      </c>
    </row>
    <row r="494" spans="1:9" x14ac:dyDescent="0.3">
      <c r="A494" s="35" t="s">
        <v>595</v>
      </c>
      <c r="B494" t="s">
        <v>596</v>
      </c>
      <c r="C494" s="106">
        <v>13</v>
      </c>
      <c r="E494" s="38"/>
      <c r="F494" s="38"/>
      <c r="G494" s="38">
        <v>0</v>
      </c>
      <c r="H494" s="38">
        <v>4221</v>
      </c>
      <c r="I494" s="108" t="e">
        <v>#DIV/0!</v>
      </c>
    </row>
    <row r="495" spans="1:9" x14ac:dyDescent="0.3">
      <c r="A495" s="35" t="s">
        <v>595</v>
      </c>
      <c r="B495" t="s">
        <v>596</v>
      </c>
      <c r="C495" s="106">
        <v>14</v>
      </c>
      <c r="E495" s="38"/>
      <c r="F495" s="38"/>
      <c r="G495" s="38">
        <v>0</v>
      </c>
      <c r="H495" s="38">
        <v>4221</v>
      </c>
      <c r="I495" s="108" t="e">
        <v>#DIV/0!</v>
      </c>
    </row>
    <row r="496" spans="1:9" x14ac:dyDescent="0.3">
      <c r="A496" s="35" t="s">
        <v>595</v>
      </c>
      <c r="B496" t="s">
        <v>596</v>
      </c>
      <c r="C496" s="106">
        <v>15</v>
      </c>
      <c r="E496" s="38"/>
      <c r="F496" s="38"/>
      <c r="G496" s="38">
        <v>0</v>
      </c>
      <c r="H496" s="38">
        <v>4221</v>
      </c>
      <c r="I496" s="108" t="e">
        <v>#DIV/0!</v>
      </c>
    </row>
    <row r="497" spans="1:9" ht="15" thickBot="1" x14ac:dyDescent="0.35">
      <c r="A497" s="109" t="s">
        <v>595</v>
      </c>
      <c r="B497" s="110" t="s">
        <v>596</v>
      </c>
      <c r="C497" s="114">
        <v>16</v>
      </c>
      <c r="D497" s="110"/>
      <c r="E497" s="115"/>
      <c r="F497" s="115"/>
      <c r="G497" s="115">
        <v>0</v>
      </c>
      <c r="H497" s="115">
        <v>4221</v>
      </c>
      <c r="I497" s="110"/>
    </row>
    <row r="498" spans="1:9" x14ac:dyDescent="0.3">
      <c r="A498" s="35" t="s">
        <v>598</v>
      </c>
      <c r="B498" t="s">
        <v>599</v>
      </c>
      <c r="C498" s="106">
        <v>1</v>
      </c>
      <c r="D498" s="56">
        <v>45902</v>
      </c>
      <c r="E498" s="38">
        <v>7670</v>
      </c>
      <c r="F498" s="38">
        <v>7220</v>
      </c>
      <c r="G498" s="38">
        <v>450</v>
      </c>
      <c r="H498" s="38">
        <v>450</v>
      </c>
      <c r="I498" s="108">
        <v>6.2326869806094184E-2</v>
      </c>
    </row>
    <row r="499" spans="1:9" x14ac:dyDescent="0.3">
      <c r="A499" s="35" t="s">
        <v>598</v>
      </c>
      <c r="B499" t="s">
        <v>599</v>
      </c>
      <c r="C499" s="106">
        <v>2</v>
      </c>
      <c r="D499" s="56">
        <v>45909</v>
      </c>
      <c r="E499" s="38">
        <v>7680</v>
      </c>
      <c r="F499" s="38">
        <v>7220</v>
      </c>
      <c r="G499" s="38">
        <v>460</v>
      </c>
      <c r="H499" s="38">
        <v>910</v>
      </c>
      <c r="I499" s="108">
        <v>6.3711911357340723E-2</v>
      </c>
    </row>
    <row r="500" spans="1:9" x14ac:dyDescent="0.3">
      <c r="A500" s="35" t="s">
        <v>598</v>
      </c>
      <c r="B500" t="s">
        <v>599</v>
      </c>
      <c r="C500" s="106">
        <v>3</v>
      </c>
      <c r="D500" s="56">
        <v>45915</v>
      </c>
      <c r="E500" s="38">
        <v>7680</v>
      </c>
      <c r="F500" s="38">
        <v>7220</v>
      </c>
      <c r="G500" s="38">
        <v>460</v>
      </c>
      <c r="H500" s="38">
        <v>1370</v>
      </c>
      <c r="I500" s="108">
        <v>6.3711911357340723E-2</v>
      </c>
    </row>
    <row r="501" spans="1:9" x14ac:dyDescent="0.3">
      <c r="A501" s="35" t="s">
        <v>598</v>
      </c>
      <c r="B501" t="s">
        <v>599</v>
      </c>
      <c r="C501" s="106">
        <v>4</v>
      </c>
      <c r="D501" s="56">
        <v>45923</v>
      </c>
      <c r="E501" s="38">
        <v>7680</v>
      </c>
      <c r="F501" s="38">
        <v>7220</v>
      </c>
      <c r="G501" s="38">
        <v>460</v>
      </c>
      <c r="H501" s="38">
        <v>1830</v>
      </c>
      <c r="I501" s="108">
        <v>6.3711911357340723E-2</v>
      </c>
    </row>
    <row r="502" spans="1:9" x14ac:dyDescent="0.3">
      <c r="A502" s="35" t="s">
        <v>598</v>
      </c>
      <c r="B502" t="s">
        <v>599</v>
      </c>
      <c r="C502" s="106">
        <v>5</v>
      </c>
      <c r="D502" s="56">
        <v>45930</v>
      </c>
      <c r="E502" s="38">
        <v>7690</v>
      </c>
      <c r="F502" s="38">
        <v>7220</v>
      </c>
      <c r="G502" s="38">
        <v>470</v>
      </c>
      <c r="H502" s="38">
        <v>2300</v>
      </c>
      <c r="I502" s="108">
        <v>6.5096952908587261E-2</v>
      </c>
    </row>
    <row r="503" spans="1:9" x14ac:dyDescent="0.3">
      <c r="A503" s="35" t="s">
        <v>598</v>
      </c>
      <c r="B503" t="s">
        <v>599</v>
      </c>
      <c r="C503" s="106">
        <v>6</v>
      </c>
      <c r="D503" s="56">
        <v>45937</v>
      </c>
      <c r="E503" s="38">
        <v>7690</v>
      </c>
      <c r="F503" s="38">
        <v>7220</v>
      </c>
      <c r="G503" s="38">
        <v>470</v>
      </c>
      <c r="H503" s="38">
        <v>2770</v>
      </c>
      <c r="I503" s="108">
        <v>6.5096952908587261E-2</v>
      </c>
    </row>
    <row r="504" spans="1:9" x14ac:dyDescent="0.3">
      <c r="A504" s="35" t="s">
        <v>598</v>
      </c>
      <c r="B504" t="s">
        <v>599</v>
      </c>
      <c r="C504" s="106">
        <v>7</v>
      </c>
      <c r="D504" s="56">
        <v>45944</v>
      </c>
      <c r="E504" s="38">
        <v>7690</v>
      </c>
      <c r="F504" s="38">
        <v>7220</v>
      </c>
      <c r="G504" s="38">
        <v>470</v>
      </c>
      <c r="H504" s="38">
        <v>3240</v>
      </c>
      <c r="I504" s="108">
        <v>6.5096952908587261E-2</v>
      </c>
    </row>
    <row r="505" spans="1:9" x14ac:dyDescent="0.3">
      <c r="A505" s="35" t="s">
        <v>598</v>
      </c>
      <c r="B505" t="s">
        <v>599</v>
      </c>
      <c r="C505" s="106">
        <v>8</v>
      </c>
      <c r="D505" s="56">
        <v>45951</v>
      </c>
      <c r="E505" s="38">
        <v>7680</v>
      </c>
      <c r="F505" s="38">
        <v>7220</v>
      </c>
      <c r="G505" s="38">
        <v>460</v>
      </c>
      <c r="H505" s="38">
        <v>3700</v>
      </c>
      <c r="I505" s="108">
        <v>6.3711911357340723E-2</v>
      </c>
    </row>
    <row r="506" spans="1:9" x14ac:dyDescent="0.3">
      <c r="A506" s="35" t="s">
        <v>598</v>
      </c>
      <c r="B506" t="s">
        <v>599</v>
      </c>
      <c r="C506" s="106">
        <v>9</v>
      </c>
      <c r="D506" s="56">
        <v>45958</v>
      </c>
      <c r="E506" s="38">
        <v>7680</v>
      </c>
      <c r="F506" s="38">
        <v>7220</v>
      </c>
      <c r="G506" s="38">
        <v>460</v>
      </c>
      <c r="H506" s="38">
        <v>4160</v>
      </c>
      <c r="I506" s="108">
        <v>6.3711911357340723E-2</v>
      </c>
    </row>
    <row r="507" spans="1:9" x14ac:dyDescent="0.3">
      <c r="A507" s="35" t="s">
        <v>598</v>
      </c>
      <c r="B507" t="s">
        <v>599</v>
      </c>
      <c r="C507" s="106">
        <v>10</v>
      </c>
      <c r="E507" s="38"/>
      <c r="F507" s="38"/>
      <c r="G507" s="38">
        <v>0</v>
      </c>
      <c r="H507" s="38">
        <v>4160</v>
      </c>
    </row>
    <row r="508" spans="1:9" x14ac:dyDescent="0.3">
      <c r="A508" s="35" t="s">
        <v>598</v>
      </c>
      <c r="B508" t="s">
        <v>599</v>
      </c>
      <c r="C508" s="106">
        <v>11</v>
      </c>
      <c r="E508" s="38"/>
      <c r="F508" s="38"/>
      <c r="G508" s="38">
        <v>0</v>
      </c>
      <c r="H508" s="38">
        <v>4160</v>
      </c>
    </row>
    <row r="509" spans="1:9" x14ac:dyDescent="0.3">
      <c r="A509" s="35" t="s">
        <v>598</v>
      </c>
      <c r="B509" t="s">
        <v>599</v>
      </c>
      <c r="C509" s="106">
        <v>12</v>
      </c>
      <c r="E509" s="38"/>
      <c r="F509" s="38"/>
      <c r="G509" s="38">
        <v>0</v>
      </c>
      <c r="H509" s="38">
        <v>4160</v>
      </c>
    </row>
    <row r="510" spans="1:9" x14ac:dyDescent="0.3">
      <c r="A510" s="35" t="s">
        <v>598</v>
      </c>
      <c r="B510" t="s">
        <v>599</v>
      </c>
      <c r="C510" s="106">
        <v>13</v>
      </c>
      <c r="E510" s="38"/>
      <c r="F510" s="38"/>
      <c r="G510" s="38">
        <v>0</v>
      </c>
      <c r="H510" s="38">
        <v>4160</v>
      </c>
    </row>
    <row r="511" spans="1:9" x14ac:dyDescent="0.3">
      <c r="A511" s="35" t="s">
        <v>598</v>
      </c>
      <c r="B511" t="s">
        <v>599</v>
      </c>
      <c r="C511" s="106">
        <v>14</v>
      </c>
      <c r="E511" s="38"/>
      <c r="F511" s="38"/>
      <c r="G511" s="38">
        <v>0</v>
      </c>
      <c r="H511" s="38">
        <v>4160</v>
      </c>
    </row>
    <row r="512" spans="1:9" x14ac:dyDescent="0.3">
      <c r="A512" s="35" t="s">
        <v>598</v>
      </c>
      <c r="B512" t="s">
        <v>599</v>
      </c>
      <c r="C512" s="106">
        <v>15</v>
      </c>
      <c r="E512" s="38"/>
      <c r="F512" s="38"/>
      <c r="G512" s="38">
        <v>0</v>
      </c>
      <c r="H512" s="38">
        <v>4160</v>
      </c>
    </row>
    <row r="513" spans="1:9" ht="15" thickBot="1" x14ac:dyDescent="0.35">
      <c r="A513" s="109" t="s">
        <v>598</v>
      </c>
      <c r="B513" s="110" t="s">
        <v>599</v>
      </c>
      <c r="C513" s="114">
        <v>16</v>
      </c>
      <c r="D513" s="110"/>
      <c r="E513" s="115"/>
      <c r="F513" s="115"/>
      <c r="G513" s="115">
        <v>0</v>
      </c>
      <c r="H513" s="115">
        <v>4160</v>
      </c>
      <c r="I513" s="110"/>
    </row>
    <row r="514" spans="1:9" x14ac:dyDescent="0.3">
      <c r="A514" s="35" t="s">
        <v>608</v>
      </c>
      <c r="B514" t="s">
        <v>573</v>
      </c>
      <c r="C514" s="106">
        <v>1</v>
      </c>
      <c r="D514" s="56">
        <v>45902</v>
      </c>
      <c r="E514" s="38">
        <v>52344</v>
      </c>
      <c r="F514" s="38">
        <v>47500.42</v>
      </c>
      <c r="G514" s="38">
        <v>4843.5800000000017</v>
      </c>
      <c r="H514" s="38">
        <v>4843.5800000000017</v>
      </c>
      <c r="I514" s="108">
        <v>0.10196920364072574</v>
      </c>
    </row>
    <row r="515" spans="1:9" x14ac:dyDescent="0.3">
      <c r="A515" s="35" t="s">
        <v>608</v>
      </c>
      <c r="B515" t="s">
        <v>573</v>
      </c>
      <c r="C515" s="106">
        <v>2</v>
      </c>
      <c r="D515" s="56">
        <v>45909</v>
      </c>
      <c r="E515" s="38">
        <v>52164</v>
      </c>
      <c r="F515" s="38">
        <v>47500.42</v>
      </c>
      <c r="G515" s="38">
        <v>4663.5800000000017</v>
      </c>
      <c r="H515" s="38">
        <v>9507.1600000000035</v>
      </c>
      <c r="I515" s="108">
        <v>9.8179763463144151E-2</v>
      </c>
    </row>
    <row r="516" spans="1:9" x14ac:dyDescent="0.3">
      <c r="A516" s="35" t="s">
        <v>608</v>
      </c>
      <c r="B516" t="s">
        <v>573</v>
      </c>
      <c r="C516" s="106">
        <v>3</v>
      </c>
      <c r="D516" s="56">
        <v>45915</v>
      </c>
      <c r="E516" s="38">
        <v>52344</v>
      </c>
      <c r="F516" s="38">
        <v>47500.42</v>
      </c>
      <c r="G516" s="38">
        <v>4843.5800000000017</v>
      </c>
      <c r="H516" s="38">
        <v>14350.740000000005</v>
      </c>
      <c r="I516" s="108">
        <v>0.10196920364072574</v>
      </c>
    </row>
    <row r="517" spans="1:9" x14ac:dyDescent="0.3">
      <c r="A517" s="35" t="s">
        <v>608</v>
      </c>
      <c r="B517" t="s">
        <v>573</v>
      </c>
      <c r="C517" s="106">
        <v>4</v>
      </c>
      <c r="D517" s="56">
        <v>45923</v>
      </c>
      <c r="E517" s="38">
        <v>52349</v>
      </c>
      <c r="F517" s="38">
        <v>47500.42</v>
      </c>
      <c r="G517" s="38">
        <v>4848.5800000000017</v>
      </c>
      <c r="H517" s="38">
        <v>19199.320000000007</v>
      </c>
      <c r="I517" s="108">
        <v>0.10207446586788078</v>
      </c>
    </row>
    <row r="518" spans="1:9" x14ac:dyDescent="0.3">
      <c r="A518" s="35" t="s">
        <v>608</v>
      </c>
      <c r="B518" t="s">
        <v>573</v>
      </c>
      <c r="C518" s="106">
        <v>5</v>
      </c>
      <c r="D518" s="56">
        <v>45930</v>
      </c>
      <c r="E518" s="38">
        <v>52354</v>
      </c>
      <c r="F518" s="38">
        <v>47500.42</v>
      </c>
      <c r="G518" s="38">
        <v>4853.5800000000017</v>
      </c>
      <c r="H518" s="38">
        <v>24052.900000000009</v>
      </c>
      <c r="I518" s="108">
        <v>0.10217972809503584</v>
      </c>
    </row>
    <row r="519" spans="1:9" x14ac:dyDescent="0.3">
      <c r="A519" s="35" t="s">
        <v>608</v>
      </c>
      <c r="B519" t="s">
        <v>573</v>
      </c>
      <c r="C519" s="106">
        <v>6</v>
      </c>
      <c r="D519" s="56">
        <v>45937</v>
      </c>
      <c r="E519" s="38">
        <v>52224</v>
      </c>
      <c r="F519" s="38">
        <v>47500.42</v>
      </c>
      <c r="G519" s="38">
        <v>4723.5800000000017</v>
      </c>
      <c r="H519" s="38">
        <v>28776.48000000001</v>
      </c>
      <c r="I519" s="108">
        <v>9.9442910189004682E-2</v>
      </c>
    </row>
    <row r="520" spans="1:9" x14ac:dyDescent="0.3">
      <c r="A520" s="35" t="s">
        <v>608</v>
      </c>
      <c r="B520" t="s">
        <v>573</v>
      </c>
      <c r="C520" s="106">
        <v>7</v>
      </c>
      <c r="D520" s="56">
        <v>45944</v>
      </c>
      <c r="E520" s="38">
        <v>52124</v>
      </c>
      <c r="F520" s="38">
        <v>47500.42</v>
      </c>
      <c r="G520" s="38">
        <v>4623.5800000000017</v>
      </c>
      <c r="H520" s="38">
        <v>33400.060000000012</v>
      </c>
      <c r="I520" s="108">
        <v>9.7337665645903806E-2</v>
      </c>
    </row>
    <row r="521" spans="1:9" x14ac:dyDescent="0.3">
      <c r="A521" s="35" t="s">
        <v>608</v>
      </c>
      <c r="B521" t="s">
        <v>573</v>
      </c>
      <c r="C521" s="106">
        <v>8</v>
      </c>
      <c r="D521" s="56">
        <v>45951</v>
      </c>
      <c r="E521" s="38">
        <v>52224</v>
      </c>
      <c r="F521" s="38">
        <v>47500.42</v>
      </c>
      <c r="G521" s="38">
        <v>4723.5800000000017</v>
      </c>
      <c r="H521" s="38">
        <v>38123.640000000014</v>
      </c>
      <c r="I521" s="108">
        <v>9.9442910189004682E-2</v>
      </c>
    </row>
    <row r="522" spans="1:9" x14ac:dyDescent="0.3">
      <c r="A522" s="35" t="s">
        <v>608</v>
      </c>
      <c r="B522" t="s">
        <v>573</v>
      </c>
      <c r="C522" s="106">
        <v>9</v>
      </c>
      <c r="D522" s="56">
        <v>45958</v>
      </c>
      <c r="E522" s="38">
        <v>51704</v>
      </c>
      <c r="F522" s="38">
        <v>47500.42</v>
      </c>
      <c r="G522" s="38">
        <v>4203.5800000000017</v>
      </c>
      <c r="H522" s="38">
        <v>42327.220000000016</v>
      </c>
      <c r="I522" s="108">
        <v>8.8495638564880102E-2</v>
      </c>
    </row>
    <row r="523" spans="1:9" x14ac:dyDescent="0.3">
      <c r="A523" s="35" t="s">
        <v>608</v>
      </c>
      <c r="B523" t="s">
        <v>573</v>
      </c>
      <c r="C523" s="106">
        <v>10</v>
      </c>
      <c r="E523" s="38"/>
      <c r="F523" s="38"/>
      <c r="G523" s="38">
        <v>0</v>
      </c>
      <c r="H523" s="38">
        <v>42327.220000000016</v>
      </c>
      <c r="I523" s="108" t="e">
        <v>#DIV/0!</v>
      </c>
    </row>
    <row r="524" spans="1:9" x14ac:dyDescent="0.3">
      <c r="A524" s="35" t="s">
        <v>608</v>
      </c>
      <c r="B524" t="s">
        <v>573</v>
      </c>
      <c r="C524" s="106">
        <v>11</v>
      </c>
      <c r="E524" s="38"/>
      <c r="F524" s="38"/>
      <c r="G524" s="38">
        <v>0</v>
      </c>
      <c r="H524" s="38">
        <v>42327.220000000016</v>
      </c>
      <c r="I524" s="108" t="e">
        <v>#DIV/0!</v>
      </c>
    </row>
    <row r="525" spans="1:9" x14ac:dyDescent="0.3">
      <c r="A525" s="35" t="s">
        <v>608</v>
      </c>
      <c r="B525" t="s">
        <v>573</v>
      </c>
      <c r="C525" s="106">
        <v>12</v>
      </c>
      <c r="E525" s="38"/>
      <c r="F525" s="38"/>
      <c r="G525" s="38">
        <v>0</v>
      </c>
      <c r="H525" s="38">
        <v>42327.220000000016</v>
      </c>
      <c r="I525" s="108" t="e">
        <v>#DIV/0!</v>
      </c>
    </row>
    <row r="526" spans="1:9" x14ac:dyDescent="0.3">
      <c r="A526" s="35" t="s">
        <v>608</v>
      </c>
      <c r="B526" t="s">
        <v>573</v>
      </c>
      <c r="C526" s="106">
        <v>13</v>
      </c>
      <c r="E526" s="38"/>
      <c r="F526" s="38"/>
      <c r="G526" s="38">
        <v>0</v>
      </c>
      <c r="H526" s="38">
        <v>42327.220000000016</v>
      </c>
      <c r="I526" s="108" t="e">
        <v>#DIV/0!</v>
      </c>
    </row>
    <row r="527" spans="1:9" x14ac:dyDescent="0.3">
      <c r="A527" s="35" t="s">
        <v>608</v>
      </c>
      <c r="B527" t="s">
        <v>573</v>
      </c>
      <c r="C527" s="106">
        <v>14</v>
      </c>
      <c r="E527" s="38"/>
      <c r="F527" s="38"/>
      <c r="G527" s="38">
        <v>0</v>
      </c>
      <c r="H527" s="38">
        <v>42327.220000000016</v>
      </c>
      <c r="I527" s="108" t="e">
        <v>#DIV/0!</v>
      </c>
    </row>
    <row r="528" spans="1:9" x14ac:dyDescent="0.3">
      <c r="A528" s="35" t="s">
        <v>608</v>
      </c>
      <c r="B528" t="s">
        <v>573</v>
      </c>
      <c r="C528" s="106">
        <v>15</v>
      </c>
      <c r="E528" s="38"/>
      <c r="F528" s="38"/>
      <c r="G528" s="38">
        <v>0</v>
      </c>
      <c r="H528" s="38">
        <v>42327.220000000016</v>
      </c>
      <c r="I528" s="108" t="e">
        <v>#DIV/0!</v>
      </c>
    </row>
    <row r="529" spans="1:9" ht="15" thickBot="1" x14ac:dyDescent="0.35">
      <c r="A529" s="109" t="s">
        <v>608</v>
      </c>
      <c r="B529" s="110" t="s">
        <v>573</v>
      </c>
      <c r="C529" s="114">
        <v>16</v>
      </c>
      <c r="D529" s="110"/>
      <c r="E529" s="115"/>
      <c r="F529" s="115"/>
      <c r="G529" s="115">
        <v>0</v>
      </c>
      <c r="H529" s="115">
        <v>42327.220000000016</v>
      </c>
      <c r="I529" s="110"/>
    </row>
    <row r="530" spans="1:9" x14ac:dyDescent="0.3">
      <c r="A530" s="35" t="s">
        <v>650</v>
      </c>
      <c r="B530" t="s">
        <v>575</v>
      </c>
      <c r="C530" s="106">
        <v>1</v>
      </c>
      <c r="D530" s="56">
        <v>45903</v>
      </c>
      <c r="E530" s="38">
        <v>6384</v>
      </c>
      <c r="F530" s="38">
        <v>6085</v>
      </c>
      <c r="G530" s="38">
        <v>299</v>
      </c>
      <c r="H530" s="38">
        <v>299</v>
      </c>
      <c r="I530" s="108">
        <v>4.9137222678718159E-2</v>
      </c>
    </row>
    <row r="531" spans="1:9" x14ac:dyDescent="0.3">
      <c r="A531" s="35" t="s">
        <v>650</v>
      </c>
      <c r="B531" t="s">
        <v>575</v>
      </c>
      <c r="C531" s="106">
        <v>2</v>
      </c>
      <c r="D531" s="56">
        <v>45910</v>
      </c>
      <c r="E531" s="38">
        <v>6387</v>
      </c>
      <c r="F531" s="38">
        <v>6085</v>
      </c>
      <c r="G531" s="38">
        <v>302</v>
      </c>
      <c r="H531" s="38">
        <v>601</v>
      </c>
      <c r="I531" s="108">
        <v>4.963023829087921E-2</v>
      </c>
    </row>
    <row r="532" spans="1:9" x14ac:dyDescent="0.3">
      <c r="A532" s="35" t="s">
        <v>650</v>
      </c>
      <c r="B532" t="s">
        <v>575</v>
      </c>
      <c r="C532" s="106">
        <v>3</v>
      </c>
      <c r="D532" s="56">
        <v>45917</v>
      </c>
      <c r="E532" s="38">
        <v>6383</v>
      </c>
      <c r="F532" s="38">
        <v>6085</v>
      </c>
      <c r="G532" s="38">
        <v>298</v>
      </c>
      <c r="H532" s="38">
        <v>899</v>
      </c>
      <c r="I532" s="108">
        <v>4.8972884141331142E-2</v>
      </c>
    </row>
    <row r="533" spans="1:9" x14ac:dyDescent="0.3">
      <c r="A533" s="35" t="s">
        <v>650</v>
      </c>
      <c r="B533" t="s">
        <v>575</v>
      </c>
      <c r="C533" s="106">
        <v>4</v>
      </c>
      <c r="D533" s="56">
        <v>45923</v>
      </c>
      <c r="E533" s="38">
        <v>6384</v>
      </c>
      <c r="F533" s="38">
        <v>6085</v>
      </c>
      <c r="G533" s="38">
        <v>299</v>
      </c>
      <c r="H533" s="38">
        <v>1198</v>
      </c>
      <c r="I533" s="108">
        <v>4.9137222678718159E-2</v>
      </c>
    </row>
    <row r="534" spans="1:9" x14ac:dyDescent="0.3">
      <c r="A534" s="35" t="s">
        <v>650</v>
      </c>
      <c r="B534" t="s">
        <v>575</v>
      </c>
      <c r="C534" s="106">
        <v>5</v>
      </c>
      <c r="D534" s="56">
        <v>45931</v>
      </c>
      <c r="E534" s="38">
        <v>6383</v>
      </c>
      <c r="F534" s="38">
        <v>6085</v>
      </c>
      <c r="G534" s="38">
        <v>298</v>
      </c>
      <c r="H534" s="38">
        <v>1496</v>
      </c>
      <c r="I534" s="108">
        <v>4.8972884141331142E-2</v>
      </c>
    </row>
    <row r="535" spans="1:9" x14ac:dyDescent="0.3">
      <c r="A535" s="35" t="s">
        <v>650</v>
      </c>
      <c r="B535" t="s">
        <v>575</v>
      </c>
      <c r="C535" s="106">
        <v>6</v>
      </c>
      <c r="D535" s="56">
        <v>45938</v>
      </c>
      <c r="E535" s="38">
        <v>6384</v>
      </c>
      <c r="F535" s="38">
        <v>6085</v>
      </c>
      <c r="G535" s="38">
        <v>299</v>
      </c>
      <c r="H535" s="38">
        <v>1795</v>
      </c>
      <c r="I535" s="108">
        <v>4.9137222678718159E-2</v>
      </c>
    </row>
    <row r="536" spans="1:9" x14ac:dyDescent="0.3">
      <c r="A536" s="35" t="s">
        <v>650</v>
      </c>
      <c r="B536" t="s">
        <v>575</v>
      </c>
      <c r="C536" s="106">
        <v>7</v>
      </c>
      <c r="D536" s="56">
        <v>45945</v>
      </c>
      <c r="E536" s="38">
        <v>6384</v>
      </c>
      <c r="F536" s="38">
        <v>6085</v>
      </c>
      <c r="G536" s="38">
        <v>299</v>
      </c>
      <c r="H536" s="38">
        <v>2094</v>
      </c>
      <c r="I536" s="108">
        <v>4.9137222678718159E-2</v>
      </c>
    </row>
    <row r="537" spans="1:9" x14ac:dyDescent="0.3">
      <c r="A537" s="35" t="s">
        <v>650</v>
      </c>
      <c r="B537" t="s">
        <v>575</v>
      </c>
      <c r="C537" s="106">
        <v>8</v>
      </c>
      <c r="D537" s="56">
        <v>45952</v>
      </c>
      <c r="E537" s="38">
        <v>6384</v>
      </c>
      <c r="F537" s="38">
        <v>6085</v>
      </c>
      <c r="G537" s="38">
        <v>299</v>
      </c>
      <c r="H537" s="38">
        <v>2393</v>
      </c>
      <c r="I537" s="108">
        <v>4.9137222678718159E-2</v>
      </c>
    </row>
    <row r="538" spans="1:9" x14ac:dyDescent="0.3">
      <c r="A538" s="35" t="s">
        <v>650</v>
      </c>
      <c r="B538" t="s">
        <v>575</v>
      </c>
      <c r="C538" s="106">
        <v>9</v>
      </c>
      <c r="D538" s="56">
        <v>45959</v>
      </c>
      <c r="E538" s="38">
        <v>6384</v>
      </c>
      <c r="F538" s="38">
        <v>6085</v>
      </c>
      <c r="G538" s="38">
        <v>299</v>
      </c>
      <c r="H538" s="38">
        <v>2692</v>
      </c>
      <c r="I538" s="108">
        <v>4.9137222678718159E-2</v>
      </c>
    </row>
    <row r="539" spans="1:9" x14ac:dyDescent="0.3">
      <c r="A539" s="35" t="s">
        <v>650</v>
      </c>
      <c r="B539" t="s">
        <v>575</v>
      </c>
      <c r="C539" s="106">
        <v>10</v>
      </c>
      <c r="E539" s="38"/>
      <c r="F539" s="38"/>
      <c r="G539" s="38">
        <v>0</v>
      </c>
      <c r="H539" s="38">
        <v>2692</v>
      </c>
      <c r="I539" s="108" t="e">
        <v>#DIV/0!</v>
      </c>
    </row>
    <row r="540" spans="1:9" x14ac:dyDescent="0.3">
      <c r="A540" s="35" t="s">
        <v>650</v>
      </c>
      <c r="B540" t="s">
        <v>575</v>
      </c>
      <c r="C540" s="106">
        <v>11</v>
      </c>
      <c r="E540" s="38"/>
      <c r="F540" s="38"/>
      <c r="G540" s="38">
        <v>0</v>
      </c>
      <c r="H540" s="38">
        <v>2692</v>
      </c>
      <c r="I540" s="108" t="e">
        <v>#DIV/0!</v>
      </c>
    </row>
    <row r="541" spans="1:9" x14ac:dyDescent="0.3">
      <c r="A541" s="35" t="s">
        <v>650</v>
      </c>
      <c r="B541" t="s">
        <v>575</v>
      </c>
      <c r="C541" s="106">
        <v>12</v>
      </c>
      <c r="E541" s="38"/>
      <c r="F541" s="38"/>
      <c r="G541" s="38">
        <v>0</v>
      </c>
      <c r="H541" s="38">
        <v>2692</v>
      </c>
      <c r="I541" s="108" t="e">
        <v>#DIV/0!</v>
      </c>
    </row>
    <row r="542" spans="1:9" x14ac:dyDescent="0.3">
      <c r="A542" s="35" t="s">
        <v>650</v>
      </c>
      <c r="B542" t="s">
        <v>575</v>
      </c>
      <c r="C542" s="106">
        <v>13</v>
      </c>
      <c r="E542" s="38"/>
      <c r="F542" s="38"/>
      <c r="G542" s="38">
        <v>0</v>
      </c>
      <c r="H542" s="38">
        <v>2692</v>
      </c>
      <c r="I542" s="108" t="e">
        <v>#DIV/0!</v>
      </c>
    </row>
    <row r="543" spans="1:9" x14ac:dyDescent="0.3">
      <c r="A543" s="35" t="s">
        <v>650</v>
      </c>
      <c r="B543" t="s">
        <v>575</v>
      </c>
      <c r="C543" s="106">
        <v>14</v>
      </c>
      <c r="E543" s="38"/>
      <c r="F543" s="38"/>
      <c r="G543" s="38">
        <v>0</v>
      </c>
      <c r="H543" s="38">
        <v>2692</v>
      </c>
      <c r="I543" s="108" t="e">
        <v>#DIV/0!</v>
      </c>
    </row>
    <row r="544" spans="1:9" x14ac:dyDescent="0.3">
      <c r="A544" s="35" t="s">
        <v>650</v>
      </c>
      <c r="B544" t="s">
        <v>575</v>
      </c>
      <c r="C544" s="106">
        <v>15</v>
      </c>
      <c r="E544" s="38"/>
      <c r="F544" s="38"/>
      <c r="G544" s="38">
        <v>0</v>
      </c>
      <c r="H544" s="38">
        <v>2692</v>
      </c>
      <c r="I544" s="108" t="e">
        <v>#DIV/0!</v>
      </c>
    </row>
    <row r="545" spans="1:9" ht="15" thickBot="1" x14ac:dyDescent="0.35">
      <c r="A545" s="109" t="s">
        <v>650</v>
      </c>
      <c r="B545" s="110" t="s">
        <v>575</v>
      </c>
      <c r="C545" s="114">
        <v>16</v>
      </c>
      <c r="D545" s="110"/>
      <c r="E545" s="115"/>
      <c r="F545" s="115"/>
      <c r="G545" s="115">
        <v>0</v>
      </c>
      <c r="H545" s="115">
        <v>2692</v>
      </c>
      <c r="I545" s="110"/>
    </row>
    <row r="546" spans="1:9" x14ac:dyDescent="0.3">
      <c r="A546" s="35" t="s">
        <v>660</v>
      </c>
      <c r="B546" t="s">
        <v>661</v>
      </c>
      <c r="C546" s="106">
        <v>1</v>
      </c>
      <c r="D546" s="56">
        <v>45903</v>
      </c>
      <c r="E546" s="38">
        <v>6756</v>
      </c>
      <c r="F546" s="38">
        <v>6467</v>
      </c>
      <c r="G546" s="38">
        <v>289</v>
      </c>
      <c r="H546" s="38">
        <v>289</v>
      </c>
      <c r="I546" s="108">
        <v>4.4688418122777178E-2</v>
      </c>
    </row>
    <row r="547" spans="1:9" x14ac:dyDescent="0.3">
      <c r="A547" s="35" t="s">
        <v>660</v>
      </c>
      <c r="B547" t="s">
        <v>661</v>
      </c>
      <c r="C547" s="106">
        <v>2</v>
      </c>
      <c r="D547" s="56">
        <v>45909</v>
      </c>
      <c r="E547" s="38">
        <v>6700</v>
      </c>
      <c r="F547" s="38">
        <v>6467</v>
      </c>
      <c r="G547" s="38">
        <v>233</v>
      </c>
      <c r="H547" s="38">
        <v>522</v>
      </c>
      <c r="I547" s="108">
        <v>3.6029070666460494E-2</v>
      </c>
    </row>
    <row r="548" spans="1:9" x14ac:dyDescent="0.3">
      <c r="A548" s="35" t="s">
        <v>660</v>
      </c>
      <c r="B548" t="s">
        <v>661</v>
      </c>
      <c r="C548" s="106">
        <v>3</v>
      </c>
      <c r="D548" s="56">
        <v>45917</v>
      </c>
      <c r="E548" s="38">
        <v>6856</v>
      </c>
      <c r="F548" s="38">
        <v>6467</v>
      </c>
      <c r="G548" s="38">
        <v>389</v>
      </c>
      <c r="H548" s="38">
        <v>911</v>
      </c>
      <c r="I548" s="108">
        <v>6.0151538580485539E-2</v>
      </c>
    </row>
    <row r="549" spans="1:9" x14ac:dyDescent="0.3">
      <c r="A549" s="35" t="s">
        <v>660</v>
      </c>
      <c r="B549" t="s">
        <v>661</v>
      </c>
      <c r="C549" s="106">
        <v>4</v>
      </c>
      <c r="D549" s="56">
        <v>45924</v>
      </c>
      <c r="E549" s="38">
        <v>6756</v>
      </c>
      <c r="F549" s="38">
        <v>6467</v>
      </c>
      <c r="G549" s="38">
        <v>289</v>
      </c>
      <c r="H549" s="38">
        <v>1200</v>
      </c>
      <c r="I549" s="108">
        <v>4.4688418122777178E-2</v>
      </c>
    </row>
    <row r="550" spans="1:9" x14ac:dyDescent="0.3">
      <c r="A550" s="35" t="s">
        <v>660</v>
      </c>
      <c r="B550" t="s">
        <v>661</v>
      </c>
      <c r="C550" s="106">
        <v>5</v>
      </c>
      <c r="D550" s="56">
        <v>45931</v>
      </c>
      <c r="E550" s="38">
        <v>6756</v>
      </c>
      <c r="F550" s="38">
        <v>6467</v>
      </c>
      <c r="G550" s="38">
        <v>289</v>
      </c>
      <c r="H550" s="38">
        <v>1489</v>
      </c>
      <c r="I550" s="108">
        <v>4.4688418122777178E-2</v>
      </c>
    </row>
    <row r="551" spans="1:9" x14ac:dyDescent="0.3">
      <c r="A551" s="35" t="s">
        <v>660</v>
      </c>
      <c r="B551" t="s">
        <v>661</v>
      </c>
      <c r="C551" s="106">
        <v>6</v>
      </c>
      <c r="D551" s="56">
        <v>45938</v>
      </c>
      <c r="E551" s="38">
        <v>6756</v>
      </c>
      <c r="F551" s="38">
        <v>6467</v>
      </c>
      <c r="G551" s="38">
        <v>289</v>
      </c>
      <c r="H551" s="38">
        <v>1778</v>
      </c>
      <c r="I551" s="108">
        <v>4.4688418122777178E-2</v>
      </c>
    </row>
    <row r="552" spans="1:9" x14ac:dyDescent="0.3">
      <c r="A552" s="35" t="s">
        <v>660</v>
      </c>
      <c r="B552" t="s">
        <v>661</v>
      </c>
      <c r="C552" s="106">
        <v>7</v>
      </c>
      <c r="D552" s="56">
        <v>45945</v>
      </c>
      <c r="E552" s="38">
        <v>6756</v>
      </c>
      <c r="F552" s="38">
        <v>6467</v>
      </c>
      <c r="G552" s="38">
        <v>289</v>
      </c>
      <c r="H552" s="38">
        <v>2067</v>
      </c>
      <c r="I552" s="108">
        <v>4.4688418122777178E-2</v>
      </c>
    </row>
    <row r="553" spans="1:9" x14ac:dyDescent="0.3">
      <c r="A553" s="35" t="s">
        <v>660</v>
      </c>
      <c r="B553" t="s">
        <v>661</v>
      </c>
      <c r="C553" s="106">
        <v>8</v>
      </c>
      <c r="D553" s="56">
        <v>45952</v>
      </c>
      <c r="E553" s="38">
        <v>6756</v>
      </c>
      <c r="F553" s="38">
        <v>6467</v>
      </c>
      <c r="G553" s="38">
        <v>289</v>
      </c>
      <c r="H553" s="38">
        <v>2356</v>
      </c>
      <c r="I553" s="108">
        <v>4.4688418122777178E-2</v>
      </c>
    </row>
    <row r="554" spans="1:9" x14ac:dyDescent="0.3">
      <c r="A554" s="35" t="s">
        <v>660</v>
      </c>
      <c r="B554" t="s">
        <v>661</v>
      </c>
      <c r="C554" s="106">
        <v>9</v>
      </c>
      <c r="D554" s="56">
        <v>45958</v>
      </c>
      <c r="E554" s="38">
        <v>6765</v>
      </c>
      <c r="F554" s="38">
        <v>6467</v>
      </c>
      <c r="G554" s="38">
        <v>298</v>
      </c>
      <c r="H554" s="38">
        <v>2654</v>
      </c>
      <c r="I554" s="108">
        <v>4.6080098963970931E-2</v>
      </c>
    </row>
    <row r="555" spans="1:9" x14ac:dyDescent="0.3">
      <c r="A555" s="35" t="s">
        <v>660</v>
      </c>
      <c r="B555" t="s">
        <v>661</v>
      </c>
      <c r="C555" s="106">
        <v>10</v>
      </c>
      <c r="E555" s="38"/>
      <c r="F555" s="38"/>
      <c r="G555" s="38">
        <v>0</v>
      </c>
      <c r="H555" s="38">
        <v>2654</v>
      </c>
      <c r="I555" s="108" t="e">
        <v>#DIV/0!</v>
      </c>
    </row>
    <row r="556" spans="1:9" x14ac:dyDescent="0.3">
      <c r="A556" s="35" t="s">
        <v>660</v>
      </c>
      <c r="B556" t="s">
        <v>661</v>
      </c>
      <c r="C556" s="106">
        <v>11</v>
      </c>
      <c r="E556" s="38"/>
      <c r="F556" s="38"/>
      <c r="G556" s="38">
        <v>0</v>
      </c>
      <c r="H556" s="38">
        <v>2654</v>
      </c>
      <c r="I556" s="108" t="e">
        <v>#DIV/0!</v>
      </c>
    </row>
    <row r="557" spans="1:9" x14ac:dyDescent="0.3">
      <c r="A557" s="35" t="s">
        <v>660</v>
      </c>
      <c r="B557" t="s">
        <v>661</v>
      </c>
      <c r="C557" s="106">
        <v>12</v>
      </c>
      <c r="E557" s="38"/>
      <c r="F557" s="38"/>
      <c r="G557" s="38">
        <v>0</v>
      </c>
      <c r="H557" s="38">
        <v>2654</v>
      </c>
      <c r="I557" s="108" t="e">
        <v>#DIV/0!</v>
      </c>
    </row>
    <row r="558" spans="1:9" x14ac:dyDescent="0.3">
      <c r="A558" s="35" t="s">
        <v>660</v>
      </c>
      <c r="B558" t="s">
        <v>661</v>
      </c>
      <c r="C558" s="106">
        <v>13</v>
      </c>
      <c r="E558" s="38"/>
      <c r="F558" s="38"/>
      <c r="G558" s="38">
        <v>0</v>
      </c>
      <c r="H558" s="38">
        <v>2654</v>
      </c>
      <c r="I558" s="108" t="e">
        <v>#DIV/0!</v>
      </c>
    </row>
    <row r="559" spans="1:9" x14ac:dyDescent="0.3">
      <c r="A559" s="35" t="s">
        <v>660</v>
      </c>
      <c r="B559" t="s">
        <v>661</v>
      </c>
      <c r="C559" s="106">
        <v>14</v>
      </c>
      <c r="E559" s="38"/>
      <c r="F559" s="38"/>
      <c r="G559" s="38">
        <v>0</v>
      </c>
      <c r="H559" s="38">
        <v>2654</v>
      </c>
      <c r="I559" s="108" t="e">
        <v>#DIV/0!</v>
      </c>
    </row>
    <row r="560" spans="1:9" x14ac:dyDescent="0.3">
      <c r="A560" s="35" t="s">
        <v>660</v>
      </c>
      <c r="B560" t="s">
        <v>661</v>
      </c>
      <c r="C560" s="106">
        <v>15</v>
      </c>
      <c r="E560" s="38"/>
      <c r="F560" s="38"/>
      <c r="G560" s="38">
        <v>0</v>
      </c>
      <c r="H560" s="38">
        <v>2654</v>
      </c>
    </row>
    <row r="561" spans="1:9" ht="15" thickBot="1" x14ac:dyDescent="0.35">
      <c r="A561" s="109" t="s">
        <v>660</v>
      </c>
      <c r="B561" s="110" t="s">
        <v>661</v>
      </c>
      <c r="C561" s="114">
        <v>16</v>
      </c>
      <c r="D561" s="110"/>
      <c r="E561" s="115"/>
      <c r="F561" s="115"/>
      <c r="G561" s="115">
        <v>0</v>
      </c>
      <c r="H561" s="115">
        <v>2654</v>
      </c>
      <c r="I561" s="110"/>
    </row>
    <row r="562" spans="1:9" x14ac:dyDescent="0.3">
      <c r="A562" s="35" t="s">
        <v>653</v>
      </c>
      <c r="B562" t="s">
        <v>1099</v>
      </c>
      <c r="C562" s="106">
        <v>1</v>
      </c>
      <c r="D562" s="56">
        <v>45903</v>
      </c>
      <c r="E562" s="38">
        <v>7981</v>
      </c>
      <c r="F562" s="38">
        <v>7600</v>
      </c>
      <c r="G562" s="38">
        <v>381</v>
      </c>
      <c r="H562" s="38">
        <v>381</v>
      </c>
      <c r="I562" s="108">
        <v>5.0131578947368423E-2</v>
      </c>
    </row>
    <row r="563" spans="1:9" x14ac:dyDescent="0.3">
      <c r="A563" s="35" t="s">
        <v>653</v>
      </c>
      <c r="B563" t="s">
        <v>1099</v>
      </c>
      <c r="C563" s="106">
        <v>2</v>
      </c>
      <c r="D563" s="56">
        <v>45910</v>
      </c>
      <c r="E563" s="38">
        <v>7981</v>
      </c>
      <c r="F563" s="38">
        <v>7600</v>
      </c>
      <c r="G563" s="38">
        <v>381</v>
      </c>
      <c r="H563" s="38">
        <v>762</v>
      </c>
      <c r="I563" s="108">
        <v>5.0131578947368423E-2</v>
      </c>
    </row>
    <row r="564" spans="1:9" x14ac:dyDescent="0.3">
      <c r="A564" s="35" t="s">
        <v>653</v>
      </c>
      <c r="B564" t="s">
        <v>1099</v>
      </c>
      <c r="C564" s="106">
        <v>3</v>
      </c>
      <c r="D564" s="56">
        <v>45917</v>
      </c>
      <c r="E564" s="38">
        <v>7981</v>
      </c>
      <c r="F564" s="38">
        <v>7600</v>
      </c>
      <c r="G564" s="38">
        <v>381</v>
      </c>
      <c r="H564" s="38">
        <v>1143</v>
      </c>
      <c r="I564" s="108">
        <v>5.0131578947368423E-2</v>
      </c>
    </row>
    <row r="565" spans="1:9" x14ac:dyDescent="0.3">
      <c r="A565" s="35" t="s">
        <v>653</v>
      </c>
      <c r="B565" t="s">
        <v>1099</v>
      </c>
      <c r="C565" s="106">
        <v>4</v>
      </c>
      <c r="D565" s="56">
        <v>45924</v>
      </c>
      <c r="E565" s="38">
        <v>7981</v>
      </c>
      <c r="F565" s="38">
        <v>7600</v>
      </c>
      <c r="G565" s="38">
        <v>381</v>
      </c>
      <c r="H565" s="38">
        <v>1524</v>
      </c>
      <c r="I565" s="108">
        <v>5.0131578947368423E-2</v>
      </c>
    </row>
    <row r="566" spans="1:9" x14ac:dyDescent="0.3">
      <c r="A566" s="35" t="s">
        <v>653</v>
      </c>
      <c r="B566" t="s">
        <v>1099</v>
      </c>
      <c r="C566" s="106">
        <v>5</v>
      </c>
      <c r="D566" s="56">
        <v>45931</v>
      </c>
      <c r="E566" s="38">
        <v>7981</v>
      </c>
      <c r="F566" s="38">
        <v>7600</v>
      </c>
      <c r="G566" s="38">
        <v>381</v>
      </c>
      <c r="H566" s="38">
        <v>1905</v>
      </c>
      <c r="I566" s="108">
        <v>5.0131578947368423E-2</v>
      </c>
    </row>
    <row r="567" spans="1:9" x14ac:dyDescent="0.3">
      <c r="A567" s="35" t="s">
        <v>653</v>
      </c>
      <c r="B567" t="s">
        <v>1099</v>
      </c>
      <c r="C567" s="106">
        <v>6</v>
      </c>
      <c r="D567" s="56">
        <v>45939</v>
      </c>
      <c r="E567" s="38">
        <v>7981</v>
      </c>
      <c r="F567" s="38">
        <v>7600</v>
      </c>
      <c r="G567" s="38">
        <v>381</v>
      </c>
      <c r="H567" s="38">
        <v>2286</v>
      </c>
      <c r="I567" s="108">
        <v>5.0131578947368423E-2</v>
      </c>
    </row>
    <row r="568" spans="1:9" x14ac:dyDescent="0.3">
      <c r="A568" s="35" t="s">
        <v>653</v>
      </c>
      <c r="B568" t="s">
        <v>1099</v>
      </c>
      <c r="C568" s="106">
        <v>7</v>
      </c>
      <c r="D568" s="56">
        <v>45945</v>
      </c>
      <c r="E568" s="38">
        <v>9121</v>
      </c>
      <c r="F568" s="38">
        <v>8741</v>
      </c>
      <c r="G568" s="38">
        <v>380</v>
      </c>
      <c r="H568" s="38">
        <v>2666</v>
      </c>
      <c r="I568" s="108">
        <v>4.3473286809289552E-2</v>
      </c>
    </row>
    <row r="569" spans="1:9" x14ac:dyDescent="0.3">
      <c r="A569" s="35" t="s">
        <v>653</v>
      </c>
      <c r="B569" t="s">
        <v>1099</v>
      </c>
      <c r="C569" s="106">
        <v>8</v>
      </c>
      <c r="D569" s="56">
        <v>45952</v>
      </c>
      <c r="E569" s="38">
        <v>9121</v>
      </c>
      <c r="F569" s="38">
        <v>8741</v>
      </c>
      <c r="G569" s="38">
        <v>380</v>
      </c>
      <c r="H569" s="38">
        <v>3046</v>
      </c>
      <c r="I569" s="108">
        <v>4.3473286809289552E-2</v>
      </c>
    </row>
    <row r="570" spans="1:9" x14ac:dyDescent="0.3">
      <c r="A570" s="35" t="s">
        <v>653</v>
      </c>
      <c r="B570" t="s">
        <v>1099</v>
      </c>
      <c r="C570" s="106">
        <v>9</v>
      </c>
      <c r="D570" s="56">
        <v>45960</v>
      </c>
      <c r="E570" s="38">
        <v>8353</v>
      </c>
      <c r="F570" s="38">
        <v>7969</v>
      </c>
      <c r="G570" s="38">
        <v>384</v>
      </c>
      <c r="H570" s="38">
        <v>3430</v>
      </c>
      <c r="I570" s="108">
        <v>4.8186723553770863E-2</v>
      </c>
    </row>
    <row r="571" spans="1:9" x14ac:dyDescent="0.3">
      <c r="A571" s="35" t="s">
        <v>653</v>
      </c>
      <c r="B571" t="s">
        <v>1099</v>
      </c>
      <c r="C571" s="106">
        <v>10</v>
      </c>
      <c r="E571" s="38"/>
      <c r="F571" s="38"/>
      <c r="G571" s="38">
        <v>0</v>
      </c>
      <c r="H571" s="38">
        <v>3430</v>
      </c>
      <c r="I571" s="108" t="e">
        <v>#DIV/0!</v>
      </c>
    </row>
    <row r="572" spans="1:9" x14ac:dyDescent="0.3">
      <c r="A572" s="35" t="s">
        <v>653</v>
      </c>
      <c r="B572" t="s">
        <v>1099</v>
      </c>
      <c r="C572" s="106">
        <v>11</v>
      </c>
      <c r="E572" s="38"/>
      <c r="F572" s="38"/>
      <c r="G572" s="38">
        <v>0</v>
      </c>
      <c r="H572" s="38">
        <v>3430</v>
      </c>
      <c r="I572" s="108" t="e">
        <v>#DIV/0!</v>
      </c>
    </row>
    <row r="573" spans="1:9" x14ac:dyDescent="0.3">
      <c r="A573" s="35" t="s">
        <v>653</v>
      </c>
      <c r="B573" t="s">
        <v>1099</v>
      </c>
      <c r="C573" s="106">
        <v>12</v>
      </c>
      <c r="E573" s="38"/>
      <c r="F573" s="38"/>
      <c r="G573" s="38">
        <v>0</v>
      </c>
      <c r="H573" s="38">
        <v>3430</v>
      </c>
      <c r="I573" s="108" t="e">
        <v>#DIV/0!</v>
      </c>
    </row>
    <row r="574" spans="1:9" x14ac:dyDescent="0.3">
      <c r="A574" s="35" t="s">
        <v>653</v>
      </c>
      <c r="B574" t="s">
        <v>1099</v>
      </c>
      <c r="C574" s="106">
        <v>13</v>
      </c>
      <c r="E574" s="38"/>
      <c r="F574" s="38"/>
      <c r="G574" s="38">
        <v>0</v>
      </c>
      <c r="H574" s="38">
        <v>3430</v>
      </c>
      <c r="I574" s="108" t="e">
        <v>#DIV/0!</v>
      </c>
    </row>
    <row r="575" spans="1:9" x14ac:dyDescent="0.3">
      <c r="A575" s="35" t="s">
        <v>653</v>
      </c>
      <c r="B575" t="s">
        <v>1099</v>
      </c>
      <c r="C575" s="106">
        <v>14</v>
      </c>
      <c r="E575" s="38"/>
      <c r="F575" s="38"/>
      <c r="G575" s="38">
        <v>0</v>
      </c>
      <c r="H575" s="38">
        <v>3430</v>
      </c>
      <c r="I575" s="108" t="e">
        <v>#DIV/0!</v>
      </c>
    </row>
    <row r="576" spans="1:9" x14ac:dyDescent="0.3">
      <c r="A576" s="35" t="s">
        <v>653</v>
      </c>
      <c r="B576" t="s">
        <v>1099</v>
      </c>
      <c r="C576" s="106">
        <v>15</v>
      </c>
      <c r="E576" s="38"/>
      <c r="F576" s="38"/>
      <c r="G576" s="38">
        <v>0</v>
      </c>
      <c r="H576" s="38">
        <v>3430</v>
      </c>
    </row>
    <row r="577" spans="1:9" ht="15" thickBot="1" x14ac:dyDescent="0.35">
      <c r="A577" s="109" t="s">
        <v>653</v>
      </c>
      <c r="B577" s="110" t="s">
        <v>1099</v>
      </c>
      <c r="C577" s="114">
        <v>16</v>
      </c>
      <c r="D577" s="110"/>
      <c r="E577" s="115"/>
      <c r="F577" s="115"/>
      <c r="G577" s="115">
        <v>0</v>
      </c>
      <c r="H577" s="115">
        <v>3430</v>
      </c>
      <c r="I577" s="110"/>
    </row>
    <row r="578" spans="1:9" x14ac:dyDescent="0.3">
      <c r="A578" s="35" t="s">
        <v>601</v>
      </c>
      <c r="B578" t="s">
        <v>602</v>
      </c>
      <c r="C578" s="106">
        <v>1</v>
      </c>
      <c r="D578" s="56">
        <v>45902</v>
      </c>
      <c r="E578" s="38">
        <v>9334</v>
      </c>
      <c r="F578" s="38">
        <v>8748</v>
      </c>
      <c r="G578" s="38">
        <v>586</v>
      </c>
      <c r="H578" s="38">
        <v>586</v>
      </c>
      <c r="I578" s="108">
        <v>6.6986739826246006E-2</v>
      </c>
    </row>
    <row r="579" spans="1:9" x14ac:dyDescent="0.3">
      <c r="A579" s="35" t="s">
        <v>601</v>
      </c>
      <c r="B579" t="s">
        <v>602</v>
      </c>
      <c r="C579" s="106">
        <v>2</v>
      </c>
      <c r="D579" s="56">
        <v>45909</v>
      </c>
      <c r="E579" s="38">
        <v>9285</v>
      </c>
      <c r="F579" s="38">
        <v>8748</v>
      </c>
      <c r="G579" s="38">
        <v>537</v>
      </c>
      <c r="H579" s="38">
        <v>1123</v>
      </c>
      <c r="I579" s="108">
        <v>6.1385459533607682E-2</v>
      </c>
    </row>
    <row r="580" spans="1:9" x14ac:dyDescent="0.3">
      <c r="A580" s="35" t="s">
        <v>601</v>
      </c>
      <c r="B580" t="s">
        <v>602</v>
      </c>
      <c r="C580" s="106">
        <v>3</v>
      </c>
      <c r="D580" s="56">
        <v>45915</v>
      </c>
      <c r="E580" s="38">
        <v>9285</v>
      </c>
      <c r="F580" s="38">
        <v>8741</v>
      </c>
      <c r="G580" s="38">
        <v>544</v>
      </c>
      <c r="H580" s="38">
        <v>1667</v>
      </c>
      <c r="I580" s="108">
        <v>6.2235442169088204E-2</v>
      </c>
    </row>
    <row r="581" spans="1:9" x14ac:dyDescent="0.3">
      <c r="A581" s="35" t="s">
        <v>601</v>
      </c>
      <c r="B581" t="s">
        <v>602</v>
      </c>
      <c r="C581" s="106">
        <v>4</v>
      </c>
      <c r="D581" s="56">
        <v>45923</v>
      </c>
      <c r="E581" s="38">
        <v>9300</v>
      </c>
      <c r="F581" s="38">
        <v>8748</v>
      </c>
      <c r="G581" s="38">
        <v>552</v>
      </c>
      <c r="H581" s="38">
        <v>2219</v>
      </c>
      <c r="I581" s="108">
        <v>6.3100137174211243E-2</v>
      </c>
    </row>
    <row r="582" spans="1:9" x14ac:dyDescent="0.3">
      <c r="A582" s="35" t="s">
        <v>601</v>
      </c>
      <c r="B582" t="s">
        <v>602</v>
      </c>
      <c r="C582" s="106">
        <v>5</v>
      </c>
      <c r="D582" s="56">
        <v>45930</v>
      </c>
      <c r="E582" s="38">
        <v>9310</v>
      </c>
      <c r="F582" s="38">
        <v>8748</v>
      </c>
      <c r="G582" s="38">
        <v>562</v>
      </c>
      <c r="H582" s="38">
        <v>2781</v>
      </c>
      <c r="I582" s="108">
        <v>6.4243255601280289E-2</v>
      </c>
    </row>
    <row r="583" spans="1:9" x14ac:dyDescent="0.3">
      <c r="A583" s="35" t="s">
        <v>601</v>
      </c>
      <c r="B583" t="s">
        <v>602</v>
      </c>
      <c r="C583" s="106">
        <v>6</v>
      </c>
      <c r="D583" s="56">
        <v>45937</v>
      </c>
      <c r="E583" s="38">
        <v>9310</v>
      </c>
      <c r="F583" s="38">
        <v>8748</v>
      </c>
      <c r="G583" s="38">
        <v>562</v>
      </c>
      <c r="H583" s="38">
        <v>3343</v>
      </c>
      <c r="I583" s="108">
        <v>6.4243255601280289E-2</v>
      </c>
    </row>
    <row r="584" spans="1:9" x14ac:dyDescent="0.3">
      <c r="A584" s="35" t="s">
        <v>601</v>
      </c>
      <c r="B584" t="s">
        <v>602</v>
      </c>
      <c r="C584" s="106">
        <v>7</v>
      </c>
      <c r="D584" s="56">
        <v>45944</v>
      </c>
      <c r="E584" s="38">
        <v>9310</v>
      </c>
      <c r="F584" s="38">
        <v>8748</v>
      </c>
      <c r="G584" s="38">
        <v>562</v>
      </c>
      <c r="H584" s="38">
        <v>3905</v>
      </c>
      <c r="I584" s="108">
        <v>6.4243255601280289E-2</v>
      </c>
    </row>
    <row r="585" spans="1:9" x14ac:dyDescent="0.3">
      <c r="A585" s="35" t="s">
        <v>601</v>
      </c>
      <c r="B585" t="s">
        <v>602</v>
      </c>
      <c r="C585" s="106">
        <v>8</v>
      </c>
      <c r="D585" s="56">
        <v>45952</v>
      </c>
      <c r="E585" s="38">
        <v>9305</v>
      </c>
      <c r="F585" s="38">
        <v>8865</v>
      </c>
      <c r="G585" s="38">
        <v>440</v>
      </c>
      <c r="H585" s="38">
        <v>4345</v>
      </c>
      <c r="I585" s="108">
        <v>4.9633389734912575E-2</v>
      </c>
    </row>
    <row r="586" spans="1:9" x14ac:dyDescent="0.3">
      <c r="A586" s="35" t="s">
        <v>601</v>
      </c>
      <c r="B586" t="s">
        <v>602</v>
      </c>
      <c r="C586" s="106">
        <v>9</v>
      </c>
      <c r="D586" s="56">
        <v>45958</v>
      </c>
      <c r="E586" s="38">
        <v>9310</v>
      </c>
      <c r="F586" s="38">
        <v>8748</v>
      </c>
      <c r="G586" s="38">
        <v>562</v>
      </c>
      <c r="H586" s="38">
        <v>4907</v>
      </c>
      <c r="I586" s="108">
        <v>6.4243255601280289E-2</v>
      </c>
    </row>
    <row r="587" spans="1:9" x14ac:dyDescent="0.3">
      <c r="A587" s="35" t="s">
        <v>601</v>
      </c>
      <c r="B587" t="s">
        <v>602</v>
      </c>
      <c r="C587" s="106">
        <v>10</v>
      </c>
      <c r="E587" s="38"/>
      <c r="F587" s="38"/>
      <c r="G587" s="38">
        <v>0</v>
      </c>
      <c r="H587" s="38">
        <v>4907</v>
      </c>
      <c r="I587" s="108" t="e">
        <v>#DIV/0!</v>
      </c>
    </row>
    <row r="588" spans="1:9" x14ac:dyDescent="0.3">
      <c r="A588" s="35" t="s">
        <v>601</v>
      </c>
      <c r="B588" t="s">
        <v>602</v>
      </c>
      <c r="C588" s="106">
        <v>11</v>
      </c>
      <c r="E588" s="38"/>
      <c r="F588" s="38"/>
      <c r="G588" s="38">
        <v>0</v>
      </c>
      <c r="H588" s="38">
        <v>4907</v>
      </c>
    </row>
    <row r="589" spans="1:9" x14ac:dyDescent="0.3">
      <c r="A589" s="35" t="s">
        <v>601</v>
      </c>
      <c r="B589" t="s">
        <v>602</v>
      </c>
      <c r="C589" s="106">
        <v>12</v>
      </c>
      <c r="E589" s="38"/>
      <c r="F589" s="38"/>
      <c r="G589" s="38">
        <v>0</v>
      </c>
      <c r="H589" s="38">
        <v>4907</v>
      </c>
    </row>
    <row r="590" spans="1:9" x14ac:dyDescent="0.3">
      <c r="A590" s="35" t="s">
        <v>601</v>
      </c>
      <c r="B590" t="s">
        <v>602</v>
      </c>
      <c r="C590" s="106">
        <v>13</v>
      </c>
      <c r="E590" s="38"/>
      <c r="F590" s="38"/>
      <c r="G590" s="38">
        <v>0</v>
      </c>
      <c r="H590" s="38">
        <v>4907</v>
      </c>
    </row>
    <row r="591" spans="1:9" x14ac:dyDescent="0.3">
      <c r="A591" s="35" t="s">
        <v>601</v>
      </c>
      <c r="B591" t="s">
        <v>602</v>
      </c>
      <c r="C591" s="106">
        <v>14</v>
      </c>
      <c r="E591" s="38"/>
      <c r="F591" s="38"/>
      <c r="G591" s="38">
        <v>0</v>
      </c>
      <c r="H591" s="38">
        <v>4907</v>
      </c>
    </row>
    <row r="592" spans="1:9" x14ac:dyDescent="0.3">
      <c r="A592" s="35" t="s">
        <v>601</v>
      </c>
      <c r="B592" t="s">
        <v>602</v>
      </c>
      <c r="C592" s="106">
        <v>15</v>
      </c>
      <c r="E592" s="38"/>
      <c r="F592" s="38"/>
      <c r="G592" s="38">
        <v>0</v>
      </c>
      <c r="H592" s="38">
        <v>4907</v>
      </c>
    </row>
    <row r="593" spans="1:9" ht="15" thickBot="1" x14ac:dyDescent="0.35">
      <c r="A593" s="109" t="s">
        <v>601</v>
      </c>
      <c r="B593" s="110" t="s">
        <v>602</v>
      </c>
      <c r="C593" s="114">
        <v>16</v>
      </c>
      <c r="D593" s="110"/>
      <c r="E593" s="115"/>
      <c r="F593" s="115"/>
      <c r="G593" s="115">
        <v>0</v>
      </c>
      <c r="H593" s="115">
        <v>4907</v>
      </c>
      <c r="I593" s="110"/>
    </row>
    <row r="594" spans="1:9" x14ac:dyDescent="0.3">
      <c r="A594" s="35" t="s">
        <v>665</v>
      </c>
      <c r="B594" t="s">
        <v>666</v>
      </c>
      <c r="C594" s="106">
        <v>1</v>
      </c>
      <c r="D594" s="56">
        <v>45903</v>
      </c>
      <c r="E594" s="38">
        <v>11704</v>
      </c>
      <c r="F594" s="38">
        <v>10640</v>
      </c>
      <c r="G594" s="38">
        <v>1064</v>
      </c>
      <c r="H594" s="38">
        <v>1064</v>
      </c>
      <c r="I594" s="108">
        <v>0.1</v>
      </c>
    </row>
    <row r="595" spans="1:9" x14ac:dyDescent="0.3">
      <c r="A595" s="35" t="s">
        <v>665</v>
      </c>
      <c r="B595" t="s">
        <v>666</v>
      </c>
      <c r="C595" s="106">
        <v>2</v>
      </c>
      <c r="D595" s="56">
        <v>45910</v>
      </c>
      <c r="E595" s="38">
        <v>11704</v>
      </c>
      <c r="F595" s="38">
        <v>10640</v>
      </c>
      <c r="G595" s="38">
        <v>1064</v>
      </c>
      <c r="H595" s="38">
        <v>2128</v>
      </c>
      <c r="I595" s="108">
        <v>0.1</v>
      </c>
    </row>
    <row r="596" spans="1:9" x14ac:dyDescent="0.3">
      <c r="A596" s="35" t="s">
        <v>665</v>
      </c>
      <c r="B596" t="s">
        <v>666</v>
      </c>
      <c r="C596" s="106">
        <v>3</v>
      </c>
      <c r="D596" s="56">
        <v>45917</v>
      </c>
      <c r="E596" s="38">
        <v>11704</v>
      </c>
      <c r="F596" s="38">
        <v>10640</v>
      </c>
      <c r="G596" s="38">
        <v>1064</v>
      </c>
      <c r="H596" s="38">
        <v>3192</v>
      </c>
      <c r="I596" s="108">
        <v>0.1</v>
      </c>
    </row>
    <row r="597" spans="1:9" x14ac:dyDescent="0.3">
      <c r="A597" s="35" t="s">
        <v>665</v>
      </c>
      <c r="B597" t="s">
        <v>666</v>
      </c>
      <c r="C597" s="106">
        <v>4</v>
      </c>
      <c r="D597" s="56">
        <v>45924</v>
      </c>
      <c r="E597" s="38">
        <v>11704</v>
      </c>
      <c r="F597" s="38">
        <v>10640</v>
      </c>
      <c r="G597" s="38">
        <v>1064</v>
      </c>
      <c r="H597" s="38">
        <v>4256</v>
      </c>
      <c r="I597" s="108">
        <v>0.1</v>
      </c>
    </row>
    <row r="598" spans="1:9" x14ac:dyDescent="0.3">
      <c r="A598" s="35" t="s">
        <v>665</v>
      </c>
      <c r="B598" t="s">
        <v>666</v>
      </c>
      <c r="C598" s="106">
        <v>5</v>
      </c>
      <c r="D598" s="56">
        <v>45931</v>
      </c>
      <c r="E598" s="38">
        <v>11704</v>
      </c>
      <c r="F598" s="38">
        <v>10640</v>
      </c>
      <c r="G598" s="38">
        <v>1064</v>
      </c>
      <c r="H598" s="38">
        <v>5320</v>
      </c>
      <c r="I598" s="108">
        <v>0.1</v>
      </c>
    </row>
    <row r="599" spans="1:9" x14ac:dyDescent="0.3">
      <c r="A599" s="35" t="s">
        <v>665</v>
      </c>
      <c r="B599" t="s">
        <v>666</v>
      </c>
      <c r="C599" s="106">
        <v>6</v>
      </c>
      <c r="D599" s="56">
        <v>45938</v>
      </c>
      <c r="E599" s="38">
        <v>11704</v>
      </c>
      <c r="F599" s="38">
        <v>10640</v>
      </c>
      <c r="G599" s="38">
        <v>1064</v>
      </c>
      <c r="H599" s="38">
        <v>6384</v>
      </c>
      <c r="I599" s="108">
        <v>0.1</v>
      </c>
    </row>
    <row r="600" spans="1:9" x14ac:dyDescent="0.3">
      <c r="A600" s="35" t="s">
        <v>665</v>
      </c>
      <c r="B600" t="s">
        <v>666</v>
      </c>
      <c r="C600" s="106">
        <v>7</v>
      </c>
      <c r="D600" s="56">
        <v>45945</v>
      </c>
      <c r="E600" s="38">
        <v>11704</v>
      </c>
      <c r="F600" s="38">
        <v>10640</v>
      </c>
      <c r="G600" s="38">
        <v>1064</v>
      </c>
      <c r="H600" s="38">
        <v>7448</v>
      </c>
      <c r="I600" s="108">
        <v>0.1</v>
      </c>
    </row>
    <row r="601" spans="1:9" x14ac:dyDescent="0.3">
      <c r="A601" s="35" t="s">
        <v>665</v>
      </c>
      <c r="B601" t="s">
        <v>666</v>
      </c>
      <c r="C601" s="106">
        <v>8</v>
      </c>
      <c r="D601" s="56">
        <v>45952</v>
      </c>
      <c r="E601" s="38">
        <v>11704</v>
      </c>
      <c r="F601" s="38">
        <v>10640</v>
      </c>
      <c r="G601" s="38">
        <v>1064</v>
      </c>
      <c r="H601" s="38">
        <v>8512</v>
      </c>
      <c r="I601" s="108">
        <v>0.1</v>
      </c>
    </row>
    <row r="602" spans="1:9" x14ac:dyDescent="0.3">
      <c r="A602" s="35" t="s">
        <v>665</v>
      </c>
      <c r="B602" t="s">
        <v>666</v>
      </c>
      <c r="C602" s="106">
        <v>9</v>
      </c>
      <c r="D602" s="56">
        <v>45959</v>
      </c>
      <c r="E602" s="38">
        <v>11704</v>
      </c>
      <c r="F602" s="38">
        <v>10640</v>
      </c>
      <c r="G602" s="38">
        <v>1064</v>
      </c>
      <c r="H602" s="38">
        <v>9576</v>
      </c>
      <c r="I602" s="108">
        <v>0.1</v>
      </c>
    </row>
    <row r="603" spans="1:9" x14ac:dyDescent="0.3">
      <c r="A603" s="35" t="s">
        <v>665</v>
      </c>
      <c r="B603" t="s">
        <v>666</v>
      </c>
      <c r="C603" s="106">
        <v>10</v>
      </c>
      <c r="E603" s="38"/>
      <c r="F603" s="38"/>
      <c r="G603" s="38">
        <v>0</v>
      </c>
      <c r="H603" s="38">
        <v>9576</v>
      </c>
      <c r="I603" s="108" t="e">
        <v>#DIV/0!</v>
      </c>
    </row>
    <row r="604" spans="1:9" x14ac:dyDescent="0.3">
      <c r="A604" s="35" t="s">
        <v>665</v>
      </c>
      <c r="B604" t="s">
        <v>666</v>
      </c>
      <c r="C604" s="106">
        <v>11</v>
      </c>
      <c r="E604" s="38"/>
      <c r="F604" s="38"/>
      <c r="G604" s="38">
        <v>0</v>
      </c>
      <c r="H604" s="38">
        <v>9576</v>
      </c>
      <c r="I604" s="108" t="e">
        <v>#DIV/0!</v>
      </c>
    </row>
    <row r="605" spans="1:9" x14ac:dyDescent="0.3">
      <c r="A605" s="35" t="s">
        <v>665</v>
      </c>
      <c r="B605" t="s">
        <v>666</v>
      </c>
      <c r="C605" s="106">
        <v>12</v>
      </c>
      <c r="E605" s="38"/>
      <c r="F605" s="38"/>
      <c r="G605" s="38">
        <v>0</v>
      </c>
      <c r="H605" s="38">
        <v>9576</v>
      </c>
    </row>
    <row r="606" spans="1:9" x14ac:dyDescent="0.3">
      <c r="A606" s="35" t="s">
        <v>665</v>
      </c>
      <c r="B606" t="s">
        <v>666</v>
      </c>
      <c r="C606" s="106">
        <v>13</v>
      </c>
      <c r="E606" s="38"/>
      <c r="F606" s="38"/>
      <c r="G606" s="38">
        <v>0</v>
      </c>
      <c r="H606" s="38">
        <v>9576</v>
      </c>
    </row>
    <row r="607" spans="1:9" x14ac:dyDescent="0.3">
      <c r="A607" s="35" t="s">
        <v>665</v>
      </c>
      <c r="B607" t="s">
        <v>666</v>
      </c>
      <c r="C607" s="106">
        <v>14</v>
      </c>
      <c r="E607" s="38"/>
      <c r="F607" s="38"/>
      <c r="G607" s="38">
        <v>0</v>
      </c>
      <c r="H607" s="38">
        <v>9576</v>
      </c>
    </row>
    <row r="608" spans="1:9" x14ac:dyDescent="0.3">
      <c r="A608" s="35" t="s">
        <v>665</v>
      </c>
      <c r="B608" t="s">
        <v>666</v>
      </c>
      <c r="C608" s="106">
        <v>15</v>
      </c>
      <c r="E608" s="38"/>
      <c r="F608" s="38"/>
      <c r="G608" s="38">
        <v>0</v>
      </c>
      <c r="H608" s="38">
        <v>9576</v>
      </c>
    </row>
    <row r="609" spans="1:9" ht="15" thickBot="1" x14ac:dyDescent="0.35">
      <c r="A609" s="109" t="s">
        <v>665</v>
      </c>
      <c r="B609" s="110" t="s">
        <v>666</v>
      </c>
      <c r="C609" s="114">
        <v>16</v>
      </c>
      <c r="D609" s="110"/>
      <c r="E609" s="115"/>
      <c r="F609" s="115"/>
      <c r="G609" s="115">
        <v>0</v>
      </c>
      <c r="H609" s="115">
        <v>9576</v>
      </c>
      <c r="I609" s="110"/>
    </row>
    <row r="610" spans="1:9" x14ac:dyDescent="0.3">
      <c r="A610" s="35" t="s">
        <v>657</v>
      </c>
      <c r="B610" t="s">
        <v>658</v>
      </c>
      <c r="C610" s="106">
        <v>1</v>
      </c>
      <c r="D610" s="56">
        <v>45903</v>
      </c>
      <c r="E610" s="38">
        <v>6784</v>
      </c>
      <c r="F610" s="38">
        <v>6460</v>
      </c>
      <c r="G610" s="38">
        <v>324</v>
      </c>
      <c r="H610" s="38">
        <v>324</v>
      </c>
      <c r="I610" s="108">
        <v>5.0154798761609908E-2</v>
      </c>
    </row>
    <row r="611" spans="1:9" x14ac:dyDescent="0.3">
      <c r="A611" s="35" t="s">
        <v>657</v>
      </c>
      <c r="B611" t="s">
        <v>658</v>
      </c>
      <c r="C611" s="106">
        <v>2</v>
      </c>
      <c r="D611" s="56">
        <v>45910</v>
      </c>
      <c r="E611" s="38">
        <v>6789</v>
      </c>
      <c r="F611" s="38">
        <v>6460</v>
      </c>
      <c r="G611" s="38">
        <v>329</v>
      </c>
      <c r="H611" s="38">
        <v>653</v>
      </c>
      <c r="I611" s="108">
        <v>5.0928792569659445E-2</v>
      </c>
    </row>
    <row r="612" spans="1:9" x14ac:dyDescent="0.3">
      <c r="A612" s="35" t="s">
        <v>657</v>
      </c>
      <c r="B612" t="s">
        <v>658</v>
      </c>
      <c r="C612" s="106">
        <v>3</v>
      </c>
      <c r="D612" s="56">
        <v>45917</v>
      </c>
      <c r="E612" s="38">
        <v>6810</v>
      </c>
      <c r="F612" s="38">
        <v>6460</v>
      </c>
      <c r="G612" s="38">
        <v>350</v>
      </c>
      <c r="H612" s="38">
        <v>1003</v>
      </c>
      <c r="I612" s="108">
        <v>5.4179566563467493E-2</v>
      </c>
    </row>
    <row r="613" spans="1:9" x14ac:dyDescent="0.3">
      <c r="A613" s="35" t="s">
        <v>657</v>
      </c>
      <c r="B613" t="s">
        <v>658</v>
      </c>
      <c r="C613" s="106">
        <v>4</v>
      </c>
      <c r="D613" s="56">
        <v>45924</v>
      </c>
      <c r="E613" s="38">
        <v>6810</v>
      </c>
      <c r="F613" s="38">
        <v>6460</v>
      </c>
      <c r="G613" s="38">
        <v>350</v>
      </c>
      <c r="H613" s="38">
        <v>1353</v>
      </c>
      <c r="I613" s="108">
        <v>5.4179566563467493E-2</v>
      </c>
    </row>
    <row r="614" spans="1:9" x14ac:dyDescent="0.3">
      <c r="A614" s="35" t="s">
        <v>657</v>
      </c>
      <c r="B614" t="s">
        <v>658</v>
      </c>
      <c r="C614" s="106">
        <v>5</v>
      </c>
      <c r="D614" s="56">
        <v>45931</v>
      </c>
      <c r="E614" s="38">
        <v>6810</v>
      </c>
      <c r="F614" s="38">
        <v>6460</v>
      </c>
      <c r="G614" s="38">
        <v>350</v>
      </c>
      <c r="H614" s="38">
        <v>1703</v>
      </c>
      <c r="I614" s="108">
        <v>5.4179566563467493E-2</v>
      </c>
    </row>
    <row r="615" spans="1:9" x14ac:dyDescent="0.3">
      <c r="A615" s="35" t="s">
        <v>657</v>
      </c>
      <c r="B615" t="s">
        <v>658</v>
      </c>
      <c r="C615" s="106">
        <v>6</v>
      </c>
      <c r="D615" s="56">
        <v>45938</v>
      </c>
      <c r="E615" s="38">
        <v>6010</v>
      </c>
      <c r="F615" s="38">
        <v>5700</v>
      </c>
      <c r="G615" s="38">
        <v>310</v>
      </c>
      <c r="H615" s="38">
        <v>2013</v>
      </c>
      <c r="I615" s="108">
        <v>5.4385964912280704E-2</v>
      </c>
    </row>
    <row r="616" spans="1:9" x14ac:dyDescent="0.3">
      <c r="A616" s="35" t="s">
        <v>657</v>
      </c>
      <c r="B616" t="s">
        <v>658</v>
      </c>
      <c r="C616" s="106">
        <v>7</v>
      </c>
      <c r="D616" s="56">
        <v>45945</v>
      </c>
      <c r="E616" s="38">
        <v>6012</v>
      </c>
      <c r="F616" s="38">
        <v>5700</v>
      </c>
      <c r="G616" s="38">
        <v>312</v>
      </c>
      <c r="H616" s="38">
        <v>2325</v>
      </c>
      <c r="I616" s="108">
        <v>5.473684210526316E-2</v>
      </c>
    </row>
    <row r="617" spans="1:9" x14ac:dyDescent="0.3">
      <c r="A617" s="35" t="s">
        <v>657</v>
      </c>
      <c r="B617" t="s">
        <v>658</v>
      </c>
      <c r="C617" s="106">
        <v>8</v>
      </c>
      <c r="D617" s="56">
        <v>45952</v>
      </c>
      <c r="E617" s="38">
        <v>6012</v>
      </c>
      <c r="F617" s="38">
        <v>5700</v>
      </c>
      <c r="G617" s="38">
        <v>312</v>
      </c>
      <c r="H617" s="38">
        <v>2637</v>
      </c>
      <c r="I617" s="108">
        <v>5.473684210526316E-2</v>
      </c>
    </row>
    <row r="618" spans="1:9" x14ac:dyDescent="0.3">
      <c r="A618" s="35" t="s">
        <v>657</v>
      </c>
      <c r="B618" t="s">
        <v>658</v>
      </c>
      <c r="C618" s="106">
        <v>9</v>
      </c>
      <c r="D618" s="56">
        <v>45959</v>
      </c>
      <c r="E618" s="38">
        <v>6012</v>
      </c>
      <c r="F618" s="38">
        <v>5700</v>
      </c>
      <c r="G618" s="38">
        <v>312</v>
      </c>
      <c r="H618" s="38">
        <v>2949</v>
      </c>
      <c r="I618" s="108">
        <v>5.473684210526316E-2</v>
      </c>
    </row>
    <row r="619" spans="1:9" x14ac:dyDescent="0.3">
      <c r="A619" s="35" t="s">
        <v>657</v>
      </c>
      <c r="B619" t="s">
        <v>658</v>
      </c>
      <c r="C619" s="106">
        <v>10</v>
      </c>
      <c r="E619" s="38"/>
      <c r="F619" s="38"/>
      <c r="G619" s="38">
        <v>0</v>
      </c>
      <c r="H619" s="38">
        <v>2949</v>
      </c>
      <c r="I619" s="108" t="e">
        <v>#DIV/0!</v>
      </c>
    </row>
    <row r="620" spans="1:9" x14ac:dyDescent="0.3">
      <c r="A620" s="35" t="s">
        <v>657</v>
      </c>
      <c r="B620" t="s">
        <v>658</v>
      </c>
      <c r="C620" s="106">
        <v>11</v>
      </c>
      <c r="E620" s="38"/>
      <c r="F620" s="38"/>
      <c r="G620" s="38">
        <v>0</v>
      </c>
      <c r="H620" s="38">
        <v>2949</v>
      </c>
      <c r="I620" s="108" t="e">
        <v>#DIV/0!</v>
      </c>
    </row>
    <row r="621" spans="1:9" x14ac:dyDescent="0.3">
      <c r="A621" s="35" t="s">
        <v>657</v>
      </c>
      <c r="B621" t="s">
        <v>658</v>
      </c>
      <c r="C621" s="106">
        <v>12</v>
      </c>
      <c r="E621" s="38"/>
      <c r="F621" s="38"/>
      <c r="G621" s="38">
        <v>0</v>
      </c>
      <c r="H621" s="38">
        <v>2949</v>
      </c>
      <c r="I621" s="108" t="e">
        <v>#DIV/0!</v>
      </c>
    </row>
    <row r="622" spans="1:9" x14ac:dyDescent="0.3">
      <c r="A622" s="35" t="s">
        <v>657</v>
      </c>
      <c r="B622" t="s">
        <v>658</v>
      </c>
      <c r="C622" s="106">
        <v>13</v>
      </c>
      <c r="E622" s="38"/>
      <c r="F622" s="38"/>
      <c r="G622" s="38">
        <v>0</v>
      </c>
      <c r="H622" s="38">
        <v>2949</v>
      </c>
      <c r="I622" s="108" t="e">
        <v>#DIV/0!</v>
      </c>
    </row>
    <row r="623" spans="1:9" x14ac:dyDescent="0.3">
      <c r="A623" s="35" t="s">
        <v>657</v>
      </c>
      <c r="B623" t="s">
        <v>658</v>
      </c>
      <c r="C623" s="106">
        <v>14</v>
      </c>
      <c r="E623" s="38"/>
      <c r="F623" s="38"/>
      <c r="G623" s="38">
        <v>0</v>
      </c>
      <c r="H623" s="38">
        <v>2949</v>
      </c>
      <c r="I623" s="108" t="e">
        <v>#DIV/0!</v>
      </c>
    </row>
    <row r="624" spans="1:9" x14ac:dyDescent="0.3">
      <c r="A624" s="35" t="s">
        <v>657</v>
      </c>
      <c r="B624" t="s">
        <v>658</v>
      </c>
      <c r="C624" s="106">
        <v>15</v>
      </c>
      <c r="E624" s="38"/>
      <c r="F624" s="38"/>
      <c r="G624" s="38">
        <v>0</v>
      </c>
      <c r="H624" s="38">
        <v>2949</v>
      </c>
    </row>
    <row r="625" spans="1:9" ht="15" thickBot="1" x14ac:dyDescent="0.35">
      <c r="A625" s="109" t="s">
        <v>657</v>
      </c>
      <c r="B625" s="110" t="s">
        <v>658</v>
      </c>
      <c r="C625" s="114">
        <v>16</v>
      </c>
      <c r="D625" s="110"/>
      <c r="E625" s="115"/>
      <c r="F625" s="115"/>
      <c r="G625" s="115">
        <v>0</v>
      </c>
      <c r="H625" s="115">
        <v>2949</v>
      </c>
      <c r="I625" s="110"/>
    </row>
    <row r="626" spans="1:9" x14ac:dyDescent="0.3">
      <c r="A626" s="35" t="s">
        <v>675</v>
      </c>
      <c r="B626" t="s">
        <v>676</v>
      </c>
      <c r="C626" s="106">
        <v>1</v>
      </c>
      <c r="D626" s="56">
        <v>45904</v>
      </c>
      <c r="E626" s="38">
        <v>10725</v>
      </c>
      <c r="F626" s="38">
        <v>10647</v>
      </c>
      <c r="G626" s="38">
        <v>78</v>
      </c>
      <c r="H626" s="38">
        <v>78</v>
      </c>
      <c r="I626" s="108">
        <v>7.326007326007326E-3</v>
      </c>
    </row>
    <row r="627" spans="1:9" x14ac:dyDescent="0.3">
      <c r="A627" s="35" t="s">
        <v>675</v>
      </c>
      <c r="B627" t="s">
        <v>676</v>
      </c>
      <c r="C627" s="106">
        <v>2</v>
      </c>
      <c r="D627" s="56">
        <v>45911</v>
      </c>
      <c r="E627" s="38">
        <v>10710</v>
      </c>
      <c r="F627" s="38">
        <v>10647</v>
      </c>
      <c r="G627" s="38">
        <v>63</v>
      </c>
      <c r="H627" s="38">
        <v>141</v>
      </c>
      <c r="I627" s="108">
        <v>5.9171597633136093E-3</v>
      </c>
    </row>
    <row r="628" spans="1:9" x14ac:dyDescent="0.3">
      <c r="A628" s="35" t="s">
        <v>675</v>
      </c>
      <c r="B628" t="s">
        <v>676</v>
      </c>
      <c r="C628" s="106">
        <v>3</v>
      </c>
      <c r="D628" s="56">
        <v>45918</v>
      </c>
      <c r="E628" s="38">
        <v>11533</v>
      </c>
      <c r="F628" s="38">
        <v>10647</v>
      </c>
      <c r="G628" s="38">
        <v>886</v>
      </c>
      <c r="H628" s="38">
        <v>1027</v>
      </c>
      <c r="I628" s="108">
        <v>8.3215929369775524E-2</v>
      </c>
    </row>
    <row r="629" spans="1:9" x14ac:dyDescent="0.3">
      <c r="A629" s="35" t="s">
        <v>675</v>
      </c>
      <c r="B629" t="s">
        <v>676</v>
      </c>
      <c r="C629" s="106">
        <v>4</v>
      </c>
      <c r="D629" s="56">
        <v>45925</v>
      </c>
      <c r="E629" s="38">
        <v>10850</v>
      </c>
      <c r="F629" s="38">
        <v>10647</v>
      </c>
      <c r="G629" s="38">
        <v>203</v>
      </c>
      <c r="H629" s="38">
        <v>1230</v>
      </c>
      <c r="I629" s="108">
        <v>1.9066403681788299E-2</v>
      </c>
    </row>
    <row r="630" spans="1:9" x14ac:dyDescent="0.3">
      <c r="A630" s="35" t="s">
        <v>675</v>
      </c>
      <c r="B630" t="s">
        <v>676</v>
      </c>
      <c r="C630" s="106">
        <v>5</v>
      </c>
      <c r="D630" s="56">
        <v>45933</v>
      </c>
      <c r="E630" s="38">
        <v>10698</v>
      </c>
      <c r="F630" s="38">
        <v>10698</v>
      </c>
      <c r="G630" s="38">
        <v>0</v>
      </c>
      <c r="H630" s="38">
        <v>1230</v>
      </c>
      <c r="I630" s="108">
        <v>0</v>
      </c>
    </row>
    <row r="631" spans="1:9" x14ac:dyDescent="0.3">
      <c r="A631" s="35" t="s">
        <v>675</v>
      </c>
      <c r="B631" t="s">
        <v>676</v>
      </c>
      <c r="C631" s="106">
        <v>6</v>
      </c>
      <c r="D631" s="56">
        <v>45948</v>
      </c>
      <c r="E631" s="38">
        <v>10272</v>
      </c>
      <c r="F631" s="38">
        <v>10272</v>
      </c>
      <c r="G631" s="38">
        <v>0</v>
      </c>
      <c r="H631" s="38">
        <v>1230</v>
      </c>
      <c r="I631" s="108">
        <v>0</v>
      </c>
    </row>
    <row r="632" spans="1:9" x14ac:dyDescent="0.3">
      <c r="A632" s="35" t="s">
        <v>675</v>
      </c>
      <c r="B632" t="s">
        <v>676</v>
      </c>
      <c r="C632" s="106">
        <v>7</v>
      </c>
      <c r="D632" s="56">
        <v>45953</v>
      </c>
      <c r="E632" s="38">
        <v>5050</v>
      </c>
      <c r="F632" s="38">
        <v>5050</v>
      </c>
      <c r="G632" s="38">
        <v>0</v>
      </c>
      <c r="H632" s="38">
        <v>1230</v>
      </c>
      <c r="I632" s="108">
        <v>0</v>
      </c>
    </row>
    <row r="633" spans="1:9" x14ac:dyDescent="0.3">
      <c r="A633" s="35" t="s">
        <v>675</v>
      </c>
      <c r="B633" t="s">
        <v>676</v>
      </c>
      <c r="C633" s="106">
        <v>8</v>
      </c>
      <c r="D633" s="56">
        <v>45961</v>
      </c>
      <c r="E633" s="38">
        <v>3000</v>
      </c>
      <c r="F633" s="38">
        <v>3000</v>
      </c>
      <c r="G633" s="38">
        <v>0</v>
      </c>
      <c r="H633" s="38">
        <v>1230</v>
      </c>
      <c r="I633" s="108">
        <v>0</v>
      </c>
    </row>
    <row r="634" spans="1:9" x14ac:dyDescent="0.3">
      <c r="A634" s="35" t="s">
        <v>675</v>
      </c>
      <c r="B634" t="s">
        <v>676</v>
      </c>
      <c r="C634" s="106">
        <v>9</v>
      </c>
      <c r="E634" s="38"/>
      <c r="F634" s="38"/>
      <c r="G634" s="38">
        <v>0</v>
      </c>
      <c r="H634" s="38">
        <v>1230</v>
      </c>
      <c r="I634" s="108" t="e">
        <v>#DIV/0!</v>
      </c>
    </row>
    <row r="635" spans="1:9" x14ac:dyDescent="0.3">
      <c r="A635" s="35" t="s">
        <v>675</v>
      </c>
      <c r="B635" t="s">
        <v>676</v>
      </c>
      <c r="C635" s="106">
        <v>10</v>
      </c>
      <c r="E635" s="38"/>
      <c r="F635" s="38"/>
      <c r="G635" s="38">
        <v>0</v>
      </c>
      <c r="H635" s="38">
        <v>1230</v>
      </c>
      <c r="I635" s="108" t="e">
        <v>#DIV/0!</v>
      </c>
    </row>
    <row r="636" spans="1:9" x14ac:dyDescent="0.3">
      <c r="A636" s="35" t="s">
        <v>675</v>
      </c>
      <c r="B636" t="s">
        <v>676</v>
      </c>
      <c r="C636" s="106">
        <v>11</v>
      </c>
      <c r="E636" s="38"/>
      <c r="F636" s="38"/>
      <c r="G636" s="38">
        <v>0</v>
      </c>
      <c r="H636" s="38">
        <v>1230</v>
      </c>
      <c r="I636" s="108" t="e">
        <v>#DIV/0!</v>
      </c>
    </row>
    <row r="637" spans="1:9" x14ac:dyDescent="0.3">
      <c r="A637" s="35" t="s">
        <v>675</v>
      </c>
      <c r="B637" t="s">
        <v>676</v>
      </c>
      <c r="C637" s="106">
        <v>12</v>
      </c>
      <c r="E637" s="38"/>
      <c r="F637" s="38"/>
      <c r="G637" s="38">
        <v>0</v>
      </c>
      <c r="H637" s="38">
        <v>1230</v>
      </c>
      <c r="I637" s="108" t="e">
        <v>#DIV/0!</v>
      </c>
    </row>
    <row r="638" spans="1:9" x14ac:dyDescent="0.3">
      <c r="A638" s="35" t="s">
        <v>675</v>
      </c>
      <c r="B638" t="s">
        <v>676</v>
      </c>
      <c r="C638" s="106">
        <v>13</v>
      </c>
      <c r="E638" s="38"/>
      <c r="F638" s="38"/>
      <c r="G638" s="38">
        <v>0</v>
      </c>
      <c r="H638" s="38">
        <v>1230</v>
      </c>
      <c r="I638" s="108" t="e">
        <v>#DIV/0!</v>
      </c>
    </row>
    <row r="639" spans="1:9" x14ac:dyDescent="0.3">
      <c r="A639" s="35" t="s">
        <v>675</v>
      </c>
      <c r="B639" t="s">
        <v>676</v>
      </c>
      <c r="C639" s="106">
        <v>14</v>
      </c>
      <c r="E639" s="38"/>
      <c r="F639" s="38"/>
      <c r="G639" s="38">
        <v>0</v>
      </c>
      <c r="H639" s="38">
        <v>1230</v>
      </c>
      <c r="I639" s="108" t="e">
        <v>#DIV/0!</v>
      </c>
    </row>
    <row r="640" spans="1:9" x14ac:dyDescent="0.3">
      <c r="A640" s="35" t="s">
        <v>675</v>
      </c>
      <c r="B640" t="s">
        <v>676</v>
      </c>
      <c r="C640" s="106">
        <v>15</v>
      </c>
      <c r="E640" s="38"/>
      <c r="F640" s="38"/>
      <c r="G640" s="38">
        <v>0</v>
      </c>
      <c r="H640" s="38">
        <v>1230</v>
      </c>
      <c r="I640" s="108" t="e">
        <v>#DIV/0!</v>
      </c>
    </row>
    <row r="641" spans="1:9" ht="15" thickBot="1" x14ac:dyDescent="0.35">
      <c r="A641" s="109" t="s">
        <v>675</v>
      </c>
      <c r="B641" s="110" t="s">
        <v>676</v>
      </c>
      <c r="C641" s="114">
        <v>16</v>
      </c>
      <c r="D641" s="110"/>
      <c r="E641" s="115"/>
      <c r="F641" s="115"/>
      <c r="G641" s="115">
        <v>0</v>
      </c>
      <c r="H641" s="115">
        <v>1230</v>
      </c>
      <c r="I641" s="110"/>
    </row>
    <row r="642" spans="1:9" x14ac:dyDescent="0.3">
      <c r="A642" s="35" t="s">
        <v>683</v>
      </c>
      <c r="B642" t="s">
        <v>684</v>
      </c>
      <c r="C642" s="106">
        <v>1</v>
      </c>
      <c r="D642" s="56">
        <v>45904</v>
      </c>
      <c r="E642" s="38">
        <v>8300</v>
      </c>
      <c r="F642" s="38">
        <v>7600</v>
      </c>
      <c r="G642" s="38">
        <v>700</v>
      </c>
      <c r="H642" s="38">
        <v>700</v>
      </c>
      <c r="I642" s="108">
        <v>9.2105263157894732E-2</v>
      </c>
    </row>
    <row r="643" spans="1:9" x14ac:dyDescent="0.3">
      <c r="A643" s="35" t="s">
        <v>683</v>
      </c>
      <c r="B643" t="s">
        <v>684</v>
      </c>
      <c r="C643" s="106">
        <v>2</v>
      </c>
      <c r="D643" s="56">
        <v>45911</v>
      </c>
      <c r="E643" s="38">
        <v>8340</v>
      </c>
      <c r="F643" s="38">
        <v>7600</v>
      </c>
      <c r="G643" s="38">
        <v>740</v>
      </c>
      <c r="H643" s="38">
        <v>8300</v>
      </c>
      <c r="I643" s="108">
        <v>9.7368421052631576E-2</v>
      </c>
    </row>
    <row r="644" spans="1:9" x14ac:dyDescent="0.3">
      <c r="A644" s="35" t="s">
        <v>683</v>
      </c>
      <c r="B644" t="s">
        <v>684</v>
      </c>
      <c r="C644" s="106">
        <v>3</v>
      </c>
      <c r="D644" s="56">
        <v>45918</v>
      </c>
      <c r="E644" s="38">
        <v>8350</v>
      </c>
      <c r="F644" s="38">
        <v>7600</v>
      </c>
      <c r="G644" s="38">
        <v>750</v>
      </c>
      <c r="H644" s="38">
        <v>15900</v>
      </c>
      <c r="I644" s="108">
        <v>9.8684210526315791E-2</v>
      </c>
    </row>
    <row r="645" spans="1:9" x14ac:dyDescent="0.3">
      <c r="A645" s="35" t="s">
        <v>683</v>
      </c>
      <c r="B645" t="s">
        <v>684</v>
      </c>
      <c r="C645" s="106">
        <v>4</v>
      </c>
      <c r="D645" s="56">
        <v>45925</v>
      </c>
      <c r="E645" s="38">
        <v>8360</v>
      </c>
      <c r="F645" s="38">
        <v>7600</v>
      </c>
      <c r="G645" s="38">
        <v>760</v>
      </c>
      <c r="H645" s="38">
        <v>23500</v>
      </c>
      <c r="I645" s="108">
        <v>0.1</v>
      </c>
    </row>
    <row r="646" spans="1:9" x14ac:dyDescent="0.3">
      <c r="A646" s="35" t="s">
        <v>683</v>
      </c>
      <c r="B646" t="s">
        <v>684</v>
      </c>
      <c r="C646" s="106">
        <v>5</v>
      </c>
      <c r="D646" s="56">
        <v>45932</v>
      </c>
      <c r="E646" s="38">
        <v>8360</v>
      </c>
      <c r="F646" s="38">
        <v>7600</v>
      </c>
      <c r="G646" s="38">
        <v>760</v>
      </c>
      <c r="H646" s="38">
        <v>31100</v>
      </c>
      <c r="I646" s="108">
        <v>0.1</v>
      </c>
    </row>
    <row r="647" spans="1:9" x14ac:dyDescent="0.3">
      <c r="A647" s="35" t="s">
        <v>683</v>
      </c>
      <c r="B647" t="s">
        <v>684</v>
      </c>
      <c r="C647" s="106">
        <v>6</v>
      </c>
      <c r="D647" s="56">
        <v>45946</v>
      </c>
      <c r="E647" s="38">
        <v>8360</v>
      </c>
      <c r="F647" s="38">
        <v>7600</v>
      </c>
      <c r="G647" s="38">
        <v>760</v>
      </c>
      <c r="H647" s="38">
        <v>38700</v>
      </c>
      <c r="I647" s="108">
        <v>0.1</v>
      </c>
    </row>
    <row r="648" spans="1:9" x14ac:dyDescent="0.3">
      <c r="A648" s="35" t="s">
        <v>683</v>
      </c>
      <c r="B648" t="s">
        <v>684</v>
      </c>
      <c r="C648" s="106">
        <v>7</v>
      </c>
      <c r="D648" s="56">
        <v>45953</v>
      </c>
      <c r="E648" s="38">
        <v>8360</v>
      </c>
      <c r="F648" s="38">
        <v>7600</v>
      </c>
      <c r="G648" s="38">
        <v>760</v>
      </c>
      <c r="H648" s="38">
        <v>46300</v>
      </c>
      <c r="I648" s="108">
        <v>0.1</v>
      </c>
    </row>
    <row r="649" spans="1:9" x14ac:dyDescent="0.3">
      <c r="A649" s="35" t="s">
        <v>683</v>
      </c>
      <c r="B649" t="s">
        <v>684</v>
      </c>
      <c r="C649" s="106">
        <v>8</v>
      </c>
      <c r="D649" s="56">
        <v>45960</v>
      </c>
      <c r="E649" s="38">
        <v>8051</v>
      </c>
      <c r="F649" s="38">
        <v>7600</v>
      </c>
      <c r="G649" s="38">
        <v>451</v>
      </c>
      <c r="H649" s="38">
        <v>53900</v>
      </c>
      <c r="I649" s="108">
        <v>5.9342105263157897E-2</v>
      </c>
    </row>
    <row r="650" spans="1:9" x14ac:dyDescent="0.3">
      <c r="A650" s="35" t="s">
        <v>683</v>
      </c>
      <c r="B650" t="s">
        <v>684</v>
      </c>
      <c r="C650" s="106">
        <v>9</v>
      </c>
      <c r="E650" s="38"/>
      <c r="F650" s="38"/>
      <c r="G650" s="38">
        <v>0</v>
      </c>
      <c r="H650" s="38">
        <v>53900</v>
      </c>
      <c r="I650" s="108" t="e">
        <v>#DIV/0!</v>
      </c>
    </row>
    <row r="651" spans="1:9" x14ac:dyDescent="0.3">
      <c r="A651" s="35" t="s">
        <v>683</v>
      </c>
      <c r="B651" t="s">
        <v>684</v>
      </c>
      <c r="C651" s="106">
        <v>10</v>
      </c>
      <c r="E651" s="38"/>
      <c r="F651" s="38"/>
      <c r="G651" s="38">
        <v>0</v>
      </c>
      <c r="H651" s="38">
        <v>53900</v>
      </c>
      <c r="I651" s="108" t="e">
        <v>#DIV/0!</v>
      </c>
    </row>
    <row r="652" spans="1:9" x14ac:dyDescent="0.3">
      <c r="A652" s="35" t="s">
        <v>683</v>
      </c>
      <c r="B652" t="s">
        <v>684</v>
      </c>
      <c r="C652" s="106">
        <v>11</v>
      </c>
      <c r="E652" s="38"/>
      <c r="F652" s="38"/>
      <c r="G652" s="38">
        <v>0</v>
      </c>
      <c r="H652" s="38">
        <v>53900</v>
      </c>
      <c r="I652" s="108" t="e">
        <v>#DIV/0!</v>
      </c>
    </row>
    <row r="653" spans="1:9" x14ac:dyDescent="0.3">
      <c r="A653" s="35" t="s">
        <v>683</v>
      </c>
      <c r="B653" t="s">
        <v>684</v>
      </c>
      <c r="C653" s="106">
        <v>12</v>
      </c>
      <c r="E653" s="38"/>
      <c r="F653" s="38"/>
      <c r="G653" s="38">
        <v>0</v>
      </c>
      <c r="H653" s="38">
        <v>53900</v>
      </c>
      <c r="I653" s="108" t="e">
        <v>#DIV/0!</v>
      </c>
    </row>
    <row r="654" spans="1:9" x14ac:dyDescent="0.3">
      <c r="A654" s="35" t="s">
        <v>683</v>
      </c>
      <c r="B654" t="s">
        <v>684</v>
      </c>
      <c r="C654" s="106">
        <v>13</v>
      </c>
      <c r="E654" s="38"/>
      <c r="F654" s="38"/>
      <c r="G654" s="38">
        <v>0</v>
      </c>
      <c r="H654" s="38">
        <v>53900</v>
      </c>
      <c r="I654" s="108" t="e">
        <v>#DIV/0!</v>
      </c>
    </row>
    <row r="655" spans="1:9" x14ac:dyDescent="0.3">
      <c r="A655" s="35" t="s">
        <v>683</v>
      </c>
      <c r="B655" t="s">
        <v>684</v>
      </c>
      <c r="C655" s="106">
        <v>14</v>
      </c>
      <c r="E655" s="38"/>
      <c r="F655" s="38"/>
      <c r="G655" s="38">
        <v>0</v>
      </c>
      <c r="H655" s="38">
        <v>53900</v>
      </c>
      <c r="I655" s="108" t="e">
        <v>#DIV/0!</v>
      </c>
    </row>
    <row r="656" spans="1:9" x14ac:dyDescent="0.3">
      <c r="A656" s="35" t="s">
        <v>683</v>
      </c>
      <c r="B656" t="s">
        <v>684</v>
      </c>
      <c r="C656" s="106">
        <v>15</v>
      </c>
      <c r="E656" s="38"/>
      <c r="F656" s="38"/>
      <c r="G656" s="38">
        <v>0</v>
      </c>
      <c r="H656" s="38">
        <v>53900</v>
      </c>
      <c r="I656" s="108" t="e">
        <v>#DIV/0!</v>
      </c>
    </row>
    <row r="657" spans="1:9" ht="15" thickBot="1" x14ac:dyDescent="0.35">
      <c r="A657" s="109" t="s">
        <v>683</v>
      </c>
      <c r="B657" s="110" t="s">
        <v>684</v>
      </c>
      <c r="C657" s="114">
        <v>16</v>
      </c>
      <c r="D657" s="110"/>
      <c r="E657" s="115"/>
      <c r="F657" s="115"/>
      <c r="G657" s="115">
        <v>0</v>
      </c>
      <c r="H657" s="115">
        <v>53900</v>
      </c>
      <c r="I657" s="110"/>
    </row>
    <row r="658" spans="1:9" x14ac:dyDescent="0.3">
      <c r="A658" s="35" t="s">
        <v>680</v>
      </c>
      <c r="B658" t="s">
        <v>681</v>
      </c>
      <c r="C658" s="106">
        <v>1</v>
      </c>
      <c r="D658" s="56">
        <v>45904</v>
      </c>
      <c r="E658" s="38">
        <v>6636.05</v>
      </c>
      <c r="F658" s="38">
        <v>6004.05</v>
      </c>
      <c r="G658" s="38">
        <v>632</v>
      </c>
      <c r="H658" s="38">
        <v>632</v>
      </c>
      <c r="I658" s="108">
        <v>0.10526228129346024</v>
      </c>
    </row>
    <row r="659" spans="1:9" x14ac:dyDescent="0.3">
      <c r="A659" s="35" t="s">
        <v>680</v>
      </c>
      <c r="B659" t="s">
        <v>681</v>
      </c>
      <c r="C659" s="106">
        <v>2</v>
      </c>
      <c r="D659" s="56">
        <v>45911</v>
      </c>
      <c r="E659" s="38">
        <v>6304</v>
      </c>
      <c r="F659" s="38">
        <v>6004.05</v>
      </c>
      <c r="G659" s="38">
        <v>299.94999999999982</v>
      </c>
      <c r="H659" s="38">
        <v>931.94999999999982</v>
      </c>
      <c r="I659" s="108">
        <v>4.9957945053755351E-2</v>
      </c>
    </row>
    <row r="660" spans="1:9" x14ac:dyDescent="0.3">
      <c r="A660" s="35" t="s">
        <v>680</v>
      </c>
      <c r="B660" t="s">
        <v>681</v>
      </c>
      <c r="C660" s="106">
        <v>3</v>
      </c>
      <c r="D660" s="56">
        <v>45918</v>
      </c>
      <c r="E660" s="38">
        <v>6304</v>
      </c>
      <c r="F660" s="38">
        <v>6004.05</v>
      </c>
      <c r="G660" s="38">
        <v>299.94999999999982</v>
      </c>
      <c r="H660" s="38">
        <v>1231.8999999999996</v>
      </c>
      <c r="I660" s="108">
        <v>4.9957945053755351E-2</v>
      </c>
    </row>
    <row r="661" spans="1:9" x14ac:dyDescent="0.3">
      <c r="A661" s="35" t="s">
        <v>680</v>
      </c>
      <c r="B661" t="s">
        <v>681</v>
      </c>
      <c r="C661" s="106">
        <v>4</v>
      </c>
      <c r="D661" s="56">
        <v>45925</v>
      </c>
      <c r="E661" s="38">
        <v>6304</v>
      </c>
      <c r="F661" s="38">
        <v>6004.05</v>
      </c>
      <c r="G661" s="38">
        <v>299.94999999999982</v>
      </c>
      <c r="H661" s="38">
        <v>1531.8499999999995</v>
      </c>
      <c r="I661" s="108">
        <v>4.9957945053755351E-2</v>
      </c>
    </row>
    <row r="662" spans="1:9" x14ac:dyDescent="0.3">
      <c r="A662" s="35" t="s">
        <v>680</v>
      </c>
      <c r="B662" t="s">
        <v>681</v>
      </c>
      <c r="C662" s="106">
        <v>5</v>
      </c>
      <c r="D662" s="56">
        <v>45932</v>
      </c>
      <c r="E662" s="38">
        <v>6304</v>
      </c>
      <c r="F662" s="38">
        <v>6004.05</v>
      </c>
      <c r="G662" s="38">
        <v>299.94999999999982</v>
      </c>
      <c r="H662" s="38">
        <v>1831.7999999999993</v>
      </c>
      <c r="I662" s="108">
        <v>4.9957945053755351E-2</v>
      </c>
    </row>
    <row r="663" spans="1:9" x14ac:dyDescent="0.3">
      <c r="A663" s="35" t="s">
        <v>680</v>
      </c>
      <c r="B663" t="s">
        <v>681</v>
      </c>
      <c r="C663" s="106">
        <v>6</v>
      </c>
      <c r="D663" s="56">
        <v>45939</v>
      </c>
      <c r="E663" s="38">
        <v>6304</v>
      </c>
      <c r="F663" s="38">
        <v>6004.05</v>
      </c>
      <c r="G663" s="38">
        <v>299.94999999999982</v>
      </c>
      <c r="H663" s="38">
        <v>2131.7499999999991</v>
      </c>
      <c r="I663" s="108">
        <v>4.9957945053755351E-2</v>
      </c>
    </row>
    <row r="664" spans="1:9" x14ac:dyDescent="0.3">
      <c r="A664" s="35" t="s">
        <v>680</v>
      </c>
      <c r="B664" t="s">
        <v>681</v>
      </c>
      <c r="C664" s="106">
        <v>7</v>
      </c>
      <c r="D664" s="56">
        <v>45946</v>
      </c>
      <c r="E664" s="38">
        <v>6304</v>
      </c>
      <c r="F664" s="38">
        <v>6004.05</v>
      </c>
      <c r="G664" s="38">
        <v>299.94999999999982</v>
      </c>
      <c r="H664" s="38">
        <v>2431.6999999999989</v>
      </c>
      <c r="I664" s="108">
        <v>4.9957945053755351E-2</v>
      </c>
    </row>
    <row r="665" spans="1:9" x14ac:dyDescent="0.3">
      <c r="A665" s="35" t="s">
        <v>680</v>
      </c>
      <c r="B665" t="s">
        <v>681</v>
      </c>
      <c r="C665" s="106">
        <v>8</v>
      </c>
      <c r="D665" s="56">
        <v>45953</v>
      </c>
      <c r="E665" s="38">
        <v>6304</v>
      </c>
      <c r="F665" s="38">
        <v>6004.05</v>
      </c>
      <c r="G665" s="38">
        <v>299.94999999999982</v>
      </c>
      <c r="H665" s="38">
        <v>2731.6499999999987</v>
      </c>
      <c r="I665" s="108">
        <v>4.9957945053755351E-2</v>
      </c>
    </row>
    <row r="666" spans="1:9" x14ac:dyDescent="0.3">
      <c r="A666" s="35" t="s">
        <v>680</v>
      </c>
      <c r="B666" t="s">
        <v>681</v>
      </c>
      <c r="C666" s="106">
        <v>9</v>
      </c>
      <c r="D666" s="56">
        <v>45960</v>
      </c>
      <c r="E666" s="38">
        <v>6304</v>
      </c>
      <c r="F666" s="38">
        <v>6004.05</v>
      </c>
      <c r="G666" s="38">
        <v>299.94999999999982</v>
      </c>
      <c r="H666" s="38">
        <v>3031.5999999999985</v>
      </c>
      <c r="I666" s="108">
        <v>4.9957945053755351E-2</v>
      </c>
    </row>
    <row r="667" spans="1:9" x14ac:dyDescent="0.3">
      <c r="A667" s="35" t="s">
        <v>680</v>
      </c>
      <c r="B667" t="s">
        <v>681</v>
      </c>
      <c r="C667" s="106">
        <v>10</v>
      </c>
      <c r="E667" s="38"/>
      <c r="F667" s="38"/>
      <c r="G667" s="38">
        <v>0</v>
      </c>
      <c r="H667" s="38">
        <v>3031.5999999999985</v>
      </c>
      <c r="I667" s="108" t="e">
        <v>#DIV/0!</v>
      </c>
    </row>
    <row r="668" spans="1:9" x14ac:dyDescent="0.3">
      <c r="A668" s="35" t="s">
        <v>680</v>
      </c>
      <c r="B668" t="s">
        <v>681</v>
      </c>
      <c r="C668" s="106">
        <v>11</v>
      </c>
      <c r="E668" s="38"/>
      <c r="F668" s="38"/>
      <c r="G668" s="38">
        <v>0</v>
      </c>
      <c r="H668" s="38">
        <v>3031.5999999999985</v>
      </c>
      <c r="I668" s="108" t="e">
        <v>#DIV/0!</v>
      </c>
    </row>
    <row r="669" spans="1:9" x14ac:dyDescent="0.3">
      <c r="A669" s="35" t="s">
        <v>680</v>
      </c>
      <c r="B669" t="s">
        <v>681</v>
      </c>
      <c r="C669" s="106">
        <v>12</v>
      </c>
      <c r="E669" s="38"/>
      <c r="F669" s="38"/>
      <c r="G669" s="38">
        <v>0</v>
      </c>
      <c r="H669" s="38">
        <v>3031.5999999999985</v>
      </c>
      <c r="I669" s="108" t="e">
        <v>#DIV/0!</v>
      </c>
    </row>
    <row r="670" spans="1:9" x14ac:dyDescent="0.3">
      <c r="A670" s="35" t="s">
        <v>680</v>
      </c>
      <c r="B670" t="s">
        <v>681</v>
      </c>
      <c r="C670" s="106">
        <v>13</v>
      </c>
      <c r="E670" s="38"/>
      <c r="F670" s="38"/>
      <c r="G670" s="38">
        <v>0</v>
      </c>
      <c r="H670" s="38">
        <v>3031.5999999999985</v>
      </c>
      <c r="I670" s="108" t="e">
        <v>#DIV/0!</v>
      </c>
    </row>
    <row r="671" spans="1:9" x14ac:dyDescent="0.3">
      <c r="A671" s="35" t="s">
        <v>680</v>
      </c>
      <c r="B671" t="s">
        <v>681</v>
      </c>
      <c r="C671" s="106">
        <v>14</v>
      </c>
      <c r="E671" s="38"/>
      <c r="F671" s="38"/>
      <c r="G671" s="38">
        <v>0</v>
      </c>
      <c r="H671" s="38">
        <v>3031.5999999999985</v>
      </c>
      <c r="I671" s="108" t="e">
        <v>#DIV/0!</v>
      </c>
    </row>
    <row r="672" spans="1:9" x14ac:dyDescent="0.3">
      <c r="A672" s="35" t="s">
        <v>680</v>
      </c>
      <c r="B672" t="s">
        <v>681</v>
      </c>
      <c r="C672" s="106">
        <v>15</v>
      </c>
      <c r="E672" s="38"/>
      <c r="F672" s="38"/>
      <c r="G672" s="38">
        <v>0</v>
      </c>
      <c r="H672" s="38">
        <v>3031.5999999999985</v>
      </c>
      <c r="I672" s="108" t="e">
        <v>#DIV/0!</v>
      </c>
    </row>
    <row r="673" spans="1:9" ht="15" thickBot="1" x14ac:dyDescent="0.35">
      <c r="A673" s="109" t="s">
        <v>680</v>
      </c>
      <c r="B673" s="110" t="s">
        <v>681</v>
      </c>
      <c r="C673" s="114">
        <v>16</v>
      </c>
      <c r="D673" s="110"/>
      <c r="E673" s="115"/>
      <c r="F673" s="115"/>
      <c r="G673" s="115">
        <v>0</v>
      </c>
      <c r="H673" s="115">
        <v>3031.5999999999985</v>
      </c>
      <c r="I673" s="110"/>
    </row>
    <row r="674" spans="1:9" x14ac:dyDescent="0.3">
      <c r="A674" s="35" t="s">
        <v>673</v>
      </c>
      <c r="B674" t="s">
        <v>674</v>
      </c>
      <c r="C674" s="106">
        <v>1</v>
      </c>
      <c r="D674" s="56">
        <v>45904</v>
      </c>
      <c r="E674" s="38">
        <v>4070</v>
      </c>
      <c r="F674" s="38">
        <v>3877</v>
      </c>
      <c r="G674" s="38">
        <v>193</v>
      </c>
      <c r="H674" s="38">
        <v>193</v>
      </c>
      <c r="I674" s="108">
        <v>4.9780758318287335E-2</v>
      </c>
    </row>
    <row r="675" spans="1:9" x14ac:dyDescent="0.3">
      <c r="A675" s="35" t="s">
        <v>673</v>
      </c>
      <c r="B675" t="s">
        <v>674</v>
      </c>
      <c r="C675" s="106">
        <v>2</v>
      </c>
      <c r="D675" s="56">
        <v>45911</v>
      </c>
      <c r="E675" s="38">
        <v>4070</v>
      </c>
      <c r="F675" s="38">
        <v>3876</v>
      </c>
      <c r="G675" s="38">
        <v>194</v>
      </c>
      <c r="H675" s="38">
        <v>387</v>
      </c>
      <c r="I675" s="108">
        <v>5.0051599587203302E-2</v>
      </c>
    </row>
    <row r="676" spans="1:9" x14ac:dyDescent="0.3">
      <c r="A676" s="35" t="s">
        <v>673</v>
      </c>
      <c r="B676" t="s">
        <v>674</v>
      </c>
      <c r="C676" s="106">
        <v>3</v>
      </c>
      <c r="D676" s="56">
        <v>45918</v>
      </c>
      <c r="E676" s="38">
        <v>4070</v>
      </c>
      <c r="F676" s="38">
        <v>3876</v>
      </c>
      <c r="G676" s="38">
        <v>194</v>
      </c>
      <c r="H676" s="38">
        <v>581</v>
      </c>
      <c r="I676" s="108">
        <v>5.0051599587203302E-2</v>
      </c>
    </row>
    <row r="677" spans="1:9" x14ac:dyDescent="0.3">
      <c r="A677" s="35" t="s">
        <v>673</v>
      </c>
      <c r="B677" t="s">
        <v>674</v>
      </c>
      <c r="C677" s="106">
        <v>4</v>
      </c>
      <c r="D677" s="56">
        <v>45925</v>
      </c>
      <c r="E677" s="38">
        <v>4070</v>
      </c>
      <c r="F677" s="38">
        <v>3876</v>
      </c>
      <c r="G677" s="38">
        <v>194</v>
      </c>
      <c r="H677" s="38">
        <v>775</v>
      </c>
      <c r="I677" s="108">
        <v>5.0051599587203302E-2</v>
      </c>
    </row>
    <row r="678" spans="1:9" x14ac:dyDescent="0.3">
      <c r="A678" s="35" t="s">
        <v>673</v>
      </c>
      <c r="B678" t="s">
        <v>674</v>
      </c>
      <c r="C678" s="106">
        <v>5</v>
      </c>
      <c r="D678" s="56">
        <v>45932</v>
      </c>
      <c r="E678" s="38">
        <v>4070</v>
      </c>
      <c r="F678" s="38">
        <v>3876</v>
      </c>
      <c r="G678" s="38">
        <v>194</v>
      </c>
      <c r="H678" s="38">
        <v>969</v>
      </c>
      <c r="I678" s="108">
        <v>5.0051599587203302E-2</v>
      </c>
    </row>
    <row r="679" spans="1:9" x14ac:dyDescent="0.3">
      <c r="A679" s="35" t="s">
        <v>673</v>
      </c>
      <c r="B679" t="s">
        <v>674</v>
      </c>
      <c r="C679" s="106">
        <v>6</v>
      </c>
      <c r="D679" s="56">
        <v>45939</v>
      </c>
      <c r="E679" s="38">
        <v>4070</v>
      </c>
      <c r="F679" s="38">
        <v>3877</v>
      </c>
      <c r="G679" s="38">
        <v>193</v>
      </c>
      <c r="H679" s="38">
        <v>1162</v>
      </c>
      <c r="I679" s="108">
        <v>4.9780758318287335E-2</v>
      </c>
    </row>
    <row r="680" spans="1:9" x14ac:dyDescent="0.3">
      <c r="A680" s="35" t="s">
        <v>673</v>
      </c>
      <c r="B680" t="s">
        <v>674</v>
      </c>
      <c r="C680" s="106">
        <v>7</v>
      </c>
      <c r="D680" s="56">
        <v>45945</v>
      </c>
      <c r="E680" s="38">
        <v>4070</v>
      </c>
      <c r="F680" s="38">
        <v>3877</v>
      </c>
      <c r="G680" s="38">
        <v>193</v>
      </c>
      <c r="H680" s="38">
        <v>1355</v>
      </c>
      <c r="I680" s="108">
        <v>4.9780758318287335E-2</v>
      </c>
    </row>
    <row r="681" spans="1:9" x14ac:dyDescent="0.3">
      <c r="A681" s="35" t="s">
        <v>673</v>
      </c>
      <c r="B681" t="s">
        <v>674</v>
      </c>
      <c r="C681" s="106">
        <v>8</v>
      </c>
      <c r="D681" s="56">
        <v>45953</v>
      </c>
      <c r="E681" s="38">
        <v>4070</v>
      </c>
      <c r="F681" s="38">
        <v>3877</v>
      </c>
      <c r="G681" s="38">
        <v>193</v>
      </c>
      <c r="H681" s="38">
        <v>1548</v>
      </c>
      <c r="I681" s="108">
        <v>4.9780758318287335E-2</v>
      </c>
    </row>
    <row r="682" spans="1:9" x14ac:dyDescent="0.3">
      <c r="A682" s="35" t="s">
        <v>673</v>
      </c>
      <c r="B682" t="s">
        <v>674</v>
      </c>
      <c r="C682" s="106">
        <v>9</v>
      </c>
      <c r="D682" s="56">
        <v>45960</v>
      </c>
      <c r="E682" s="38">
        <v>4070</v>
      </c>
      <c r="F682" s="38">
        <v>3876</v>
      </c>
      <c r="G682" s="38">
        <v>194</v>
      </c>
      <c r="H682" s="38">
        <v>1742</v>
      </c>
      <c r="I682" s="108">
        <v>5.0051599587203302E-2</v>
      </c>
    </row>
    <row r="683" spans="1:9" x14ac:dyDescent="0.3">
      <c r="A683" s="35" t="s">
        <v>673</v>
      </c>
      <c r="B683" t="s">
        <v>674</v>
      </c>
      <c r="C683" s="106">
        <v>10</v>
      </c>
      <c r="E683" s="38"/>
      <c r="F683" s="38"/>
      <c r="G683" s="38">
        <v>0</v>
      </c>
      <c r="H683" s="38">
        <v>1742</v>
      </c>
      <c r="I683" s="108" t="e">
        <v>#DIV/0!</v>
      </c>
    </row>
    <row r="684" spans="1:9" x14ac:dyDescent="0.3">
      <c r="A684" s="35" t="s">
        <v>673</v>
      </c>
      <c r="B684" t="s">
        <v>674</v>
      </c>
      <c r="C684" s="106">
        <v>11</v>
      </c>
      <c r="E684" s="38"/>
      <c r="F684" s="38"/>
      <c r="G684" s="38">
        <v>0</v>
      </c>
      <c r="H684" s="38">
        <v>1742</v>
      </c>
      <c r="I684" s="108" t="e">
        <v>#DIV/0!</v>
      </c>
    </row>
    <row r="685" spans="1:9" x14ac:dyDescent="0.3">
      <c r="A685" s="35" t="s">
        <v>673</v>
      </c>
      <c r="B685" t="s">
        <v>674</v>
      </c>
      <c r="C685" s="106">
        <v>12</v>
      </c>
      <c r="E685" s="38"/>
      <c r="F685" s="38"/>
      <c r="G685" s="38">
        <v>0</v>
      </c>
      <c r="H685" s="38">
        <v>1742</v>
      </c>
      <c r="I685" s="108" t="e">
        <v>#DIV/0!</v>
      </c>
    </row>
    <row r="686" spans="1:9" x14ac:dyDescent="0.3">
      <c r="A686" s="35" t="s">
        <v>673</v>
      </c>
      <c r="B686" t="s">
        <v>674</v>
      </c>
      <c r="C686" s="106">
        <v>13</v>
      </c>
      <c r="E686" s="38"/>
      <c r="F686" s="38"/>
      <c r="G686" s="38">
        <v>0</v>
      </c>
      <c r="H686" s="38">
        <v>1742</v>
      </c>
      <c r="I686" s="108" t="e">
        <v>#DIV/0!</v>
      </c>
    </row>
    <row r="687" spans="1:9" x14ac:dyDescent="0.3">
      <c r="A687" s="35" t="s">
        <v>673</v>
      </c>
      <c r="B687" t="s">
        <v>674</v>
      </c>
      <c r="C687" s="106">
        <v>14</v>
      </c>
      <c r="E687" s="38"/>
      <c r="F687" s="38"/>
      <c r="G687" s="38">
        <v>0</v>
      </c>
      <c r="H687" s="38">
        <v>1742</v>
      </c>
      <c r="I687" s="108" t="e">
        <v>#DIV/0!</v>
      </c>
    </row>
    <row r="688" spans="1:9" x14ac:dyDescent="0.3">
      <c r="A688" s="35" t="s">
        <v>673</v>
      </c>
      <c r="B688" t="s">
        <v>674</v>
      </c>
      <c r="C688" s="106">
        <v>15</v>
      </c>
      <c r="E688" s="38"/>
      <c r="F688" s="38"/>
      <c r="G688" s="38">
        <v>0</v>
      </c>
      <c r="H688" s="38">
        <v>1742</v>
      </c>
      <c r="I688" s="108" t="e">
        <v>#DIV/0!</v>
      </c>
    </row>
    <row r="689" spans="1:9" ht="15" thickBot="1" x14ac:dyDescent="0.35">
      <c r="A689" s="109" t="s">
        <v>673</v>
      </c>
      <c r="B689" s="110" t="s">
        <v>674</v>
      </c>
      <c r="C689" s="114">
        <v>16</v>
      </c>
      <c r="D689" s="110"/>
      <c r="E689" s="115"/>
      <c r="F689" s="115"/>
      <c r="G689" s="115">
        <v>0</v>
      </c>
      <c r="H689" s="115">
        <v>1742</v>
      </c>
      <c r="I689" s="110"/>
    </row>
    <row r="690" spans="1:9" x14ac:dyDescent="0.3">
      <c r="A690" s="35" t="s">
        <v>670</v>
      </c>
      <c r="B690" t="s">
        <v>671</v>
      </c>
      <c r="C690" s="106">
        <v>1</v>
      </c>
      <c r="D690" s="56">
        <v>45904</v>
      </c>
      <c r="E690" s="38">
        <v>6868</v>
      </c>
      <c r="F690" s="38">
        <v>6004.05</v>
      </c>
      <c r="G690" s="38">
        <v>863.94999999999982</v>
      </c>
      <c r="H690" s="38">
        <v>863.94999999999982</v>
      </c>
      <c r="I690" s="108">
        <v>0.14389453785361545</v>
      </c>
    </row>
    <row r="691" spans="1:9" x14ac:dyDescent="0.3">
      <c r="A691" s="35" t="s">
        <v>670</v>
      </c>
      <c r="B691" t="s">
        <v>671</v>
      </c>
      <c r="C691" s="106">
        <v>2</v>
      </c>
      <c r="D691" s="56">
        <v>45911</v>
      </c>
      <c r="E691" s="38">
        <v>6868</v>
      </c>
      <c r="F691" s="38">
        <v>6004.05</v>
      </c>
      <c r="G691" s="38">
        <v>863.94999999999982</v>
      </c>
      <c r="H691" s="38">
        <v>1727.8999999999996</v>
      </c>
      <c r="I691" s="108">
        <v>0.14389453785361545</v>
      </c>
    </row>
    <row r="692" spans="1:9" x14ac:dyDescent="0.3">
      <c r="A692" s="35" t="s">
        <v>670</v>
      </c>
      <c r="B692" t="s">
        <v>671</v>
      </c>
      <c r="C692" s="106">
        <v>3</v>
      </c>
      <c r="D692" s="56">
        <v>45918</v>
      </c>
      <c r="E692" s="38">
        <v>6859</v>
      </c>
      <c r="F692" s="38">
        <v>6004.05</v>
      </c>
      <c r="G692" s="38">
        <v>854.94999999999982</v>
      </c>
      <c r="H692" s="38">
        <v>2582.8499999999995</v>
      </c>
      <c r="I692" s="108">
        <v>0.14239554967063894</v>
      </c>
    </row>
    <row r="693" spans="1:9" x14ac:dyDescent="0.3">
      <c r="A693" s="35" t="s">
        <v>670</v>
      </c>
      <c r="B693" t="s">
        <v>671</v>
      </c>
      <c r="C693" s="106">
        <v>4</v>
      </c>
      <c r="D693" s="56">
        <v>45925</v>
      </c>
      <c r="E693" s="38">
        <v>6867</v>
      </c>
      <c r="F693" s="38">
        <v>6004.05</v>
      </c>
      <c r="G693" s="38">
        <v>862.94999999999982</v>
      </c>
      <c r="H693" s="38">
        <v>3445.7999999999993</v>
      </c>
      <c r="I693" s="108">
        <v>0.14372798361106251</v>
      </c>
    </row>
    <row r="694" spans="1:9" x14ac:dyDescent="0.3">
      <c r="A694" s="35" t="s">
        <v>670</v>
      </c>
      <c r="B694" t="s">
        <v>671</v>
      </c>
      <c r="C694" s="106">
        <v>5</v>
      </c>
      <c r="D694" s="56">
        <v>45932</v>
      </c>
      <c r="E694" s="38">
        <v>6868</v>
      </c>
      <c r="F694" s="38">
        <v>6004.05</v>
      </c>
      <c r="G694" s="38">
        <v>863.94999999999982</v>
      </c>
      <c r="H694" s="38">
        <v>4309.7499999999991</v>
      </c>
      <c r="I694" s="108">
        <v>0.14389453785361545</v>
      </c>
    </row>
    <row r="695" spans="1:9" x14ac:dyDescent="0.3">
      <c r="A695" s="35" t="s">
        <v>670</v>
      </c>
      <c r="B695" t="s">
        <v>671</v>
      </c>
      <c r="C695" s="106">
        <v>6</v>
      </c>
      <c r="D695" s="56">
        <v>45939</v>
      </c>
      <c r="E695" s="38">
        <v>6868</v>
      </c>
      <c r="F695" s="38">
        <v>6004.05</v>
      </c>
      <c r="G695" s="38">
        <v>863.94999999999982</v>
      </c>
      <c r="H695" s="38">
        <v>5173.6999999999989</v>
      </c>
      <c r="I695" s="108">
        <v>0.14389453785361545</v>
      </c>
    </row>
    <row r="696" spans="1:9" x14ac:dyDescent="0.3">
      <c r="A696" s="35" t="s">
        <v>670</v>
      </c>
      <c r="B696" t="s">
        <v>671</v>
      </c>
      <c r="C696" s="106">
        <v>7</v>
      </c>
      <c r="D696" s="56">
        <v>45946</v>
      </c>
      <c r="E696" s="38">
        <v>6868</v>
      </c>
      <c r="F696" s="38">
        <v>6004.05</v>
      </c>
      <c r="G696" s="38">
        <v>863.94999999999982</v>
      </c>
      <c r="H696" s="38">
        <v>6037.6499999999987</v>
      </c>
      <c r="I696" s="108">
        <v>0.14389453785361545</v>
      </c>
    </row>
    <row r="697" spans="1:9" x14ac:dyDescent="0.3">
      <c r="A697" s="35" t="s">
        <v>670</v>
      </c>
      <c r="B697" t="s">
        <v>671</v>
      </c>
      <c r="C697" s="106">
        <v>8</v>
      </c>
      <c r="D697" s="56">
        <v>45953</v>
      </c>
      <c r="E697" s="38">
        <v>6868</v>
      </c>
      <c r="F697" s="38">
        <v>6004.05</v>
      </c>
      <c r="G697" s="38">
        <v>863.94999999999982</v>
      </c>
      <c r="H697" s="38">
        <v>6901.5999999999985</v>
      </c>
      <c r="I697" s="108">
        <v>0.14389453785361545</v>
      </c>
    </row>
    <row r="698" spans="1:9" x14ac:dyDescent="0.3">
      <c r="A698" s="35" t="s">
        <v>670</v>
      </c>
      <c r="B698" t="s">
        <v>671</v>
      </c>
      <c r="C698" s="106">
        <v>9</v>
      </c>
      <c r="D698" s="56">
        <v>45960</v>
      </c>
      <c r="E698" s="38">
        <v>6868</v>
      </c>
      <c r="F698" s="38">
        <v>6004.05</v>
      </c>
      <c r="G698" s="38">
        <v>863.94999999999982</v>
      </c>
      <c r="H698" s="38">
        <v>7765.5499999999984</v>
      </c>
      <c r="I698" s="108">
        <v>0.14389453785361545</v>
      </c>
    </row>
    <row r="699" spans="1:9" x14ac:dyDescent="0.3">
      <c r="A699" s="35" t="s">
        <v>670</v>
      </c>
      <c r="B699" t="s">
        <v>671</v>
      </c>
      <c r="C699" s="106">
        <v>10</v>
      </c>
      <c r="E699" s="38"/>
      <c r="F699" s="38"/>
      <c r="G699" s="38">
        <v>0</v>
      </c>
      <c r="H699" s="38">
        <v>7765.5499999999984</v>
      </c>
      <c r="I699" s="108" t="e">
        <v>#DIV/0!</v>
      </c>
    </row>
    <row r="700" spans="1:9" x14ac:dyDescent="0.3">
      <c r="A700" s="35" t="s">
        <v>670</v>
      </c>
      <c r="B700" t="s">
        <v>671</v>
      </c>
      <c r="C700" s="106">
        <v>11</v>
      </c>
      <c r="E700" s="38"/>
      <c r="F700" s="38"/>
      <c r="G700" s="38">
        <v>0</v>
      </c>
      <c r="H700" s="38">
        <v>7765.5499999999984</v>
      </c>
      <c r="I700" s="108" t="e">
        <v>#DIV/0!</v>
      </c>
    </row>
    <row r="701" spans="1:9" x14ac:dyDescent="0.3">
      <c r="A701" s="35" t="s">
        <v>670</v>
      </c>
      <c r="B701" t="s">
        <v>671</v>
      </c>
      <c r="C701" s="106">
        <v>12</v>
      </c>
      <c r="E701" s="38"/>
      <c r="F701" s="38"/>
      <c r="G701" s="38">
        <v>0</v>
      </c>
      <c r="H701" s="38">
        <v>7765.5499999999984</v>
      </c>
      <c r="I701" s="108" t="e">
        <v>#DIV/0!</v>
      </c>
    </row>
    <row r="702" spans="1:9" x14ac:dyDescent="0.3">
      <c r="A702" s="35" t="s">
        <v>670</v>
      </c>
      <c r="B702" t="s">
        <v>671</v>
      </c>
      <c r="C702" s="106">
        <v>13</v>
      </c>
      <c r="E702" s="38"/>
      <c r="F702" s="38"/>
      <c r="G702" s="38">
        <v>0</v>
      </c>
      <c r="H702" s="38">
        <v>7765.5499999999984</v>
      </c>
      <c r="I702" s="108" t="e">
        <v>#DIV/0!</v>
      </c>
    </row>
    <row r="703" spans="1:9" x14ac:dyDescent="0.3">
      <c r="A703" s="35" t="s">
        <v>670</v>
      </c>
      <c r="B703" t="s">
        <v>671</v>
      </c>
      <c r="C703" s="106">
        <v>14</v>
      </c>
      <c r="E703" s="38"/>
      <c r="F703" s="38"/>
      <c r="G703" s="38">
        <v>0</v>
      </c>
      <c r="H703" s="38">
        <v>7765.5499999999984</v>
      </c>
      <c r="I703" s="108" t="e">
        <v>#DIV/0!</v>
      </c>
    </row>
    <row r="704" spans="1:9" x14ac:dyDescent="0.3">
      <c r="A704" s="35" t="s">
        <v>670</v>
      </c>
      <c r="B704" t="s">
        <v>671</v>
      </c>
      <c r="C704" s="106">
        <v>15</v>
      </c>
      <c r="E704" s="38"/>
      <c r="F704" s="38"/>
      <c r="G704" s="38">
        <v>0</v>
      </c>
      <c r="H704" s="38">
        <v>7765.5499999999984</v>
      </c>
      <c r="I704" s="108" t="e">
        <v>#DIV/0!</v>
      </c>
    </row>
    <row r="705" spans="1:9" ht="15" thickBot="1" x14ac:dyDescent="0.35">
      <c r="A705" s="109" t="s">
        <v>670</v>
      </c>
      <c r="B705" s="110" t="s">
        <v>671</v>
      </c>
      <c r="C705" s="114">
        <v>16</v>
      </c>
      <c r="D705" s="110"/>
      <c r="E705" s="115"/>
      <c r="F705" s="115"/>
      <c r="G705" s="115">
        <v>0</v>
      </c>
      <c r="H705" s="115">
        <v>7765.5499999999984</v>
      </c>
      <c r="I705" s="110"/>
    </row>
    <row r="706" spans="1:9" x14ac:dyDescent="0.3">
      <c r="A706" s="35" t="s">
        <v>667</v>
      </c>
      <c r="B706" t="s">
        <v>668</v>
      </c>
      <c r="C706" s="106">
        <v>1</v>
      </c>
      <c r="D706" s="56">
        <v>45911</v>
      </c>
      <c r="E706" s="38">
        <v>13800</v>
      </c>
      <c r="F706" s="38">
        <v>12996</v>
      </c>
      <c r="G706" s="38">
        <v>804</v>
      </c>
      <c r="H706" s="38">
        <v>804</v>
      </c>
      <c r="I706" s="108">
        <v>6.1865189289012003E-2</v>
      </c>
    </row>
    <row r="707" spans="1:9" x14ac:dyDescent="0.3">
      <c r="A707" s="35" t="s">
        <v>667</v>
      </c>
      <c r="B707" t="s">
        <v>668</v>
      </c>
      <c r="C707" s="106">
        <v>2</v>
      </c>
      <c r="D707" s="56">
        <v>45918</v>
      </c>
      <c r="E707" s="38">
        <v>13800</v>
      </c>
      <c r="F707" s="38">
        <v>12996</v>
      </c>
      <c r="G707" s="38">
        <v>804</v>
      </c>
      <c r="H707" s="38">
        <v>1608</v>
      </c>
      <c r="I707" s="108">
        <v>6.1865189289012003E-2</v>
      </c>
    </row>
    <row r="708" spans="1:9" x14ac:dyDescent="0.3">
      <c r="A708" s="35" t="s">
        <v>667</v>
      </c>
      <c r="B708" t="s">
        <v>668</v>
      </c>
      <c r="C708" s="106">
        <v>3</v>
      </c>
      <c r="D708" s="56">
        <v>45925</v>
      </c>
      <c r="E708" s="38">
        <v>13800</v>
      </c>
      <c r="F708" s="38">
        <v>12996</v>
      </c>
      <c r="G708" s="38">
        <v>804</v>
      </c>
      <c r="H708" s="38">
        <v>2412</v>
      </c>
      <c r="I708" s="108">
        <v>6.1865189289012003E-2</v>
      </c>
    </row>
    <row r="709" spans="1:9" x14ac:dyDescent="0.3">
      <c r="A709" s="35" t="s">
        <v>667</v>
      </c>
      <c r="B709" t="s">
        <v>668</v>
      </c>
      <c r="C709" s="106">
        <v>4</v>
      </c>
      <c r="D709" s="56">
        <v>45932</v>
      </c>
      <c r="E709" s="38">
        <v>13800</v>
      </c>
      <c r="F709" s="38">
        <v>12996</v>
      </c>
      <c r="G709" s="38">
        <v>804</v>
      </c>
      <c r="H709" s="38">
        <v>3216</v>
      </c>
      <c r="I709" s="108">
        <v>6.1865189289012003E-2</v>
      </c>
    </row>
    <row r="710" spans="1:9" x14ac:dyDescent="0.3">
      <c r="A710" s="35" t="s">
        <v>667</v>
      </c>
      <c r="B710" t="s">
        <v>668</v>
      </c>
      <c r="C710" s="106">
        <v>5</v>
      </c>
      <c r="D710" s="56">
        <v>45939</v>
      </c>
      <c r="E710" s="38">
        <v>13800</v>
      </c>
      <c r="F710" s="38">
        <v>12996</v>
      </c>
      <c r="G710" s="38">
        <v>804</v>
      </c>
      <c r="H710" s="38">
        <v>4020</v>
      </c>
      <c r="I710" s="108">
        <v>6.1865189289012003E-2</v>
      </c>
    </row>
    <row r="711" spans="1:9" x14ac:dyDescent="0.3">
      <c r="A711" s="35" t="s">
        <v>667</v>
      </c>
      <c r="B711" t="s">
        <v>668</v>
      </c>
      <c r="C711" s="106">
        <v>6</v>
      </c>
      <c r="D711" s="56">
        <v>45946</v>
      </c>
      <c r="E711" s="38">
        <v>13800</v>
      </c>
      <c r="F711" s="38">
        <v>12996</v>
      </c>
      <c r="G711" s="38">
        <v>804</v>
      </c>
      <c r="H711" s="38">
        <v>4824</v>
      </c>
      <c r="I711" s="108">
        <v>6.1865189289012003E-2</v>
      </c>
    </row>
    <row r="712" spans="1:9" x14ac:dyDescent="0.3">
      <c r="A712" s="35" t="s">
        <v>667</v>
      </c>
      <c r="B712" t="s">
        <v>668</v>
      </c>
      <c r="C712" s="106">
        <v>7</v>
      </c>
      <c r="D712" s="56">
        <v>45954</v>
      </c>
      <c r="E712" s="38">
        <v>13800</v>
      </c>
      <c r="F712" s="38">
        <v>12996</v>
      </c>
      <c r="G712" s="38">
        <v>804</v>
      </c>
      <c r="H712" s="38">
        <v>5628</v>
      </c>
      <c r="I712" s="108">
        <v>6.1865189289012003E-2</v>
      </c>
    </row>
    <row r="713" spans="1:9" x14ac:dyDescent="0.3">
      <c r="A713" s="35" t="s">
        <v>667</v>
      </c>
      <c r="B713" t="s">
        <v>668</v>
      </c>
      <c r="C713" s="106">
        <v>8</v>
      </c>
      <c r="D713" s="56">
        <v>45959</v>
      </c>
      <c r="E713" s="38">
        <v>13800</v>
      </c>
      <c r="F713" s="38">
        <v>12996</v>
      </c>
      <c r="G713" s="38">
        <v>804</v>
      </c>
      <c r="H713" s="38">
        <v>6432</v>
      </c>
      <c r="I713" s="108">
        <v>6.1865189289012003E-2</v>
      </c>
    </row>
    <row r="714" spans="1:9" x14ac:dyDescent="0.3">
      <c r="A714" s="35" t="s">
        <v>667</v>
      </c>
      <c r="B714" t="s">
        <v>668</v>
      </c>
      <c r="C714" s="106">
        <v>9</v>
      </c>
      <c r="E714" s="38"/>
      <c r="F714" s="38"/>
      <c r="G714" s="38">
        <v>0</v>
      </c>
      <c r="H714" s="38">
        <v>6432</v>
      </c>
      <c r="I714" s="108" t="e">
        <v>#DIV/0!</v>
      </c>
    </row>
    <row r="715" spans="1:9" x14ac:dyDescent="0.3">
      <c r="A715" s="35" t="s">
        <v>667</v>
      </c>
      <c r="B715" t="s">
        <v>668</v>
      </c>
      <c r="C715" s="106">
        <v>10</v>
      </c>
      <c r="E715" s="38"/>
      <c r="F715" s="38"/>
      <c r="G715" s="38">
        <v>0</v>
      </c>
      <c r="H715" s="38">
        <v>6432</v>
      </c>
      <c r="I715" s="108" t="e">
        <v>#DIV/0!</v>
      </c>
    </row>
    <row r="716" spans="1:9" x14ac:dyDescent="0.3">
      <c r="A716" s="35" t="s">
        <v>667</v>
      </c>
      <c r="B716" t="s">
        <v>668</v>
      </c>
      <c r="C716" s="106">
        <v>11</v>
      </c>
      <c r="E716" s="38"/>
      <c r="F716" s="38"/>
      <c r="G716" s="38">
        <v>0</v>
      </c>
      <c r="H716" s="38">
        <v>6432</v>
      </c>
      <c r="I716" s="108" t="e">
        <v>#DIV/0!</v>
      </c>
    </row>
    <row r="717" spans="1:9" x14ac:dyDescent="0.3">
      <c r="A717" s="35" t="s">
        <v>667</v>
      </c>
      <c r="B717" t="s">
        <v>668</v>
      </c>
      <c r="C717" s="106">
        <v>12</v>
      </c>
      <c r="E717" s="38"/>
      <c r="F717" s="38"/>
      <c r="G717" s="38">
        <v>0</v>
      </c>
      <c r="H717" s="38">
        <v>6432</v>
      </c>
      <c r="I717" s="108" t="e">
        <v>#DIV/0!</v>
      </c>
    </row>
    <row r="718" spans="1:9" x14ac:dyDescent="0.3">
      <c r="A718" s="35" t="s">
        <v>667</v>
      </c>
      <c r="B718" t="s">
        <v>668</v>
      </c>
      <c r="C718" s="106">
        <v>13</v>
      </c>
      <c r="E718" s="38"/>
      <c r="F718" s="38"/>
      <c r="G718" s="38">
        <v>0</v>
      </c>
      <c r="H718" s="38">
        <v>6432</v>
      </c>
      <c r="I718" s="108" t="e">
        <v>#DIV/0!</v>
      </c>
    </row>
    <row r="719" spans="1:9" x14ac:dyDescent="0.3">
      <c r="A719" s="35" t="s">
        <v>667</v>
      </c>
      <c r="B719" t="s">
        <v>668</v>
      </c>
      <c r="C719" s="106">
        <v>14</v>
      </c>
      <c r="E719" s="38"/>
      <c r="F719" s="38"/>
      <c r="G719" s="38">
        <v>0</v>
      </c>
      <c r="H719" s="38">
        <v>6432</v>
      </c>
      <c r="I719" s="108" t="e">
        <v>#DIV/0!</v>
      </c>
    </row>
    <row r="720" spans="1:9" x14ac:dyDescent="0.3">
      <c r="A720" s="35" t="s">
        <v>667</v>
      </c>
      <c r="B720" t="s">
        <v>668</v>
      </c>
      <c r="C720" s="106">
        <v>15</v>
      </c>
      <c r="E720" s="38"/>
      <c r="F720" s="38"/>
      <c r="G720" s="38">
        <v>0</v>
      </c>
      <c r="H720" s="38">
        <v>6432</v>
      </c>
      <c r="I720" s="108" t="e">
        <v>#DIV/0!</v>
      </c>
    </row>
    <row r="721" spans="1:9" ht="15" thickBot="1" x14ac:dyDescent="0.35">
      <c r="A721" s="109" t="s">
        <v>667</v>
      </c>
      <c r="B721" s="110" t="s">
        <v>668</v>
      </c>
      <c r="C721" s="114">
        <v>16</v>
      </c>
      <c r="D721" s="110"/>
      <c r="E721" s="115"/>
      <c r="F721" s="115"/>
      <c r="G721" s="115">
        <v>0</v>
      </c>
      <c r="H721" s="115">
        <v>6432</v>
      </c>
      <c r="I721" s="110"/>
    </row>
    <row r="722" spans="1:9" x14ac:dyDescent="0.3">
      <c r="A722" s="35" t="s">
        <v>688</v>
      </c>
      <c r="B722" t="s">
        <v>689</v>
      </c>
      <c r="C722" s="106">
        <v>1</v>
      </c>
      <c r="D722" s="56">
        <v>45904</v>
      </c>
      <c r="E722" s="38">
        <v>3470</v>
      </c>
      <c r="F722" s="38">
        <v>3040.05</v>
      </c>
      <c r="G722" s="38">
        <v>429.94999999999982</v>
      </c>
      <c r="H722" s="38">
        <v>429.94999999999982</v>
      </c>
      <c r="I722" s="108">
        <v>0.14142859492442553</v>
      </c>
    </row>
    <row r="723" spans="1:9" x14ac:dyDescent="0.3">
      <c r="A723" s="35" t="s">
        <v>688</v>
      </c>
      <c r="B723" t="s">
        <v>689</v>
      </c>
      <c r="C723" s="106">
        <v>2</v>
      </c>
      <c r="D723" s="56">
        <v>45911</v>
      </c>
      <c r="E723" s="38">
        <v>3470</v>
      </c>
      <c r="F723" s="38">
        <v>3040.05</v>
      </c>
      <c r="G723" s="38">
        <v>429.94999999999982</v>
      </c>
      <c r="H723" s="38">
        <v>859.89999999999964</v>
      </c>
      <c r="I723" s="108">
        <v>0.14142859492442553</v>
      </c>
    </row>
    <row r="724" spans="1:9" x14ac:dyDescent="0.3">
      <c r="A724" s="35" t="s">
        <v>688</v>
      </c>
      <c r="B724" t="s">
        <v>689</v>
      </c>
      <c r="C724" s="106">
        <v>3</v>
      </c>
      <c r="D724" s="56">
        <v>45918</v>
      </c>
      <c r="E724" s="38">
        <v>3470</v>
      </c>
      <c r="F724" s="38">
        <v>3040.05</v>
      </c>
      <c r="G724" s="38">
        <v>429.94999999999982</v>
      </c>
      <c r="H724" s="38">
        <v>1289.8499999999995</v>
      </c>
      <c r="I724" s="108">
        <v>0.14142859492442553</v>
      </c>
    </row>
    <row r="725" spans="1:9" x14ac:dyDescent="0.3">
      <c r="A725" s="35" t="s">
        <v>688</v>
      </c>
      <c r="B725" t="s">
        <v>689</v>
      </c>
      <c r="C725" s="106">
        <v>4</v>
      </c>
      <c r="D725" s="56">
        <v>45925</v>
      </c>
      <c r="E725" s="38">
        <v>3470</v>
      </c>
      <c r="F725" s="38">
        <v>3040.05</v>
      </c>
      <c r="G725" s="38">
        <v>429.94999999999982</v>
      </c>
      <c r="H725" s="38">
        <v>1719.7999999999993</v>
      </c>
      <c r="I725" s="108">
        <v>0.14142859492442553</v>
      </c>
    </row>
    <row r="726" spans="1:9" x14ac:dyDescent="0.3">
      <c r="A726" s="35" t="s">
        <v>688</v>
      </c>
      <c r="B726" t="s">
        <v>689</v>
      </c>
      <c r="C726" s="106">
        <v>5</v>
      </c>
      <c r="D726" s="56">
        <v>45932</v>
      </c>
      <c r="E726" s="38">
        <v>3500</v>
      </c>
      <c r="F726" s="38">
        <v>3040.05</v>
      </c>
      <c r="G726" s="38">
        <v>459.94999999999982</v>
      </c>
      <c r="H726" s="38">
        <v>2179.7499999999991</v>
      </c>
      <c r="I726" s="108">
        <v>0.15129685367016982</v>
      </c>
    </row>
    <row r="727" spans="1:9" x14ac:dyDescent="0.3">
      <c r="A727" s="35" t="s">
        <v>688</v>
      </c>
      <c r="B727" t="s">
        <v>689</v>
      </c>
      <c r="C727" s="106">
        <v>6</v>
      </c>
      <c r="D727" s="56">
        <v>45939</v>
      </c>
      <c r="E727" s="38">
        <v>3500</v>
      </c>
      <c r="F727" s="38">
        <v>3040.05</v>
      </c>
      <c r="G727" s="38">
        <v>459.94999999999982</v>
      </c>
      <c r="H727" s="38">
        <v>2639.6999999999989</v>
      </c>
      <c r="I727" s="108">
        <v>0.15129685367016982</v>
      </c>
    </row>
    <row r="728" spans="1:9" x14ac:dyDescent="0.3">
      <c r="A728" s="35" t="s">
        <v>688</v>
      </c>
      <c r="B728" t="s">
        <v>689</v>
      </c>
      <c r="C728" s="106">
        <v>7</v>
      </c>
      <c r="D728" s="56">
        <v>45946</v>
      </c>
      <c r="E728" s="38">
        <v>3500</v>
      </c>
      <c r="F728" s="38">
        <v>3040.05</v>
      </c>
      <c r="G728" s="38">
        <v>459.94999999999982</v>
      </c>
      <c r="H728" s="38">
        <v>3099.6499999999987</v>
      </c>
      <c r="I728" s="108">
        <v>0.15129685367016982</v>
      </c>
    </row>
    <row r="729" spans="1:9" x14ac:dyDescent="0.3">
      <c r="A729" s="35" t="s">
        <v>688</v>
      </c>
      <c r="B729" t="s">
        <v>689</v>
      </c>
      <c r="C729" s="106">
        <v>8</v>
      </c>
      <c r="D729" s="56">
        <v>45953</v>
      </c>
      <c r="E729" s="38">
        <v>3500</v>
      </c>
      <c r="F729" s="38">
        <v>3040.05</v>
      </c>
      <c r="G729" s="38">
        <v>459.94999999999982</v>
      </c>
      <c r="H729" s="38">
        <v>3559.5999999999985</v>
      </c>
      <c r="I729" s="108">
        <v>0.15129685367016982</v>
      </c>
    </row>
    <row r="730" spans="1:9" x14ac:dyDescent="0.3">
      <c r="A730" s="35" t="s">
        <v>688</v>
      </c>
      <c r="B730" t="s">
        <v>689</v>
      </c>
      <c r="C730" s="106">
        <v>9</v>
      </c>
      <c r="D730" s="56">
        <v>45960</v>
      </c>
      <c r="E730" s="38">
        <v>3470</v>
      </c>
      <c r="F730" s="38">
        <v>3040.05</v>
      </c>
      <c r="G730" s="38">
        <v>429.94999999999982</v>
      </c>
      <c r="H730" s="38">
        <v>3989.5499999999984</v>
      </c>
      <c r="I730" s="108">
        <v>0.14142859492442553</v>
      </c>
    </row>
    <row r="731" spans="1:9" x14ac:dyDescent="0.3">
      <c r="A731" s="35" t="s">
        <v>688</v>
      </c>
      <c r="B731" t="s">
        <v>689</v>
      </c>
      <c r="C731" s="106">
        <v>10</v>
      </c>
      <c r="E731" s="38"/>
      <c r="F731" s="38"/>
      <c r="G731" s="38">
        <v>0</v>
      </c>
      <c r="H731" s="38">
        <v>3989.5499999999984</v>
      </c>
      <c r="I731" s="108" t="e">
        <v>#DIV/0!</v>
      </c>
    </row>
    <row r="732" spans="1:9" x14ac:dyDescent="0.3">
      <c r="A732" s="35" t="s">
        <v>688</v>
      </c>
      <c r="B732" t="s">
        <v>689</v>
      </c>
      <c r="C732" s="106">
        <v>11</v>
      </c>
      <c r="E732" s="38"/>
      <c r="F732" s="38"/>
      <c r="G732" s="38">
        <v>0</v>
      </c>
      <c r="H732" s="38">
        <v>3989.5499999999984</v>
      </c>
      <c r="I732" s="108" t="e">
        <v>#DIV/0!</v>
      </c>
    </row>
    <row r="733" spans="1:9" x14ac:dyDescent="0.3">
      <c r="A733" s="35" t="s">
        <v>688</v>
      </c>
      <c r="B733" t="s">
        <v>689</v>
      </c>
      <c r="C733" s="106">
        <v>12</v>
      </c>
      <c r="E733" s="38"/>
      <c r="F733" s="38"/>
      <c r="G733" s="38">
        <v>0</v>
      </c>
      <c r="H733" s="38">
        <v>3989.5499999999984</v>
      </c>
    </row>
    <row r="734" spans="1:9" x14ac:dyDescent="0.3">
      <c r="A734" s="35" t="s">
        <v>688</v>
      </c>
      <c r="B734" t="s">
        <v>689</v>
      </c>
      <c r="C734" s="106">
        <v>13</v>
      </c>
      <c r="E734" s="38"/>
      <c r="F734" s="38"/>
      <c r="G734" s="38">
        <v>0</v>
      </c>
      <c r="H734" s="38">
        <v>3989.5499999999984</v>
      </c>
    </row>
    <row r="735" spans="1:9" x14ac:dyDescent="0.3">
      <c r="A735" s="35" t="s">
        <v>688</v>
      </c>
      <c r="B735" t="s">
        <v>689</v>
      </c>
      <c r="C735" s="106">
        <v>14</v>
      </c>
      <c r="E735" s="38"/>
      <c r="F735" s="38"/>
      <c r="G735" s="38">
        <v>0</v>
      </c>
      <c r="H735" s="38">
        <v>3989.5499999999984</v>
      </c>
    </row>
    <row r="736" spans="1:9" x14ac:dyDescent="0.3">
      <c r="A736" s="35" t="s">
        <v>688</v>
      </c>
      <c r="B736" t="s">
        <v>689</v>
      </c>
      <c r="C736" s="106">
        <v>15</v>
      </c>
      <c r="E736" s="38"/>
      <c r="F736" s="38"/>
      <c r="G736" s="38">
        <v>0</v>
      </c>
      <c r="H736" s="38">
        <v>3989.5499999999984</v>
      </c>
    </row>
    <row r="737" spans="1:9" ht="15" thickBot="1" x14ac:dyDescent="0.35">
      <c r="A737" s="109" t="s">
        <v>688</v>
      </c>
      <c r="B737" s="110" t="s">
        <v>689</v>
      </c>
      <c r="C737" s="114">
        <v>16</v>
      </c>
      <c r="D737" s="110"/>
      <c r="E737" s="115"/>
      <c r="F737" s="115"/>
      <c r="G737" s="115">
        <v>0</v>
      </c>
      <c r="H737" s="115">
        <v>3989.5499999999984</v>
      </c>
      <c r="I737" s="110"/>
    </row>
    <row r="738" spans="1:9" x14ac:dyDescent="0.3">
      <c r="A738" s="35" t="s">
        <v>685</v>
      </c>
      <c r="B738" t="s">
        <v>686</v>
      </c>
      <c r="C738" s="106">
        <v>1</v>
      </c>
      <c r="D738" s="56">
        <v>45904</v>
      </c>
      <c r="E738" s="38">
        <v>9498</v>
      </c>
      <c r="F738" s="38">
        <v>9045</v>
      </c>
      <c r="G738" s="38">
        <v>453</v>
      </c>
      <c r="H738" s="38">
        <v>453</v>
      </c>
      <c r="I738" s="108">
        <v>5.0082918739635156E-2</v>
      </c>
    </row>
    <row r="739" spans="1:9" x14ac:dyDescent="0.3">
      <c r="A739" s="35" t="s">
        <v>685</v>
      </c>
      <c r="B739" t="s">
        <v>686</v>
      </c>
      <c r="C739" s="106">
        <v>2</v>
      </c>
      <c r="D739" s="56">
        <v>45911</v>
      </c>
      <c r="E739" s="38">
        <v>9498</v>
      </c>
      <c r="F739" s="38">
        <v>9045</v>
      </c>
      <c r="G739" s="38">
        <v>453</v>
      </c>
      <c r="H739" s="38">
        <v>906</v>
      </c>
      <c r="I739" s="108">
        <v>5.0082918739635156E-2</v>
      </c>
    </row>
    <row r="740" spans="1:9" x14ac:dyDescent="0.3">
      <c r="A740" s="35" t="s">
        <v>685</v>
      </c>
      <c r="B740" t="s">
        <v>686</v>
      </c>
      <c r="C740" s="106">
        <v>3</v>
      </c>
      <c r="D740" s="56">
        <v>45918</v>
      </c>
      <c r="E740" s="38">
        <v>9510</v>
      </c>
      <c r="F740" s="38">
        <v>9045</v>
      </c>
      <c r="G740" s="38">
        <v>465</v>
      </c>
      <c r="H740" s="38">
        <v>1371</v>
      </c>
      <c r="I740" s="108">
        <v>5.140961857379768E-2</v>
      </c>
    </row>
    <row r="741" spans="1:9" x14ac:dyDescent="0.3">
      <c r="A741" s="35" t="s">
        <v>685</v>
      </c>
      <c r="B741" t="s">
        <v>686</v>
      </c>
      <c r="C741" s="106">
        <v>4</v>
      </c>
      <c r="D741" s="56">
        <v>45925</v>
      </c>
      <c r="E741" s="38">
        <v>9510</v>
      </c>
      <c r="F741" s="38">
        <v>9045</v>
      </c>
      <c r="G741" s="38">
        <v>465</v>
      </c>
      <c r="H741" s="38">
        <v>1836</v>
      </c>
      <c r="I741" s="108">
        <v>5.140961857379768E-2</v>
      </c>
    </row>
    <row r="742" spans="1:9" x14ac:dyDescent="0.3">
      <c r="A742" s="35" t="s">
        <v>685</v>
      </c>
      <c r="B742" t="s">
        <v>686</v>
      </c>
      <c r="C742" s="106">
        <v>5</v>
      </c>
      <c r="D742" s="56">
        <v>45933</v>
      </c>
      <c r="E742" s="38">
        <v>9985</v>
      </c>
      <c r="F742" s="38">
        <v>9045</v>
      </c>
      <c r="G742" s="38">
        <v>940</v>
      </c>
      <c r="H742" s="38">
        <v>2776</v>
      </c>
      <c r="I742" s="108">
        <v>0.10392482034273079</v>
      </c>
    </row>
    <row r="743" spans="1:9" x14ac:dyDescent="0.3">
      <c r="A743" s="35" t="s">
        <v>685</v>
      </c>
      <c r="B743" t="s">
        <v>686</v>
      </c>
      <c r="C743" s="106">
        <v>6</v>
      </c>
      <c r="D743" s="56">
        <v>45939</v>
      </c>
      <c r="E743" s="38">
        <v>9498</v>
      </c>
      <c r="F743" s="38">
        <v>9045</v>
      </c>
      <c r="G743" s="38">
        <v>453</v>
      </c>
      <c r="H743" s="38">
        <v>3229</v>
      </c>
      <c r="I743" s="108">
        <v>5.0082918739635156E-2</v>
      </c>
    </row>
    <row r="744" spans="1:9" x14ac:dyDescent="0.3">
      <c r="A744" s="35" t="s">
        <v>685</v>
      </c>
      <c r="B744" t="s">
        <v>686</v>
      </c>
      <c r="C744" s="106">
        <v>7</v>
      </c>
      <c r="D744" s="56">
        <v>45946</v>
      </c>
      <c r="E744" s="38">
        <v>9498</v>
      </c>
      <c r="F744" s="38">
        <v>9045</v>
      </c>
      <c r="G744" s="38">
        <v>453</v>
      </c>
      <c r="H744" s="38">
        <v>3682</v>
      </c>
      <c r="I744" s="108">
        <v>5.0082918739635156E-2</v>
      </c>
    </row>
    <row r="745" spans="1:9" x14ac:dyDescent="0.3">
      <c r="A745" s="35" t="s">
        <v>685</v>
      </c>
      <c r="B745" t="s">
        <v>686</v>
      </c>
      <c r="C745" s="106">
        <v>8</v>
      </c>
      <c r="D745" s="56">
        <v>45953</v>
      </c>
      <c r="E745" s="38">
        <v>9498</v>
      </c>
      <c r="F745" s="38">
        <v>9045</v>
      </c>
      <c r="G745" s="38">
        <v>453</v>
      </c>
      <c r="H745" s="38">
        <v>4135</v>
      </c>
      <c r="I745" s="108">
        <v>5.0082918739635156E-2</v>
      </c>
    </row>
    <row r="746" spans="1:9" x14ac:dyDescent="0.3">
      <c r="A746" s="35" t="s">
        <v>685</v>
      </c>
      <c r="B746" t="s">
        <v>686</v>
      </c>
      <c r="C746" s="106">
        <v>9</v>
      </c>
      <c r="D746" s="56">
        <v>45961</v>
      </c>
      <c r="E746" s="38">
        <v>9498</v>
      </c>
      <c r="F746" s="38">
        <v>9045</v>
      </c>
      <c r="G746" s="38">
        <v>453</v>
      </c>
      <c r="H746" s="38">
        <v>4588</v>
      </c>
      <c r="I746" s="108">
        <v>5.0082918739635156E-2</v>
      </c>
    </row>
    <row r="747" spans="1:9" x14ac:dyDescent="0.3">
      <c r="A747" s="35" t="s">
        <v>685</v>
      </c>
      <c r="B747" t="s">
        <v>686</v>
      </c>
      <c r="C747" s="106">
        <v>10</v>
      </c>
      <c r="E747" s="38"/>
      <c r="F747" s="38"/>
      <c r="G747" s="38">
        <v>0</v>
      </c>
      <c r="H747" s="38">
        <v>4588</v>
      </c>
      <c r="I747" s="108" t="e">
        <v>#DIV/0!</v>
      </c>
    </row>
    <row r="748" spans="1:9" x14ac:dyDescent="0.3">
      <c r="A748" s="35" t="s">
        <v>685</v>
      </c>
      <c r="B748" t="s">
        <v>686</v>
      </c>
      <c r="C748" s="106">
        <v>11</v>
      </c>
      <c r="E748" s="38"/>
      <c r="F748" s="38"/>
      <c r="G748" s="38">
        <v>0</v>
      </c>
      <c r="H748" s="38">
        <v>4588</v>
      </c>
      <c r="I748" s="108" t="e">
        <v>#DIV/0!</v>
      </c>
    </row>
    <row r="749" spans="1:9" x14ac:dyDescent="0.3">
      <c r="A749" s="35" t="s">
        <v>685</v>
      </c>
      <c r="B749" t="s">
        <v>686</v>
      </c>
      <c r="C749" s="106">
        <v>12</v>
      </c>
      <c r="E749" s="38"/>
      <c r="F749" s="38"/>
      <c r="G749" s="38">
        <v>0</v>
      </c>
      <c r="H749" s="38">
        <v>4588</v>
      </c>
      <c r="I749" s="108" t="e">
        <v>#DIV/0!</v>
      </c>
    </row>
    <row r="750" spans="1:9" x14ac:dyDescent="0.3">
      <c r="A750" s="35" t="s">
        <v>685</v>
      </c>
      <c r="B750" t="s">
        <v>686</v>
      </c>
      <c r="C750" s="106">
        <v>13</v>
      </c>
      <c r="E750" s="38"/>
      <c r="F750" s="38"/>
      <c r="G750" s="38">
        <v>0</v>
      </c>
      <c r="H750" s="38">
        <v>4588</v>
      </c>
      <c r="I750" s="108" t="e">
        <v>#DIV/0!</v>
      </c>
    </row>
    <row r="751" spans="1:9" x14ac:dyDescent="0.3">
      <c r="A751" s="35" t="s">
        <v>685</v>
      </c>
      <c r="B751" t="s">
        <v>686</v>
      </c>
      <c r="C751" s="106">
        <v>14</v>
      </c>
      <c r="E751" s="38"/>
      <c r="F751" s="38"/>
      <c r="G751" s="38">
        <v>0</v>
      </c>
      <c r="H751" s="38">
        <v>4588</v>
      </c>
      <c r="I751" s="108" t="e">
        <v>#DIV/0!</v>
      </c>
    </row>
    <row r="752" spans="1:9" x14ac:dyDescent="0.3">
      <c r="A752" s="35" t="s">
        <v>685</v>
      </c>
      <c r="B752" t="s">
        <v>686</v>
      </c>
      <c r="C752" s="106">
        <v>15</v>
      </c>
      <c r="E752" s="38"/>
      <c r="F752" s="38"/>
      <c r="G752" s="38">
        <v>0</v>
      </c>
      <c r="H752" s="38">
        <v>4588</v>
      </c>
      <c r="I752" s="108" t="e">
        <v>#DIV/0!</v>
      </c>
    </row>
    <row r="753" spans="1:9" ht="15" thickBot="1" x14ac:dyDescent="0.35">
      <c r="A753" s="109" t="s">
        <v>685</v>
      </c>
      <c r="B753" s="110" t="s">
        <v>686</v>
      </c>
      <c r="C753" s="114">
        <v>16</v>
      </c>
      <c r="D753" s="110"/>
      <c r="E753" s="115"/>
      <c r="F753" s="115"/>
      <c r="G753" s="115">
        <v>0</v>
      </c>
      <c r="H753" s="115">
        <v>4588</v>
      </c>
      <c r="I753" s="110"/>
    </row>
    <row r="754" spans="1:9" x14ac:dyDescent="0.3">
      <c r="A754" s="35" t="s">
        <v>806</v>
      </c>
      <c r="B754" t="s">
        <v>807</v>
      </c>
      <c r="C754" s="106">
        <v>1</v>
      </c>
      <c r="D754" s="56">
        <v>45908</v>
      </c>
      <c r="E754" s="38">
        <v>5426</v>
      </c>
      <c r="F754" s="38">
        <v>5168.05</v>
      </c>
      <c r="G754" s="38">
        <v>257.94999999999982</v>
      </c>
      <c r="H754" s="38">
        <v>257.94999999999982</v>
      </c>
      <c r="I754" s="108">
        <v>4.9912442797573515E-2</v>
      </c>
    </row>
    <row r="755" spans="1:9" x14ac:dyDescent="0.3">
      <c r="A755" s="35" t="s">
        <v>806</v>
      </c>
      <c r="B755" t="s">
        <v>807</v>
      </c>
      <c r="C755" s="106">
        <v>2</v>
      </c>
      <c r="D755" s="56">
        <v>45914</v>
      </c>
      <c r="E755" s="38">
        <v>5426</v>
      </c>
      <c r="F755" s="38">
        <v>5168.05</v>
      </c>
      <c r="G755" s="38">
        <v>257.94999999999982</v>
      </c>
      <c r="H755" s="38">
        <v>515.89999999999964</v>
      </c>
      <c r="I755" s="108">
        <v>4.9912442797573515E-2</v>
      </c>
    </row>
    <row r="756" spans="1:9" x14ac:dyDescent="0.3">
      <c r="A756" s="35" t="s">
        <v>806</v>
      </c>
      <c r="B756" t="s">
        <v>807</v>
      </c>
      <c r="C756" s="106">
        <v>3</v>
      </c>
      <c r="D756" s="56">
        <v>45922</v>
      </c>
      <c r="E756" s="38">
        <v>5426</v>
      </c>
      <c r="F756" s="38">
        <v>5168.05</v>
      </c>
      <c r="G756" s="38">
        <v>257.94999999999982</v>
      </c>
      <c r="H756" s="38">
        <v>773.84999999999945</v>
      </c>
      <c r="I756" s="108">
        <v>4.9912442797573515E-2</v>
      </c>
    </row>
    <row r="757" spans="1:9" x14ac:dyDescent="0.3">
      <c r="A757" s="35" t="s">
        <v>806</v>
      </c>
      <c r="B757" t="s">
        <v>807</v>
      </c>
      <c r="C757" s="106">
        <v>4</v>
      </c>
      <c r="D757" s="56">
        <v>45936</v>
      </c>
      <c r="E757" s="38">
        <v>5632</v>
      </c>
      <c r="F757" s="38">
        <v>5168.05</v>
      </c>
      <c r="G757" s="38">
        <v>463.94999999999982</v>
      </c>
      <c r="H757" s="38">
        <v>1237.7999999999993</v>
      </c>
      <c r="I757" s="108">
        <v>8.9772738266851101E-2</v>
      </c>
    </row>
    <row r="758" spans="1:9" x14ac:dyDescent="0.3">
      <c r="A758" s="35" t="s">
        <v>806</v>
      </c>
      <c r="B758" t="s">
        <v>807</v>
      </c>
      <c r="C758" s="106">
        <v>5</v>
      </c>
      <c r="D758" s="56">
        <v>45943</v>
      </c>
      <c r="E758" s="38">
        <v>5632</v>
      </c>
      <c r="F758" s="38">
        <v>5168.05</v>
      </c>
      <c r="G758" s="38">
        <v>463.94999999999982</v>
      </c>
      <c r="H758" s="38">
        <v>1701.7499999999991</v>
      </c>
      <c r="I758" s="108">
        <v>8.9772738266851101E-2</v>
      </c>
    </row>
    <row r="759" spans="1:9" x14ac:dyDescent="0.3">
      <c r="A759" s="35" t="s">
        <v>806</v>
      </c>
      <c r="B759" t="s">
        <v>807</v>
      </c>
      <c r="C759" s="106">
        <v>6</v>
      </c>
      <c r="D759" s="56">
        <v>45950</v>
      </c>
      <c r="E759" s="38">
        <v>5632</v>
      </c>
      <c r="F759" s="38">
        <v>5168.05</v>
      </c>
      <c r="G759" s="38">
        <v>463.94999999999982</v>
      </c>
      <c r="H759" s="38">
        <v>2165.6999999999989</v>
      </c>
      <c r="I759" s="108">
        <v>8.9772738266851101E-2</v>
      </c>
    </row>
    <row r="760" spans="1:9" x14ac:dyDescent="0.3">
      <c r="A760" s="35" t="s">
        <v>806</v>
      </c>
      <c r="B760" t="s">
        <v>807</v>
      </c>
      <c r="C760" s="106">
        <v>7</v>
      </c>
      <c r="D760" s="56">
        <v>45957</v>
      </c>
      <c r="E760" s="38">
        <v>5632</v>
      </c>
      <c r="F760" s="38">
        <v>5168.05</v>
      </c>
      <c r="G760" s="38">
        <v>463.94999999999982</v>
      </c>
      <c r="H760" s="38">
        <v>2629.6499999999987</v>
      </c>
      <c r="I760" s="108">
        <v>8.9772738266851101E-2</v>
      </c>
    </row>
    <row r="761" spans="1:9" x14ac:dyDescent="0.3">
      <c r="A761" s="35" t="s">
        <v>806</v>
      </c>
      <c r="B761" t="s">
        <v>807</v>
      </c>
      <c r="C761" s="106">
        <v>8</v>
      </c>
      <c r="E761" s="38"/>
      <c r="F761" s="38"/>
      <c r="G761" s="38">
        <v>0</v>
      </c>
      <c r="H761" s="38">
        <v>2629.6499999999987</v>
      </c>
    </row>
    <row r="762" spans="1:9" x14ac:dyDescent="0.3">
      <c r="A762" s="35" t="s">
        <v>806</v>
      </c>
      <c r="B762" t="s">
        <v>807</v>
      </c>
      <c r="C762" s="106">
        <v>9</v>
      </c>
      <c r="E762" s="38"/>
      <c r="F762" s="38"/>
      <c r="G762" s="38">
        <v>0</v>
      </c>
      <c r="H762" s="38">
        <v>2629.6499999999987</v>
      </c>
    </row>
    <row r="763" spans="1:9" x14ac:dyDescent="0.3">
      <c r="A763" s="35" t="s">
        <v>806</v>
      </c>
      <c r="B763" t="s">
        <v>807</v>
      </c>
      <c r="C763" s="106">
        <v>10</v>
      </c>
      <c r="E763" s="38"/>
      <c r="F763" s="38"/>
      <c r="G763" s="38">
        <v>0</v>
      </c>
      <c r="H763" s="38">
        <v>2629.6499999999987</v>
      </c>
    </row>
    <row r="764" spans="1:9" x14ac:dyDescent="0.3">
      <c r="A764" s="35" t="s">
        <v>806</v>
      </c>
      <c r="B764" t="s">
        <v>807</v>
      </c>
      <c r="C764" s="106">
        <v>11</v>
      </c>
      <c r="E764" s="38"/>
      <c r="F764" s="38"/>
      <c r="G764" s="38">
        <v>0</v>
      </c>
      <c r="H764" s="38">
        <v>2629.6499999999987</v>
      </c>
    </row>
    <row r="765" spans="1:9" x14ac:dyDescent="0.3">
      <c r="A765" s="35" t="s">
        <v>806</v>
      </c>
      <c r="B765" t="s">
        <v>807</v>
      </c>
      <c r="C765" s="106">
        <v>12</v>
      </c>
      <c r="E765" s="38"/>
      <c r="F765" s="38"/>
      <c r="G765" s="38">
        <v>0</v>
      </c>
      <c r="H765" s="38">
        <v>2629.6499999999987</v>
      </c>
    </row>
    <row r="766" spans="1:9" x14ac:dyDescent="0.3">
      <c r="A766" s="35" t="s">
        <v>806</v>
      </c>
      <c r="B766" t="s">
        <v>807</v>
      </c>
      <c r="C766" s="106">
        <v>13</v>
      </c>
      <c r="E766" s="38"/>
      <c r="F766" s="38"/>
      <c r="G766" s="38">
        <v>0</v>
      </c>
      <c r="H766" s="38">
        <v>2629.6499999999987</v>
      </c>
    </row>
    <row r="767" spans="1:9" x14ac:dyDescent="0.3">
      <c r="A767" s="35" t="s">
        <v>806</v>
      </c>
      <c r="B767" t="s">
        <v>807</v>
      </c>
      <c r="C767" s="106">
        <v>14</v>
      </c>
      <c r="E767" s="38"/>
      <c r="F767" s="38"/>
      <c r="G767" s="38">
        <v>0</v>
      </c>
      <c r="H767" s="38">
        <v>2629.6499999999987</v>
      </c>
    </row>
    <row r="768" spans="1:9" x14ac:dyDescent="0.3">
      <c r="A768" s="35" t="s">
        <v>806</v>
      </c>
      <c r="B768" t="s">
        <v>807</v>
      </c>
      <c r="C768" s="106">
        <v>15</v>
      </c>
      <c r="E768" s="38"/>
      <c r="F768" s="38"/>
      <c r="G768" s="38">
        <v>0</v>
      </c>
      <c r="H768" s="38">
        <v>2629.6499999999987</v>
      </c>
    </row>
    <row r="769" spans="1:9" ht="15" thickBot="1" x14ac:dyDescent="0.35">
      <c r="A769" s="109" t="s">
        <v>806</v>
      </c>
      <c r="B769" s="110" t="s">
        <v>807</v>
      </c>
      <c r="C769" s="114">
        <v>16</v>
      </c>
      <c r="D769" s="110"/>
      <c r="E769" s="115"/>
      <c r="F769" s="115"/>
      <c r="G769" s="115">
        <v>0</v>
      </c>
      <c r="H769" s="115">
        <v>2629.6499999999987</v>
      </c>
      <c r="I769" s="110"/>
    </row>
    <row r="770" spans="1:9" x14ac:dyDescent="0.3">
      <c r="A770" s="35" t="s">
        <v>809</v>
      </c>
      <c r="B770" t="s">
        <v>804</v>
      </c>
      <c r="C770" s="106">
        <v>1</v>
      </c>
      <c r="D770" s="56">
        <v>45909</v>
      </c>
      <c r="E770" s="38">
        <v>17556</v>
      </c>
      <c r="F770" s="38">
        <v>15961</v>
      </c>
      <c r="G770" s="38">
        <v>1595</v>
      </c>
      <c r="H770" s="38">
        <v>1595</v>
      </c>
      <c r="I770" s="108">
        <v>9.9931082012405234E-2</v>
      </c>
    </row>
    <row r="771" spans="1:9" x14ac:dyDescent="0.3">
      <c r="A771" s="35" t="s">
        <v>809</v>
      </c>
      <c r="B771" t="s">
        <v>804</v>
      </c>
      <c r="C771" s="106">
        <v>2</v>
      </c>
      <c r="D771" s="56">
        <v>45916</v>
      </c>
      <c r="E771" s="38">
        <v>16912</v>
      </c>
      <c r="F771" s="38">
        <v>15961</v>
      </c>
      <c r="G771" s="38">
        <v>951</v>
      </c>
      <c r="H771" s="38">
        <v>2546</v>
      </c>
      <c r="I771" s="108">
        <v>5.958273291147171E-2</v>
      </c>
    </row>
    <row r="772" spans="1:9" x14ac:dyDescent="0.3">
      <c r="A772" s="35" t="s">
        <v>809</v>
      </c>
      <c r="B772" t="s">
        <v>804</v>
      </c>
      <c r="C772" s="106">
        <v>3</v>
      </c>
      <c r="D772" s="56">
        <v>45923</v>
      </c>
      <c r="E772" s="38">
        <v>16914</v>
      </c>
      <c r="F772" s="38">
        <v>15960</v>
      </c>
      <c r="G772" s="38">
        <v>954</v>
      </c>
      <c r="H772" s="38">
        <v>3500</v>
      </c>
      <c r="I772" s="108">
        <v>5.9774436090225563E-2</v>
      </c>
    </row>
    <row r="773" spans="1:9" x14ac:dyDescent="0.3">
      <c r="A773" s="35" t="s">
        <v>809</v>
      </c>
      <c r="B773" t="s">
        <v>804</v>
      </c>
      <c r="C773" s="106">
        <v>4</v>
      </c>
      <c r="D773" s="56">
        <v>45930</v>
      </c>
      <c r="E773" s="38">
        <v>17370</v>
      </c>
      <c r="F773" s="38">
        <v>15960</v>
      </c>
      <c r="G773" s="38">
        <v>1410</v>
      </c>
      <c r="H773" s="38">
        <v>4910</v>
      </c>
      <c r="I773" s="108">
        <v>8.834586466165413E-2</v>
      </c>
    </row>
    <row r="774" spans="1:9" x14ac:dyDescent="0.3">
      <c r="A774" s="35" t="s">
        <v>809</v>
      </c>
      <c r="B774" t="s">
        <v>804</v>
      </c>
      <c r="C774" s="106">
        <v>5</v>
      </c>
      <c r="D774" s="56">
        <v>45938</v>
      </c>
      <c r="E774" s="38">
        <v>16914</v>
      </c>
      <c r="F774" s="38">
        <v>15963</v>
      </c>
      <c r="G774" s="38">
        <v>951</v>
      </c>
      <c r="H774" s="38">
        <v>5861</v>
      </c>
      <c r="I774" s="108">
        <v>5.957526780680323E-2</v>
      </c>
    </row>
    <row r="775" spans="1:9" x14ac:dyDescent="0.3">
      <c r="A775" s="35" t="s">
        <v>809</v>
      </c>
      <c r="B775" t="s">
        <v>804</v>
      </c>
      <c r="C775" s="106">
        <v>6</v>
      </c>
      <c r="D775" s="56">
        <v>45945</v>
      </c>
      <c r="E775" s="38">
        <v>16616</v>
      </c>
      <c r="F775" s="38">
        <v>15960</v>
      </c>
      <c r="G775" s="38">
        <v>656</v>
      </c>
      <c r="H775" s="38">
        <v>6517</v>
      </c>
      <c r="I775" s="108">
        <v>4.1102756892230578E-2</v>
      </c>
    </row>
    <row r="776" spans="1:9" x14ac:dyDescent="0.3">
      <c r="A776" s="35" t="s">
        <v>809</v>
      </c>
      <c r="B776" t="s">
        <v>804</v>
      </c>
      <c r="C776" s="106">
        <v>7</v>
      </c>
      <c r="D776" s="56">
        <v>45952</v>
      </c>
      <c r="E776" s="38">
        <v>16120</v>
      </c>
      <c r="F776" s="38">
        <v>15960</v>
      </c>
      <c r="G776" s="38">
        <v>160</v>
      </c>
      <c r="H776" s="38">
        <v>6677</v>
      </c>
      <c r="I776" s="108">
        <v>1.0025062656641603E-2</v>
      </c>
    </row>
    <row r="777" spans="1:9" x14ac:dyDescent="0.3">
      <c r="A777" s="35" t="s">
        <v>809</v>
      </c>
      <c r="B777" t="s">
        <v>804</v>
      </c>
      <c r="C777" s="106">
        <v>8</v>
      </c>
      <c r="D777" s="56">
        <v>45959</v>
      </c>
      <c r="E777" s="38">
        <v>16312</v>
      </c>
      <c r="F777" s="38">
        <v>15960</v>
      </c>
      <c r="G777" s="38">
        <v>352</v>
      </c>
      <c r="H777" s="38">
        <v>7029</v>
      </c>
      <c r="I777" s="108">
        <v>2.2055137844611529E-2</v>
      </c>
    </row>
    <row r="778" spans="1:9" x14ac:dyDescent="0.3">
      <c r="A778" s="35" t="s">
        <v>809</v>
      </c>
      <c r="B778" t="s">
        <v>804</v>
      </c>
      <c r="C778" s="106">
        <v>9</v>
      </c>
      <c r="E778" s="38"/>
      <c r="F778" s="38"/>
      <c r="G778" s="38">
        <v>0</v>
      </c>
      <c r="H778" s="38">
        <v>7029</v>
      </c>
      <c r="I778" s="108" t="e">
        <v>#DIV/0!</v>
      </c>
    </row>
    <row r="779" spans="1:9" x14ac:dyDescent="0.3">
      <c r="A779" s="35" t="s">
        <v>809</v>
      </c>
      <c r="B779" t="s">
        <v>804</v>
      </c>
      <c r="C779" s="106">
        <v>10</v>
      </c>
      <c r="E779" s="38"/>
      <c r="F779" s="38"/>
      <c r="G779" s="38">
        <v>0</v>
      </c>
      <c r="H779" s="38">
        <v>7029</v>
      </c>
      <c r="I779" s="108" t="e">
        <v>#DIV/0!</v>
      </c>
    </row>
    <row r="780" spans="1:9" x14ac:dyDescent="0.3">
      <c r="A780" s="35" t="s">
        <v>809</v>
      </c>
      <c r="B780" t="s">
        <v>804</v>
      </c>
      <c r="C780" s="106">
        <v>11</v>
      </c>
      <c r="E780" s="38"/>
      <c r="F780" s="38"/>
      <c r="G780" s="38">
        <v>0</v>
      </c>
      <c r="H780" s="38">
        <v>7029</v>
      </c>
      <c r="I780" s="108" t="e">
        <v>#DIV/0!</v>
      </c>
    </row>
    <row r="781" spans="1:9" x14ac:dyDescent="0.3">
      <c r="A781" s="35" t="s">
        <v>809</v>
      </c>
      <c r="B781" t="s">
        <v>804</v>
      </c>
      <c r="C781" s="106">
        <v>12</v>
      </c>
      <c r="E781" s="38"/>
      <c r="F781" s="38"/>
      <c r="G781" s="38">
        <v>0</v>
      </c>
      <c r="H781" s="38">
        <v>7029</v>
      </c>
      <c r="I781" s="108" t="e">
        <v>#DIV/0!</v>
      </c>
    </row>
    <row r="782" spans="1:9" x14ac:dyDescent="0.3">
      <c r="A782" s="35" t="s">
        <v>809</v>
      </c>
      <c r="B782" t="s">
        <v>804</v>
      </c>
      <c r="C782" s="106">
        <v>13</v>
      </c>
      <c r="E782" s="38"/>
      <c r="F782" s="38"/>
      <c r="G782" s="38">
        <v>0</v>
      </c>
      <c r="H782" s="38">
        <v>7029</v>
      </c>
      <c r="I782" s="108" t="e">
        <v>#DIV/0!</v>
      </c>
    </row>
    <row r="783" spans="1:9" x14ac:dyDescent="0.3">
      <c r="A783" s="35" t="s">
        <v>809</v>
      </c>
      <c r="B783" t="s">
        <v>804</v>
      </c>
      <c r="C783" s="106">
        <v>14</v>
      </c>
      <c r="E783" s="38"/>
      <c r="F783" s="38"/>
      <c r="G783" s="38">
        <v>0</v>
      </c>
      <c r="H783" s="38">
        <v>7029</v>
      </c>
      <c r="I783" s="108" t="e">
        <v>#DIV/0!</v>
      </c>
    </row>
    <row r="784" spans="1:9" x14ac:dyDescent="0.3">
      <c r="A784" s="35" t="s">
        <v>809</v>
      </c>
      <c r="B784" t="s">
        <v>804</v>
      </c>
      <c r="C784" s="106">
        <v>15</v>
      </c>
      <c r="E784" s="38"/>
      <c r="F784" s="38"/>
      <c r="G784" s="38">
        <v>0</v>
      </c>
      <c r="H784" s="38">
        <v>7029</v>
      </c>
      <c r="I784" s="108" t="e">
        <v>#DIV/0!</v>
      </c>
    </row>
    <row r="785" spans="1:9" ht="15" thickBot="1" x14ac:dyDescent="0.35">
      <c r="A785" s="109" t="s">
        <v>809</v>
      </c>
      <c r="B785" s="110" t="s">
        <v>804</v>
      </c>
      <c r="C785" s="114">
        <v>16</v>
      </c>
      <c r="D785" s="110"/>
      <c r="E785" s="115"/>
      <c r="F785" s="115"/>
      <c r="G785" s="115">
        <v>0</v>
      </c>
      <c r="H785" s="115">
        <v>7029</v>
      </c>
      <c r="I785" s="110"/>
    </row>
    <row r="786" spans="1:9" x14ac:dyDescent="0.3">
      <c r="A786" s="35" t="s">
        <v>817</v>
      </c>
      <c r="B786" t="s">
        <v>803</v>
      </c>
      <c r="C786" s="106">
        <v>1</v>
      </c>
      <c r="D786" s="56">
        <v>45910</v>
      </c>
      <c r="E786" s="38">
        <v>8778</v>
      </c>
      <c r="F786" s="38">
        <v>8360.07</v>
      </c>
      <c r="G786" s="38">
        <v>417.93000000000029</v>
      </c>
      <c r="H786" s="38">
        <v>417.93000000000029</v>
      </c>
      <c r="I786" s="108">
        <v>4.9991208207586818E-2</v>
      </c>
    </row>
    <row r="787" spans="1:9" x14ac:dyDescent="0.3">
      <c r="A787" s="35" t="s">
        <v>817</v>
      </c>
      <c r="B787" t="s">
        <v>803</v>
      </c>
      <c r="C787" s="106">
        <v>2</v>
      </c>
      <c r="D787" s="56">
        <v>45917</v>
      </c>
      <c r="E787" s="38">
        <v>8778</v>
      </c>
      <c r="F787" s="38">
        <v>8360.07</v>
      </c>
      <c r="G787" s="38">
        <v>417.93000000000029</v>
      </c>
      <c r="H787" s="38">
        <v>835.86000000000058</v>
      </c>
      <c r="I787" s="108">
        <v>4.9991208207586818E-2</v>
      </c>
    </row>
    <row r="788" spans="1:9" x14ac:dyDescent="0.3">
      <c r="A788" s="35" t="s">
        <v>817</v>
      </c>
      <c r="B788" t="s">
        <v>803</v>
      </c>
      <c r="C788" s="106">
        <v>3</v>
      </c>
      <c r="D788" s="56">
        <v>45924</v>
      </c>
      <c r="E788" s="38">
        <v>8778</v>
      </c>
      <c r="F788" s="38">
        <v>8360.07</v>
      </c>
      <c r="G788" s="38">
        <v>417.93000000000029</v>
      </c>
      <c r="H788" s="38">
        <v>1253.7900000000009</v>
      </c>
      <c r="I788" s="108">
        <v>4.9991208207586818E-2</v>
      </c>
    </row>
    <row r="789" spans="1:9" x14ac:dyDescent="0.3">
      <c r="A789" s="35" t="s">
        <v>817</v>
      </c>
      <c r="B789" t="s">
        <v>803</v>
      </c>
      <c r="C789" s="106">
        <v>4</v>
      </c>
      <c r="D789" s="56">
        <v>45931</v>
      </c>
      <c r="E789" s="38">
        <v>8778</v>
      </c>
      <c r="F789" s="38">
        <v>8360.07</v>
      </c>
      <c r="G789" s="38">
        <v>417.93000000000029</v>
      </c>
      <c r="H789" s="38">
        <v>1671.7200000000012</v>
      </c>
      <c r="I789" s="108">
        <v>4.9991208207586818E-2</v>
      </c>
    </row>
    <row r="790" spans="1:9" x14ac:dyDescent="0.3">
      <c r="A790" s="35" t="s">
        <v>817</v>
      </c>
      <c r="B790" t="s">
        <v>803</v>
      </c>
      <c r="C790" s="106">
        <v>5</v>
      </c>
      <c r="D790" s="56">
        <v>45938</v>
      </c>
      <c r="E790" s="38">
        <v>8778</v>
      </c>
      <c r="F790" s="38">
        <v>8360.07</v>
      </c>
      <c r="G790" s="38">
        <v>417.93000000000029</v>
      </c>
      <c r="H790" s="38">
        <v>2089.6500000000015</v>
      </c>
      <c r="I790" s="108">
        <v>4.9991208207586818E-2</v>
      </c>
    </row>
    <row r="791" spans="1:9" x14ac:dyDescent="0.3">
      <c r="A791" s="35" t="s">
        <v>817</v>
      </c>
      <c r="B791" t="s">
        <v>803</v>
      </c>
      <c r="C791" s="106">
        <v>6</v>
      </c>
      <c r="D791" s="56">
        <v>45945</v>
      </c>
      <c r="E791" s="38">
        <v>8778</v>
      </c>
      <c r="F791" s="38">
        <v>8360.07</v>
      </c>
      <c r="G791" s="38">
        <v>417.93000000000029</v>
      </c>
      <c r="H791" s="38">
        <v>2507.5800000000017</v>
      </c>
      <c r="I791" s="108">
        <v>4.9991208207586818E-2</v>
      </c>
    </row>
    <row r="792" spans="1:9" x14ac:dyDescent="0.3">
      <c r="A792" s="35" t="s">
        <v>817</v>
      </c>
      <c r="B792" t="s">
        <v>803</v>
      </c>
      <c r="C792" s="106">
        <v>7</v>
      </c>
      <c r="D792" s="56">
        <v>45952</v>
      </c>
      <c r="E792" s="38">
        <v>8778</v>
      </c>
      <c r="F792" s="38">
        <v>8360.07</v>
      </c>
      <c r="G792" s="38">
        <v>417.93000000000029</v>
      </c>
      <c r="H792" s="38">
        <v>2925.510000000002</v>
      </c>
      <c r="I792" s="108">
        <v>4.9991208207586818E-2</v>
      </c>
    </row>
    <row r="793" spans="1:9" x14ac:dyDescent="0.3">
      <c r="A793" s="35" t="s">
        <v>817</v>
      </c>
      <c r="B793" t="s">
        <v>803</v>
      </c>
      <c r="C793" s="106">
        <v>8</v>
      </c>
      <c r="D793" s="56">
        <v>45959</v>
      </c>
      <c r="E793" s="38">
        <v>8778</v>
      </c>
      <c r="F793" s="38">
        <v>8360.07</v>
      </c>
      <c r="G793" s="38">
        <v>417.93000000000029</v>
      </c>
      <c r="H793" s="38">
        <v>3343.4400000000023</v>
      </c>
      <c r="I793" s="108">
        <v>4.9991208207586818E-2</v>
      </c>
    </row>
    <row r="794" spans="1:9" x14ac:dyDescent="0.3">
      <c r="A794" s="35" t="s">
        <v>817</v>
      </c>
      <c r="B794" t="s">
        <v>803</v>
      </c>
      <c r="C794" s="106">
        <v>9</v>
      </c>
      <c r="E794" s="38"/>
      <c r="F794" s="38"/>
      <c r="G794" s="38">
        <v>0</v>
      </c>
      <c r="H794" s="38">
        <v>3343.4400000000023</v>
      </c>
      <c r="I794" s="108" t="e">
        <v>#DIV/0!</v>
      </c>
    </row>
    <row r="795" spans="1:9" x14ac:dyDescent="0.3">
      <c r="A795" s="35" t="s">
        <v>817</v>
      </c>
      <c r="B795" t="s">
        <v>803</v>
      </c>
      <c r="C795" s="106">
        <v>10</v>
      </c>
      <c r="E795" s="38"/>
      <c r="F795" s="38"/>
      <c r="G795" s="38">
        <v>0</v>
      </c>
      <c r="H795" s="38">
        <v>3343.4400000000023</v>
      </c>
      <c r="I795" s="108" t="e">
        <v>#DIV/0!</v>
      </c>
    </row>
    <row r="796" spans="1:9" x14ac:dyDescent="0.3">
      <c r="A796" s="35" t="s">
        <v>817</v>
      </c>
      <c r="B796" t="s">
        <v>803</v>
      </c>
      <c r="C796" s="106">
        <v>11</v>
      </c>
      <c r="E796" s="38"/>
      <c r="F796" s="38"/>
      <c r="G796" s="38">
        <v>0</v>
      </c>
      <c r="H796" s="38">
        <v>3343.4400000000023</v>
      </c>
    </row>
    <row r="797" spans="1:9" x14ac:dyDescent="0.3">
      <c r="A797" s="35" t="s">
        <v>817</v>
      </c>
      <c r="B797" t="s">
        <v>803</v>
      </c>
      <c r="C797" s="106">
        <v>12</v>
      </c>
      <c r="E797" s="38"/>
      <c r="F797" s="38"/>
      <c r="G797" s="38">
        <v>0</v>
      </c>
      <c r="H797" s="38">
        <v>3343.4400000000023</v>
      </c>
    </row>
    <row r="798" spans="1:9" x14ac:dyDescent="0.3">
      <c r="A798" s="35" t="s">
        <v>817</v>
      </c>
      <c r="B798" t="s">
        <v>803</v>
      </c>
      <c r="C798" s="106">
        <v>13</v>
      </c>
      <c r="E798" s="38"/>
      <c r="F798" s="38"/>
      <c r="G798" s="38">
        <v>0</v>
      </c>
      <c r="H798" s="38">
        <v>3343.4400000000023</v>
      </c>
    </row>
    <row r="799" spans="1:9" x14ac:dyDescent="0.3">
      <c r="A799" s="35" t="s">
        <v>817</v>
      </c>
      <c r="B799" t="s">
        <v>803</v>
      </c>
      <c r="C799" s="106">
        <v>14</v>
      </c>
      <c r="E799" s="38"/>
      <c r="F799" s="38"/>
      <c r="G799" s="38">
        <v>0</v>
      </c>
      <c r="H799" s="38">
        <v>3343.4400000000023</v>
      </c>
    </row>
    <row r="800" spans="1:9" x14ac:dyDescent="0.3">
      <c r="A800" s="35" t="s">
        <v>817</v>
      </c>
      <c r="B800" t="s">
        <v>803</v>
      </c>
      <c r="C800" s="106">
        <v>15</v>
      </c>
      <c r="E800" s="38"/>
      <c r="F800" s="38"/>
      <c r="G800" s="38">
        <v>0</v>
      </c>
      <c r="H800" s="38">
        <v>3343.4400000000023</v>
      </c>
    </row>
    <row r="801" spans="1:9" ht="15" thickBot="1" x14ac:dyDescent="0.35">
      <c r="A801" s="109" t="s">
        <v>817</v>
      </c>
      <c r="B801" s="110" t="s">
        <v>803</v>
      </c>
      <c r="C801" s="114">
        <v>16</v>
      </c>
      <c r="D801" s="110"/>
      <c r="E801" s="115"/>
      <c r="F801" s="115"/>
      <c r="G801" s="115">
        <v>0</v>
      </c>
      <c r="H801" s="115">
        <v>3343.4400000000023</v>
      </c>
      <c r="I801" s="110"/>
    </row>
    <row r="802" spans="1:9" x14ac:dyDescent="0.3">
      <c r="A802" s="35" t="s">
        <v>850</v>
      </c>
      <c r="B802" t="s">
        <v>810</v>
      </c>
      <c r="C802" s="106">
        <v>1</v>
      </c>
      <c r="D802" s="56">
        <v>45910</v>
      </c>
      <c r="E802" s="38">
        <v>9352</v>
      </c>
      <c r="F802" s="38">
        <v>8664.08</v>
      </c>
      <c r="G802" s="38">
        <v>687.92000000000007</v>
      </c>
      <c r="H802" s="38">
        <v>687.92000000000007</v>
      </c>
      <c r="I802" s="108">
        <v>7.9399082187606773E-2</v>
      </c>
    </row>
    <row r="803" spans="1:9" x14ac:dyDescent="0.3">
      <c r="A803" s="35" t="s">
        <v>850</v>
      </c>
      <c r="B803" t="s">
        <v>810</v>
      </c>
      <c r="C803" s="106">
        <v>2</v>
      </c>
      <c r="D803" s="56">
        <v>45917</v>
      </c>
      <c r="E803" s="38">
        <v>9344</v>
      </c>
      <c r="F803" s="38">
        <v>8664.08</v>
      </c>
      <c r="G803" s="38">
        <v>679.92000000000007</v>
      </c>
      <c r="H803" s="38">
        <v>1367.8400000000001</v>
      </c>
      <c r="I803" s="108">
        <v>7.8475729679319678E-2</v>
      </c>
    </row>
    <row r="804" spans="1:9" x14ac:dyDescent="0.3">
      <c r="A804" s="35" t="s">
        <v>850</v>
      </c>
      <c r="B804" t="s">
        <v>810</v>
      </c>
      <c r="C804" s="106">
        <v>3</v>
      </c>
      <c r="D804" s="56">
        <v>45924</v>
      </c>
      <c r="E804" s="38">
        <v>9352</v>
      </c>
      <c r="F804" s="38">
        <v>8664.08</v>
      </c>
      <c r="G804" s="38">
        <v>687.92000000000007</v>
      </c>
      <c r="H804" s="38">
        <v>2055.7600000000002</v>
      </c>
      <c r="I804" s="108">
        <v>7.9399082187606773E-2</v>
      </c>
    </row>
    <row r="805" spans="1:9" x14ac:dyDescent="0.3">
      <c r="A805" s="35" t="s">
        <v>850</v>
      </c>
      <c r="B805" t="s">
        <v>810</v>
      </c>
      <c r="C805" s="106">
        <v>4</v>
      </c>
      <c r="D805" s="56">
        <v>45931</v>
      </c>
      <c r="E805" s="38">
        <v>9372</v>
      </c>
      <c r="F805" s="38">
        <v>8664.08</v>
      </c>
      <c r="G805" s="38">
        <v>707.92000000000007</v>
      </c>
      <c r="H805" s="38">
        <v>2763.6800000000003</v>
      </c>
      <c r="I805" s="108">
        <v>8.1707463458324497E-2</v>
      </c>
    </row>
    <row r="806" spans="1:9" x14ac:dyDescent="0.3">
      <c r="A806" s="35" t="s">
        <v>850</v>
      </c>
      <c r="B806" t="s">
        <v>810</v>
      </c>
      <c r="C806" s="106">
        <v>5</v>
      </c>
      <c r="D806" s="56">
        <v>45938</v>
      </c>
      <c r="E806" s="38">
        <v>9352</v>
      </c>
      <c r="F806" s="38">
        <v>8664.08</v>
      </c>
      <c r="G806" s="38">
        <v>687.92000000000007</v>
      </c>
      <c r="H806" s="38">
        <v>3451.6000000000004</v>
      </c>
      <c r="I806" s="108">
        <v>7.9399082187606773E-2</v>
      </c>
    </row>
    <row r="807" spans="1:9" x14ac:dyDescent="0.3">
      <c r="A807" s="35" t="s">
        <v>850</v>
      </c>
      <c r="B807" t="s">
        <v>810</v>
      </c>
      <c r="C807" s="106">
        <v>6</v>
      </c>
      <c r="D807" s="56">
        <v>45945</v>
      </c>
      <c r="E807" s="38">
        <v>9269</v>
      </c>
      <c r="F807" s="38">
        <v>8664.08</v>
      </c>
      <c r="G807" s="38">
        <v>604.92000000000007</v>
      </c>
      <c r="H807" s="38">
        <v>4056.5200000000004</v>
      </c>
      <c r="I807" s="108">
        <v>6.9819299914128219E-2</v>
      </c>
    </row>
    <row r="808" spans="1:9" x14ac:dyDescent="0.3">
      <c r="A808" s="35" t="s">
        <v>850</v>
      </c>
      <c r="B808" t="s">
        <v>810</v>
      </c>
      <c r="C808" s="106">
        <v>7</v>
      </c>
      <c r="D808" s="56">
        <v>45952</v>
      </c>
      <c r="E808" s="38">
        <v>9396</v>
      </c>
      <c r="F808" s="38">
        <v>8664.08</v>
      </c>
      <c r="G808" s="38">
        <v>731.92000000000007</v>
      </c>
      <c r="H808" s="38">
        <v>4788.4400000000005</v>
      </c>
      <c r="I808" s="108">
        <v>8.4477520983185755E-2</v>
      </c>
    </row>
    <row r="809" spans="1:9" x14ac:dyDescent="0.3">
      <c r="A809" s="35" t="s">
        <v>850</v>
      </c>
      <c r="B809" t="s">
        <v>810</v>
      </c>
      <c r="C809" s="106">
        <v>8</v>
      </c>
      <c r="E809" s="38"/>
      <c r="F809" s="38"/>
      <c r="G809" s="38">
        <v>0</v>
      </c>
      <c r="H809" s="38">
        <v>4788.4400000000005</v>
      </c>
    </row>
    <row r="810" spans="1:9" x14ac:dyDescent="0.3">
      <c r="A810" s="35" t="s">
        <v>850</v>
      </c>
      <c r="B810" t="s">
        <v>810</v>
      </c>
      <c r="C810" s="106">
        <v>9</v>
      </c>
      <c r="E810" s="38"/>
      <c r="F810" s="38"/>
      <c r="G810" s="38">
        <v>0</v>
      </c>
      <c r="H810" s="38">
        <v>4788.4400000000005</v>
      </c>
    </row>
    <row r="811" spans="1:9" x14ac:dyDescent="0.3">
      <c r="A811" s="35" t="s">
        <v>850</v>
      </c>
      <c r="B811" t="s">
        <v>810</v>
      </c>
      <c r="C811" s="106">
        <v>10</v>
      </c>
      <c r="E811" s="38"/>
      <c r="F811" s="38"/>
      <c r="G811" s="38">
        <v>0</v>
      </c>
      <c r="H811" s="38">
        <v>4788.4400000000005</v>
      </c>
    </row>
    <row r="812" spans="1:9" x14ac:dyDescent="0.3">
      <c r="A812" s="35" t="s">
        <v>850</v>
      </c>
      <c r="B812" t="s">
        <v>810</v>
      </c>
      <c r="C812" s="106">
        <v>11</v>
      </c>
      <c r="E812" s="38"/>
      <c r="F812" s="38"/>
      <c r="G812" s="38">
        <v>0</v>
      </c>
      <c r="H812" s="38">
        <v>4788.4400000000005</v>
      </c>
    </row>
    <row r="813" spans="1:9" x14ac:dyDescent="0.3">
      <c r="A813" s="35" t="s">
        <v>850</v>
      </c>
      <c r="B813" t="s">
        <v>810</v>
      </c>
      <c r="C813" s="106">
        <v>12</v>
      </c>
      <c r="E813" s="38"/>
      <c r="F813" s="38"/>
      <c r="G813" s="38">
        <v>0</v>
      </c>
      <c r="H813" s="38">
        <v>4788.4400000000005</v>
      </c>
    </row>
    <row r="814" spans="1:9" x14ac:dyDescent="0.3">
      <c r="A814" s="35" t="s">
        <v>850</v>
      </c>
      <c r="B814" t="s">
        <v>810</v>
      </c>
      <c r="C814" s="106">
        <v>13</v>
      </c>
      <c r="E814" s="38"/>
      <c r="F814" s="38"/>
      <c r="G814" s="38">
        <v>0</v>
      </c>
      <c r="H814" s="38">
        <v>4788.4400000000005</v>
      </c>
    </row>
    <row r="815" spans="1:9" x14ac:dyDescent="0.3">
      <c r="A815" s="35" t="s">
        <v>850</v>
      </c>
      <c r="B815" t="s">
        <v>810</v>
      </c>
      <c r="C815" s="106">
        <v>14</v>
      </c>
      <c r="E815" s="38"/>
      <c r="F815" s="38"/>
      <c r="G815" s="38">
        <v>0</v>
      </c>
      <c r="H815" s="38">
        <v>4788.4400000000005</v>
      </c>
    </row>
    <row r="816" spans="1:9" x14ac:dyDescent="0.3">
      <c r="A816" s="35" t="s">
        <v>850</v>
      </c>
      <c r="B816" t="s">
        <v>810</v>
      </c>
      <c r="C816" s="106">
        <v>15</v>
      </c>
      <c r="E816" s="38"/>
      <c r="F816" s="38"/>
      <c r="G816" s="38">
        <v>0</v>
      </c>
      <c r="H816" s="38">
        <v>4788.4400000000005</v>
      </c>
    </row>
    <row r="817" spans="1:9" ht="15" thickBot="1" x14ac:dyDescent="0.35">
      <c r="A817" s="109" t="s">
        <v>850</v>
      </c>
      <c r="B817" s="110" t="s">
        <v>810</v>
      </c>
      <c r="C817" s="114">
        <v>16</v>
      </c>
      <c r="D817" s="110"/>
      <c r="E817" s="115"/>
      <c r="F817" s="115"/>
      <c r="G817" s="115">
        <v>0</v>
      </c>
      <c r="H817" s="115">
        <v>4788.4400000000005</v>
      </c>
      <c r="I817" s="110"/>
    </row>
    <row r="818" spans="1:9" x14ac:dyDescent="0.3">
      <c r="A818" s="35" t="s">
        <v>1100</v>
      </c>
      <c r="B818" t="s">
        <v>815</v>
      </c>
      <c r="C818" s="106">
        <v>1</v>
      </c>
      <c r="D818" s="56">
        <v>45910</v>
      </c>
      <c r="E818" s="38">
        <v>11492</v>
      </c>
      <c r="F818" s="38">
        <v>10944</v>
      </c>
      <c r="G818" s="38">
        <v>548</v>
      </c>
      <c r="H818" s="38">
        <v>548</v>
      </c>
      <c r="I818" s="108">
        <v>5.0073099415204679E-2</v>
      </c>
    </row>
    <row r="819" spans="1:9" x14ac:dyDescent="0.3">
      <c r="A819" s="35" t="s">
        <v>1100</v>
      </c>
      <c r="B819" t="s">
        <v>815</v>
      </c>
      <c r="C819" s="106">
        <v>2</v>
      </c>
      <c r="D819" s="56">
        <v>45917</v>
      </c>
      <c r="E819" s="38">
        <v>11492</v>
      </c>
      <c r="F819" s="38">
        <v>10944</v>
      </c>
      <c r="G819" s="38">
        <v>548</v>
      </c>
      <c r="H819" s="38">
        <v>1096</v>
      </c>
      <c r="I819" s="108">
        <v>5.0073099415204679E-2</v>
      </c>
    </row>
    <row r="820" spans="1:9" x14ac:dyDescent="0.3">
      <c r="A820" s="35" t="s">
        <v>1100</v>
      </c>
      <c r="B820" t="s">
        <v>815</v>
      </c>
      <c r="C820" s="106">
        <v>3</v>
      </c>
      <c r="D820" s="56">
        <v>45924</v>
      </c>
      <c r="E820" s="38">
        <v>11492</v>
      </c>
      <c r="F820" s="38">
        <v>10944</v>
      </c>
      <c r="G820" s="38">
        <v>548</v>
      </c>
      <c r="H820" s="38">
        <v>1644</v>
      </c>
      <c r="I820" s="108">
        <v>5.0073099415204679E-2</v>
      </c>
    </row>
    <row r="821" spans="1:9" x14ac:dyDescent="0.3">
      <c r="A821" s="35" t="s">
        <v>1100</v>
      </c>
      <c r="B821" t="s">
        <v>815</v>
      </c>
      <c r="C821" s="106">
        <v>4</v>
      </c>
      <c r="D821" s="56">
        <v>45931</v>
      </c>
      <c r="E821" s="38">
        <v>11492</v>
      </c>
      <c r="F821" s="38">
        <v>10944</v>
      </c>
      <c r="G821" s="38">
        <v>548</v>
      </c>
      <c r="H821" s="38">
        <v>2192</v>
      </c>
      <c r="I821" s="108">
        <v>5.0073099415204679E-2</v>
      </c>
    </row>
    <row r="822" spans="1:9" x14ac:dyDescent="0.3">
      <c r="A822" s="35" t="s">
        <v>1100</v>
      </c>
      <c r="B822" t="s">
        <v>815</v>
      </c>
      <c r="C822" s="106">
        <v>5</v>
      </c>
      <c r="D822" s="56">
        <v>45938</v>
      </c>
      <c r="E822" s="38">
        <v>11492</v>
      </c>
      <c r="F822" s="38">
        <v>10944</v>
      </c>
      <c r="G822" s="38">
        <v>548</v>
      </c>
      <c r="H822" s="38">
        <v>2740</v>
      </c>
      <c r="I822" s="108">
        <v>5.0073099415204679E-2</v>
      </c>
    </row>
    <row r="823" spans="1:9" x14ac:dyDescent="0.3">
      <c r="A823" s="35" t="s">
        <v>1100</v>
      </c>
      <c r="B823" t="s">
        <v>815</v>
      </c>
      <c r="C823" s="106">
        <v>6</v>
      </c>
      <c r="D823" s="56">
        <v>45945</v>
      </c>
      <c r="E823" s="38">
        <v>11492</v>
      </c>
      <c r="F823" s="38">
        <v>10944</v>
      </c>
      <c r="G823" s="38">
        <v>548</v>
      </c>
      <c r="H823" s="38">
        <v>3288</v>
      </c>
      <c r="I823" s="108">
        <v>5.0073099415204679E-2</v>
      </c>
    </row>
    <row r="824" spans="1:9" x14ac:dyDescent="0.3">
      <c r="A824" s="35" t="s">
        <v>1100</v>
      </c>
      <c r="B824" t="s">
        <v>815</v>
      </c>
      <c r="C824" s="106">
        <v>7</v>
      </c>
      <c r="D824" s="56">
        <v>45952</v>
      </c>
      <c r="E824" s="38">
        <v>11492</v>
      </c>
      <c r="F824" s="38">
        <v>10944</v>
      </c>
      <c r="G824" s="38">
        <v>548</v>
      </c>
      <c r="H824" s="38">
        <v>3836</v>
      </c>
      <c r="I824" s="108">
        <v>5.0073099415204679E-2</v>
      </c>
    </row>
    <row r="825" spans="1:9" x14ac:dyDescent="0.3">
      <c r="A825" s="35" t="s">
        <v>1100</v>
      </c>
      <c r="B825" t="s">
        <v>815</v>
      </c>
      <c r="C825" s="106">
        <v>8</v>
      </c>
      <c r="D825" s="56">
        <v>45959</v>
      </c>
      <c r="E825" s="38">
        <v>11492</v>
      </c>
      <c r="F825" s="38">
        <v>10945</v>
      </c>
      <c r="G825" s="38">
        <v>547</v>
      </c>
      <c r="H825" s="38">
        <v>4383</v>
      </c>
      <c r="I825" s="108">
        <v>4.9977158519872091E-2</v>
      </c>
    </row>
    <row r="826" spans="1:9" x14ac:dyDescent="0.3">
      <c r="A826" s="35" t="s">
        <v>1100</v>
      </c>
      <c r="B826" t="s">
        <v>815</v>
      </c>
      <c r="C826" s="106">
        <v>9</v>
      </c>
      <c r="E826" s="38"/>
      <c r="F826" s="38"/>
      <c r="G826" s="38">
        <v>0</v>
      </c>
      <c r="H826" s="38">
        <v>4383</v>
      </c>
      <c r="I826" s="108" t="e">
        <v>#DIV/0!</v>
      </c>
    </row>
    <row r="827" spans="1:9" x14ac:dyDescent="0.3">
      <c r="A827" s="35" t="s">
        <v>1100</v>
      </c>
      <c r="B827" t="s">
        <v>815</v>
      </c>
      <c r="C827" s="106">
        <v>10</v>
      </c>
      <c r="E827" s="38"/>
      <c r="F827" s="38"/>
      <c r="G827" s="38">
        <v>0</v>
      </c>
      <c r="H827" s="38">
        <v>4383</v>
      </c>
      <c r="I827" s="108" t="e">
        <v>#DIV/0!</v>
      </c>
    </row>
    <row r="828" spans="1:9" x14ac:dyDescent="0.3">
      <c r="A828" s="35" t="s">
        <v>1100</v>
      </c>
      <c r="B828" t="s">
        <v>815</v>
      </c>
      <c r="C828" s="106">
        <v>11</v>
      </c>
      <c r="E828" s="38"/>
      <c r="F828" s="38"/>
      <c r="G828" s="38">
        <v>0</v>
      </c>
      <c r="H828" s="38">
        <v>4383</v>
      </c>
      <c r="I828" s="108" t="e">
        <v>#DIV/0!</v>
      </c>
    </row>
    <row r="829" spans="1:9" x14ac:dyDescent="0.3">
      <c r="A829" s="35" t="s">
        <v>1100</v>
      </c>
      <c r="B829" t="s">
        <v>815</v>
      </c>
      <c r="C829" s="106">
        <v>12</v>
      </c>
      <c r="E829" s="38"/>
      <c r="F829" s="38"/>
      <c r="G829" s="38">
        <v>0</v>
      </c>
      <c r="H829" s="38">
        <v>4383</v>
      </c>
      <c r="I829" s="108" t="e">
        <v>#DIV/0!</v>
      </c>
    </row>
    <row r="830" spans="1:9" x14ac:dyDescent="0.3">
      <c r="A830" s="35" t="s">
        <v>1100</v>
      </c>
      <c r="B830" t="s">
        <v>815</v>
      </c>
      <c r="C830" s="106">
        <v>13</v>
      </c>
      <c r="E830" s="38"/>
      <c r="F830" s="38"/>
      <c r="G830" s="38">
        <v>0</v>
      </c>
      <c r="H830" s="38">
        <v>4383</v>
      </c>
      <c r="I830" s="108" t="e">
        <v>#DIV/0!</v>
      </c>
    </row>
    <row r="831" spans="1:9" x14ac:dyDescent="0.3">
      <c r="A831" s="35" t="s">
        <v>1100</v>
      </c>
      <c r="B831" t="s">
        <v>815</v>
      </c>
      <c r="C831" s="106">
        <v>14</v>
      </c>
      <c r="E831" s="38"/>
      <c r="F831" s="38"/>
      <c r="G831" s="38">
        <v>0</v>
      </c>
      <c r="H831" s="38">
        <v>4383</v>
      </c>
      <c r="I831" s="108" t="e">
        <v>#DIV/0!</v>
      </c>
    </row>
    <row r="832" spans="1:9" x14ac:dyDescent="0.3">
      <c r="A832" s="35" t="s">
        <v>1100</v>
      </c>
      <c r="B832" t="s">
        <v>815</v>
      </c>
      <c r="C832" s="106">
        <v>15</v>
      </c>
      <c r="E832" s="38"/>
      <c r="F832" s="38"/>
      <c r="G832" s="38">
        <v>0</v>
      </c>
      <c r="H832" s="38">
        <v>4383</v>
      </c>
      <c r="I832" s="108" t="e">
        <v>#DIV/0!</v>
      </c>
    </row>
    <row r="833" spans="1:9" ht="15" thickBot="1" x14ac:dyDescent="0.35">
      <c r="A833" s="109" t="s">
        <v>1100</v>
      </c>
      <c r="B833" s="110" t="s">
        <v>815</v>
      </c>
      <c r="C833" s="114">
        <v>16</v>
      </c>
      <c r="D833" s="110"/>
      <c r="E833" s="115"/>
      <c r="F833" s="115"/>
      <c r="G833" s="115">
        <v>0</v>
      </c>
      <c r="H833" s="115">
        <v>4383</v>
      </c>
      <c r="I833" s="110"/>
    </row>
    <row r="834" spans="1:9" x14ac:dyDescent="0.3">
      <c r="A834" s="35" t="s">
        <v>848</v>
      </c>
      <c r="B834" t="s">
        <v>829</v>
      </c>
      <c r="C834" s="106">
        <v>1</v>
      </c>
      <c r="D834" s="56">
        <v>45911</v>
      </c>
      <c r="E834" s="38">
        <v>4242</v>
      </c>
      <c r="F834" s="38">
        <v>3800</v>
      </c>
      <c r="G834" s="38">
        <v>442</v>
      </c>
      <c r="H834" s="38">
        <v>442</v>
      </c>
      <c r="I834" s="108">
        <v>0.11631578947368421</v>
      </c>
    </row>
    <row r="835" spans="1:9" x14ac:dyDescent="0.3">
      <c r="A835" s="35" t="s">
        <v>848</v>
      </c>
      <c r="B835" t="s">
        <v>829</v>
      </c>
      <c r="C835" s="106">
        <v>2</v>
      </c>
      <c r="D835" s="56">
        <v>45918</v>
      </c>
      <c r="E835" s="38">
        <v>4170</v>
      </c>
      <c r="F835" s="38">
        <v>3800</v>
      </c>
      <c r="G835" s="38">
        <v>370</v>
      </c>
      <c r="H835" s="38">
        <v>812</v>
      </c>
      <c r="I835" s="108">
        <v>9.7368421052631576E-2</v>
      </c>
    </row>
    <row r="836" spans="1:9" x14ac:dyDescent="0.3">
      <c r="A836" s="35" t="s">
        <v>848</v>
      </c>
      <c r="B836" t="s">
        <v>829</v>
      </c>
      <c r="C836" s="106">
        <v>3</v>
      </c>
      <c r="D836" s="56">
        <v>45925</v>
      </c>
      <c r="E836" s="38">
        <v>4242</v>
      </c>
      <c r="F836" s="38">
        <v>3800</v>
      </c>
      <c r="G836" s="38">
        <v>442</v>
      </c>
      <c r="H836" s="38">
        <v>1254</v>
      </c>
      <c r="I836" s="108">
        <v>0.11631578947368421</v>
      </c>
    </row>
    <row r="837" spans="1:9" x14ac:dyDescent="0.3">
      <c r="A837" s="35" t="s">
        <v>848</v>
      </c>
      <c r="B837" t="s">
        <v>829</v>
      </c>
      <c r="C837" s="106">
        <v>4</v>
      </c>
      <c r="D837" s="56">
        <v>45932</v>
      </c>
      <c r="E837" s="38">
        <v>4242</v>
      </c>
      <c r="F837" s="38">
        <v>3801.02</v>
      </c>
      <c r="G837" s="38">
        <v>440.98</v>
      </c>
      <c r="H837" s="38">
        <v>1694.98</v>
      </c>
      <c r="I837" s="108">
        <v>0.11601622722321904</v>
      </c>
    </row>
    <row r="838" spans="1:9" x14ac:dyDescent="0.3">
      <c r="A838" s="35" t="s">
        <v>848</v>
      </c>
      <c r="B838" t="s">
        <v>829</v>
      </c>
      <c r="C838" s="106">
        <v>5</v>
      </c>
      <c r="D838" s="56">
        <v>45939</v>
      </c>
      <c r="E838" s="38">
        <v>4167</v>
      </c>
      <c r="F838" s="38">
        <v>3801</v>
      </c>
      <c r="G838" s="38">
        <v>366</v>
      </c>
      <c r="H838" s="38">
        <v>2060.98</v>
      </c>
      <c r="I838" s="108">
        <v>9.6290449881610105E-2</v>
      </c>
    </row>
    <row r="839" spans="1:9" x14ac:dyDescent="0.3">
      <c r="A839" s="35" t="s">
        <v>848</v>
      </c>
      <c r="B839" t="s">
        <v>829</v>
      </c>
      <c r="C839" s="106">
        <v>6</v>
      </c>
      <c r="D839" s="56">
        <v>45946</v>
      </c>
      <c r="E839" s="38">
        <v>4242</v>
      </c>
      <c r="F839" s="38">
        <v>3801</v>
      </c>
      <c r="G839" s="38">
        <v>441</v>
      </c>
      <c r="H839" s="38">
        <v>2501.98</v>
      </c>
      <c r="I839" s="108">
        <v>0.11602209944751381</v>
      </c>
    </row>
    <row r="840" spans="1:9" x14ac:dyDescent="0.3">
      <c r="A840" s="35" t="s">
        <v>848</v>
      </c>
      <c r="B840" t="s">
        <v>829</v>
      </c>
      <c r="C840" s="106">
        <v>7</v>
      </c>
      <c r="D840" s="56">
        <v>45953</v>
      </c>
      <c r="E840" s="38">
        <v>4242</v>
      </c>
      <c r="F840" s="38">
        <v>3801</v>
      </c>
      <c r="G840" s="38">
        <v>441</v>
      </c>
      <c r="H840" s="38">
        <v>2942.98</v>
      </c>
      <c r="I840" s="108">
        <v>0.11602209944751381</v>
      </c>
    </row>
    <row r="841" spans="1:9" x14ac:dyDescent="0.3">
      <c r="A841" s="35" t="s">
        <v>848</v>
      </c>
      <c r="B841" t="s">
        <v>829</v>
      </c>
      <c r="C841" s="106">
        <v>8</v>
      </c>
      <c r="D841" s="56">
        <v>45960</v>
      </c>
      <c r="E841" s="38">
        <v>4167</v>
      </c>
      <c r="F841" s="38">
        <v>3801</v>
      </c>
      <c r="G841" s="38">
        <v>366</v>
      </c>
      <c r="H841" s="38">
        <v>3308.98</v>
      </c>
      <c r="I841" s="108">
        <v>9.6290449881610105E-2</v>
      </c>
    </row>
    <row r="842" spans="1:9" x14ac:dyDescent="0.3">
      <c r="A842" s="35" t="s">
        <v>848</v>
      </c>
      <c r="B842" t="s">
        <v>829</v>
      </c>
      <c r="C842" s="106">
        <v>9</v>
      </c>
      <c r="E842" s="38"/>
      <c r="F842" s="38"/>
      <c r="G842" s="38">
        <v>0</v>
      </c>
      <c r="H842" s="38">
        <v>3308.98</v>
      </c>
      <c r="I842" s="108" t="e">
        <v>#DIV/0!</v>
      </c>
    </row>
    <row r="843" spans="1:9" x14ac:dyDescent="0.3">
      <c r="A843" s="35" t="s">
        <v>848</v>
      </c>
      <c r="B843" t="s">
        <v>829</v>
      </c>
      <c r="C843" s="106">
        <v>10</v>
      </c>
      <c r="E843" s="38"/>
      <c r="F843" s="38"/>
      <c r="G843" s="38">
        <v>0</v>
      </c>
      <c r="H843" s="38">
        <v>3308.98</v>
      </c>
    </row>
    <row r="844" spans="1:9" x14ac:dyDescent="0.3">
      <c r="A844" s="35" t="s">
        <v>848</v>
      </c>
      <c r="B844" t="s">
        <v>829</v>
      </c>
      <c r="C844" s="106">
        <v>11</v>
      </c>
      <c r="E844" s="38"/>
      <c r="F844" s="38"/>
      <c r="G844" s="38">
        <v>0</v>
      </c>
      <c r="H844" s="38">
        <v>3308.98</v>
      </c>
    </row>
    <row r="845" spans="1:9" x14ac:dyDescent="0.3">
      <c r="A845" s="35" t="s">
        <v>848</v>
      </c>
      <c r="B845" t="s">
        <v>829</v>
      </c>
      <c r="C845" s="106">
        <v>12</v>
      </c>
      <c r="E845" s="38"/>
      <c r="F845" s="38"/>
      <c r="G845" s="38">
        <v>0</v>
      </c>
      <c r="H845" s="38">
        <v>3308.98</v>
      </c>
    </row>
    <row r="846" spans="1:9" x14ac:dyDescent="0.3">
      <c r="A846" s="35" t="s">
        <v>848</v>
      </c>
      <c r="B846" t="s">
        <v>829</v>
      </c>
      <c r="C846" s="106">
        <v>13</v>
      </c>
      <c r="E846" s="38"/>
      <c r="F846" s="38"/>
      <c r="G846" s="38">
        <v>0</v>
      </c>
      <c r="H846" s="38">
        <v>3308.98</v>
      </c>
    </row>
    <row r="847" spans="1:9" x14ac:dyDescent="0.3">
      <c r="A847" s="35" t="s">
        <v>848</v>
      </c>
      <c r="B847" t="s">
        <v>829</v>
      </c>
      <c r="C847" s="106">
        <v>14</v>
      </c>
      <c r="E847" s="38"/>
      <c r="F847" s="38"/>
      <c r="G847" s="38">
        <v>0</v>
      </c>
      <c r="H847" s="38">
        <v>3308.98</v>
      </c>
    </row>
    <row r="848" spans="1:9" x14ac:dyDescent="0.3">
      <c r="A848" s="35" t="s">
        <v>848</v>
      </c>
      <c r="B848" t="s">
        <v>829</v>
      </c>
      <c r="C848" s="106">
        <v>15</v>
      </c>
      <c r="E848" s="38"/>
      <c r="F848" s="38"/>
      <c r="G848" s="38">
        <v>0</v>
      </c>
      <c r="H848" s="38">
        <v>3308.98</v>
      </c>
    </row>
    <row r="849" spans="1:9" ht="15" thickBot="1" x14ac:dyDescent="0.35">
      <c r="A849" s="109" t="s">
        <v>848</v>
      </c>
      <c r="B849" s="110" t="s">
        <v>829</v>
      </c>
      <c r="C849" s="114">
        <v>16</v>
      </c>
      <c r="D849" s="110"/>
      <c r="E849" s="115"/>
      <c r="F849" s="115"/>
      <c r="G849" s="115">
        <v>0</v>
      </c>
      <c r="H849" s="115">
        <v>3308.98</v>
      </c>
      <c r="I849" s="110"/>
    </row>
    <row r="850" spans="1:9" x14ac:dyDescent="0.3">
      <c r="A850" s="35" t="s">
        <v>852</v>
      </c>
      <c r="B850" t="s">
        <v>830</v>
      </c>
      <c r="C850" s="106">
        <v>1</v>
      </c>
      <c r="D850" s="56">
        <v>45913</v>
      </c>
      <c r="E850" s="38">
        <v>6784</v>
      </c>
      <c r="F850" s="38">
        <v>6460</v>
      </c>
      <c r="G850" s="38">
        <v>324</v>
      </c>
      <c r="H850" s="38">
        <v>324</v>
      </c>
      <c r="I850" s="108">
        <v>5.0154798761609908E-2</v>
      </c>
    </row>
    <row r="851" spans="1:9" x14ac:dyDescent="0.3">
      <c r="A851" s="35" t="s">
        <v>852</v>
      </c>
      <c r="B851" t="s">
        <v>830</v>
      </c>
      <c r="C851" s="106">
        <v>2</v>
      </c>
      <c r="D851" s="56">
        <v>45920</v>
      </c>
      <c r="E851" s="38">
        <v>6784</v>
      </c>
      <c r="F851" s="38">
        <v>6460</v>
      </c>
      <c r="G851" s="38">
        <v>324</v>
      </c>
      <c r="H851" s="38">
        <v>648</v>
      </c>
      <c r="I851" s="108">
        <v>5.0154798761609908E-2</v>
      </c>
    </row>
    <row r="852" spans="1:9" x14ac:dyDescent="0.3">
      <c r="A852" s="35" t="s">
        <v>852</v>
      </c>
      <c r="B852" t="s">
        <v>830</v>
      </c>
      <c r="C852" s="106">
        <v>3</v>
      </c>
      <c r="D852" s="56">
        <v>45927</v>
      </c>
      <c r="E852" s="38">
        <v>6800</v>
      </c>
      <c r="F852" s="38">
        <v>6460</v>
      </c>
      <c r="G852" s="38">
        <v>340</v>
      </c>
      <c r="H852" s="38">
        <v>988</v>
      </c>
      <c r="I852" s="108">
        <v>5.2631578947368418E-2</v>
      </c>
    </row>
    <row r="853" spans="1:9" x14ac:dyDescent="0.3">
      <c r="A853" s="35" t="s">
        <v>852</v>
      </c>
      <c r="B853" t="s">
        <v>830</v>
      </c>
      <c r="C853" s="106">
        <v>4</v>
      </c>
      <c r="D853" s="56">
        <v>45934</v>
      </c>
      <c r="E853" s="38">
        <v>6800</v>
      </c>
      <c r="F853" s="38">
        <v>6460</v>
      </c>
      <c r="G853" s="38">
        <v>340</v>
      </c>
      <c r="H853" s="38">
        <v>1328</v>
      </c>
      <c r="I853" s="108">
        <v>5.2631578947368418E-2</v>
      </c>
    </row>
    <row r="854" spans="1:9" x14ac:dyDescent="0.3">
      <c r="A854" s="35" t="s">
        <v>852</v>
      </c>
      <c r="B854" t="s">
        <v>830</v>
      </c>
      <c r="C854" s="106">
        <v>5</v>
      </c>
      <c r="D854" s="56">
        <v>45941</v>
      </c>
      <c r="E854" s="38">
        <v>6800</v>
      </c>
      <c r="F854" s="38">
        <v>6460</v>
      </c>
      <c r="G854" s="38">
        <v>340</v>
      </c>
      <c r="H854" s="38">
        <v>1668</v>
      </c>
      <c r="I854" s="108">
        <v>5.2631578947368418E-2</v>
      </c>
    </row>
    <row r="855" spans="1:9" x14ac:dyDescent="0.3">
      <c r="A855" s="35" t="s">
        <v>852</v>
      </c>
      <c r="B855" t="s">
        <v>830</v>
      </c>
      <c r="C855" s="106">
        <v>6</v>
      </c>
      <c r="D855" s="56">
        <v>45948</v>
      </c>
      <c r="E855" s="38">
        <v>6800</v>
      </c>
      <c r="F855" s="38">
        <v>6460</v>
      </c>
      <c r="G855" s="38">
        <v>340</v>
      </c>
      <c r="H855" s="38">
        <v>2008</v>
      </c>
      <c r="I855" s="108">
        <v>5.2631578947368418E-2</v>
      </c>
    </row>
    <row r="856" spans="1:9" x14ac:dyDescent="0.3">
      <c r="A856" s="35" t="s">
        <v>852</v>
      </c>
      <c r="B856" t="s">
        <v>830</v>
      </c>
      <c r="C856" s="106">
        <v>7</v>
      </c>
      <c r="D856" s="56">
        <v>45955</v>
      </c>
      <c r="E856" s="38">
        <v>6791</v>
      </c>
      <c r="F856" s="38">
        <v>6460</v>
      </c>
      <c r="G856" s="38">
        <v>331</v>
      </c>
      <c r="H856" s="38">
        <v>2339</v>
      </c>
      <c r="I856" s="108">
        <v>5.1238390092879255E-2</v>
      </c>
    </row>
    <row r="857" spans="1:9" x14ac:dyDescent="0.3">
      <c r="A857" s="35" t="s">
        <v>852</v>
      </c>
      <c r="B857" t="s">
        <v>830</v>
      </c>
      <c r="C857" s="106">
        <v>8</v>
      </c>
      <c r="E857" s="38"/>
      <c r="F857" s="38"/>
      <c r="G857" s="38">
        <v>0</v>
      </c>
      <c r="H857" s="38">
        <v>2339</v>
      </c>
      <c r="I857" s="108" t="e">
        <v>#DIV/0!</v>
      </c>
    </row>
    <row r="858" spans="1:9" x14ac:dyDescent="0.3">
      <c r="A858" s="35" t="s">
        <v>852</v>
      </c>
      <c r="B858" t="s">
        <v>830</v>
      </c>
      <c r="C858" s="106">
        <v>9</v>
      </c>
      <c r="E858" s="38"/>
      <c r="F858" s="38"/>
      <c r="G858" s="38">
        <v>0</v>
      </c>
      <c r="H858" s="38">
        <v>2339</v>
      </c>
    </row>
    <row r="859" spans="1:9" x14ac:dyDescent="0.3">
      <c r="A859" s="35" t="s">
        <v>852</v>
      </c>
      <c r="B859" t="s">
        <v>830</v>
      </c>
      <c r="C859" s="106">
        <v>10</v>
      </c>
      <c r="E859" s="38"/>
      <c r="F859" s="38"/>
      <c r="G859" s="38">
        <v>0</v>
      </c>
      <c r="H859" s="38">
        <v>2339</v>
      </c>
    </row>
    <row r="860" spans="1:9" x14ac:dyDescent="0.3">
      <c r="A860" s="35" t="s">
        <v>852</v>
      </c>
      <c r="B860" t="s">
        <v>830</v>
      </c>
      <c r="C860" s="106">
        <v>11</v>
      </c>
      <c r="E860" s="38"/>
      <c r="F860" s="38"/>
      <c r="G860" s="38">
        <v>0</v>
      </c>
      <c r="H860" s="38">
        <v>2339</v>
      </c>
    </row>
    <row r="861" spans="1:9" x14ac:dyDescent="0.3">
      <c r="A861" s="35" t="s">
        <v>852</v>
      </c>
      <c r="B861" t="s">
        <v>830</v>
      </c>
      <c r="C861" s="106">
        <v>12</v>
      </c>
      <c r="E861" s="38"/>
      <c r="F861" s="38"/>
      <c r="G861" s="38">
        <v>0</v>
      </c>
      <c r="H861" s="38">
        <v>2339</v>
      </c>
    </row>
    <row r="862" spans="1:9" x14ac:dyDescent="0.3">
      <c r="A862" s="35" t="s">
        <v>852</v>
      </c>
      <c r="B862" t="s">
        <v>830</v>
      </c>
      <c r="C862" s="106">
        <v>13</v>
      </c>
      <c r="E862" s="38"/>
      <c r="F862" s="38"/>
      <c r="G862" s="38">
        <v>0</v>
      </c>
      <c r="H862" s="38">
        <v>2339</v>
      </c>
    </row>
    <row r="863" spans="1:9" x14ac:dyDescent="0.3">
      <c r="A863" s="35" t="s">
        <v>852</v>
      </c>
      <c r="B863" t="s">
        <v>830</v>
      </c>
      <c r="C863" s="106">
        <v>14</v>
      </c>
      <c r="E863" s="38"/>
      <c r="F863" s="38"/>
      <c r="G863" s="38">
        <v>0</v>
      </c>
      <c r="H863" s="38">
        <v>2339</v>
      </c>
    </row>
    <row r="864" spans="1:9" x14ac:dyDescent="0.3">
      <c r="A864" s="35" t="s">
        <v>852</v>
      </c>
      <c r="B864" t="s">
        <v>830</v>
      </c>
      <c r="C864" s="106">
        <v>15</v>
      </c>
      <c r="E864" s="38"/>
      <c r="F864" s="38"/>
      <c r="G864" s="38">
        <v>0</v>
      </c>
      <c r="H864" s="38">
        <v>2339</v>
      </c>
    </row>
    <row r="865" spans="1:9" ht="15" thickBot="1" x14ac:dyDescent="0.35">
      <c r="A865" s="109" t="s">
        <v>852</v>
      </c>
      <c r="B865" s="110" t="s">
        <v>830</v>
      </c>
      <c r="C865" s="114">
        <v>16</v>
      </c>
      <c r="D865" s="110"/>
      <c r="E865" s="115"/>
      <c r="F865" s="115"/>
      <c r="G865" s="115">
        <v>0</v>
      </c>
      <c r="H865" s="115">
        <v>2339</v>
      </c>
      <c r="I865" s="110"/>
    </row>
    <row r="866" spans="1:9" x14ac:dyDescent="0.3">
      <c r="A866" s="35" t="s">
        <v>148</v>
      </c>
      <c r="B866" t="s">
        <v>831</v>
      </c>
      <c r="C866" s="106">
        <v>1</v>
      </c>
      <c r="D866" s="56">
        <v>45911</v>
      </c>
      <c r="E866" s="38">
        <v>6868</v>
      </c>
      <c r="F866" s="38">
        <v>6465</v>
      </c>
      <c r="G866" s="38">
        <v>403</v>
      </c>
      <c r="H866" s="38">
        <v>403</v>
      </c>
      <c r="I866" s="108">
        <v>6.2335653518948181E-2</v>
      </c>
    </row>
    <row r="867" spans="1:9" x14ac:dyDescent="0.3">
      <c r="A867" s="35" t="s">
        <v>148</v>
      </c>
      <c r="B867" t="s">
        <v>831</v>
      </c>
      <c r="C867" s="106">
        <v>2</v>
      </c>
      <c r="D867" s="56">
        <v>45918</v>
      </c>
      <c r="E867" s="38">
        <v>6868</v>
      </c>
      <c r="F867" s="38">
        <v>6465</v>
      </c>
      <c r="G867" s="38">
        <v>403</v>
      </c>
      <c r="H867" s="38">
        <v>806</v>
      </c>
      <c r="I867" s="108">
        <v>6.2335653518948181E-2</v>
      </c>
    </row>
    <row r="868" spans="1:9" x14ac:dyDescent="0.3">
      <c r="A868" s="35" t="s">
        <v>148</v>
      </c>
      <c r="B868" t="s">
        <v>831</v>
      </c>
      <c r="C868" s="106">
        <v>3</v>
      </c>
      <c r="D868" s="56">
        <v>45925</v>
      </c>
      <c r="E868" s="38">
        <v>6816</v>
      </c>
      <c r="F868" s="38">
        <v>6465</v>
      </c>
      <c r="G868" s="38">
        <v>351</v>
      </c>
      <c r="H868" s="38">
        <v>1157</v>
      </c>
      <c r="I868" s="108">
        <v>5.4292343387471E-2</v>
      </c>
    </row>
    <row r="869" spans="1:9" x14ac:dyDescent="0.3">
      <c r="A869" s="35" t="s">
        <v>148</v>
      </c>
      <c r="B869" t="s">
        <v>831</v>
      </c>
      <c r="C869" s="106">
        <v>4</v>
      </c>
      <c r="D869" s="56">
        <v>45932</v>
      </c>
      <c r="E869" s="38">
        <v>6918</v>
      </c>
      <c r="F869" s="38">
        <v>6465</v>
      </c>
      <c r="G869" s="38">
        <v>453</v>
      </c>
      <c r="H869" s="38">
        <v>1610</v>
      </c>
      <c r="I869" s="108">
        <v>7.0069605568445478E-2</v>
      </c>
    </row>
    <row r="870" spans="1:9" x14ac:dyDescent="0.3">
      <c r="A870" s="35" t="s">
        <v>148</v>
      </c>
      <c r="B870" t="s">
        <v>831</v>
      </c>
      <c r="C870" s="106">
        <v>5</v>
      </c>
      <c r="D870" s="56">
        <v>45939</v>
      </c>
      <c r="E870" s="38">
        <v>6868</v>
      </c>
      <c r="F870" s="38">
        <v>6465</v>
      </c>
      <c r="G870" s="38">
        <v>403</v>
      </c>
      <c r="H870" s="38">
        <v>2013</v>
      </c>
      <c r="I870" s="108">
        <v>6.2335653518948181E-2</v>
      </c>
    </row>
    <row r="871" spans="1:9" x14ac:dyDescent="0.3">
      <c r="A871" s="35" t="s">
        <v>148</v>
      </c>
      <c r="B871" t="s">
        <v>831</v>
      </c>
      <c r="C871" s="106">
        <v>6</v>
      </c>
      <c r="D871" s="56">
        <v>45946</v>
      </c>
      <c r="E871" s="38">
        <v>6868</v>
      </c>
      <c r="F871" s="38">
        <v>6465</v>
      </c>
      <c r="G871" s="38">
        <v>403</v>
      </c>
      <c r="H871" s="38">
        <v>2416</v>
      </c>
      <c r="I871" s="108">
        <v>6.2335653518948181E-2</v>
      </c>
    </row>
    <row r="872" spans="1:9" x14ac:dyDescent="0.3">
      <c r="A872" s="35" t="s">
        <v>148</v>
      </c>
      <c r="B872" t="s">
        <v>831</v>
      </c>
      <c r="C872" s="106">
        <v>7</v>
      </c>
      <c r="D872" s="56">
        <v>45953</v>
      </c>
      <c r="E872" s="38">
        <v>6868</v>
      </c>
      <c r="F872" s="38">
        <v>6465</v>
      </c>
      <c r="G872" s="38">
        <v>403</v>
      </c>
      <c r="H872" s="38">
        <v>2819</v>
      </c>
      <c r="I872" s="108">
        <v>6.2335653518948181E-2</v>
      </c>
    </row>
    <row r="873" spans="1:9" x14ac:dyDescent="0.3">
      <c r="A873" s="35" t="s">
        <v>148</v>
      </c>
      <c r="B873" t="s">
        <v>831</v>
      </c>
      <c r="C873" s="106">
        <v>8</v>
      </c>
      <c r="D873" s="56">
        <v>45960</v>
      </c>
      <c r="E873" s="38">
        <v>6868</v>
      </c>
      <c r="F873" s="38">
        <v>6465</v>
      </c>
      <c r="G873" s="38">
        <v>403</v>
      </c>
      <c r="H873" s="38">
        <v>3222</v>
      </c>
      <c r="I873" s="108">
        <v>6.2335653518948181E-2</v>
      </c>
    </row>
    <row r="874" spans="1:9" x14ac:dyDescent="0.3">
      <c r="A874" s="35" t="s">
        <v>148</v>
      </c>
      <c r="B874" t="s">
        <v>831</v>
      </c>
      <c r="C874" s="106">
        <v>9</v>
      </c>
      <c r="E874" s="38"/>
      <c r="F874" s="38"/>
      <c r="G874" s="38">
        <v>0</v>
      </c>
      <c r="H874" s="38">
        <v>3222</v>
      </c>
      <c r="I874" s="108" t="e">
        <v>#DIV/0!</v>
      </c>
    </row>
    <row r="875" spans="1:9" x14ac:dyDescent="0.3">
      <c r="A875" s="35" t="s">
        <v>148</v>
      </c>
      <c r="B875" t="s">
        <v>831</v>
      </c>
      <c r="C875" s="106">
        <v>10</v>
      </c>
      <c r="E875" s="38"/>
      <c r="F875" s="38"/>
      <c r="G875" s="38">
        <v>0</v>
      </c>
      <c r="H875" s="38">
        <v>3222</v>
      </c>
      <c r="I875" s="108" t="e">
        <v>#DIV/0!</v>
      </c>
    </row>
    <row r="876" spans="1:9" x14ac:dyDescent="0.3">
      <c r="A876" s="35" t="s">
        <v>148</v>
      </c>
      <c r="B876" t="s">
        <v>831</v>
      </c>
      <c r="C876" s="106">
        <v>11</v>
      </c>
      <c r="E876" s="38"/>
      <c r="F876" s="38"/>
      <c r="G876" s="38">
        <v>0</v>
      </c>
      <c r="H876" s="38">
        <v>3222</v>
      </c>
      <c r="I876" s="108" t="e">
        <v>#DIV/0!</v>
      </c>
    </row>
    <row r="877" spans="1:9" x14ac:dyDescent="0.3">
      <c r="A877" s="35" t="s">
        <v>148</v>
      </c>
      <c r="B877" t="s">
        <v>831</v>
      </c>
      <c r="C877" s="106">
        <v>12</v>
      </c>
      <c r="E877" s="38"/>
      <c r="F877" s="38"/>
      <c r="G877" s="38">
        <v>0</v>
      </c>
      <c r="H877" s="38">
        <v>3222</v>
      </c>
      <c r="I877" s="108" t="e">
        <v>#DIV/0!</v>
      </c>
    </row>
    <row r="878" spans="1:9" x14ac:dyDescent="0.3">
      <c r="A878" s="35" t="s">
        <v>148</v>
      </c>
      <c r="B878" t="s">
        <v>831</v>
      </c>
      <c r="C878" s="106">
        <v>13</v>
      </c>
      <c r="E878" s="38"/>
      <c r="F878" s="38"/>
      <c r="G878" s="38">
        <v>0</v>
      </c>
      <c r="H878" s="38">
        <v>3222</v>
      </c>
      <c r="I878" s="108" t="e">
        <v>#DIV/0!</v>
      </c>
    </row>
    <row r="879" spans="1:9" x14ac:dyDescent="0.3">
      <c r="A879" s="35" t="s">
        <v>148</v>
      </c>
      <c r="B879" t="s">
        <v>831</v>
      </c>
      <c r="C879" s="106">
        <v>14</v>
      </c>
      <c r="E879" s="38"/>
      <c r="F879" s="38"/>
      <c r="G879" s="38">
        <v>0</v>
      </c>
      <c r="H879" s="38">
        <v>3222</v>
      </c>
      <c r="I879" s="108" t="e">
        <v>#DIV/0!</v>
      </c>
    </row>
    <row r="880" spans="1:9" x14ac:dyDescent="0.3">
      <c r="A880" s="35" t="s">
        <v>148</v>
      </c>
      <c r="B880" t="s">
        <v>831</v>
      </c>
      <c r="C880" s="106">
        <v>15</v>
      </c>
      <c r="E880" s="38"/>
      <c r="F880" s="38"/>
      <c r="G880" s="38">
        <v>0</v>
      </c>
      <c r="H880" s="38">
        <v>3222</v>
      </c>
      <c r="I880" s="108" t="e">
        <v>#DIV/0!</v>
      </c>
    </row>
    <row r="881" spans="1:9" ht="15" thickBot="1" x14ac:dyDescent="0.35">
      <c r="A881" s="109" t="s">
        <v>148</v>
      </c>
      <c r="B881" s="110" t="s">
        <v>831</v>
      </c>
      <c r="C881" s="114">
        <v>16</v>
      </c>
      <c r="D881" s="110"/>
      <c r="E881" s="115"/>
      <c r="F881" s="115"/>
      <c r="G881" s="115">
        <v>0</v>
      </c>
      <c r="H881" s="115">
        <v>3222</v>
      </c>
      <c r="I881" s="110"/>
    </row>
    <row r="882" spans="1:9" x14ac:dyDescent="0.3">
      <c r="A882" s="35" t="s">
        <v>143</v>
      </c>
      <c r="B882" t="s">
        <v>877</v>
      </c>
      <c r="C882" s="106">
        <v>1</v>
      </c>
      <c r="D882" s="56">
        <v>45915</v>
      </c>
      <c r="E882" s="38">
        <v>8859</v>
      </c>
      <c r="F882" s="38">
        <v>8436.07</v>
      </c>
      <c r="G882" s="38">
        <v>422.93000000000029</v>
      </c>
      <c r="H882" s="38">
        <v>422.93000000000029</v>
      </c>
      <c r="I882" s="108">
        <v>5.0133533742607671E-2</v>
      </c>
    </row>
    <row r="883" spans="1:9" x14ac:dyDescent="0.3">
      <c r="A883" s="35" t="s">
        <v>143</v>
      </c>
      <c r="B883" t="s">
        <v>877</v>
      </c>
      <c r="C883" s="106">
        <v>2</v>
      </c>
      <c r="D883" s="56">
        <v>45922</v>
      </c>
      <c r="E883" s="38">
        <v>8864</v>
      </c>
      <c r="F883" s="38">
        <v>8442</v>
      </c>
      <c r="G883" s="38">
        <v>422</v>
      </c>
      <c r="H883" s="38">
        <v>844.93000000000029</v>
      </c>
      <c r="I883" s="108">
        <v>4.9988154465766405E-2</v>
      </c>
    </row>
    <row r="884" spans="1:9" x14ac:dyDescent="0.3">
      <c r="A884" s="35" t="s">
        <v>143</v>
      </c>
      <c r="B884" t="s">
        <v>877</v>
      </c>
      <c r="C884" s="106">
        <v>3</v>
      </c>
      <c r="D884" s="56">
        <v>45928</v>
      </c>
      <c r="E884" s="38">
        <v>8864</v>
      </c>
      <c r="F884" s="38">
        <v>8437</v>
      </c>
      <c r="G884" s="38">
        <v>427</v>
      </c>
      <c r="H884" s="38">
        <v>1271.9300000000003</v>
      </c>
      <c r="I884" s="108">
        <v>5.0610406542609933E-2</v>
      </c>
    </row>
    <row r="885" spans="1:9" x14ac:dyDescent="0.3">
      <c r="A885" s="35" t="s">
        <v>143</v>
      </c>
      <c r="B885" t="s">
        <v>877</v>
      </c>
      <c r="C885" s="106">
        <v>4</v>
      </c>
      <c r="D885" s="56">
        <v>45936</v>
      </c>
      <c r="E885" s="38">
        <v>8864</v>
      </c>
      <c r="F885" s="38">
        <v>8437</v>
      </c>
      <c r="G885" s="38">
        <v>427</v>
      </c>
      <c r="H885" s="38">
        <v>1698.9300000000003</v>
      </c>
      <c r="I885" s="108">
        <v>5.0610406542609933E-2</v>
      </c>
    </row>
    <row r="886" spans="1:9" x14ac:dyDescent="0.3">
      <c r="A886" s="35" t="s">
        <v>143</v>
      </c>
      <c r="B886" t="s">
        <v>877</v>
      </c>
      <c r="C886" s="106">
        <v>5</v>
      </c>
      <c r="D886" s="56">
        <v>45943</v>
      </c>
      <c r="E886" s="38">
        <v>8864</v>
      </c>
      <c r="F886" s="38">
        <v>8437</v>
      </c>
      <c r="G886" s="38">
        <v>427</v>
      </c>
      <c r="H886" s="38">
        <v>2125.9300000000003</v>
      </c>
      <c r="I886" s="108">
        <v>5.0610406542609933E-2</v>
      </c>
    </row>
    <row r="887" spans="1:9" x14ac:dyDescent="0.3">
      <c r="A887" s="35" t="s">
        <v>143</v>
      </c>
      <c r="B887" t="s">
        <v>877</v>
      </c>
      <c r="C887" s="106">
        <v>6</v>
      </c>
      <c r="D887" s="56">
        <v>45950</v>
      </c>
      <c r="E887" s="38">
        <v>8858</v>
      </c>
      <c r="F887" s="38">
        <v>8442</v>
      </c>
      <c r="G887" s="38">
        <v>416</v>
      </c>
      <c r="H887" s="38">
        <v>2541.9300000000003</v>
      </c>
      <c r="I887" s="108">
        <v>4.9277422411750767E-2</v>
      </c>
    </row>
    <row r="888" spans="1:9" x14ac:dyDescent="0.3">
      <c r="A888" s="35" t="s">
        <v>143</v>
      </c>
      <c r="B888" t="s">
        <v>877</v>
      </c>
      <c r="C888" s="106">
        <v>7</v>
      </c>
      <c r="D888" s="56">
        <v>45957</v>
      </c>
      <c r="E888" s="38">
        <v>8864</v>
      </c>
      <c r="F888" s="38">
        <v>8442</v>
      </c>
      <c r="G888" s="38">
        <v>422</v>
      </c>
      <c r="H888" s="38">
        <v>2963.9300000000003</v>
      </c>
      <c r="I888" s="108">
        <v>4.9988154465766405E-2</v>
      </c>
    </row>
    <row r="889" spans="1:9" x14ac:dyDescent="0.3">
      <c r="A889" s="35" t="s">
        <v>143</v>
      </c>
      <c r="B889" t="s">
        <v>877</v>
      </c>
      <c r="C889" s="106">
        <v>8</v>
      </c>
      <c r="E889" s="38"/>
      <c r="F889" s="38"/>
      <c r="G889" s="38">
        <v>0</v>
      </c>
      <c r="H889" s="38">
        <v>2963.9300000000003</v>
      </c>
    </row>
    <row r="890" spans="1:9" x14ac:dyDescent="0.3">
      <c r="A890" s="35" t="s">
        <v>143</v>
      </c>
      <c r="B890" t="s">
        <v>877</v>
      </c>
      <c r="C890" s="106">
        <v>9</v>
      </c>
      <c r="E890" s="38"/>
      <c r="F890" s="38"/>
      <c r="G890" s="38">
        <v>0</v>
      </c>
      <c r="H890" s="38">
        <v>2963.9300000000003</v>
      </c>
    </row>
    <row r="891" spans="1:9" x14ac:dyDescent="0.3">
      <c r="A891" s="35" t="s">
        <v>143</v>
      </c>
      <c r="B891" t="s">
        <v>877</v>
      </c>
      <c r="C891" s="106">
        <v>10</v>
      </c>
      <c r="E891" s="38"/>
      <c r="F891" s="38"/>
      <c r="G891" s="38">
        <v>0</v>
      </c>
      <c r="H891" s="38">
        <v>2963.9300000000003</v>
      </c>
    </row>
    <row r="892" spans="1:9" x14ac:dyDescent="0.3">
      <c r="A892" s="35" t="s">
        <v>143</v>
      </c>
      <c r="B892" t="s">
        <v>877</v>
      </c>
      <c r="C892" s="106">
        <v>11</v>
      </c>
      <c r="E892" s="38"/>
      <c r="F892" s="38"/>
      <c r="G892" s="38">
        <v>0</v>
      </c>
      <c r="H892" s="38">
        <v>2963.9300000000003</v>
      </c>
    </row>
    <row r="893" spans="1:9" x14ac:dyDescent="0.3">
      <c r="A893" s="35" t="s">
        <v>143</v>
      </c>
      <c r="B893" t="s">
        <v>877</v>
      </c>
      <c r="C893" s="106">
        <v>12</v>
      </c>
      <c r="E893" s="38"/>
      <c r="F893" s="38"/>
      <c r="G893" s="38">
        <v>0</v>
      </c>
      <c r="H893" s="38">
        <v>2963.9300000000003</v>
      </c>
    </row>
    <row r="894" spans="1:9" x14ac:dyDescent="0.3">
      <c r="A894" s="35" t="s">
        <v>143</v>
      </c>
      <c r="B894" t="s">
        <v>877</v>
      </c>
      <c r="C894" s="106">
        <v>13</v>
      </c>
      <c r="E894" s="38"/>
      <c r="F894" s="38"/>
      <c r="G894" s="38">
        <v>0</v>
      </c>
      <c r="H894" s="38">
        <v>2963.9300000000003</v>
      </c>
    </row>
    <row r="895" spans="1:9" x14ac:dyDescent="0.3">
      <c r="A895" s="35" t="s">
        <v>143</v>
      </c>
      <c r="B895" t="s">
        <v>877</v>
      </c>
      <c r="C895" s="106">
        <v>14</v>
      </c>
      <c r="E895" s="38"/>
      <c r="F895" s="38"/>
      <c r="G895" s="38">
        <v>0</v>
      </c>
      <c r="H895" s="38">
        <v>2963.9300000000003</v>
      </c>
    </row>
    <row r="896" spans="1:9" x14ac:dyDescent="0.3">
      <c r="A896" s="35" t="s">
        <v>143</v>
      </c>
      <c r="B896" t="s">
        <v>877</v>
      </c>
      <c r="C896" s="106">
        <v>15</v>
      </c>
      <c r="E896" s="38"/>
      <c r="F896" s="38"/>
      <c r="G896" s="38">
        <v>0</v>
      </c>
      <c r="H896" s="38">
        <v>2963.9300000000003</v>
      </c>
    </row>
    <row r="897" spans="1:9" ht="15" thickBot="1" x14ac:dyDescent="0.35">
      <c r="A897" s="109" t="s">
        <v>143</v>
      </c>
      <c r="B897" s="110" t="s">
        <v>877</v>
      </c>
      <c r="C897" s="114">
        <v>16</v>
      </c>
      <c r="D897" s="110"/>
      <c r="E897" s="115"/>
      <c r="F897" s="115"/>
      <c r="G897" s="115">
        <v>0</v>
      </c>
      <c r="H897" s="115">
        <v>2963.9300000000003</v>
      </c>
      <c r="I897" s="110"/>
    </row>
    <row r="898" spans="1:9" x14ac:dyDescent="0.3">
      <c r="A898" s="35" t="s">
        <v>154</v>
      </c>
      <c r="B898" t="s">
        <v>827</v>
      </c>
      <c r="C898" s="106">
        <v>1</v>
      </c>
      <c r="D898" s="56">
        <v>45915</v>
      </c>
      <c r="E898" s="38">
        <v>7778</v>
      </c>
      <c r="F898" s="38">
        <v>7376</v>
      </c>
      <c r="G898" s="38">
        <v>402</v>
      </c>
      <c r="H898" s="38">
        <v>402</v>
      </c>
      <c r="I898" s="108">
        <v>5.4501084598698485E-2</v>
      </c>
    </row>
    <row r="899" spans="1:9" x14ac:dyDescent="0.3">
      <c r="A899" s="35" t="s">
        <v>154</v>
      </c>
      <c r="B899" t="s">
        <v>827</v>
      </c>
      <c r="C899" s="106">
        <v>2</v>
      </c>
      <c r="D899" s="56">
        <v>45922</v>
      </c>
      <c r="E899" s="38">
        <v>7778</v>
      </c>
      <c r="F899" s="38">
        <v>7376</v>
      </c>
      <c r="G899" s="38">
        <v>402</v>
      </c>
      <c r="H899" s="38">
        <v>804</v>
      </c>
      <c r="I899" s="108">
        <v>5.4501084598698485E-2</v>
      </c>
    </row>
    <row r="900" spans="1:9" x14ac:dyDescent="0.3">
      <c r="A900" s="35" t="s">
        <v>154</v>
      </c>
      <c r="B900" t="s">
        <v>827</v>
      </c>
      <c r="C900" s="106">
        <v>3</v>
      </c>
      <c r="D900" s="56">
        <v>45929</v>
      </c>
      <c r="E900" s="38">
        <v>7778</v>
      </c>
      <c r="F900" s="38">
        <v>7376</v>
      </c>
      <c r="G900" s="38">
        <v>402</v>
      </c>
      <c r="H900" s="38">
        <v>1206</v>
      </c>
      <c r="I900" s="108">
        <v>5.4501084598698485E-2</v>
      </c>
    </row>
    <row r="901" spans="1:9" x14ac:dyDescent="0.3">
      <c r="A901" s="35" t="s">
        <v>154</v>
      </c>
      <c r="B901" t="s">
        <v>827</v>
      </c>
      <c r="C901" s="106">
        <v>4</v>
      </c>
      <c r="D901" s="56">
        <v>45936</v>
      </c>
      <c r="E901" s="38">
        <v>7778</v>
      </c>
      <c r="F901" s="38">
        <v>7376</v>
      </c>
      <c r="G901" s="38">
        <v>402</v>
      </c>
      <c r="H901" s="38">
        <v>1608</v>
      </c>
      <c r="I901" s="108">
        <v>5.4501084598698485E-2</v>
      </c>
    </row>
    <row r="902" spans="1:9" x14ac:dyDescent="0.3">
      <c r="A902" s="35" t="s">
        <v>154</v>
      </c>
      <c r="B902" t="s">
        <v>827</v>
      </c>
      <c r="C902" s="106">
        <v>5</v>
      </c>
      <c r="D902" s="56">
        <v>45943</v>
      </c>
      <c r="E902" s="38">
        <v>7778</v>
      </c>
      <c r="F902" s="38">
        <v>7373</v>
      </c>
      <c r="G902" s="38">
        <v>405</v>
      </c>
      <c r="H902" s="38">
        <v>2013</v>
      </c>
      <c r="I902" s="108">
        <v>5.4930150549301504E-2</v>
      </c>
    </row>
    <row r="903" spans="1:9" x14ac:dyDescent="0.3">
      <c r="A903" s="35" t="s">
        <v>154</v>
      </c>
      <c r="B903" t="s">
        <v>827</v>
      </c>
      <c r="C903" s="106">
        <v>6</v>
      </c>
      <c r="D903" s="56">
        <v>45950</v>
      </c>
      <c r="E903" s="38">
        <v>7778</v>
      </c>
      <c r="F903" s="38">
        <v>7376</v>
      </c>
      <c r="G903" s="38">
        <v>402</v>
      </c>
      <c r="H903" s="38">
        <v>2415</v>
      </c>
      <c r="I903" s="108">
        <v>5.4501084598698485E-2</v>
      </c>
    </row>
    <row r="904" spans="1:9" x14ac:dyDescent="0.3">
      <c r="A904" s="35" t="s">
        <v>154</v>
      </c>
      <c r="B904" t="s">
        <v>827</v>
      </c>
      <c r="C904" s="106">
        <v>7</v>
      </c>
      <c r="D904" s="56">
        <v>45957</v>
      </c>
      <c r="E904" s="38">
        <v>7778</v>
      </c>
      <c r="F904" s="38">
        <v>7376</v>
      </c>
      <c r="G904" s="38">
        <v>402</v>
      </c>
      <c r="H904" s="38">
        <v>2817</v>
      </c>
      <c r="I904" s="108">
        <v>5.4501084598698485E-2</v>
      </c>
    </row>
    <row r="905" spans="1:9" x14ac:dyDescent="0.3">
      <c r="A905" s="35" t="s">
        <v>154</v>
      </c>
      <c r="B905" t="s">
        <v>827</v>
      </c>
      <c r="C905" s="106">
        <v>8</v>
      </c>
      <c r="E905" s="38"/>
      <c r="F905" s="38"/>
      <c r="G905" s="38">
        <v>0</v>
      </c>
      <c r="H905" s="38">
        <v>2817</v>
      </c>
      <c r="I905" s="108" t="e">
        <v>#DIV/0!</v>
      </c>
    </row>
    <row r="906" spans="1:9" x14ac:dyDescent="0.3">
      <c r="A906" s="35" t="s">
        <v>154</v>
      </c>
      <c r="B906" t="s">
        <v>827</v>
      </c>
      <c r="C906" s="106">
        <v>9</v>
      </c>
      <c r="E906" s="38"/>
      <c r="F906" s="38"/>
      <c r="G906" s="38">
        <v>0</v>
      </c>
      <c r="H906" s="38">
        <v>2817</v>
      </c>
      <c r="I906" s="108" t="e">
        <v>#DIV/0!</v>
      </c>
    </row>
    <row r="907" spans="1:9" x14ac:dyDescent="0.3">
      <c r="A907" s="35" t="s">
        <v>154</v>
      </c>
      <c r="B907" t="s">
        <v>827</v>
      </c>
      <c r="C907" s="106">
        <v>10</v>
      </c>
      <c r="E907" s="38"/>
      <c r="F907" s="38"/>
      <c r="G907" s="38">
        <v>0</v>
      </c>
      <c r="H907" s="38">
        <v>2817</v>
      </c>
      <c r="I907" s="108" t="e">
        <v>#DIV/0!</v>
      </c>
    </row>
    <row r="908" spans="1:9" x14ac:dyDescent="0.3">
      <c r="A908" s="35" t="s">
        <v>154</v>
      </c>
      <c r="B908" t="s">
        <v>827</v>
      </c>
      <c r="C908" s="106">
        <v>11</v>
      </c>
      <c r="E908" s="38"/>
      <c r="F908" s="38"/>
      <c r="G908" s="38">
        <v>0</v>
      </c>
      <c r="H908" s="38">
        <v>2817</v>
      </c>
    </row>
    <row r="909" spans="1:9" x14ac:dyDescent="0.3">
      <c r="A909" s="35" t="s">
        <v>154</v>
      </c>
      <c r="B909" t="s">
        <v>827</v>
      </c>
      <c r="C909" s="106">
        <v>12</v>
      </c>
      <c r="E909" s="38"/>
      <c r="F909" s="38"/>
      <c r="G909" s="38">
        <v>0</v>
      </c>
      <c r="H909" s="38">
        <v>2817</v>
      </c>
    </row>
    <row r="910" spans="1:9" x14ac:dyDescent="0.3">
      <c r="A910" s="35" t="s">
        <v>154</v>
      </c>
      <c r="B910" t="s">
        <v>827</v>
      </c>
      <c r="C910" s="106">
        <v>13</v>
      </c>
      <c r="E910" s="38"/>
      <c r="F910" s="38"/>
      <c r="G910" s="38">
        <v>0</v>
      </c>
      <c r="H910" s="38">
        <v>2817</v>
      </c>
    </row>
    <row r="911" spans="1:9" x14ac:dyDescent="0.3">
      <c r="A911" s="35" t="s">
        <v>154</v>
      </c>
      <c r="B911" t="s">
        <v>827</v>
      </c>
      <c r="C911" s="106">
        <v>14</v>
      </c>
      <c r="E911" s="38"/>
      <c r="F911" s="38"/>
      <c r="G911" s="38">
        <v>0</v>
      </c>
      <c r="H911" s="38">
        <v>2817</v>
      </c>
    </row>
    <row r="912" spans="1:9" x14ac:dyDescent="0.3">
      <c r="A912" s="35" t="s">
        <v>154</v>
      </c>
      <c r="B912" t="s">
        <v>827</v>
      </c>
      <c r="C912" s="106">
        <v>15</v>
      </c>
      <c r="E912" s="38"/>
      <c r="F912" s="38"/>
      <c r="G912" s="38">
        <v>0</v>
      </c>
      <c r="H912" s="38">
        <v>2817</v>
      </c>
    </row>
    <row r="913" spans="1:9" ht="15" thickBot="1" x14ac:dyDescent="0.35">
      <c r="A913" s="109" t="s">
        <v>154</v>
      </c>
      <c r="B913" s="110" t="s">
        <v>827</v>
      </c>
      <c r="C913" s="114">
        <v>16</v>
      </c>
      <c r="D913" s="110"/>
      <c r="E913" s="115"/>
      <c r="F913" s="115"/>
      <c r="G913" s="115">
        <v>0</v>
      </c>
      <c r="H913" s="115">
        <v>2817</v>
      </c>
      <c r="I913" s="110"/>
    </row>
    <row r="914" spans="1:9" x14ac:dyDescent="0.3">
      <c r="A914" s="35" t="s">
        <v>164</v>
      </c>
      <c r="B914" t="s">
        <v>828</v>
      </c>
      <c r="C914" s="106">
        <v>1</v>
      </c>
      <c r="D914" s="56">
        <v>45915</v>
      </c>
      <c r="E914" s="38">
        <v>11813</v>
      </c>
      <c r="F914" s="38">
        <v>11178</v>
      </c>
      <c r="G914" s="38">
        <v>635</v>
      </c>
      <c r="H914" s="38">
        <v>635</v>
      </c>
      <c r="I914" s="108">
        <v>5.6808015745213811E-2</v>
      </c>
    </row>
    <row r="915" spans="1:9" x14ac:dyDescent="0.3">
      <c r="A915" s="35" t="s">
        <v>164</v>
      </c>
      <c r="B915" t="s">
        <v>828</v>
      </c>
      <c r="C915" s="106">
        <v>2</v>
      </c>
      <c r="D915" s="56">
        <v>45922</v>
      </c>
      <c r="E915" s="38">
        <v>11823</v>
      </c>
      <c r="F915" s="38">
        <v>11173</v>
      </c>
      <c r="G915" s="38">
        <v>650</v>
      </c>
      <c r="H915" s="38">
        <v>1285</v>
      </c>
      <c r="I915" s="108">
        <v>5.8175959903338403E-2</v>
      </c>
    </row>
    <row r="916" spans="1:9" x14ac:dyDescent="0.3">
      <c r="A916" s="35" t="s">
        <v>164</v>
      </c>
      <c r="B916" t="s">
        <v>828</v>
      </c>
      <c r="C916" s="106">
        <v>3</v>
      </c>
      <c r="D916" s="56">
        <v>45929</v>
      </c>
      <c r="E916" s="38">
        <v>11823</v>
      </c>
      <c r="F916" s="38">
        <v>11178</v>
      </c>
      <c r="G916" s="38">
        <v>645</v>
      </c>
      <c r="H916" s="38">
        <v>1930</v>
      </c>
      <c r="I916" s="108">
        <v>5.7702630166398282E-2</v>
      </c>
    </row>
    <row r="917" spans="1:9" x14ac:dyDescent="0.3">
      <c r="A917" s="35" t="s">
        <v>164</v>
      </c>
      <c r="B917" t="s">
        <v>828</v>
      </c>
      <c r="C917" s="106">
        <v>4</v>
      </c>
      <c r="D917" s="56">
        <v>45936</v>
      </c>
      <c r="E917" s="38">
        <v>11823</v>
      </c>
      <c r="F917" s="38">
        <v>11178</v>
      </c>
      <c r="G917" s="38">
        <v>645</v>
      </c>
      <c r="H917" s="38">
        <v>2575</v>
      </c>
      <c r="I917" s="108">
        <v>5.7702630166398282E-2</v>
      </c>
    </row>
    <row r="918" spans="1:9" x14ac:dyDescent="0.3">
      <c r="A918" s="35" t="s">
        <v>164</v>
      </c>
      <c r="B918" t="s">
        <v>828</v>
      </c>
      <c r="C918" s="106">
        <v>5</v>
      </c>
      <c r="D918" s="56">
        <v>45943</v>
      </c>
      <c r="E918" s="38">
        <v>11823</v>
      </c>
      <c r="F918" s="38">
        <v>11173</v>
      </c>
      <c r="G918" s="38">
        <v>650</v>
      </c>
      <c r="H918" s="38">
        <v>3225</v>
      </c>
      <c r="I918" s="108">
        <v>5.8175959903338403E-2</v>
      </c>
    </row>
    <row r="919" spans="1:9" x14ac:dyDescent="0.3">
      <c r="A919" s="35" t="s">
        <v>164</v>
      </c>
      <c r="B919" t="s">
        <v>828</v>
      </c>
      <c r="C919" s="106">
        <v>6</v>
      </c>
      <c r="D919" s="56">
        <v>45950</v>
      </c>
      <c r="E919" s="38">
        <v>11823</v>
      </c>
      <c r="F919" s="38">
        <v>11178</v>
      </c>
      <c r="G919" s="38">
        <v>645</v>
      </c>
      <c r="H919" s="38">
        <v>3870</v>
      </c>
      <c r="I919" s="108">
        <v>5.7702630166398282E-2</v>
      </c>
    </row>
    <row r="920" spans="1:9" x14ac:dyDescent="0.3">
      <c r="A920" s="35" t="s">
        <v>164</v>
      </c>
      <c r="B920" t="s">
        <v>828</v>
      </c>
      <c r="C920" s="106">
        <v>7</v>
      </c>
      <c r="D920" s="56">
        <v>45957</v>
      </c>
      <c r="E920" s="38">
        <v>11823</v>
      </c>
      <c r="F920" s="38">
        <v>11178</v>
      </c>
      <c r="G920" s="38">
        <v>645</v>
      </c>
      <c r="H920" s="38">
        <v>4515</v>
      </c>
      <c r="I920" s="108">
        <v>5.7702630166398282E-2</v>
      </c>
    </row>
    <row r="921" spans="1:9" x14ac:dyDescent="0.3">
      <c r="A921" s="35" t="s">
        <v>164</v>
      </c>
      <c r="B921" t="s">
        <v>828</v>
      </c>
      <c r="C921" s="106">
        <v>8</v>
      </c>
      <c r="E921" s="38"/>
      <c r="F921" s="38"/>
      <c r="G921" s="38">
        <v>0</v>
      </c>
      <c r="H921" s="38">
        <v>4515</v>
      </c>
      <c r="I921" s="108" t="e">
        <v>#DIV/0!</v>
      </c>
    </row>
    <row r="922" spans="1:9" x14ac:dyDescent="0.3">
      <c r="A922" s="35" t="s">
        <v>164</v>
      </c>
      <c r="B922" t="s">
        <v>828</v>
      </c>
      <c r="C922" s="106">
        <v>9</v>
      </c>
      <c r="E922" s="38"/>
      <c r="F922" s="38"/>
      <c r="G922" s="38">
        <v>0</v>
      </c>
      <c r="H922" s="38">
        <v>4515</v>
      </c>
      <c r="I922" s="108" t="e">
        <v>#DIV/0!</v>
      </c>
    </row>
    <row r="923" spans="1:9" x14ac:dyDescent="0.3">
      <c r="A923" s="35" t="s">
        <v>164</v>
      </c>
      <c r="B923" t="s">
        <v>828</v>
      </c>
      <c r="C923" s="106">
        <v>10</v>
      </c>
      <c r="E923" s="38"/>
      <c r="F923" s="38"/>
      <c r="G923" s="38">
        <v>0</v>
      </c>
      <c r="H923" s="38">
        <v>4515</v>
      </c>
      <c r="I923" s="108" t="e">
        <v>#DIV/0!</v>
      </c>
    </row>
    <row r="924" spans="1:9" x14ac:dyDescent="0.3">
      <c r="A924" s="35" t="s">
        <v>164</v>
      </c>
      <c r="B924" t="s">
        <v>828</v>
      </c>
      <c r="C924" s="106">
        <v>11</v>
      </c>
      <c r="E924" s="38"/>
      <c r="F924" s="38"/>
      <c r="G924" s="38">
        <v>0</v>
      </c>
      <c r="H924" s="38">
        <v>4515</v>
      </c>
    </row>
    <row r="925" spans="1:9" x14ac:dyDescent="0.3">
      <c r="A925" s="35" t="s">
        <v>164</v>
      </c>
      <c r="B925" t="s">
        <v>828</v>
      </c>
      <c r="C925" s="106">
        <v>12</v>
      </c>
      <c r="E925" s="38"/>
      <c r="F925" s="38"/>
      <c r="G925" s="38">
        <v>0</v>
      </c>
      <c r="H925" s="38">
        <v>4515</v>
      </c>
    </row>
    <row r="926" spans="1:9" x14ac:dyDescent="0.3">
      <c r="A926" s="35" t="s">
        <v>164</v>
      </c>
      <c r="B926" t="s">
        <v>828</v>
      </c>
      <c r="C926" s="106">
        <v>13</v>
      </c>
      <c r="E926" s="38"/>
      <c r="F926" s="38"/>
      <c r="G926" s="38">
        <v>0</v>
      </c>
      <c r="H926" s="38">
        <v>4515</v>
      </c>
    </row>
    <row r="927" spans="1:9" x14ac:dyDescent="0.3">
      <c r="A927" s="35" t="s">
        <v>164</v>
      </c>
      <c r="B927" t="s">
        <v>828</v>
      </c>
      <c r="C927" s="106">
        <v>14</v>
      </c>
      <c r="E927" s="38"/>
      <c r="F927" s="38"/>
      <c r="G927" s="38">
        <v>0</v>
      </c>
      <c r="H927" s="38">
        <v>4515</v>
      </c>
    </row>
    <row r="928" spans="1:9" x14ac:dyDescent="0.3">
      <c r="A928" s="35" t="s">
        <v>164</v>
      </c>
      <c r="B928" t="s">
        <v>828</v>
      </c>
      <c r="C928" s="106">
        <v>15</v>
      </c>
      <c r="E928" s="38"/>
      <c r="F928" s="38"/>
      <c r="G928" s="38">
        <v>0</v>
      </c>
      <c r="H928" s="38">
        <v>4515</v>
      </c>
    </row>
    <row r="929" spans="1:9" ht="15" thickBot="1" x14ac:dyDescent="0.35">
      <c r="A929" s="109" t="s">
        <v>164</v>
      </c>
      <c r="B929" s="110" t="s">
        <v>828</v>
      </c>
      <c r="C929" s="114">
        <v>16</v>
      </c>
      <c r="D929" s="110"/>
      <c r="E929" s="115"/>
      <c r="F929" s="115"/>
      <c r="G929" s="115">
        <v>0</v>
      </c>
      <c r="H929" s="115">
        <v>4515</v>
      </c>
      <c r="I929" s="110"/>
    </row>
    <row r="930" spans="1:9" x14ac:dyDescent="0.3">
      <c r="A930" s="35" t="s">
        <v>39</v>
      </c>
      <c r="B930" t="s">
        <v>812</v>
      </c>
      <c r="C930" s="106">
        <v>1</v>
      </c>
      <c r="D930" s="56">
        <v>45911</v>
      </c>
      <c r="E930" s="38">
        <v>5586</v>
      </c>
      <c r="F930" s="38">
        <v>5326</v>
      </c>
      <c r="G930" s="38">
        <v>260</v>
      </c>
      <c r="H930" s="38">
        <v>260</v>
      </c>
      <c r="I930" s="108">
        <v>4.8817123544874205E-2</v>
      </c>
    </row>
    <row r="931" spans="1:9" x14ac:dyDescent="0.3">
      <c r="A931" s="35" t="s">
        <v>39</v>
      </c>
      <c r="B931" t="s">
        <v>812</v>
      </c>
      <c r="C931" s="106">
        <v>2</v>
      </c>
      <c r="D931" s="56">
        <v>45918</v>
      </c>
      <c r="E931" s="38">
        <v>5586</v>
      </c>
      <c r="F931" s="38">
        <v>5326</v>
      </c>
      <c r="G931" s="38">
        <v>260</v>
      </c>
      <c r="H931" s="38">
        <v>520</v>
      </c>
      <c r="I931" s="108">
        <v>4.8817123544874205E-2</v>
      </c>
    </row>
    <row r="932" spans="1:9" x14ac:dyDescent="0.3">
      <c r="A932" s="35" t="s">
        <v>39</v>
      </c>
      <c r="B932" t="s">
        <v>812</v>
      </c>
      <c r="C932" s="106">
        <v>3</v>
      </c>
      <c r="D932" s="56">
        <v>45925</v>
      </c>
      <c r="E932" s="38">
        <v>5586</v>
      </c>
      <c r="F932" s="38">
        <v>5326</v>
      </c>
      <c r="G932" s="38">
        <v>260</v>
      </c>
      <c r="H932" s="38">
        <v>780</v>
      </c>
      <c r="I932" s="108">
        <v>4.8817123544874205E-2</v>
      </c>
    </row>
    <row r="933" spans="1:9" x14ac:dyDescent="0.3">
      <c r="A933" s="35" t="s">
        <v>39</v>
      </c>
      <c r="B933" t="s">
        <v>812</v>
      </c>
      <c r="C933" s="106">
        <v>4</v>
      </c>
      <c r="D933" s="56">
        <v>45932</v>
      </c>
      <c r="E933" s="38">
        <v>5586</v>
      </c>
      <c r="F933" s="38">
        <v>5326</v>
      </c>
      <c r="G933" s="38">
        <v>260</v>
      </c>
      <c r="H933" s="38">
        <v>1040</v>
      </c>
      <c r="I933" s="108">
        <v>4.8817123544874205E-2</v>
      </c>
    </row>
    <row r="934" spans="1:9" x14ac:dyDescent="0.3">
      <c r="A934" s="35" t="s">
        <v>39</v>
      </c>
      <c r="B934" t="s">
        <v>812</v>
      </c>
      <c r="C934" s="106">
        <v>5</v>
      </c>
      <c r="D934" s="56">
        <v>45939</v>
      </c>
      <c r="E934" s="38">
        <v>5586</v>
      </c>
      <c r="F934" s="38">
        <v>5326</v>
      </c>
      <c r="G934" s="38">
        <v>260</v>
      </c>
      <c r="H934" s="38">
        <v>1300</v>
      </c>
      <c r="I934" s="108">
        <v>4.8817123544874205E-2</v>
      </c>
    </row>
    <row r="935" spans="1:9" x14ac:dyDescent="0.3">
      <c r="A935" s="35" t="s">
        <v>39</v>
      </c>
      <c r="B935" t="s">
        <v>812</v>
      </c>
      <c r="C935" s="106">
        <v>6</v>
      </c>
      <c r="D935" s="56">
        <v>45946</v>
      </c>
      <c r="E935" s="38">
        <v>5586</v>
      </c>
      <c r="F935" s="38">
        <v>5321</v>
      </c>
      <c r="G935" s="38">
        <v>265</v>
      </c>
      <c r="H935" s="38">
        <v>1565</v>
      </c>
      <c r="I935" s="108">
        <v>4.980266867130239E-2</v>
      </c>
    </row>
    <row r="936" spans="1:9" x14ac:dyDescent="0.3">
      <c r="A936" s="35" t="s">
        <v>39</v>
      </c>
      <c r="B936" t="s">
        <v>812</v>
      </c>
      <c r="C936" s="106">
        <v>7</v>
      </c>
      <c r="D936" s="56">
        <v>45953</v>
      </c>
      <c r="E936" s="38">
        <v>5586</v>
      </c>
      <c r="F936" s="38">
        <v>5326</v>
      </c>
      <c r="G936" s="38">
        <v>260</v>
      </c>
      <c r="H936" s="38">
        <v>1825</v>
      </c>
      <c r="I936" s="108">
        <v>4.8817123544874205E-2</v>
      </c>
    </row>
    <row r="937" spans="1:9" x14ac:dyDescent="0.3">
      <c r="A937" s="35" t="s">
        <v>39</v>
      </c>
      <c r="B937" t="s">
        <v>812</v>
      </c>
      <c r="C937" s="106">
        <v>8</v>
      </c>
      <c r="D937" s="56">
        <v>45960</v>
      </c>
      <c r="E937" s="38">
        <v>5736</v>
      </c>
      <c r="F937" s="38">
        <v>5326</v>
      </c>
      <c r="G937" s="38">
        <v>410</v>
      </c>
      <c r="H937" s="38">
        <v>2235</v>
      </c>
      <c r="I937" s="108">
        <v>7.6980848666917012E-2</v>
      </c>
    </row>
    <row r="938" spans="1:9" x14ac:dyDescent="0.3">
      <c r="A938" s="35" t="s">
        <v>39</v>
      </c>
      <c r="B938" t="s">
        <v>812</v>
      </c>
      <c r="C938" s="106">
        <v>9</v>
      </c>
      <c r="E938" s="38"/>
      <c r="F938" s="38"/>
      <c r="G938" s="38">
        <v>0</v>
      </c>
      <c r="H938" s="38">
        <v>2235</v>
      </c>
      <c r="I938" s="108" t="e">
        <v>#DIV/0!</v>
      </c>
    </row>
    <row r="939" spans="1:9" x14ac:dyDescent="0.3">
      <c r="A939" s="35" t="s">
        <v>39</v>
      </c>
      <c r="B939" t="s">
        <v>812</v>
      </c>
      <c r="C939" s="106">
        <v>10</v>
      </c>
      <c r="E939" s="38"/>
      <c r="F939" s="38"/>
      <c r="G939" s="38">
        <v>0</v>
      </c>
      <c r="H939" s="38">
        <v>2235</v>
      </c>
      <c r="I939" s="108" t="e">
        <v>#DIV/0!</v>
      </c>
    </row>
    <row r="940" spans="1:9" x14ac:dyDescent="0.3">
      <c r="A940" s="35" t="s">
        <v>39</v>
      </c>
      <c r="B940" t="s">
        <v>812</v>
      </c>
      <c r="C940" s="106">
        <v>11</v>
      </c>
      <c r="E940" s="38"/>
      <c r="F940" s="38"/>
      <c r="G940" s="38">
        <v>0</v>
      </c>
      <c r="H940" s="38">
        <v>2235</v>
      </c>
      <c r="I940" s="108" t="e">
        <v>#DIV/0!</v>
      </c>
    </row>
    <row r="941" spans="1:9" x14ac:dyDescent="0.3">
      <c r="A941" s="35" t="s">
        <v>39</v>
      </c>
      <c r="B941" t="s">
        <v>812</v>
      </c>
      <c r="C941" s="106">
        <v>12</v>
      </c>
      <c r="E941" s="38"/>
      <c r="F941" s="38"/>
      <c r="G941" s="38">
        <v>0</v>
      </c>
      <c r="H941" s="38">
        <v>2235</v>
      </c>
      <c r="I941" s="108" t="e">
        <v>#DIV/0!</v>
      </c>
    </row>
    <row r="942" spans="1:9" x14ac:dyDescent="0.3">
      <c r="A942" s="35" t="s">
        <v>39</v>
      </c>
      <c r="B942" t="s">
        <v>812</v>
      </c>
      <c r="C942" s="106">
        <v>13</v>
      </c>
      <c r="E942" s="38"/>
      <c r="F942" s="38"/>
      <c r="G942" s="38">
        <v>0</v>
      </c>
      <c r="H942" s="38">
        <v>2235</v>
      </c>
      <c r="I942" s="108" t="e">
        <v>#DIV/0!</v>
      </c>
    </row>
    <row r="943" spans="1:9" x14ac:dyDescent="0.3">
      <c r="A943" s="35" t="s">
        <v>39</v>
      </c>
      <c r="B943" t="s">
        <v>812</v>
      </c>
      <c r="C943" s="106">
        <v>14</v>
      </c>
      <c r="E943" s="38"/>
      <c r="F943" s="38"/>
      <c r="G943" s="38">
        <v>0</v>
      </c>
      <c r="H943" s="38">
        <v>2235</v>
      </c>
      <c r="I943" s="108" t="e">
        <v>#DIV/0!</v>
      </c>
    </row>
    <row r="944" spans="1:9" x14ac:dyDescent="0.3">
      <c r="A944" s="35" t="s">
        <v>39</v>
      </c>
      <c r="B944" t="s">
        <v>812</v>
      </c>
      <c r="C944" s="106">
        <v>15</v>
      </c>
      <c r="E944" s="38"/>
      <c r="F944" s="38"/>
      <c r="G944" s="38">
        <v>0</v>
      </c>
      <c r="H944" s="38">
        <v>2235</v>
      </c>
      <c r="I944" s="108" t="e">
        <v>#DIV/0!</v>
      </c>
    </row>
    <row r="945" spans="1:9" ht="15" thickBot="1" x14ac:dyDescent="0.35">
      <c r="A945" s="109" t="s">
        <v>39</v>
      </c>
      <c r="B945" s="110" t="s">
        <v>812</v>
      </c>
      <c r="C945" s="114">
        <v>16</v>
      </c>
      <c r="D945" s="110"/>
      <c r="E945" s="115"/>
      <c r="F945" s="115"/>
      <c r="G945" s="115">
        <v>0</v>
      </c>
      <c r="H945" s="115">
        <v>2235</v>
      </c>
      <c r="I945" s="110"/>
    </row>
    <row r="946" spans="1:9" x14ac:dyDescent="0.3">
      <c r="A946" s="35" t="s">
        <v>188</v>
      </c>
      <c r="B946" t="s">
        <v>937</v>
      </c>
      <c r="C946" s="106">
        <v>1</v>
      </c>
      <c r="D946" s="56">
        <v>45918</v>
      </c>
      <c r="E946" s="38">
        <v>8618.07</v>
      </c>
      <c r="F946" s="38">
        <v>8208.07</v>
      </c>
      <c r="G946" s="38">
        <v>410</v>
      </c>
      <c r="H946" s="38">
        <v>410</v>
      </c>
      <c r="I946" s="108">
        <v>4.9950841062515308E-2</v>
      </c>
    </row>
    <row r="947" spans="1:9" x14ac:dyDescent="0.3">
      <c r="A947" s="35" t="s">
        <v>188</v>
      </c>
      <c r="B947" t="s">
        <v>937</v>
      </c>
      <c r="C947" s="106">
        <v>2</v>
      </c>
      <c r="D947" s="56">
        <v>45925</v>
      </c>
      <c r="E947" s="38">
        <v>8618</v>
      </c>
      <c r="F947" s="38">
        <v>8208.07</v>
      </c>
      <c r="G947" s="38">
        <v>409.93000000000029</v>
      </c>
      <c r="H947" s="38">
        <v>819.93000000000029</v>
      </c>
      <c r="I947" s="108">
        <v>4.9942312870138818E-2</v>
      </c>
    </row>
    <row r="948" spans="1:9" x14ac:dyDescent="0.3">
      <c r="A948" s="35" t="s">
        <v>188</v>
      </c>
      <c r="B948" t="s">
        <v>937</v>
      </c>
      <c r="C948" s="106">
        <v>3</v>
      </c>
      <c r="D948" s="56">
        <v>45932</v>
      </c>
      <c r="E948" s="38">
        <v>8618</v>
      </c>
      <c r="F948" s="38">
        <v>8208.07</v>
      </c>
      <c r="G948" s="38">
        <v>409.93000000000029</v>
      </c>
      <c r="H948" s="38">
        <v>1229.8600000000006</v>
      </c>
      <c r="I948" s="108">
        <v>4.9942312870138818E-2</v>
      </c>
    </row>
    <row r="949" spans="1:9" x14ac:dyDescent="0.3">
      <c r="A949" s="35" t="s">
        <v>188</v>
      </c>
      <c r="B949" t="s">
        <v>937</v>
      </c>
      <c r="C949" s="106">
        <v>4</v>
      </c>
      <c r="D949" s="56">
        <v>45939</v>
      </c>
      <c r="E949" s="38">
        <v>8618</v>
      </c>
      <c r="F949" s="38">
        <v>8208.07</v>
      </c>
      <c r="G949" s="38">
        <v>409.93000000000029</v>
      </c>
      <c r="H949" s="38">
        <v>1639.7900000000009</v>
      </c>
      <c r="I949" s="108">
        <v>4.9942312870138818E-2</v>
      </c>
    </row>
    <row r="950" spans="1:9" x14ac:dyDescent="0.3">
      <c r="A950" s="35" t="s">
        <v>188</v>
      </c>
      <c r="B950" t="s">
        <v>937</v>
      </c>
      <c r="C950" s="106">
        <v>5</v>
      </c>
      <c r="D950" s="56">
        <v>45946</v>
      </c>
      <c r="E950" s="38">
        <v>8618</v>
      </c>
      <c r="F950" s="38">
        <v>8208.07</v>
      </c>
      <c r="G950" s="38">
        <v>409.93000000000029</v>
      </c>
      <c r="H950" s="38">
        <v>2049.7200000000012</v>
      </c>
      <c r="I950" s="108">
        <v>4.9942312870138818E-2</v>
      </c>
    </row>
    <row r="951" spans="1:9" x14ac:dyDescent="0.3">
      <c r="A951" s="35" t="s">
        <v>188</v>
      </c>
      <c r="B951" t="s">
        <v>937</v>
      </c>
      <c r="C951" s="106">
        <v>6</v>
      </c>
      <c r="D951" s="56">
        <v>45953</v>
      </c>
      <c r="E951" s="38">
        <v>8648</v>
      </c>
      <c r="F951" s="38">
        <v>8208.07</v>
      </c>
      <c r="G951" s="38">
        <v>439.93000000000029</v>
      </c>
      <c r="H951" s="38">
        <v>2489.6500000000015</v>
      </c>
      <c r="I951" s="108">
        <v>5.3597252460078959E-2</v>
      </c>
    </row>
    <row r="952" spans="1:9" x14ac:dyDescent="0.3">
      <c r="A952" s="35" t="s">
        <v>188</v>
      </c>
      <c r="B952" t="s">
        <v>937</v>
      </c>
      <c r="C952" s="106">
        <v>7</v>
      </c>
      <c r="D952" s="56">
        <v>45960</v>
      </c>
      <c r="E952" s="38">
        <v>8618</v>
      </c>
      <c r="F952" s="38">
        <v>8208.07</v>
      </c>
      <c r="G952" s="38">
        <v>409.93000000000029</v>
      </c>
      <c r="H952" s="38">
        <v>2899.5800000000017</v>
      </c>
      <c r="I952" s="108">
        <v>4.9942312870138818E-2</v>
      </c>
    </row>
    <row r="953" spans="1:9" x14ac:dyDescent="0.3">
      <c r="A953" s="35" t="s">
        <v>188</v>
      </c>
      <c r="B953" t="s">
        <v>937</v>
      </c>
      <c r="C953" s="106">
        <v>8</v>
      </c>
      <c r="E953" s="38"/>
      <c r="F953" s="38"/>
      <c r="G953" s="38">
        <v>0</v>
      </c>
      <c r="H953" s="38">
        <v>2899.5800000000017</v>
      </c>
      <c r="I953" s="108" t="e">
        <v>#DIV/0!</v>
      </c>
    </row>
    <row r="954" spans="1:9" x14ac:dyDescent="0.3">
      <c r="A954" s="35" t="s">
        <v>188</v>
      </c>
      <c r="B954" t="s">
        <v>937</v>
      </c>
      <c r="C954" s="106">
        <v>9</v>
      </c>
      <c r="E954" s="38"/>
      <c r="F954" s="38"/>
      <c r="G954" s="38">
        <v>0</v>
      </c>
      <c r="H954" s="38">
        <v>2899.5800000000017</v>
      </c>
      <c r="I954" s="108" t="e">
        <v>#DIV/0!</v>
      </c>
    </row>
    <row r="955" spans="1:9" x14ac:dyDescent="0.3">
      <c r="A955" s="35" t="s">
        <v>188</v>
      </c>
      <c r="B955" t="s">
        <v>937</v>
      </c>
      <c r="C955" s="106">
        <v>10</v>
      </c>
      <c r="E955" s="38"/>
      <c r="F955" s="38"/>
      <c r="G955" s="38">
        <v>0</v>
      </c>
      <c r="H955" s="38">
        <v>2899.5800000000017</v>
      </c>
      <c r="I955" s="108" t="e">
        <v>#DIV/0!</v>
      </c>
    </row>
    <row r="956" spans="1:9" x14ac:dyDescent="0.3">
      <c r="A956" s="35" t="s">
        <v>188</v>
      </c>
      <c r="B956" t="s">
        <v>937</v>
      </c>
      <c r="C956" s="106">
        <v>11</v>
      </c>
      <c r="E956" s="38"/>
      <c r="F956" s="38"/>
      <c r="G956" s="38">
        <v>0</v>
      </c>
      <c r="H956" s="38">
        <v>2899.5800000000017</v>
      </c>
      <c r="I956" s="108" t="e">
        <v>#DIV/0!</v>
      </c>
    </row>
    <row r="957" spans="1:9" x14ac:dyDescent="0.3">
      <c r="A957" s="35" t="s">
        <v>188</v>
      </c>
      <c r="B957" t="s">
        <v>937</v>
      </c>
      <c r="C957" s="106">
        <v>12</v>
      </c>
      <c r="E957" s="38"/>
      <c r="F957" s="38"/>
      <c r="G957" s="38">
        <v>0</v>
      </c>
      <c r="H957" s="38">
        <v>2899.5800000000017</v>
      </c>
      <c r="I957" s="108" t="e">
        <v>#DIV/0!</v>
      </c>
    </row>
    <row r="958" spans="1:9" x14ac:dyDescent="0.3">
      <c r="A958" s="35" t="s">
        <v>188</v>
      </c>
      <c r="B958" t="s">
        <v>937</v>
      </c>
      <c r="C958" s="106">
        <v>13</v>
      </c>
      <c r="E958" s="38"/>
      <c r="F958" s="38"/>
      <c r="G958" s="38">
        <v>0</v>
      </c>
      <c r="H958" s="38">
        <v>2899.5800000000017</v>
      </c>
      <c r="I958" s="108" t="e">
        <v>#DIV/0!</v>
      </c>
    </row>
    <row r="959" spans="1:9" x14ac:dyDescent="0.3">
      <c r="A959" s="35" t="s">
        <v>188</v>
      </c>
      <c r="B959" t="s">
        <v>937</v>
      </c>
      <c r="C959" s="106">
        <v>14</v>
      </c>
      <c r="E959" s="38"/>
      <c r="F959" s="38"/>
      <c r="G959" s="38">
        <v>0</v>
      </c>
      <c r="H959" s="38">
        <v>2899.5800000000017</v>
      </c>
      <c r="I959" s="108" t="e">
        <v>#DIV/0!</v>
      </c>
    </row>
    <row r="960" spans="1:9" x14ac:dyDescent="0.3">
      <c r="A960" s="35" t="s">
        <v>188</v>
      </c>
      <c r="B960" t="s">
        <v>937</v>
      </c>
      <c r="C960" s="106">
        <v>15</v>
      </c>
      <c r="E960" s="38"/>
      <c r="F960" s="38"/>
      <c r="G960" s="38">
        <v>0</v>
      </c>
      <c r="H960" s="38">
        <v>2899.5800000000017</v>
      </c>
      <c r="I960" s="108" t="e">
        <v>#DIV/0!</v>
      </c>
    </row>
    <row r="961" spans="1:9" ht="15" thickBot="1" x14ac:dyDescent="0.35">
      <c r="A961" s="109" t="s">
        <v>188</v>
      </c>
      <c r="B961" s="110" t="s">
        <v>937</v>
      </c>
      <c r="C961" s="114">
        <v>16</v>
      </c>
      <c r="D961" s="110"/>
      <c r="E961" s="115"/>
      <c r="F961" s="115"/>
      <c r="G961" s="115">
        <v>0</v>
      </c>
      <c r="H961" s="115">
        <v>2899.5800000000017</v>
      </c>
      <c r="I961" s="110"/>
    </row>
    <row r="962" spans="1:9" x14ac:dyDescent="0.3">
      <c r="A962" s="35" t="s">
        <v>189</v>
      </c>
      <c r="B962" t="s">
        <v>932</v>
      </c>
      <c r="C962" s="106">
        <v>1</v>
      </c>
      <c r="D962" s="56">
        <v>45917</v>
      </c>
      <c r="E962" s="38">
        <v>9348</v>
      </c>
      <c r="F962" s="38">
        <v>8816</v>
      </c>
      <c r="G962" s="38">
        <v>532</v>
      </c>
      <c r="H962" s="38">
        <v>532</v>
      </c>
      <c r="I962" s="108">
        <v>6.0344827586206899E-2</v>
      </c>
    </row>
    <row r="963" spans="1:9" x14ac:dyDescent="0.3">
      <c r="A963" s="35" t="s">
        <v>189</v>
      </c>
      <c r="B963" t="s">
        <v>932</v>
      </c>
      <c r="C963" s="106">
        <v>2</v>
      </c>
      <c r="D963" s="56">
        <v>45924</v>
      </c>
      <c r="E963" s="38">
        <v>9350</v>
      </c>
      <c r="F963" s="38">
        <v>8816</v>
      </c>
      <c r="G963" s="38">
        <v>534</v>
      </c>
      <c r="H963" s="38">
        <v>1066</v>
      </c>
      <c r="I963" s="108">
        <v>6.0571687840290378E-2</v>
      </c>
    </row>
    <row r="964" spans="1:9" x14ac:dyDescent="0.3">
      <c r="A964" s="35" t="s">
        <v>189</v>
      </c>
      <c r="B964" t="s">
        <v>932</v>
      </c>
      <c r="C964" s="106">
        <v>3</v>
      </c>
      <c r="D964" s="56">
        <v>45931</v>
      </c>
      <c r="E964" s="38">
        <v>9345</v>
      </c>
      <c r="F964" s="38">
        <v>8816</v>
      </c>
      <c r="G964" s="38">
        <v>529</v>
      </c>
      <c r="H964" s="38">
        <v>1595</v>
      </c>
      <c r="I964" s="108">
        <v>6.0004537205081671E-2</v>
      </c>
    </row>
    <row r="965" spans="1:9" x14ac:dyDescent="0.3">
      <c r="A965" s="35" t="s">
        <v>189</v>
      </c>
      <c r="B965" t="s">
        <v>932</v>
      </c>
      <c r="C965" s="106">
        <v>4</v>
      </c>
      <c r="D965" s="56">
        <v>45938</v>
      </c>
      <c r="E965" s="38">
        <v>9314</v>
      </c>
      <c r="F965" s="38">
        <v>8816</v>
      </c>
      <c r="G965" s="38">
        <v>498</v>
      </c>
      <c r="H965" s="38">
        <v>2093</v>
      </c>
      <c r="I965" s="108">
        <v>5.6488203266787662E-2</v>
      </c>
    </row>
    <row r="966" spans="1:9" x14ac:dyDescent="0.3">
      <c r="A966" s="35" t="s">
        <v>189</v>
      </c>
      <c r="B966" t="s">
        <v>932</v>
      </c>
      <c r="C966" s="106">
        <v>5</v>
      </c>
      <c r="D966" s="56">
        <v>45945</v>
      </c>
      <c r="E966" s="38">
        <v>9250</v>
      </c>
      <c r="F966" s="38">
        <v>8816</v>
      </c>
      <c r="G966" s="38">
        <v>434</v>
      </c>
      <c r="H966" s="38">
        <v>2527</v>
      </c>
      <c r="I966" s="108">
        <v>4.9228675136116153E-2</v>
      </c>
    </row>
    <row r="967" spans="1:9" x14ac:dyDescent="0.3">
      <c r="A967" s="35" t="s">
        <v>189</v>
      </c>
      <c r="B967" t="s">
        <v>932</v>
      </c>
      <c r="C967" s="106">
        <v>6</v>
      </c>
      <c r="D967" s="56">
        <v>45952</v>
      </c>
      <c r="E967" s="38">
        <v>9253</v>
      </c>
      <c r="F967" s="38">
        <v>8816</v>
      </c>
      <c r="G967" s="38">
        <v>437</v>
      </c>
      <c r="H967" s="38">
        <v>2964</v>
      </c>
      <c r="I967" s="108">
        <v>4.9568965517241381E-2</v>
      </c>
    </row>
    <row r="968" spans="1:9" x14ac:dyDescent="0.3">
      <c r="A968" s="35" t="s">
        <v>189</v>
      </c>
      <c r="B968" t="s">
        <v>932</v>
      </c>
      <c r="C968" s="106">
        <v>7</v>
      </c>
      <c r="D968" s="56">
        <v>45959</v>
      </c>
      <c r="E968" s="38">
        <v>9250</v>
      </c>
      <c r="F968" s="38">
        <v>8822</v>
      </c>
      <c r="G968" s="38">
        <v>428</v>
      </c>
      <c r="H968" s="38">
        <v>3392</v>
      </c>
      <c r="I968" s="108">
        <v>4.8515075946497392E-2</v>
      </c>
    </row>
    <row r="969" spans="1:9" x14ac:dyDescent="0.3">
      <c r="A969" s="35" t="s">
        <v>189</v>
      </c>
      <c r="B969" t="s">
        <v>932</v>
      </c>
      <c r="C969" s="106">
        <v>8</v>
      </c>
      <c r="E969" s="38"/>
      <c r="F969" s="38"/>
      <c r="G969" s="38">
        <v>0</v>
      </c>
      <c r="H969" s="38">
        <v>3392</v>
      </c>
      <c r="I969" s="108" t="e">
        <v>#DIV/0!</v>
      </c>
    </row>
    <row r="970" spans="1:9" x14ac:dyDescent="0.3">
      <c r="A970" s="35" t="s">
        <v>189</v>
      </c>
      <c r="B970" t="s">
        <v>932</v>
      </c>
      <c r="C970" s="106">
        <v>9</v>
      </c>
      <c r="E970" s="38"/>
      <c r="F970" s="38"/>
      <c r="G970" s="38">
        <v>0</v>
      </c>
      <c r="H970" s="38">
        <v>3392</v>
      </c>
      <c r="I970" s="108" t="e">
        <v>#DIV/0!</v>
      </c>
    </row>
    <row r="971" spans="1:9" x14ac:dyDescent="0.3">
      <c r="A971" s="35" t="s">
        <v>189</v>
      </c>
      <c r="B971" t="s">
        <v>932</v>
      </c>
      <c r="C971" s="106">
        <v>10</v>
      </c>
      <c r="E971" s="38"/>
      <c r="F971" s="38"/>
      <c r="G971" s="38">
        <v>0</v>
      </c>
      <c r="H971" s="38">
        <v>3392</v>
      </c>
      <c r="I971" s="108" t="e">
        <v>#DIV/0!</v>
      </c>
    </row>
    <row r="972" spans="1:9" x14ac:dyDescent="0.3">
      <c r="A972" s="35" t="s">
        <v>189</v>
      </c>
      <c r="B972" t="s">
        <v>932</v>
      </c>
      <c r="C972" s="106">
        <v>11</v>
      </c>
      <c r="E972" s="38"/>
      <c r="F972" s="38"/>
      <c r="G972" s="38">
        <v>0</v>
      </c>
      <c r="H972" s="38">
        <v>3392</v>
      </c>
      <c r="I972" s="108" t="e">
        <v>#DIV/0!</v>
      </c>
    </row>
    <row r="973" spans="1:9" x14ac:dyDescent="0.3">
      <c r="A973" s="35" t="s">
        <v>189</v>
      </c>
      <c r="B973" t="s">
        <v>932</v>
      </c>
      <c r="C973" s="106">
        <v>12</v>
      </c>
      <c r="E973" s="38"/>
      <c r="F973" s="38"/>
      <c r="G973" s="38">
        <v>0</v>
      </c>
      <c r="H973" s="38">
        <v>3392</v>
      </c>
      <c r="I973" s="108" t="e">
        <v>#DIV/0!</v>
      </c>
    </row>
    <row r="974" spans="1:9" x14ac:dyDescent="0.3">
      <c r="A974" s="35" t="s">
        <v>189</v>
      </c>
      <c r="B974" t="s">
        <v>932</v>
      </c>
      <c r="C974" s="106">
        <v>13</v>
      </c>
      <c r="E974" s="38"/>
      <c r="F974" s="38"/>
      <c r="G974" s="38">
        <v>0</v>
      </c>
      <c r="H974" s="38">
        <v>3392</v>
      </c>
    </row>
    <row r="975" spans="1:9" x14ac:dyDescent="0.3">
      <c r="A975" s="35" t="s">
        <v>189</v>
      </c>
      <c r="B975" t="s">
        <v>932</v>
      </c>
      <c r="C975" s="106">
        <v>14</v>
      </c>
      <c r="E975" s="38"/>
      <c r="F975" s="38"/>
      <c r="G975" s="38">
        <v>0</v>
      </c>
      <c r="H975" s="38">
        <v>3392</v>
      </c>
    </row>
    <row r="976" spans="1:9" x14ac:dyDescent="0.3">
      <c r="A976" s="35" t="s">
        <v>189</v>
      </c>
      <c r="B976" t="s">
        <v>932</v>
      </c>
      <c r="C976" s="106">
        <v>15</v>
      </c>
      <c r="E976" s="38"/>
      <c r="F976" s="38"/>
      <c r="G976" s="38">
        <v>0</v>
      </c>
      <c r="H976" s="38">
        <v>3392</v>
      </c>
    </row>
    <row r="977" spans="1:9" ht="15" thickBot="1" x14ac:dyDescent="0.35">
      <c r="A977" s="109" t="s">
        <v>189</v>
      </c>
      <c r="B977" s="110" t="s">
        <v>932</v>
      </c>
      <c r="C977" s="114">
        <v>16</v>
      </c>
      <c r="D977" s="110"/>
      <c r="E977" s="115"/>
      <c r="F977" s="115"/>
      <c r="G977" s="115">
        <v>0</v>
      </c>
      <c r="H977" s="115">
        <v>3392</v>
      </c>
      <c r="I977" s="110"/>
    </row>
    <row r="978" spans="1:9" x14ac:dyDescent="0.3">
      <c r="A978" s="35" t="s">
        <v>929</v>
      </c>
      <c r="B978" t="s">
        <v>930</v>
      </c>
      <c r="C978" s="106">
        <v>1</v>
      </c>
      <c r="D978" s="56">
        <v>45917</v>
      </c>
      <c r="E978" s="38">
        <v>8060</v>
      </c>
      <c r="F978" s="38">
        <v>7676</v>
      </c>
      <c r="G978" s="38">
        <v>384</v>
      </c>
      <c r="H978" s="38">
        <v>384</v>
      </c>
      <c r="I978" s="108">
        <v>5.0026055237102657E-2</v>
      </c>
    </row>
    <row r="979" spans="1:9" x14ac:dyDescent="0.3">
      <c r="A979" s="35" t="s">
        <v>929</v>
      </c>
      <c r="B979" t="s">
        <v>930</v>
      </c>
      <c r="C979" s="106">
        <v>2</v>
      </c>
      <c r="D979" s="56">
        <v>45924</v>
      </c>
      <c r="E979" s="38">
        <v>8060</v>
      </c>
      <c r="F979" s="38">
        <v>7676</v>
      </c>
      <c r="G979" s="38">
        <v>384</v>
      </c>
      <c r="H979" s="38">
        <v>768</v>
      </c>
      <c r="I979" s="108">
        <v>5.0026055237102657E-2</v>
      </c>
    </row>
    <row r="980" spans="1:9" x14ac:dyDescent="0.3">
      <c r="A980" s="35" t="s">
        <v>929</v>
      </c>
      <c r="B980" t="s">
        <v>930</v>
      </c>
      <c r="C980" s="106">
        <v>3</v>
      </c>
      <c r="D980" s="56">
        <v>45931</v>
      </c>
      <c r="E980" s="38">
        <v>8060</v>
      </c>
      <c r="F980" s="38">
        <v>7676</v>
      </c>
      <c r="G980" s="38">
        <v>384</v>
      </c>
      <c r="H980" s="38">
        <v>1152</v>
      </c>
      <c r="I980" s="108">
        <v>5.0026055237102657E-2</v>
      </c>
    </row>
    <row r="981" spans="1:9" x14ac:dyDescent="0.3">
      <c r="A981" s="35" t="s">
        <v>929</v>
      </c>
      <c r="B981" t="s">
        <v>930</v>
      </c>
      <c r="C981" s="106">
        <v>4</v>
      </c>
      <c r="D981" s="56">
        <v>45938</v>
      </c>
      <c r="E981" s="38">
        <v>8060</v>
      </c>
      <c r="F981" s="38">
        <v>7676</v>
      </c>
      <c r="G981" s="38">
        <v>384</v>
      </c>
      <c r="H981" s="38">
        <v>1536</v>
      </c>
      <c r="I981" s="108">
        <v>5.0026055237102657E-2</v>
      </c>
    </row>
    <row r="982" spans="1:9" x14ac:dyDescent="0.3">
      <c r="A982" s="35" t="s">
        <v>929</v>
      </c>
      <c r="B982" t="s">
        <v>930</v>
      </c>
      <c r="C982" s="106">
        <v>5</v>
      </c>
      <c r="D982" s="56">
        <v>45945</v>
      </c>
      <c r="E982" s="38">
        <v>8060</v>
      </c>
      <c r="F982" s="38">
        <v>7676</v>
      </c>
      <c r="G982" s="38">
        <v>384</v>
      </c>
      <c r="H982" s="38">
        <v>1920</v>
      </c>
      <c r="I982" s="108">
        <v>5.0026055237102657E-2</v>
      </c>
    </row>
    <row r="983" spans="1:9" x14ac:dyDescent="0.3">
      <c r="A983" s="35" t="s">
        <v>929</v>
      </c>
      <c r="B983" t="s">
        <v>930</v>
      </c>
      <c r="C983" s="106">
        <v>6</v>
      </c>
      <c r="D983" s="56">
        <v>45952</v>
      </c>
      <c r="E983" s="38">
        <v>8060</v>
      </c>
      <c r="F983" s="38">
        <v>7676</v>
      </c>
      <c r="G983" s="38">
        <v>384</v>
      </c>
      <c r="H983" s="38">
        <v>2304</v>
      </c>
      <c r="I983" s="108">
        <v>5.0026055237102657E-2</v>
      </c>
    </row>
    <row r="984" spans="1:9" x14ac:dyDescent="0.3">
      <c r="A984" s="35" t="s">
        <v>929</v>
      </c>
      <c r="B984" t="s">
        <v>930</v>
      </c>
      <c r="C984" s="106">
        <v>7</v>
      </c>
      <c r="D984" s="56">
        <v>45959</v>
      </c>
      <c r="E984" s="38">
        <v>8060</v>
      </c>
      <c r="F984" s="38">
        <v>7767</v>
      </c>
      <c r="G984" s="38">
        <v>293</v>
      </c>
      <c r="H984" s="38">
        <v>2597</v>
      </c>
      <c r="I984" s="108">
        <v>3.7723702845371444E-2</v>
      </c>
    </row>
    <row r="985" spans="1:9" x14ac:dyDescent="0.3">
      <c r="A985" s="35" t="s">
        <v>929</v>
      </c>
      <c r="B985" t="s">
        <v>930</v>
      </c>
      <c r="C985" s="106">
        <v>8</v>
      </c>
      <c r="E985" s="38"/>
      <c r="F985" s="38"/>
      <c r="G985" s="38">
        <v>0</v>
      </c>
      <c r="H985" s="38">
        <v>2597</v>
      </c>
      <c r="I985" s="108" t="e">
        <v>#DIV/0!</v>
      </c>
    </row>
    <row r="986" spans="1:9" x14ac:dyDescent="0.3">
      <c r="A986" s="35" t="s">
        <v>929</v>
      </c>
      <c r="B986" t="s">
        <v>930</v>
      </c>
      <c r="C986" s="106">
        <v>9</v>
      </c>
      <c r="E986" s="38"/>
      <c r="F986" s="38"/>
      <c r="G986" s="38">
        <v>0</v>
      </c>
      <c r="H986" s="38">
        <v>2597</v>
      </c>
      <c r="I986" s="108" t="e">
        <v>#DIV/0!</v>
      </c>
    </row>
    <row r="987" spans="1:9" x14ac:dyDescent="0.3">
      <c r="A987" s="35" t="s">
        <v>929</v>
      </c>
      <c r="B987" t="s">
        <v>930</v>
      </c>
      <c r="C987" s="106">
        <v>10</v>
      </c>
      <c r="E987" s="38"/>
      <c r="F987" s="38"/>
      <c r="G987" s="38">
        <v>0</v>
      </c>
      <c r="H987" s="38">
        <v>2597</v>
      </c>
      <c r="I987" s="108" t="e">
        <v>#DIV/0!</v>
      </c>
    </row>
    <row r="988" spans="1:9" x14ac:dyDescent="0.3">
      <c r="A988" s="35" t="s">
        <v>929</v>
      </c>
      <c r="B988" t="s">
        <v>930</v>
      </c>
      <c r="C988" s="106">
        <v>11</v>
      </c>
      <c r="E988" s="38"/>
      <c r="F988" s="38"/>
      <c r="G988" s="38">
        <v>0</v>
      </c>
      <c r="H988" s="38">
        <v>2597</v>
      </c>
    </row>
    <row r="989" spans="1:9" x14ac:dyDescent="0.3">
      <c r="A989" s="35" t="s">
        <v>929</v>
      </c>
      <c r="B989" t="s">
        <v>930</v>
      </c>
      <c r="C989" s="106">
        <v>12</v>
      </c>
      <c r="E989" s="38"/>
      <c r="F989" s="38"/>
      <c r="G989" s="38">
        <v>0</v>
      </c>
      <c r="H989" s="38">
        <v>2597</v>
      </c>
    </row>
    <row r="990" spans="1:9" x14ac:dyDescent="0.3">
      <c r="A990" s="35" t="s">
        <v>929</v>
      </c>
      <c r="B990" t="s">
        <v>930</v>
      </c>
      <c r="C990" s="106">
        <v>13</v>
      </c>
      <c r="E990" s="38"/>
      <c r="F990" s="38"/>
      <c r="G990" s="38">
        <v>0</v>
      </c>
      <c r="H990" s="38">
        <v>2597</v>
      </c>
    </row>
    <row r="991" spans="1:9" x14ac:dyDescent="0.3">
      <c r="A991" s="35" t="s">
        <v>929</v>
      </c>
      <c r="B991" t="s">
        <v>930</v>
      </c>
      <c r="C991" s="106">
        <v>14</v>
      </c>
      <c r="E991" s="38"/>
      <c r="F991" s="38"/>
      <c r="G991" s="38">
        <v>0</v>
      </c>
      <c r="H991" s="38">
        <v>2597</v>
      </c>
    </row>
    <row r="992" spans="1:9" x14ac:dyDescent="0.3">
      <c r="A992" s="35" t="s">
        <v>929</v>
      </c>
      <c r="B992" t="s">
        <v>930</v>
      </c>
      <c r="C992" s="106">
        <v>15</v>
      </c>
      <c r="E992" s="38"/>
      <c r="F992" s="38"/>
      <c r="G992" s="38">
        <v>0</v>
      </c>
      <c r="H992" s="38">
        <v>2597</v>
      </c>
    </row>
    <row r="993" spans="1:9" ht="15" thickBot="1" x14ac:dyDescent="0.35">
      <c r="A993" s="109" t="s">
        <v>929</v>
      </c>
      <c r="B993" s="110" t="s">
        <v>930</v>
      </c>
      <c r="C993" s="114">
        <v>16</v>
      </c>
      <c r="D993" s="110"/>
      <c r="E993" s="115"/>
      <c r="F993" s="115"/>
      <c r="G993" s="115">
        <v>0</v>
      </c>
      <c r="H993" s="115">
        <v>2597</v>
      </c>
      <c r="I993" s="110"/>
    </row>
    <row r="994" spans="1:9" x14ac:dyDescent="0.3">
      <c r="A994" s="35" t="s">
        <v>487</v>
      </c>
      <c r="B994" t="s">
        <v>938</v>
      </c>
      <c r="C994" s="106">
        <v>1</v>
      </c>
      <c r="D994" s="56">
        <v>45917</v>
      </c>
      <c r="E994" s="38">
        <v>3678</v>
      </c>
      <c r="F994" s="38">
        <v>3344</v>
      </c>
      <c r="G994" s="38">
        <v>334</v>
      </c>
      <c r="H994" s="38">
        <v>334</v>
      </c>
      <c r="I994" s="108">
        <v>9.9880382775119611E-2</v>
      </c>
    </row>
    <row r="995" spans="1:9" x14ac:dyDescent="0.3">
      <c r="A995" s="35" t="s">
        <v>487</v>
      </c>
      <c r="B995" t="s">
        <v>938</v>
      </c>
      <c r="C995" s="106">
        <v>2</v>
      </c>
      <c r="D995" s="56">
        <v>45924</v>
      </c>
      <c r="E995" s="38">
        <v>3680</v>
      </c>
      <c r="F995" s="38">
        <v>3344</v>
      </c>
      <c r="G995" s="38">
        <v>336</v>
      </c>
      <c r="H995" s="38">
        <v>670</v>
      </c>
      <c r="I995" s="108">
        <v>0.10047846889952153</v>
      </c>
    </row>
    <row r="996" spans="1:9" x14ac:dyDescent="0.3">
      <c r="A996" s="35" t="s">
        <v>487</v>
      </c>
      <c r="B996" t="s">
        <v>938</v>
      </c>
      <c r="C996" s="106">
        <v>3</v>
      </c>
      <c r="D996" s="56">
        <v>45931</v>
      </c>
      <c r="E996" s="38">
        <v>3680</v>
      </c>
      <c r="F996" s="38">
        <v>3344</v>
      </c>
      <c r="G996" s="38">
        <v>336</v>
      </c>
      <c r="H996" s="38">
        <v>1006</v>
      </c>
      <c r="I996" s="108">
        <v>0.10047846889952153</v>
      </c>
    </row>
    <row r="997" spans="1:9" x14ac:dyDescent="0.3">
      <c r="A997" s="35" t="s">
        <v>487</v>
      </c>
      <c r="B997" t="s">
        <v>938</v>
      </c>
      <c r="C997" s="106">
        <v>4</v>
      </c>
      <c r="D997" s="56">
        <v>45938</v>
      </c>
      <c r="E997" s="38">
        <v>3680</v>
      </c>
      <c r="F997" s="38">
        <v>3344</v>
      </c>
      <c r="G997" s="38">
        <v>336</v>
      </c>
      <c r="H997" s="38">
        <v>1342</v>
      </c>
      <c r="I997" s="108">
        <v>0.10047846889952153</v>
      </c>
    </row>
    <row r="998" spans="1:9" x14ac:dyDescent="0.3">
      <c r="A998" s="35" t="s">
        <v>487</v>
      </c>
      <c r="B998" t="s">
        <v>938</v>
      </c>
      <c r="C998" s="106">
        <v>5</v>
      </c>
      <c r="D998" s="56">
        <v>45945</v>
      </c>
      <c r="E998" s="38">
        <v>3680</v>
      </c>
      <c r="F998" s="38">
        <v>3344</v>
      </c>
      <c r="G998" s="38">
        <v>336</v>
      </c>
      <c r="H998" s="38">
        <v>1678</v>
      </c>
      <c r="I998" s="108">
        <v>0.10047846889952153</v>
      </c>
    </row>
    <row r="999" spans="1:9" x14ac:dyDescent="0.3">
      <c r="A999" s="35" t="s">
        <v>487</v>
      </c>
      <c r="B999" t="s">
        <v>938</v>
      </c>
      <c r="C999" s="106">
        <v>6</v>
      </c>
      <c r="D999" s="56">
        <v>45952</v>
      </c>
      <c r="E999" s="38">
        <v>3680</v>
      </c>
      <c r="F999" s="38">
        <v>3344</v>
      </c>
      <c r="G999" s="38">
        <v>336</v>
      </c>
      <c r="H999" s="38">
        <v>2014</v>
      </c>
      <c r="I999" s="108">
        <v>0.10047846889952153</v>
      </c>
    </row>
    <row r="1000" spans="1:9" x14ac:dyDescent="0.3">
      <c r="A1000" s="35" t="s">
        <v>487</v>
      </c>
      <c r="B1000" t="s">
        <v>938</v>
      </c>
      <c r="C1000" s="106">
        <v>7</v>
      </c>
      <c r="D1000" s="56">
        <v>45959</v>
      </c>
      <c r="E1000" s="38">
        <v>3680</v>
      </c>
      <c r="F1000" s="38">
        <v>3344</v>
      </c>
      <c r="G1000" s="38">
        <v>336</v>
      </c>
      <c r="H1000" s="38">
        <v>2350</v>
      </c>
      <c r="I1000" s="108">
        <v>0.10047846889952153</v>
      </c>
    </row>
    <row r="1001" spans="1:9" x14ac:dyDescent="0.3">
      <c r="A1001" s="35" t="s">
        <v>487</v>
      </c>
      <c r="B1001" t="s">
        <v>938</v>
      </c>
      <c r="C1001" s="106">
        <v>8</v>
      </c>
      <c r="E1001" s="38"/>
      <c r="F1001" s="38"/>
      <c r="G1001" s="38">
        <v>0</v>
      </c>
      <c r="H1001" s="38">
        <v>2350</v>
      </c>
      <c r="I1001" s="108" t="e">
        <v>#DIV/0!</v>
      </c>
    </row>
    <row r="1002" spans="1:9" x14ac:dyDescent="0.3">
      <c r="A1002" s="35" t="s">
        <v>487</v>
      </c>
      <c r="B1002" t="s">
        <v>938</v>
      </c>
      <c r="C1002" s="106">
        <v>9</v>
      </c>
      <c r="E1002" s="38"/>
      <c r="F1002" s="38"/>
      <c r="G1002" s="38">
        <v>0</v>
      </c>
      <c r="H1002" s="38">
        <v>2350</v>
      </c>
      <c r="I1002" s="108" t="e">
        <v>#DIV/0!</v>
      </c>
    </row>
    <row r="1003" spans="1:9" x14ac:dyDescent="0.3">
      <c r="A1003" s="35" t="s">
        <v>487</v>
      </c>
      <c r="B1003" t="s">
        <v>938</v>
      </c>
      <c r="C1003" s="106">
        <v>10</v>
      </c>
      <c r="E1003" s="38"/>
      <c r="F1003" s="38"/>
      <c r="G1003" s="38">
        <v>0</v>
      </c>
      <c r="H1003" s="38">
        <v>2350</v>
      </c>
      <c r="I1003" s="108" t="e">
        <v>#DIV/0!</v>
      </c>
    </row>
    <row r="1004" spans="1:9" x14ac:dyDescent="0.3">
      <c r="A1004" s="35" t="s">
        <v>487</v>
      </c>
      <c r="B1004" t="s">
        <v>938</v>
      </c>
      <c r="C1004" s="106">
        <v>11</v>
      </c>
      <c r="E1004" s="38"/>
      <c r="F1004" s="38"/>
      <c r="G1004" s="38">
        <v>0</v>
      </c>
      <c r="H1004" s="38">
        <v>2350</v>
      </c>
      <c r="I1004" s="108" t="e">
        <v>#DIV/0!</v>
      </c>
    </row>
    <row r="1005" spans="1:9" x14ac:dyDescent="0.3">
      <c r="A1005" s="35" t="s">
        <v>487</v>
      </c>
      <c r="B1005" t="s">
        <v>938</v>
      </c>
      <c r="C1005" s="106">
        <v>12</v>
      </c>
      <c r="E1005" s="38"/>
      <c r="F1005" s="38"/>
      <c r="G1005" s="38">
        <v>0</v>
      </c>
      <c r="H1005" s="38">
        <v>2350</v>
      </c>
      <c r="I1005" s="108" t="e">
        <v>#DIV/0!</v>
      </c>
    </row>
    <row r="1006" spans="1:9" x14ac:dyDescent="0.3">
      <c r="A1006" s="35" t="s">
        <v>487</v>
      </c>
      <c r="B1006" t="s">
        <v>938</v>
      </c>
      <c r="C1006" s="106">
        <v>13</v>
      </c>
      <c r="E1006" s="38"/>
      <c r="F1006" s="38"/>
      <c r="G1006" s="38">
        <v>0</v>
      </c>
      <c r="H1006" s="38">
        <v>2350</v>
      </c>
      <c r="I1006" s="108" t="e">
        <v>#DIV/0!</v>
      </c>
    </row>
    <row r="1007" spans="1:9" x14ac:dyDescent="0.3">
      <c r="A1007" s="35" t="s">
        <v>487</v>
      </c>
      <c r="B1007" t="s">
        <v>938</v>
      </c>
      <c r="C1007" s="106">
        <v>14</v>
      </c>
      <c r="E1007" s="38"/>
      <c r="F1007" s="38"/>
      <c r="G1007" s="38">
        <v>0</v>
      </c>
      <c r="H1007" s="38">
        <v>2350</v>
      </c>
      <c r="I1007" s="108" t="e">
        <v>#DIV/0!</v>
      </c>
    </row>
    <row r="1008" spans="1:9" x14ac:dyDescent="0.3">
      <c r="A1008" s="35" t="s">
        <v>487</v>
      </c>
      <c r="B1008" t="s">
        <v>938</v>
      </c>
      <c r="C1008" s="106">
        <v>15</v>
      </c>
      <c r="E1008" s="38"/>
      <c r="F1008" s="38"/>
      <c r="G1008" s="38">
        <v>0</v>
      </c>
      <c r="H1008" s="38">
        <v>2350</v>
      </c>
      <c r="I1008" s="108" t="e">
        <v>#DIV/0!</v>
      </c>
    </row>
    <row r="1009" spans="1:9" ht="15" thickBot="1" x14ac:dyDescent="0.35">
      <c r="A1009" s="109" t="s">
        <v>487</v>
      </c>
      <c r="B1009" s="110" t="s">
        <v>938</v>
      </c>
      <c r="C1009" s="114">
        <v>16</v>
      </c>
      <c r="D1009" s="110"/>
      <c r="E1009" s="115"/>
      <c r="F1009" s="115"/>
      <c r="G1009" s="115">
        <v>0</v>
      </c>
      <c r="H1009" s="115">
        <v>2350</v>
      </c>
      <c r="I1009" s="110"/>
    </row>
    <row r="1010" spans="1:9" x14ac:dyDescent="0.3">
      <c r="A1010" s="35" t="s">
        <v>977</v>
      </c>
      <c r="B1010" t="s">
        <v>940</v>
      </c>
      <c r="C1010" s="106">
        <v>1</v>
      </c>
      <c r="D1010" s="56">
        <v>45918</v>
      </c>
      <c r="E1010" s="38">
        <v>11333</v>
      </c>
      <c r="F1010" s="38">
        <v>10793</v>
      </c>
      <c r="G1010" s="38">
        <v>540</v>
      </c>
      <c r="H1010" s="38">
        <v>540</v>
      </c>
      <c r="I1010" s="108">
        <v>5.0032428425831554E-2</v>
      </c>
    </row>
    <row r="1011" spans="1:9" x14ac:dyDescent="0.3">
      <c r="A1011" s="35" t="s">
        <v>977</v>
      </c>
      <c r="B1011" t="s">
        <v>940</v>
      </c>
      <c r="C1011" s="106">
        <v>2</v>
      </c>
      <c r="D1011" s="56">
        <v>45925</v>
      </c>
      <c r="E1011" s="38">
        <v>10802</v>
      </c>
      <c r="F1011" s="38">
        <v>10802</v>
      </c>
      <c r="G1011" s="38">
        <v>0</v>
      </c>
      <c r="H1011" s="38">
        <v>540</v>
      </c>
      <c r="I1011" s="108">
        <v>0</v>
      </c>
    </row>
    <row r="1012" spans="1:9" x14ac:dyDescent="0.3">
      <c r="A1012" s="35" t="s">
        <v>977</v>
      </c>
      <c r="B1012" t="s">
        <v>940</v>
      </c>
      <c r="C1012" s="106">
        <v>3</v>
      </c>
      <c r="D1012" s="56">
        <v>45932</v>
      </c>
      <c r="E1012" s="38">
        <v>10802</v>
      </c>
      <c r="F1012" s="38">
        <v>10802</v>
      </c>
      <c r="G1012" s="38">
        <v>0</v>
      </c>
      <c r="H1012" s="38">
        <v>540</v>
      </c>
      <c r="I1012" s="108">
        <v>0</v>
      </c>
    </row>
    <row r="1013" spans="1:9" x14ac:dyDescent="0.3">
      <c r="A1013" s="35" t="s">
        <v>977</v>
      </c>
      <c r="B1013" t="s">
        <v>940</v>
      </c>
      <c r="C1013" s="106">
        <v>4</v>
      </c>
      <c r="D1013" s="56">
        <v>45939</v>
      </c>
      <c r="E1013" s="38">
        <v>10802</v>
      </c>
      <c r="F1013" s="38">
        <v>10802</v>
      </c>
      <c r="G1013" s="38">
        <v>0</v>
      </c>
      <c r="H1013" s="38">
        <v>540</v>
      </c>
      <c r="I1013" s="108">
        <v>0</v>
      </c>
    </row>
    <row r="1014" spans="1:9" x14ac:dyDescent="0.3">
      <c r="A1014" s="35" t="s">
        <v>977</v>
      </c>
      <c r="B1014" t="s">
        <v>940</v>
      </c>
      <c r="C1014" s="106">
        <v>5</v>
      </c>
      <c r="D1014" s="56">
        <v>45946</v>
      </c>
      <c r="E1014" s="38">
        <v>10805</v>
      </c>
      <c r="F1014" s="38">
        <v>10805</v>
      </c>
      <c r="G1014" s="38">
        <v>0</v>
      </c>
      <c r="H1014" s="38">
        <v>540</v>
      </c>
      <c r="I1014" s="108">
        <v>0</v>
      </c>
    </row>
    <row r="1015" spans="1:9" x14ac:dyDescent="0.3">
      <c r="A1015" s="35" t="s">
        <v>977</v>
      </c>
      <c r="B1015" t="s">
        <v>940</v>
      </c>
      <c r="C1015" s="106">
        <v>6</v>
      </c>
      <c r="D1015" s="56">
        <v>45953</v>
      </c>
      <c r="E1015" s="38">
        <v>10805</v>
      </c>
      <c r="F1015" s="38">
        <v>10805</v>
      </c>
      <c r="G1015" s="38">
        <v>0</v>
      </c>
      <c r="H1015" s="38">
        <v>540</v>
      </c>
      <c r="I1015" s="108">
        <v>0</v>
      </c>
    </row>
    <row r="1016" spans="1:9" x14ac:dyDescent="0.3">
      <c r="A1016" s="35" t="s">
        <v>977</v>
      </c>
      <c r="B1016" t="s">
        <v>940</v>
      </c>
      <c r="C1016" s="106">
        <v>7</v>
      </c>
      <c r="D1016" s="56">
        <v>45961</v>
      </c>
      <c r="E1016" s="38">
        <v>10805</v>
      </c>
      <c r="F1016" s="38">
        <v>10805</v>
      </c>
      <c r="G1016" s="38">
        <v>0</v>
      </c>
      <c r="H1016" s="38">
        <v>540</v>
      </c>
      <c r="I1016" s="108">
        <v>0</v>
      </c>
    </row>
    <row r="1017" spans="1:9" x14ac:dyDescent="0.3">
      <c r="A1017" s="35" t="s">
        <v>977</v>
      </c>
      <c r="B1017" t="s">
        <v>940</v>
      </c>
      <c r="C1017" s="106">
        <v>8</v>
      </c>
      <c r="E1017" s="38"/>
      <c r="F1017" s="38"/>
      <c r="G1017" s="38">
        <v>0</v>
      </c>
      <c r="H1017" s="38">
        <v>540</v>
      </c>
      <c r="I1017" s="108" t="e">
        <v>#DIV/0!</v>
      </c>
    </row>
    <row r="1018" spans="1:9" x14ac:dyDescent="0.3">
      <c r="A1018" s="35" t="s">
        <v>977</v>
      </c>
      <c r="B1018" t="s">
        <v>940</v>
      </c>
      <c r="C1018" s="106">
        <v>9</v>
      </c>
      <c r="E1018" s="38"/>
      <c r="F1018" s="38"/>
      <c r="G1018" s="38">
        <v>0</v>
      </c>
      <c r="H1018" s="38">
        <v>540</v>
      </c>
      <c r="I1018" s="108" t="e">
        <v>#DIV/0!</v>
      </c>
    </row>
    <row r="1019" spans="1:9" x14ac:dyDescent="0.3">
      <c r="A1019" s="35" t="s">
        <v>977</v>
      </c>
      <c r="B1019" t="s">
        <v>940</v>
      </c>
      <c r="C1019" s="106">
        <v>10</v>
      </c>
      <c r="E1019" s="38"/>
      <c r="F1019" s="38"/>
      <c r="G1019" s="38">
        <v>0</v>
      </c>
      <c r="H1019" s="38">
        <v>540</v>
      </c>
      <c r="I1019" s="108" t="e">
        <v>#DIV/0!</v>
      </c>
    </row>
    <row r="1020" spans="1:9" x14ac:dyDescent="0.3">
      <c r="A1020" s="35" t="s">
        <v>977</v>
      </c>
      <c r="B1020" t="s">
        <v>940</v>
      </c>
      <c r="C1020" s="106">
        <v>11</v>
      </c>
      <c r="E1020" s="38"/>
      <c r="F1020" s="38"/>
      <c r="G1020" s="38">
        <v>0</v>
      </c>
      <c r="H1020" s="38">
        <v>540</v>
      </c>
      <c r="I1020" s="108" t="e">
        <v>#DIV/0!</v>
      </c>
    </row>
    <row r="1021" spans="1:9" x14ac:dyDescent="0.3">
      <c r="A1021" s="35" t="s">
        <v>977</v>
      </c>
      <c r="B1021" t="s">
        <v>940</v>
      </c>
      <c r="C1021" s="106">
        <v>12</v>
      </c>
      <c r="E1021" s="38"/>
      <c r="F1021" s="38"/>
      <c r="G1021" s="38">
        <v>0</v>
      </c>
      <c r="H1021" s="38">
        <v>540</v>
      </c>
      <c r="I1021" s="108" t="e">
        <v>#DIV/0!</v>
      </c>
    </row>
    <row r="1022" spans="1:9" x14ac:dyDescent="0.3">
      <c r="A1022" s="35" t="s">
        <v>977</v>
      </c>
      <c r="B1022" t="s">
        <v>940</v>
      </c>
      <c r="C1022" s="106">
        <v>13</v>
      </c>
      <c r="E1022" s="38"/>
      <c r="F1022" s="38"/>
      <c r="G1022" s="38">
        <v>0</v>
      </c>
      <c r="H1022" s="38">
        <v>540</v>
      </c>
      <c r="I1022" s="108" t="e">
        <v>#DIV/0!</v>
      </c>
    </row>
    <row r="1023" spans="1:9" x14ac:dyDescent="0.3">
      <c r="A1023" s="35" t="s">
        <v>977</v>
      </c>
      <c r="B1023" t="s">
        <v>940</v>
      </c>
      <c r="C1023" s="106">
        <v>14</v>
      </c>
      <c r="E1023" s="38"/>
      <c r="F1023" s="38"/>
      <c r="G1023" s="38">
        <v>0</v>
      </c>
      <c r="H1023" s="38">
        <v>540</v>
      </c>
      <c r="I1023" s="108" t="e">
        <v>#DIV/0!</v>
      </c>
    </row>
    <row r="1024" spans="1:9" x14ac:dyDescent="0.3">
      <c r="A1024" s="35" t="s">
        <v>977</v>
      </c>
      <c r="B1024" t="s">
        <v>940</v>
      </c>
      <c r="C1024" s="106">
        <v>15</v>
      </c>
      <c r="E1024" s="38"/>
      <c r="F1024" s="38"/>
      <c r="G1024" s="38">
        <v>0</v>
      </c>
      <c r="H1024" s="38">
        <v>540</v>
      </c>
      <c r="I1024" s="108" t="e">
        <v>#DIV/0!</v>
      </c>
    </row>
    <row r="1025" spans="1:9" ht="15" thickBot="1" x14ac:dyDescent="0.35">
      <c r="A1025" s="109" t="s">
        <v>977</v>
      </c>
      <c r="B1025" s="110" t="s">
        <v>940</v>
      </c>
      <c r="C1025" s="114">
        <v>16</v>
      </c>
      <c r="D1025" s="110"/>
      <c r="E1025" s="115"/>
      <c r="F1025" s="115"/>
      <c r="G1025" s="115">
        <v>0</v>
      </c>
      <c r="H1025" s="115">
        <v>540</v>
      </c>
      <c r="I1025" s="110"/>
    </row>
    <row r="1026" spans="1:9" x14ac:dyDescent="0.3">
      <c r="A1026" s="35" t="s">
        <v>978</v>
      </c>
      <c r="B1026" t="s">
        <v>936</v>
      </c>
      <c r="C1026" s="106">
        <v>1</v>
      </c>
      <c r="D1026" s="56">
        <v>45917</v>
      </c>
      <c r="E1026" s="38">
        <v>8444</v>
      </c>
      <c r="F1026" s="38">
        <v>7676</v>
      </c>
      <c r="G1026" s="38">
        <v>768</v>
      </c>
      <c r="H1026" s="38">
        <v>768</v>
      </c>
      <c r="I1026" s="108">
        <v>0.10005211047420531</v>
      </c>
    </row>
    <row r="1027" spans="1:9" x14ac:dyDescent="0.3">
      <c r="A1027" s="35" t="s">
        <v>978</v>
      </c>
      <c r="B1027" t="s">
        <v>936</v>
      </c>
      <c r="C1027" s="106">
        <v>2</v>
      </c>
      <c r="D1027" s="56">
        <v>45924</v>
      </c>
      <c r="E1027" s="38">
        <v>8444</v>
      </c>
      <c r="F1027" s="38">
        <v>7676</v>
      </c>
      <c r="G1027" s="38">
        <v>768</v>
      </c>
      <c r="H1027" s="38">
        <v>1536</v>
      </c>
      <c r="I1027" s="108">
        <v>0.10005211047420531</v>
      </c>
    </row>
    <row r="1028" spans="1:9" x14ac:dyDescent="0.3">
      <c r="A1028" s="35" t="s">
        <v>978</v>
      </c>
      <c r="B1028" t="s">
        <v>936</v>
      </c>
      <c r="C1028" s="106">
        <v>3</v>
      </c>
      <c r="D1028" s="56">
        <v>45931</v>
      </c>
      <c r="E1028" s="38">
        <v>7950</v>
      </c>
      <c r="F1028" s="38">
        <v>7676</v>
      </c>
      <c r="G1028" s="38">
        <v>274</v>
      </c>
      <c r="H1028" s="38">
        <v>1810</v>
      </c>
      <c r="I1028" s="108">
        <v>3.5695674830640955E-2</v>
      </c>
    </row>
    <row r="1029" spans="1:9" x14ac:dyDescent="0.3">
      <c r="A1029" s="35" t="s">
        <v>978</v>
      </c>
      <c r="B1029" t="s">
        <v>936</v>
      </c>
      <c r="C1029" s="106">
        <v>4</v>
      </c>
      <c r="D1029" s="56">
        <v>45938</v>
      </c>
      <c r="E1029" s="38">
        <v>8452</v>
      </c>
      <c r="F1029" s="38">
        <v>7676</v>
      </c>
      <c r="G1029" s="38">
        <v>776</v>
      </c>
      <c r="H1029" s="38">
        <v>2586</v>
      </c>
      <c r="I1029" s="108">
        <v>0.10109431995831163</v>
      </c>
    </row>
    <row r="1030" spans="1:9" x14ac:dyDescent="0.3">
      <c r="A1030" s="35" t="s">
        <v>978</v>
      </c>
      <c r="B1030" t="s">
        <v>936</v>
      </c>
      <c r="C1030" s="106">
        <v>5</v>
      </c>
      <c r="D1030" s="56">
        <v>45945</v>
      </c>
      <c r="E1030" s="38">
        <v>8500</v>
      </c>
      <c r="F1030" s="38">
        <v>7676</v>
      </c>
      <c r="G1030" s="38">
        <v>824</v>
      </c>
      <c r="H1030" s="38">
        <v>3410</v>
      </c>
      <c r="I1030" s="108">
        <v>0.10734757686294945</v>
      </c>
    </row>
    <row r="1031" spans="1:9" x14ac:dyDescent="0.3">
      <c r="A1031" s="35" t="s">
        <v>978</v>
      </c>
      <c r="B1031" t="s">
        <v>936</v>
      </c>
      <c r="C1031" s="106">
        <v>6</v>
      </c>
      <c r="D1031" s="56">
        <v>45952</v>
      </c>
      <c r="E1031" s="38">
        <v>8451</v>
      </c>
      <c r="F1031" s="38">
        <v>7676</v>
      </c>
      <c r="G1031" s="38">
        <v>775</v>
      </c>
      <c r="H1031" s="38">
        <v>4185</v>
      </c>
      <c r="I1031" s="108">
        <v>0.10096404377279833</v>
      </c>
    </row>
    <row r="1032" spans="1:9" x14ac:dyDescent="0.3">
      <c r="A1032" s="35" t="s">
        <v>978</v>
      </c>
      <c r="B1032" t="s">
        <v>936</v>
      </c>
      <c r="C1032" s="106">
        <v>7</v>
      </c>
      <c r="D1032" s="56">
        <v>45959</v>
      </c>
      <c r="E1032" s="38">
        <v>7691</v>
      </c>
      <c r="F1032" s="38">
        <v>7676</v>
      </c>
      <c r="G1032" s="38">
        <v>15</v>
      </c>
      <c r="H1032" s="38">
        <v>4200</v>
      </c>
      <c r="I1032" s="108">
        <v>1.9541427826993227E-3</v>
      </c>
    </row>
    <row r="1033" spans="1:9" x14ac:dyDescent="0.3">
      <c r="A1033" s="35" t="s">
        <v>978</v>
      </c>
      <c r="B1033" t="s">
        <v>936</v>
      </c>
      <c r="C1033" s="106">
        <v>8</v>
      </c>
      <c r="E1033" s="38"/>
      <c r="F1033" s="38"/>
      <c r="G1033" s="38">
        <v>0</v>
      </c>
      <c r="H1033" s="38">
        <v>4200</v>
      </c>
      <c r="I1033" s="108" t="e">
        <v>#DIV/0!</v>
      </c>
    </row>
    <row r="1034" spans="1:9" x14ac:dyDescent="0.3">
      <c r="A1034" s="35" t="s">
        <v>978</v>
      </c>
      <c r="B1034" t="s">
        <v>936</v>
      </c>
      <c r="C1034" s="106">
        <v>9</v>
      </c>
      <c r="E1034" s="38"/>
      <c r="F1034" s="38"/>
      <c r="G1034" s="38">
        <v>0</v>
      </c>
      <c r="H1034" s="38">
        <v>4200</v>
      </c>
      <c r="I1034" s="108" t="e">
        <v>#DIV/0!</v>
      </c>
    </row>
    <row r="1035" spans="1:9" x14ac:dyDescent="0.3">
      <c r="A1035" s="35" t="s">
        <v>978</v>
      </c>
      <c r="B1035" t="s">
        <v>936</v>
      </c>
      <c r="C1035" s="106">
        <v>10</v>
      </c>
      <c r="E1035" s="38"/>
      <c r="F1035" s="38"/>
      <c r="G1035" s="38">
        <v>0</v>
      </c>
      <c r="H1035" s="38">
        <v>4200</v>
      </c>
      <c r="I1035" s="108" t="e">
        <v>#DIV/0!</v>
      </c>
    </row>
    <row r="1036" spans="1:9" x14ac:dyDescent="0.3">
      <c r="A1036" s="35" t="s">
        <v>978</v>
      </c>
      <c r="B1036" t="s">
        <v>936</v>
      </c>
      <c r="C1036" s="106">
        <v>11</v>
      </c>
      <c r="E1036" s="38"/>
      <c r="F1036" s="38"/>
      <c r="G1036" s="38">
        <v>0</v>
      </c>
      <c r="H1036" s="38">
        <v>4200</v>
      </c>
    </row>
    <row r="1037" spans="1:9" x14ac:dyDescent="0.3">
      <c r="A1037" s="35" t="s">
        <v>978</v>
      </c>
      <c r="B1037" t="s">
        <v>936</v>
      </c>
      <c r="C1037" s="106">
        <v>12</v>
      </c>
      <c r="E1037" s="38"/>
      <c r="F1037" s="38"/>
      <c r="G1037" s="38">
        <v>0</v>
      </c>
      <c r="H1037" s="38">
        <v>4200</v>
      </c>
    </row>
    <row r="1038" spans="1:9" x14ac:dyDescent="0.3">
      <c r="A1038" s="35" t="s">
        <v>978</v>
      </c>
      <c r="B1038" t="s">
        <v>936</v>
      </c>
      <c r="C1038" s="106">
        <v>13</v>
      </c>
      <c r="E1038" s="38"/>
      <c r="F1038" s="38"/>
      <c r="G1038" s="38">
        <v>0</v>
      </c>
      <c r="H1038" s="38">
        <v>4200</v>
      </c>
    </row>
    <row r="1039" spans="1:9" x14ac:dyDescent="0.3">
      <c r="A1039" s="35" t="s">
        <v>978</v>
      </c>
      <c r="B1039" t="s">
        <v>936</v>
      </c>
      <c r="C1039" s="106">
        <v>14</v>
      </c>
      <c r="E1039" s="38"/>
      <c r="F1039" s="38"/>
      <c r="G1039" s="38">
        <v>0</v>
      </c>
      <c r="H1039" s="38">
        <v>4200</v>
      </c>
    </row>
    <row r="1040" spans="1:9" x14ac:dyDescent="0.3">
      <c r="A1040" s="35" t="s">
        <v>978</v>
      </c>
      <c r="B1040" t="s">
        <v>936</v>
      </c>
      <c r="C1040" s="106">
        <v>15</v>
      </c>
      <c r="E1040" s="38"/>
      <c r="F1040" s="38"/>
      <c r="G1040" s="38">
        <v>0</v>
      </c>
      <c r="H1040" s="38">
        <v>4200</v>
      </c>
    </row>
    <row r="1041" spans="1:9" ht="15" thickBot="1" x14ac:dyDescent="0.35">
      <c r="A1041" s="109" t="s">
        <v>978</v>
      </c>
      <c r="B1041" s="110" t="s">
        <v>936</v>
      </c>
      <c r="C1041" s="114">
        <v>16</v>
      </c>
      <c r="D1041" s="110"/>
      <c r="E1041" s="115"/>
      <c r="F1041" s="115"/>
      <c r="G1041" s="115">
        <v>0</v>
      </c>
      <c r="H1041" s="115">
        <v>4200</v>
      </c>
      <c r="I1041" s="110"/>
    </row>
    <row r="1042" spans="1:9" x14ac:dyDescent="0.3">
      <c r="A1042" s="35" t="s">
        <v>934</v>
      </c>
      <c r="B1042" t="s">
        <v>880</v>
      </c>
      <c r="C1042" s="106">
        <v>1</v>
      </c>
      <c r="D1042" s="56">
        <v>45918</v>
      </c>
      <c r="E1042" s="38">
        <v>11970</v>
      </c>
      <c r="F1042" s="38">
        <v>11407</v>
      </c>
      <c r="G1042" s="38">
        <v>563</v>
      </c>
      <c r="H1042" s="38">
        <v>563</v>
      </c>
      <c r="I1042" s="108">
        <v>4.9355658805996315E-2</v>
      </c>
    </row>
    <row r="1043" spans="1:9" x14ac:dyDescent="0.3">
      <c r="A1043" s="35" t="s">
        <v>934</v>
      </c>
      <c r="B1043" t="s">
        <v>880</v>
      </c>
      <c r="C1043" s="106">
        <v>2</v>
      </c>
      <c r="D1043" s="56">
        <v>45925</v>
      </c>
      <c r="E1043" s="38">
        <v>11970</v>
      </c>
      <c r="F1043" s="38">
        <v>11407</v>
      </c>
      <c r="G1043" s="38">
        <v>563</v>
      </c>
      <c r="H1043" s="38">
        <v>1126</v>
      </c>
      <c r="I1043" s="108">
        <v>4.9355658805996315E-2</v>
      </c>
    </row>
    <row r="1044" spans="1:9" x14ac:dyDescent="0.3">
      <c r="A1044" s="35" t="s">
        <v>934</v>
      </c>
      <c r="B1044" t="s">
        <v>880</v>
      </c>
      <c r="C1044" s="106">
        <v>3</v>
      </c>
      <c r="D1044" s="56">
        <v>45932</v>
      </c>
      <c r="E1044" s="38">
        <v>11970</v>
      </c>
      <c r="F1044" s="38">
        <v>11407</v>
      </c>
      <c r="G1044" s="38">
        <v>563</v>
      </c>
      <c r="H1044" s="38">
        <v>1689</v>
      </c>
      <c r="I1044" s="108">
        <v>4.9355658805996315E-2</v>
      </c>
    </row>
    <row r="1045" spans="1:9" x14ac:dyDescent="0.3">
      <c r="A1045" s="35" t="s">
        <v>934</v>
      </c>
      <c r="B1045" t="s">
        <v>880</v>
      </c>
      <c r="C1045" s="106">
        <v>4</v>
      </c>
      <c r="D1045" s="56">
        <v>45939</v>
      </c>
      <c r="E1045" s="38">
        <v>11970</v>
      </c>
      <c r="F1045" s="38">
        <v>11407</v>
      </c>
      <c r="G1045" s="38">
        <v>563</v>
      </c>
      <c r="H1045" s="38">
        <v>2252</v>
      </c>
      <c r="I1045" s="108">
        <v>4.9355658805996315E-2</v>
      </c>
    </row>
    <row r="1046" spans="1:9" x14ac:dyDescent="0.3">
      <c r="A1046" s="35" t="s">
        <v>934</v>
      </c>
      <c r="B1046" t="s">
        <v>880</v>
      </c>
      <c r="C1046" s="106">
        <v>5</v>
      </c>
      <c r="D1046" s="56">
        <v>45946</v>
      </c>
      <c r="E1046" s="38">
        <v>11970</v>
      </c>
      <c r="F1046" s="38">
        <v>11407</v>
      </c>
      <c r="G1046" s="38">
        <v>563</v>
      </c>
      <c r="H1046" s="38">
        <v>2815</v>
      </c>
      <c r="I1046" s="108">
        <v>4.9355658805996315E-2</v>
      </c>
    </row>
    <row r="1047" spans="1:9" x14ac:dyDescent="0.3">
      <c r="A1047" s="35" t="s">
        <v>934</v>
      </c>
      <c r="B1047" t="s">
        <v>880</v>
      </c>
      <c r="C1047" s="106">
        <v>6</v>
      </c>
      <c r="D1047" s="56">
        <v>45953</v>
      </c>
      <c r="E1047" s="38">
        <v>11970</v>
      </c>
      <c r="F1047" s="38">
        <v>11407</v>
      </c>
      <c r="G1047" s="38">
        <v>563</v>
      </c>
      <c r="H1047" s="38">
        <v>3378</v>
      </c>
      <c r="I1047" s="108">
        <v>4.9355658805996315E-2</v>
      </c>
    </row>
    <row r="1048" spans="1:9" x14ac:dyDescent="0.3">
      <c r="A1048" s="35" t="s">
        <v>934</v>
      </c>
      <c r="B1048" t="s">
        <v>880</v>
      </c>
      <c r="C1048" s="106">
        <v>7</v>
      </c>
      <c r="D1048" s="56">
        <v>45960</v>
      </c>
      <c r="E1048" s="38">
        <v>11970</v>
      </c>
      <c r="F1048" s="38">
        <v>11407</v>
      </c>
      <c r="G1048" s="38">
        <v>563</v>
      </c>
      <c r="H1048" s="38">
        <v>3941</v>
      </c>
      <c r="I1048" s="108">
        <v>4.9355658805996315E-2</v>
      </c>
    </row>
    <row r="1049" spans="1:9" x14ac:dyDescent="0.3">
      <c r="A1049" s="35" t="s">
        <v>934</v>
      </c>
      <c r="B1049" t="s">
        <v>880</v>
      </c>
      <c r="C1049" s="106">
        <v>8</v>
      </c>
      <c r="E1049" s="38"/>
      <c r="F1049" s="38"/>
      <c r="G1049" s="38">
        <v>0</v>
      </c>
      <c r="H1049" s="38">
        <v>3941</v>
      </c>
      <c r="I1049" s="108" t="e">
        <v>#DIV/0!</v>
      </c>
    </row>
    <row r="1050" spans="1:9" x14ac:dyDescent="0.3">
      <c r="A1050" s="35" t="s">
        <v>934</v>
      </c>
      <c r="B1050" t="s">
        <v>880</v>
      </c>
      <c r="C1050" s="106">
        <v>9</v>
      </c>
      <c r="E1050" s="38"/>
      <c r="F1050" s="38"/>
      <c r="G1050" s="38">
        <v>0</v>
      </c>
      <c r="H1050" s="38">
        <v>3941</v>
      </c>
      <c r="I1050" s="108" t="e">
        <v>#DIV/0!</v>
      </c>
    </row>
    <row r="1051" spans="1:9" x14ac:dyDescent="0.3">
      <c r="A1051" s="35" t="s">
        <v>934</v>
      </c>
      <c r="B1051" t="s">
        <v>880</v>
      </c>
      <c r="C1051" s="106">
        <v>10</v>
      </c>
      <c r="E1051" s="38"/>
      <c r="F1051" s="38"/>
      <c r="G1051" s="38">
        <v>0</v>
      </c>
      <c r="H1051" s="38">
        <v>3941</v>
      </c>
    </row>
    <row r="1052" spans="1:9" x14ac:dyDescent="0.3">
      <c r="A1052" s="35" t="s">
        <v>934</v>
      </c>
      <c r="B1052" t="s">
        <v>880</v>
      </c>
      <c r="C1052" s="106">
        <v>11</v>
      </c>
      <c r="E1052" s="38"/>
      <c r="F1052" s="38"/>
      <c r="G1052" s="38">
        <v>0</v>
      </c>
      <c r="H1052" s="38">
        <v>3941</v>
      </c>
    </row>
    <row r="1053" spans="1:9" x14ac:dyDescent="0.3">
      <c r="A1053" s="35" t="s">
        <v>934</v>
      </c>
      <c r="B1053" t="s">
        <v>880</v>
      </c>
      <c r="C1053" s="106">
        <v>12</v>
      </c>
      <c r="E1053" s="38"/>
      <c r="F1053" s="38"/>
      <c r="G1053" s="38">
        <v>0</v>
      </c>
      <c r="H1053" s="38">
        <v>3941</v>
      </c>
    </row>
    <row r="1054" spans="1:9" x14ac:dyDescent="0.3">
      <c r="A1054" s="35" t="s">
        <v>934</v>
      </c>
      <c r="B1054" t="s">
        <v>880</v>
      </c>
      <c r="C1054" s="106">
        <v>13</v>
      </c>
      <c r="E1054" s="38"/>
      <c r="F1054" s="38"/>
      <c r="G1054" s="38">
        <v>0</v>
      </c>
      <c r="H1054" s="38">
        <v>3941</v>
      </c>
    </row>
    <row r="1055" spans="1:9" x14ac:dyDescent="0.3">
      <c r="A1055" s="35" t="s">
        <v>934</v>
      </c>
      <c r="B1055" t="s">
        <v>880</v>
      </c>
      <c r="C1055" s="106">
        <v>14</v>
      </c>
      <c r="E1055" s="38"/>
      <c r="F1055" s="38"/>
      <c r="G1055" s="38">
        <v>0</v>
      </c>
      <c r="H1055" s="38">
        <v>3941</v>
      </c>
    </row>
    <row r="1056" spans="1:9" x14ac:dyDescent="0.3">
      <c r="A1056" s="35" t="s">
        <v>934</v>
      </c>
      <c r="B1056" t="s">
        <v>880</v>
      </c>
      <c r="C1056" s="106">
        <v>15</v>
      </c>
      <c r="E1056" s="38"/>
      <c r="F1056" s="38"/>
      <c r="G1056" s="38">
        <v>0</v>
      </c>
      <c r="H1056" s="38">
        <v>3941</v>
      </c>
    </row>
    <row r="1057" spans="1:9" ht="15" thickBot="1" x14ac:dyDescent="0.35">
      <c r="A1057" s="109" t="s">
        <v>934</v>
      </c>
      <c r="B1057" s="110" t="s">
        <v>880</v>
      </c>
      <c r="C1057" s="114">
        <v>16</v>
      </c>
      <c r="D1057" s="110"/>
      <c r="E1057" s="115"/>
      <c r="F1057" s="115"/>
      <c r="G1057" s="115">
        <v>0</v>
      </c>
      <c r="H1057" s="115">
        <v>3941</v>
      </c>
      <c r="I1057" s="110"/>
    </row>
    <row r="1058" spans="1:9" x14ac:dyDescent="0.3">
      <c r="A1058" s="35" t="s">
        <v>973</v>
      </c>
      <c r="B1058" t="s">
        <v>881</v>
      </c>
      <c r="C1058" s="106">
        <v>1</v>
      </c>
      <c r="D1058" s="56">
        <v>45917</v>
      </c>
      <c r="E1058" s="38">
        <v>4973</v>
      </c>
      <c r="F1058" s="38">
        <v>4637</v>
      </c>
      <c r="G1058" s="38">
        <v>336</v>
      </c>
      <c r="H1058" s="38">
        <v>336</v>
      </c>
      <c r="I1058" s="108">
        <v>7.2460642656890228E-2</v>
      </c>
    </row>
    <row r="1059" spans="1:9" x14ac:dyDescent="0.3">
      <c r="A1059" s="35" t="s">
        <v>973</v>
      </c>
      <c r="B1059" t="s">
        <v>881</v>
      </c>
      <c r="C1059" s="106">
        <v>2</v>
      </c>
      <c r="D1059" s="56">
        <v>45924</v>
      </c>
      <c r="E1059" s="38">
        <v>4973</v>
      </c>
      <c r="F1059" s="38">
        <v>4637</v>
      </c>
      <c r="G1059" s="38">
        <v>336</v>
      </c>
      <c r="H1059" s="38">
        <v>672</v>
      </c>
      <c r="I1059" s="108">
        <v>7.2460642656890228E-2</v>
      </c>
    </row>
    <row r="1060" spans="1:9" x14ac:dyDescent="0.3">
      <c r="A1060" s="35" t="s">
        <v>973</v>
      </c>
      <c r="B1060" t="s">
        <v>881</v>
      </c>
      <c r="C1060" s="106">
        <v>3</v>
      </c>
      <c r="D1060" s="56">
        <v>45931</v>
      </c>
      <c r="E1060" s="38">
        <v>4973</v>
      </c>
      <c r="F1060" s="38">
        <v>4636</v>
      </c>
      <c r="G1060" s="38">
        <v>337</v>
      </c>
      <c r="H1060" s="38">
        <v>1009</v>
      </c>
      <c r="I1060" s="108">
        <v>7.2691975841242457E-2</v>
      </c>
    </row>
    <row r="1061" spans="1:9" x14ac:dyDescent="0.3">
      <c r="A1061" s="35" t="s">
        <v>973</v>
      </c>
      <c r="B1061" t="s">
        <v>881</v>
      </c>
      <c r="C1061" s="106">
        <v>4</v>
      </c>
      <c r="D1061" s="56">
        <v>45938</v>
      </c>
      <c r="E1061" s="38">
        <v>4973</v>
      </c>
      <c r="F1061" s="38">
        <v>4637</v>
      </c>
      <c r="G1061" s="38">
        <v>336</v>
      </c>
      <c r="H1061" s="38">
        <v>1345</v>
      </c>
      <c r="I1061" s="108">
        <v>7.2460642656890228E-2</v>
      </c>
    </row>
    <row r="1062" spans="1:9" x14ac:dyDescent="0.3">
      <c r="A1062" s="35" t="s">
        <v>973</v>
      </c>
      <c r="B1062" t="s">
        <v>881</v>
      </c>
      <c r="C1062" s="106">
        <v>5</v>
      </c>
      <c r="D1062" s="56">
        <v>45945</v>
      </c>
      <c r="E1062" s="38">
        <v>4973</v>
      </c>
      <c r="F1062" s="38">
        <v>4636</v>
      </c>
      <c r="G1062" s="38">
        <v>337</v>
      </c>
      <c r="H1062" s="38">
        <v>1682</v>
      </c>
      <c r="I1062" s="108">
        <v>7.2691975841242457E-2</v>
      </c>
    </row>
    <row r="1063" spans="1:9" x14ac:dyDescent="0.3">
      <c r="A1063" s="35" t="s">
        <v>973</v>
      </c>
      <c r="B1063" t="s">
        <v>881</v>
      </c>
      <c r="C1063" s="106">
        <v>6</v>
      </c>
      <c r="D1063" s="56">
        <v>45952</v>
      </c>
      <c r="E1063" s="38">
        <v>4973</v>
      </c>
      <c r="F1063" s="38">
        <v>4637</v>
      </c>
      <c r="G1063" s="38">
        <v>336</v>
      </c>
      <c r="H1063" s="38">
        <v>2018</v>
      </c>
      <c r="I1063" s="108">
        <v>7.2460642656890228E-2</v>
      </c>
    </row>
    <row r="1064" spans="1:9" x14ac:dyDescent="0.3">
      <c r="A1064" s="35" t="s">
        <v>973</v>
      </c>
      <c r="B1064" t="s">
        <v>881</v>
      </c>
      <c r="C1064" s="106">
        <v>7</v>
      </c>
      <c r="D1064" s="56">
        <v>45959</v>
      </c>
      <c r="E1064" s="38">
        <v>4973</v>
      </c>
      <c r="F1064" s="38">
        <v>4637</v>
      </c>
      <c r="G1064" s="38">
        <v>336</v>
      </c>
      <c r="H1064" s="38">
        <v>2354</v>
      </c>
      <c r="I1064" s="108">
        <v>7.2460642656890228E-2</v>
      </c>
    </row>
    <row r="1065" spans="1:9" x14ac:dyDescent="0.3">
      <c r="A1065" s="35" t="s">
        <v>973</v>
      </c>
      <c r="B1065" t="s">
        <v>881</v>
      </c>
      <c r="C1065" s="106">
        <v>8</v>
      </c>
      <c r="E1065" s="38"/>
      <c r="F1065" s="38"/>
      <c r="G1065" s="38">
        <v>0</v>
      </c>
      <c r="H1065" s="38">
        <v>2354</v>
      </c>
      <c r="I1065" s="108" t="e">
        <v>#DIV/0!</v>
      </c>
    </row>
    <row r="1066" spans="1:9" x14ac:dyDescent="0.3">
      <c r="A1066" s="35" t="s">
        <v>973</v>
      </c>
      <c r="B1066" t="s">
        <v>881</v>
      </c>
      <c r="C1066" s="106">
        <v>9</v>
      </c>
      <c r="E1066" s="38"/>
      <c r="F1066" s="38"/>
      <c r="G1066" s="38">
        <v>0</v>
      </c>
      <c r="H1066" s="38">
        <v>2354</v>
      </c>
      <c r="I1066" s="108" t="e">
        <v>#DIV/0!</v>
      </c>
    </row>
    <row r="1067" spans="1:9" x14ac:dyDescent="0.3">
      <c r="A1067" s="35" t="s">
        <v>973</v>
      </c>
      <c r="B1067" t="s">
        <v>881</v>
      </c>
      <c r="C1067" s="106">
        <v>10</v>
      </c>
      <c r="E1067" s="38"/>
      <c r="F1067" s="38"/>
      <c r="G1067" s="38">
        <v>0</v>
      </c>
      <c r="H1067" s="38">
        <v>2354</v>
      </c>
      <c r="I1067" s="108" t="e">
        <v>#DIV/0!</v>
      </c>
    </row>
    <row r="1068" spans="1:9" x14ac:dyDescent="0.3">
      <c r="A1068" s="35" t="s">
        <v>973</v>
      </c>
      <c r="B1068" t="s">
        <v>881</v>
      </c>
      <c r="C1068" s="106">
        <v>11</v>
      </c>
      <c r="E1068" s="38"/>
      <c r="F1068" s="38"/>
      <c r="G1068" s="38">
        <v>0</v>
      </c>
      <c r="H1068" s="38">
        <v>2354</v>
      </c>
      <c r="I1068" s="108" t="e">
        <v>#DIV/0!</v>
      </c>
    </row>
    <row r="1069" spans="1:9" x14ac:dyDescent="0.3">
      <c r="A1069" s="35" t="s">
        <v>973</v>
      </c>
      <c r="B1069" t="s">
        <v>881</v>
      </c>
      <c r="C1069" s="106">
        <v>12</v>
      </c>
      <c r="E1069" s="38"/>
      <c r="F1069" s="38"/>
      <c r="G1069" s="38">
        <v>0</v>
      </c>
      <c r="H1069" s="38">
        <v>2354</v>
      </c>
      <c r="I1069" s="108" t="e">
        <v>#DIV/0!</v>
      </c>
    </row>
    <row r="1070" spans="1:9" x14ac:dyDescent="0.3">
      <c r="A1070" s="35" t="s">
        <v>973</v>
      </c>
      <c r="B1070" t="s">
        <v>881</v>
      </c>
      <c r="C1070" s="106">
        <v>13</v>
      </c>
      <c r="E1070" s="38"/>
      <c r="F1070" s="38"/>
      <c r="G1070" s="38">
        <v>0</v>
      </c>
      <c r="H1070" s="38">
        <v>2354</v>
      </c>
    </row>
    <row r="1071" spans="1:9" x14ac:dyDescent="0.3">
      <c r="A1071" s="35" t="s">
        <v>973</v>
      </c>
      <c r="B1071" t="s">
        <v>881</v>
      </c>
      <c r="C1071" s="106">
        <v>14</v>
      </c>
      <c r="E1071" s="38"/>
      <c r="F1071" s="38"/>
      <c r="G1071" s="38">
        <v>0</v>
      </c>
      <c r="H1071" s="38">
        <v>2354</v>
      </c>
    </row>
    <row r="1072" spans="1:9" x14ac:dyDescent="0.3">
      <c r="A1072" s="35" t="s">
        <v>973</v>
      </c>
      <c r="B1072" t="s">
        <v>881</v>
      </c>
      <c r="C1072" s="106">
        <v>15</v>
      </c>
      <c r="E1072" s="38"/>
      <c r="F1072" s="38"/>
      <c r="G1072" s="38">
        <v>0</v>
      </c>
      <c r="H1072" s="38">
        <v>2354</v>
      </c>
    </row>
    <row r="1073" spans="1:9" ht="15" thickBot="1" x14ac:dyDescent="0.35">
      <c r="A1073" s="109" t="s">
        <v>973</v>
      </c>
      <c r="B1073" s="110" t="s">
        <v>881</v>
      </c>
      <c r="C1073" s="114">
        <v>16</v>
      </c>
      <c r="D1073" s="110"/>
      <c r="E1073" s="115"/>
      <c r="F1073" s="115"/>
      <c r="G1073" s="115">
        <v>0</v>
      </c>
      <c r="H1073" s="115">
        <v>2354</v>
      </c>
      <c r="I1073" s="110"/>
    </row>
    <row r="1074" spans="1:9" x14ac:dyDescent="0.3">
      <c r="A1074" s="35" t="s">
        <v>501</v>
      </c>
      <c r="B1074" t="s">
        <v>944</v>
      </c>
      <c r="C1074" s="106">
        <v>1</v>
      </c>
      <c r="D1074" s="56">
        <v>45918</v>
      </c>
      <c r="E1074" s="38">
        <v>16552</v>
      </c>
      <c r="F1074" s="38">
        <v>15090</v>
      </c>
      <c r="G1074" s="38">
        <v>1462</v>
      </c>
      <c r="H1074" s="38">
        <v>1462</v>
      </c>
      <c r="I1074" s="108">
        <v>9.6885354539430091E-2</v>
      </c>
    </row>
    <row r="1075" spans="1:9" x14ac:dyDescent="0.3">
      <c r="A1075" s="35" t="s">
        <v>501</v>
      </c>
      <c r="B1075" t="s">
        <v>944</v>
      </c>
      <c r="C1075" s="106">
        <v>2</v>
      </c>
      <c r="D1075" s="56">
        <v>45925</v>
      </c>
      <c r="E1075" s="38">
        <v>16552</v>
      </c>
      <c r="F1075" s="38">
        <v>15090</v>
      </c>
      <c r="G1075" s="38">
        <v>1462</v>
      </c>
      <c r="H1075" s="38">
        <v>2924</v>
      </c>
      <c r="I1075" s="108">
        <v>9.6885354539430091E-2</v>
      </c>
    </row>
    <row r="1076" spans="1:9" x14ac:dyDescent="0.3">
      <c r="A1076" s="35" t="s">
        <v>501</v>
      </c>
      <c r="B1076" t="s">
        <v>944</v>
      </c>
      <c r="C1076" s="106">
        <v>3</v>
      </c>
      <c r="D1076" s="56">
        <v>45932</v>
      </c>
      <c r="E1076" s="38">
        <v>16201</v>
      </c>
      <c r="F1076" s="38">
        <v>15090</v>
      </c>
      <c r="G1076" s="38">
        <v>1111</v>
      </c>
      <c r="H1076" s="38">
        <v>4035</v>
      </c>
      <c r="I1076" s="108">
        <v>7.3624917163684564E-2</v>
      </c>
    </row>
    <row r="1077" spans="1:9" x14ac:dyDescent="0.3">
      <c r="A1077" s="35" t="s">
        <v>501</v>
      </c>
      <c r="B1077" t="s">
        <v>944</v>
      </c>
      <c r="C1077" s="106">
        <v>4</v>
      </c>
      <c r="D1077" s="56">
        <v>45939</v>
      </c>
      <c r="E1077" s="38">
        <v>16213</v>
      </c>
      <c r="F1077" s="38">
        <v>15090</v>
      </c>
      <c r="G1077" s="38">
        <v>1123</v>
      </c>
      <c r="H1077" s="38">
        <v>5158</v>
      </c>
      <c r="I1077" s="108">
        <v>7.4420145791915179E-2</v>
      </c>
    </row>
    <row r="1078" spans="1:9" x14ac:dyDescent="0.3">
      <c r="A1078" s="35" t="s">
        <v>501</v>
      </c>
      <c r="B1078" t="s">
        <v>944</v>
      </c>
      <c r="C1078" s="106">
        <v>5</v>
      </c>
      <c r="D1078" s="56">
        <v>45946</v>
      </c>
      <c r="E1078" s="38">
        <v>16369</v>
      </c>
      <c r="F1078" s="38">
        <v>15890</v>
      </c>
      <c r="G1078" s="38">
        <v>479</v>
      </c>
      <c r="H1078" s="38">
        <v>5637</v>
      </c>
      <c r="I1078" s="108">
        <v>3.014474512271869E-2</v>
      </c>
    </row>
    <row r="1079" spans="1:9" x14ac:dyDescent="0.3">
      <c r="A1079" s="35" t="s">
        <v>501</v>
      </c>
      <c r="B1079" t="s">
        <v>944</v>
      </c>
      <c r="C1079" s="106">
        <v>6</v>
      </c>
      <c r="D1079" s="56">
        <v>45953</v>
      </c>
      <c r="E1079" s="38">
        <v>16000</v>
      </c>
      <c r="F1079" s="38">
        <v>15089</v>
      </c>
      <c r="G1079" s="38">
        <v>911</v>
      </c>
      <c r="H1079" s="38">
        <v>6548</v>
      </c>
      <c r="I1079" s="108">
        <v>6.0375107694346876E-2</v>
      </c>
    </row>
    <row r="1080" spans="1:9" x14ac:dyDescent="0.3">
      <c r="A1080" s="35" t="s">
        <v>501</v>
      </c>
      <c r="B1080" t="s">
        <v>944</v>
      </c>
      <c r="C1080" s="106">
        <v>7</v>
      </c>
      <c r="D1080" s="56">
        <v>45960</v>
      </c>
      <c r="E1080" s="38">
        <v>16127</v>
      </c>
      <c r="F1080" s="38">
        <v>15089</v>
      </c>
      <c r="G1080" s="38">
        <v>1038</v>
      </c>
      <c r="H1080" s="38">
        <v>7586</v>
      </c>
      <c r="I1080" s="108">
        <v>6.8791835111670752E-2</v>
      </c>
    </row>
    <row r="1081" spans="1:9" x14ac:dyDescent="0.3">
      <c r="A1081" s="35" t="s">
        <v>501</v>
      </c>
      <c r="B1081" t="s">
        <v>944</v>
      </c>
      <c r="C1081" s="106">
        <v>8</v>
      </c>
      <c r="E1081" s="38"/>
      <c r="F1081" s="38"/>
      <c r="G1081" s="38">
        <v>0</v>
      </c>
      <c r="H1081" s="38">
        <v>7586</v>
      </c>
      <c r="I1081" s="108" t="e">
        <v>#DIV/0!</v>
      </c>
    </row>
    <row r="1082" spans="1:9" x14ac:dyDescent="0.3">
      <c r="A1082" s="35" t="s">
        <v>501</v>
      </c>
      <c r="B1082" t="s">
        <v>944</v>
      </c>
      <c r="C1082" s="106">
        <v>9</v>
      </c>
      <c r="E1082" s="38"/>
      <c r="F1082" s="38"/>
      <c r="G1082" s="38">
        <v>0</v>
      </c>
      <c r="H1082" s="38">
        <v>7586</v>
      </c>
      <c r="I1082" s="108" t="e">
        <v>#DIV/0!</v>
      </c>
    </row>
    <row r="1083" spans="1:9" x14ac:dyDescent="0.3">
      <c r="A1083" s="35" t="s">
        <v>501</v>
      </c>
      <c r="B1083" t="s">
        <v>944</v>
      </c>
      <c r="C1083" s="106">
        <v>10</v>
      </c>
      <c r="E1083" s="38"/>
      <c r="F1083" s="38"/>
      <c r="G1083" s="38">
        <v>0</v>
      </c>
      <c r="H1083" s="38">
        <v>7586</v>
      </c>
      <c r="I1083" s="108" t="e">
        <v>#DIV/0!</v>
      </c>
    </row>
    <row r="1084" spans="1:9" x14ac:dyDescent="0.3">
      <c r="A1084" s="35" t="s">
        <v>501</v>
      </c>
      <c r="B1084" t="s">
        <v>944</v>
      </c>
      <c r="C1084" s="106">
        <v>11</v>
      </c>
      <c r="E1084" s="38"/>
      <c r="F1084" s="38"/>
      <c r="G1084" s="38">
        <v>0</v>
      </c>
      <c r="H1084" s="38">
        <v>7586</v>
      </c>
      <c r="I1084" s="108" t="e">
        <v>#DIV/0!</v>
      </c>
    </row>
    <row r="1085" spans="1:9" x14ac:dyDescent="0.3">
      <c r="A1085" s="35" t="s">
        <v>501</v>
      </c>
      <c r="B1085" t="s">
        <v>944</v>
      </c>
      <c r="C1085" s="106">
        <v>12</v>
      </c>
      <c r="E1085" s="38"/>
      <c r="F1085" s="38"/>
      <c r="G1085" s="38">
        <v>0</v>
      </c>
      <c r="H1085" s="38">
        <v>7586</v>
      </c>
      <c r="I1085" s="108" t="e">
        <v>#DIV/0!</v>
      </c>
    </row>
    <row r="1086" spans="1:9" x14ac:dyDescent="0.3">
      <c r="A1086" s="35" t="s">
        <v>501</v>
      </c>
      <c r="B1086" t="s">
        <v>944</v>
      </c>
      <c r="C1086" s="106">
        <v>13</v>
      </c>
      <c r="E1086" s="38"/>
      <c r="F1086" s="38"/>
      <c r="G1086" s="38">
        <v>0</v>
      </c>
      <c r="H1086" s="38">
        <v>7586</v>
      </c>
      <c r="I1086" s="108" t="e">
        <v>#DIV/0!</v>
      </c>
    </row>
    <row r="1087" spans="1:9" x14ac:dyDescent="0.3">
      <c r="A1087" s="35" t="s">
        <v>501</v>
      </c>
      <c r="B1087" t="s">
        <v>944</v>
      </c>
      <c r="C1087" s="106">
        <v>14</v>
      </c>
      <c r="E1087" s="38"/>
      <c r="F1087" s="38"/>
      <c r="G1087" s="38">
        <v>0</v>
      </c>
      <c r="H1087" s="38">
        <v>7586</v>
      </c>
      <c r="I1087" s="108" t="e">
        <v>#DIV/0!</v>
      </c>
    </row>
    <row r="1088" spans="1:9" x14ac:dyDescent="0.3">
      <c r="A1088" s="35" t="s">
        <v>501</v>
      </c>
      <c r="B1088" t="s">
        <v>944</v>
      </c>
      <c r="C1088" s="106">
        <v>15</v>
      </c>
      <c r="E1088" s="38"/>
      <c r="F1088" s="38"/>
      <c r="G1088" s="38">
        <v>0</v>
      </c>
      <c r="H1088" s="38">
        <v>7586</v>
      </c>
      <c r="I1088" s="108" t="e">
        <v>#DIV/0!</v>
      </c>
    </row>
    <row r="1089" spans="1:9" ht="15" thickBot="1" x14ac:dyDescent="0.35">
      <c r="A1089" s="109" t="s">
        <v>501</v>
      </c>
      <c r="B1089" s="110" t="s">
        <v>944</v>
      </c>
      <c r="C1089" s="114">
        <v>16</v>
      </c>
      <c r="D1089" s="110"/>
      <c r="E1089" s="115"/>
      <c r="F1089" s="115"/>
      <c r="G1089" s="115">
        <v>0</v>
      </c>
      <c r="H1089" s="115">
        <v>7586</v>
      </c>
      <c r="I1089" s="110"/>
    </row>
    <row r="1090" spans="1:9" x14ac:dyDescent="0.3">
      <c r="A1090" s="35" t="s">
        <v>975</v>
      </c>
      <c r="B1090" t="s">
        <v>878</v>
      </c>
      <c r="C1090" s="106">
        <v>1</v>
      </c>
      <c r="D1090" s="56">
        <v>45917</v>
      </c>
      <c r="E1090" s="38">
        <v>6070</v>
      </c>
      <c r="F1090" s="38">
        <v>5781</v>
      </c>
      <c r="G1090" s="38">
        <v>289</v>
      </c>
      <c r="H1090" s="38">
        <v>289</v>
      </c>
      <c r="I1090" s="108">
        <v>4.999135097733956E-2</v>
      </c>
    </row>
    <row r="1091" spans="1:9" x14ac:dyDescent="0.3">
      <c r="A1091" s="35" t="s">
        <v>975</v>
      </c>
      <c r="B1091" t="s">
        <v>878</v>
      </c>
      <c r="C1091" s="106">
        <v>2</v>
      </c>
      <c r="D1091" s="56">
        <v>45924</v>
      </c>
      <c r="E1091" s="38">
        <v>6071</v>
      </c>
      <c r="F1091" s="38">
        <v>5782</v>
      </c>
      <c r="G1091" s="38">
        <v>289</v>
      </c>
      <c r="H1091" s="38">
        <v>578</v>
      </c>
      <c r="I1091" s="108">
        <v>4.9982704946385334E-2</v>
      </c>
    </row>
    <row r="1092" spans="1:9" x14ac:dyDescent="0.3">
      <c r="A1092" s="35" t="s">
        <v>975</v>
      </c>
      <c r="B1092" t="s">
        <v>878</v>
      </c>
      <c r="C1092" s="106">
        <v>3</v>
      </c>
      <c r="D1092" s="56">
        <v>45931</v>
      </c>
      <c r="E1092" s="38">
        <v>6071</v>
      </c>
      <c r="F1092" s="38">
        <v>5782</v>
      </c>
      <c r="G1092" s="38">
        <v>289</v>
      </c>
      <c r="H1092" s="38">
        <v>867</v>
      </c>
      <c r="I1092" s="108">
        <v>4.9982704946385334E-2</v>
      </c>
    </row>
    <row r="1093" spans="1:9" x14ac:dyDescent="0.3">
      <c r="A1093" s="35" t="s">
        <v>975</v>
      </c>
      <c r="B1093" t="s">
        <v>878</v>
      </c>
      <c r="C1093" s="106">
        <v>4</v>
      </c>
      <c r="D1093" s="56">
        <v>45938</v>
      </c>
      <c r="E1093" s="38">
        <v>6071</v>
      </c>
      <c r="F1093" s="38">
        <v>5782</v>
      </c>
      <c r="G1093" s="38">
        <v>289</v>
      </c>
      <c r="H1093" s="38">
        <v>1156</v>
      </c>
      <c r="I1093" s="108">
        <v>4.9982704946385334E-2</v>
      </c>
    </row>
    <row r="1094" spans="1:9" x14ac:dyDescent="0.3">
      <c r="A1094" s="35" t="s">
        <v>975</v>
      </c>
      <c r="B1094" t="s">
        <v>878</v>
      </c>
      <c r="C1094" s="106">
        <v>5</v>
      </c>
      <c r="D1094" s="56">
        <v>45945</v>
      </c>
      <c r="E1094" s="38">
        <v>6071</v>
      </c>
      <c r="F1094" s="38">
        <v>5782</v>
      </c>
      <c r="G1094" s="38">
        <v>289</v>
      </c>
      <c r="H1094" s="38">
        <v>1445</v>
      </c>
      <c r="I1094" s="108">
        <v>4.9982704946385334E-2</v>
      </c>
    </row>
    <row r="1095" spans="1:9" x14ac:dyDescent="0.3">
      <c r="A1095" s="35" t="s">
        <v>975</v>
      </c>
      <c r="B1095" t="s">
        <v>878</v>
      </c>
      <c r="C1095" s="106">
        <v>6</v>
      </c>
      <c r="D1095" s="56">
        <v>45952</v>
      </c>
      <c r="E1095" s="38">
        <v>6071</v>
      </c>
      <c r="F1095" s="38">
        <v>5782</v>
      </c>
      <c r="G1095" s="38">
        <v>289</v>
      </c>
      <c r="H1095" s="38">
        <v>1734</v>
      </c>
      <c r="I1095" s="108">
        <v>4.9982704946385334E-2</v>
      </c>
    </row>
    <row r="1096" spans="1:9" x14ac:dyDescent="0.3">
      <c r="A1096" s="35" t="s">
        <v>975</v>
      </c>
      <c r="B1096" t="s">
        <v>878</v>
      </c>
      <c r="C1096" s="106">
        <v>7</v>
      </c>
      <c r="D1096" s="56">
        <v>45959</v>
      </c>
      <c r="E1096" s="38">
        <v>6071</v>
      </c>
      <c r="F1096" s="38">
        <v>5782</v>
      </c>
      <c r="G1096" s="38">
        <v>289</v>
      </c>
      <c r="H1096" s="38">
        <v>2023</v>
      </c>
      <c r="I1096" s="108">
        <v>4.9982704946385334E-2</v>
      </c>
    </row>
    <row r="1097" spans="1:9" x14ac:dyDescent="0.3">
      <c r="A1097" s="35" t="s">
        <v>975</v>
      </c>
      <c r="B1097" t="s">
        <v>878</v>
      </c>
      <c r="C1097" s="106">
        <v>8</v>
      </c>
      <c r="E1097" s="38"/>
      <c r="F1097" s="38"/>
      <c r="G1097" s="38">
        <v>0</v>
      </c>
      <c r="H1097" s="38">
        <v>2023</v>
      </c>
      <c r="I1097" s="108" t="e">
        <v>#DIV/0!</v>
      </c>
    </row>
    <row r="1098" spans="1:9" x14ac:dyDescent="0.3">
      <c r="A1098" s="35" t="s">
        <v>975</v>
      </c>
      <c r="B1098" t="s">
        <v>878</v>
      </c>
      <c r="C1098" s="106">
        <v>9</v>
      </c>
      <c r="E1098" s="38"/>
      <c r="F1098" s="38"/>
      <c r="G1098" s="38">
        <v>0</v>
      </c>
      <c r="H1098" s="38">
        <v>2023</v>
      </c>
      <c r="I1098" s="108" t="e">
        <v>#DIV/0!</v>
      </c>
    </row>
    <row r="1099" spans="1:9" x14ac:dyDescent="0.3">
      <c r="A1099" s="35" t="s">
        <v>975</v>
      </c>
      <c r="B1099" t="s">
        <v>878</v>
      </c>
      <c r="C1099" s="106">
        <v>10</v>
      </c>
      <c r="E1099" s="38"/>
      <c r="F1099" s="38"/>
      <c r="G1099" s="38">
        <v>0</v>
      </c>
      <c r="H1099" s="38">
        <v>2023</v>
      </c>
    </row>
    <row r="1100" spans="1:9" x14ac:dyDescent="0.3">
      <c r="A1100" s="35" t="s">
        <v>975</v>
      </c>
      <c r="B1100" t="s">
        <v>878</v>
      </c>
      <c r="C1100" s="106">
        <v>11</v>
      </c>
      <c r="E1100" s="38"/>
      <c r="F1100" s="38"/>
      <c r="G1100" s="38">
        <v>0</v>
      </c>
      <c r="H1100" s="38">
        <v>2023</v>
      </c>
    </row>
    <row r="1101" spans="1:9" x14ac:dyDescent="0.3">
      <c r="A1101" s="35" t="s">
        <v>975</v>
      </c>
      <c r="B1101" t="s">
        <v>878</v>
      </c>
      <c r="C1101" s="106">
        <v>12</v>
      </c>
      <c r="E1101" s="38"/>
      <c r="F1101" s="38"/>
      <c r="G1101" s="38">
        <v>0</v>
      </c>
      <c r="H1101" s="38">
        <v>2023</v>
      </c>
    </row>
    <row r="1102" spans="1:9" x14ac:dyDescent="0.3">
      <c r="A1102" s="35" t="s">
        <v>975</v>
      </c>
      <c r="B1102" t="s">
        <v>878</v>
      </c>
      <c r="C1102" s="106">
        <v>13</v>
      </c>
      <c r="E1102" s="38"/>
      <c r="F1102" s="38"/>
      <c r="G1102" s="38">
        <v>0</v>
      </c>
      <c r="H1102" s="38">
        <v>2023</v>
      </c>
    </row>
    <row r="1103" spans="1:9" x14ac:dyDescent="0.3">
      <c r="A1103" s="35" t="s">
        <v>975</v>
      </c>
      <c r="B1103" t="s">
        <v>878</v>
      </c>
      <c r="C1103" s="106">
        <v>14</v>
      </c>
      <c r="E1103" s="38"/>
      <c r="F1103" s="38"/>
      <c r="G1103" s="38">
        <v>0</v>
      </c>
      <c r="H1103" s="38">
        <v>2023</v>
      </c>
    </row>
    <row r="1104" spans="1:9" x14ac:dyDescent="0.3">
      <c r="A1104" s="35" t="s">
        <v>975</v>
      </c>
      <c r="B1104" t="s">
        <v>878</v>
      </c>
      <c r="C1104" s="106">
        <v>15</v>
      </c>
      <c r="E1104" s="38"/>
      <c r="F1104" s="38"/>
      <c r="G1104" s="38">
        <v>0</v>
      </c>
      <c r="H1104" s="38">
        <v>2023</v>
      </c>
    </row>
    <row r="1105" spans="1:9" ht="15" thickBot="1" x14ac:dyDescent="0.35">
      <c r="A1105" s="109" t="s">
        <v>975</v>
      </c>
      <c r="B1105" s="110" t="s">
        <v>878</v>
      </c>
      <c r="C1105" s="114">
        <v>16</v>
      </c>
      <c r="D1105" s="110"/>
      <c r="E1105" s="115"/>
      <c r="F1105" s="115"/>
      <c r="G1105" s="115">
        <v>0</v>
      </c>
      <c r="H1105" s="115">
        <v>2023</v>
      </c>
      <c r="I1105" s="110"/>
    </row>
    <row r="1106" spans="1:9" x14ac:dyDescent="0.3">
      <c r="A1106" s="35" t="s">
        <v>1048</v>
      </c>
      <c r="B1106" t="s">
        <v>943</v>
      </c>
      <c r="C1106" s="106">
        <v>1</v>
      </c>
      <c r="D1106" s="56">
        <v>45918</v>
      </c>
      <c r="E1106" s="38">
        <v>7418.03</v>
      </c>
      <c r="F1106" s="38">
        <v>6916.06</v>
      </c>
      <c r="G1106" s="38">
        <v>501.96999999999935</v>
      </c>
      <c r="H1106" s="38">
        <v>501.96999999999935</v>
      </c>
      <c r="I1106" s="108">
        <v>7.2580341986622346E-2</v>
      </c>
    </row>
    <row r="1107" spans="1:9" x14ac:dyDescent="0.3">
      <c r="A1107" s="35" t="s">
        <v>1048</v>
      </c>
      <c r="B1107" t="s">
        <v>943</v>
      </c>
      <c r="C1107" s="106">
        <v>2</v>
      </c>
      <c r="D1107" s="56">
        <v>45925</v>
      </c>
      <c r="E1107" s="38">
        <v>7318.03</v>
      </c>
      <c r="F1107" s="38">
        <v>6916.06</v>
      </c>
      <c r="G1107" s="38">
        <v>401.96999999999935</v>
      </c>
      <c r="H1107" s="38">
        <v>903.93999999999869</v>
      </c>
      <c r="I1107" s="108">
        <v>5.8121242441505613E-2</v>
      </c>
    </row>
    <row r="1108" spans="1:9" x14ac:dyDescent="0.3">
      <c r="A1108" s="35" t="s">
        <v>1048</v>
      </c>
      <c r="B1108" t="s">
        <v>943</v>
      </c>
      <c r="C1108" s="106">
        <v>3</v>
      </c>
      <c r="D1108" s="56">
        <v>45932</v>
      </c>
      <c r="E1108" s="38">
        <v>7418.03</v>
      </c>
      <c r="F1108" s="38">
        <v>6916.06</v>
      </c>
      <c r="G1108" s="38">
        <v>501.96999999999935</v>
      </c>
      <c r="H1108" s="38">
        <v>1405.909999999998</v>
      </c>
      <c r="I1108" s="108">
        <v>7.2580341986622346E-2</v>
      </c>
    </row>
    <row r="1109" spans="1:9" x14ac:dyDescent="0.3">
      <c r="A1109" s="35" t="s">
        <v>1048</v>
      </c>
      <c r="B1109" t="s">
        <v>943</v>
      </c>
      <c r="C1109" s="106">
        <v>4</v>
      </c>
      <c r="D1109" s="56">
        <v>45939</v>
      </c>
      <c r="E1109" s="38">
        <v>7418.03</v>
      </c>
      <c r="F1109" s="38">
        <v>6916.06</v>
      </c>
      <c r="G1109" s="38">
        <v>501.96999999999935</v>
      </c>
      <c r="H1109" s="38">
        <v>1907.8799999999974</v>
      </c>
      <c r="I1109" s="108">
        <v>7.2580341986622346E-2</v>
      </c>
    </row>
    <row r="1110" spans="1:9" x14ac:dyDescent="0.3">
      <c r="A1110" s="35" t="s">
        <v>1048</v>
      </c>
      <c r="B1110" t="s">
        <v>943</v>
      </c>
      <c r="C1110" s="106">
        <v>5</v>
      </c>
      <c r="D1110" s="56">
        <v>45946</v>
      </c>
      <c r="E1110" s="38">
        <v>7418.03</v>
      </c>
      <c r="F1110" s="38">
        <v>6916.06</v>
      </c>
      <c r="G1110" s="38">
        <v>501.96999999999935</v>
      </c>
      <c r="H1110" s="38">
        <v>2409.8499999999967</v>
      </c>
      <c r="I1110" s="108">
        <v>7.2580341986622346E-2</v>
      </c>
    </row>
    <row r="1111" spans="1:9" x14ac:dyDescent="0.3">
      <c r="A1111" s="35" t="s">
        <v>1048</v>
      </c>
      <c r="B1111" t="s">
        <v>943</v>
      </c>
      <c r="C1111" s="106">
        <v>6</v>
      </c>
      <c r="D1111" s="56">
        <v>45953</v>
      </c>
      <c r="E1111" s="38">
        <v>7418.03</v>
      </c>
      <c r="F1111" s="38">
        <v>6916.06</v>
      </c>
      <c r="G1111" s="38">
        <v>501.96999999999935</v>
      </c>
      <c r="H1111" s="38">
        <v>2911.8199999999961</v>
      </c>
      <c r="I1111" s="108">
        <v>7.2580341986622346E-2</v>
      </c>
    </row>
    <row r="1112" spans="1:9" x14ac:dyDescent="0.3">
      <c r="A1112" s="35" t="s">
        <v>1048</v>
      </c>
      <c r="B1112" t="s">
        <v>943</v>
      </c>
      <c r="C1112" s="106">
        <v>7</v>
      </c>
      <c r="D1112" s="56">
        <v>45960</v>
      </c>
      <c r="E1112" s="38">
        <v>7418.03</v>
      </c>
      <c r="F1112" s="38">
        <v>6916.06</v>
      </c>
      <c r="G1112" s="38">
        <v>501.96999999999935</v>
      </c>
      <c r="H1112" s="38">
        <v>3413.7899999999954</v>
      </c>
      <c r="I1112" s="108">
        <v>7.2580341986622346E-2</v>
      </c>
    </row>
    <row r="1113" spans="1:9" x14ac:dyDescent="0.3">
      <c r="A1113" s="35" t="s">
        <v>1048</v>
      </c>
      <c r="B1113" t="s">
        <v>943</v>
      </c>
      <c r="C1113" s="106">
        <v>8</v>
      </c>
      <c r="E1113" s="38"/>
      <c r="F1113" s="38"/>
      <c r="G1113" s="38">
        <v>0</v>
      </c>
      <c r="H1113" s="38">
        <v>3413.7899999999954</v>
      </c>
      <c r="I1113" s="108" t="e">
        <v>#DIV/0!</v>
      </c>
    </row>
    <row r="1114" spans="1:9" x14ac:dyDescent="0.3">
      <c r="A1114" s="35" t="s">
        <v>1048</v>
      </c>
      <c r="B1114" t="s">
        <v>943</v>
      </c>
      <c r="C1114" s="106">
        <v>9</v>
      </c>
      <c r="E1114" s="38"/>
      <c r="F1114" s="38"/>
      <c r="G1114" s="38">
        <v>0</v>
      </c>
      <c r="H1114" s="38">
        <v>3413.7899999999954</v>
      </c>
      <c r="I1114" s="108" t="e">
        <v>#DIV/0!</v>
      </c>
    </row>
    <row r="1115" spans="1:9" x14ac:dyDescent="0.3">
      <c r="A1115" s="35" t="s">
        <v>1048</v>
      </c>
      <c r="B1115" t="s">
        <v>943</v>
      </c>
      <c r="C1115" s="106">
        <v>10</v>
      </c>
      <c r="E1115" s="38"/>
      <c r="F1115" s="38"/>
      <c r="G1115" s="38">
        <v>0</v>
      </c>
      <c r="H1115" s="38">
        <v>3413.7899999999954</v>
      </c>
      <c r="I1115" s="108" t="e">
        <v>#DIV/0!</v>
      </c>
    </row>
    <row r="1116" spans="1:9" x14ac:dyDescent="0.3">
      <c r="A1116" s="35" t="s">
        <v>1048</v>
      </c>
      <c r="B1116" t="s">
        <v>943</v>
      </c>
      <c r="C1116" s="106">
        <v>11</v>
      </c>
      <c r="E1116" s="38"/>
      <c r="F1116" s="38"/>
      <c r="G1116" s="38">
        <v>0</v>
      </c>
      <c r="H1116" s="38">
        <v>3413.7899999999954</v>
      </c>
    </row>
    <row r="1117" spans="1:9" x14ac:dyDescent="0.3">
      <c r="A1117" s="35" t="s">
        <v>1048</v>
      </c>
      <c r="B1117" t="s">
        <v>943</v>
      </c>
      <c r="C1117" s="106">
        <v>12</v>
      </c>
      <c r="E1117" s="38"/>
      <c r="F1117" s="38"/>
      <c r="G1117" s="38">
        <v>0</v>
      </c>
      <c r="H1117" s="38">
        <v>3413.7899999999954</v>
      </c>
    </row>
    <row r="1118" spans="1:9" x14ac:dyDescent="0.3">
      <c r="A1118" s="35" t="s">
        <v>1048</v>
      </c>
      <c r="B1118" t="s">
        <v>943</v>
      </c>
      <c r="C1118" s="106">
        <v>13</v>
      </c>
      <c r="E1118" s="38"/>
      <c r="F1118" s="38"/>
      <c r="G1118" s="38">
        <v>0</v>
      </c>
      <c r="H1118" s="38">
        <v>3413.7899999999954</v>
      </c>
    </row>
    <row r="1119" spans="1:9" x14ac:dyDescent="0.3">
      <c r="A1119" s="35" t="s">
        <v>1048</v>
      </c>
      <c r="B1119" t="s">
        <v>943</v>
      </c>
      <c r="C1119" s="106">
        <v>14</v>
      </c>
      <c r="E1119" s="38"/>
      <c r="F1119" s="38"/>
      <c r="G1119" s="38">
        <v>0</v>
      </c>
      <c r="H1119" s="38">
        <v>3413.7899999999954</v>
      </c>
    </row>
    <row r="1120" spans="1:9" x14ac:dyDescent="0.3">
      <c r="A1120" s="35" t="s">
        <v>1048</v>
      </c>
      <c r="B1120" t="s">
        <v>943</v>
      </c>
      <c r="C1120" s="106">
        <v>15</v>
      </c>
      <c r="E1120" s="38"/>
      <c r="F1120" s="38"/>
      <c r="G1120" s="38">
        <v>0</v>
      </c>
      <c r="H1120" s="38">
        <v>3413.7899999999954</v>
      </c>
    </row>
    <row r="1121" spans="1:9" ht="15" thickBot="1" x14ac:dyDescent="0.35">
      <c r="A1121" s="109" t="s">
        <v>1048</v>
      </c>
      <c r="B1121" s="110" t="s">
        <v>943</v>
      </c>
      <c r="C1121" s="114">
        <v>16</v>
      </c>
      <c r="D1121" s="110"/>
      <c r="E1121" s="115"/>
      <c r="F1121" s="115"/>
      <c r="G1121" s="115">
        <v>0</v>
      </c>
      <c r="H1121" s="115">
        <v>3413.7899999999954</v>
      </c>
      <c r="I1121" s="110"/>
    </row>
    <row r="1122" spans="1:9" x14ac:dyDescent="0.3">
      <c r="A1122" s="35" t="s">
        <v>1101</v>
      </c>
      <c r="B1122" t="s">
        <v>941</v>
      </c>
      <c r="C1122" s="106">
        <v>1</v>
      </c>
      <c r="D1122" s="56">
        <v>45918</v>
      </c>
      <c r="E1122" s="38">
        <v>8180</v>
      </c>
      <c r="F1122" s="38">
        <v>7601</v>
      </c>
      <c r="G1122" s="38">
        <v>579</v>
      </c>
      <c r="H1122" s="38">
        <v>579</v>
      </c>
      <c r="I1122" s="108">
        <v>7.6174187606893831E-2</v>
      </c>
    </row>
    <row r="1123" spans="1:9" x14ac:dyDescent="0.3">
      <c r="A1123" s="35" t="s">
        <v>1101</v>
      </c>
      <c r="B1123" t="s">
        <v>941</v>
      </c>
      <c r="C1123" s="106">
        <v>2</v>
      </c>
      <c r="D1123" s="56">
        <v>45925</v>
      </c>
      <c r="E1123" s="38">
        <v>8240</v>
      </c>
      <c r="F1123" s="38">
        <v>7606</v>
      </c>
      <c r="G1123" s="38">
        <v>634</v>
      </c>
      <c r="H1123" s="38">
        <v>1213</v>
      </c>
      <c r="I1123" s="108">
        <v>8.3355245858532739E-2</v>
      </c>
    </row>
    <row r="1124" spans="1:9" x14ac:dyDescent="0.3">
      <c r="A1124" s="35" t="s">
        <v>1101</v>
      </c>
      <c r="B1124" t="s">
        <v>941</v>
      </c>
      <c r="C1124" s="106">
        <v>3</v>
      </c>
      <c r="D1124" s="56">
        <v>45932</v>
      </c>
      <c r="E1124" s="38">
        <v>8230</v>
      </c>
      <c r="F1124" s="38">
        <v>7601</v>
      </c>
      <c r="G1124" s="38">
        <v>629</v>
      </c>
      <c r="H1124" s="38">
        <v>1842</v>
      </c>
      <c r="I1124" s="108">
        <v>8.2752269438231815E-2</v>
      </c>
    </row>
    <row r="1125" spans="1:9" x14ac:dyDescent="0.3">
      <c r="A1125" s="35" t="s">
        <v>1101</v>
      </c>
      <c r="B1125" t="s">
        <v>941</v>
      </c>
      <c r="C1125" s="106">
        <v>4</v>
      </c>
      <c r="D1125" s="56">
        <v>45939</v>
      </c>
      <c r="E1125" s="38">
        <v>8250</v>
      </c>
      <c r="F1125" s="38">
        <v>7601</v>
      </c>
      <c r="G1125" s="38">
        <v>649</v>
      </c>
      <c r="H1125" s="38">
        <v>2491</v>
      </c>
      <c r="I1125" s="108">
        <v>8.5383502170766998E-2</v>
      </c>
    </row>
    <row r="1126" spans="1:9" x14ac:dyDescent="0.3">
      <c r="A1126" s="35" t="s">
        <v>1101</v>
      </c>
      <c r="B1126" t="s">
        <v>941</v>
      </c>
      <c r="C1126" s="106">
        <v>5</v>
      </c>
      <c r="D1126" s="56">
        <v>45946</v>
      </c>
      <c r="E1126" s="38">
        <v>8250</v>
      </c>
      <c r="F1126" s="38">
        <v>7606</v>
      </c>
      <c r="G1126" s="38">
        <v>644</v>
      </c>
      <c r="H1126" s="38">
        <v>3135</v>
      </c>
      <c r="I1126" s="108">
        <v>8.4669997370496977E-2</v>
      </c>
    </row>
    <row r="1127" spans="1:9" x14ac:dyDescent="0.3">
      <c r="A1127" s="35" t="s">
        <v>1101</v>
      </c>
      <c r="B1127" t="s">
        <v>941</v>
      </c>
      <c r="C1127" s="106">
        <v>6</v>
      </c>
      <c r="D1127" s="56">
        <v>45953</v>
      </c>
      <c r="E1127" s="38">
        <v>8260</v>
      </c>
      <c r="F1127" s="38">
        <v>7606</v>
      </c>
      <c r="G1127" s="38">
        <v>654</v>
      </c>
      <c r="H1127" s="38">
        <v>3789</v>
      </c>
      <c r="I1127" s="108">
        <v>8.5984748882461215E-2</v>
      </c>
    </row>
    <row r="1128" spans="1:9" x14ac:dyDescent="0.3">
      <c r="A1128" s="35" t="s">
        <v>1101</v>
      </c>
      <c r="B1128" t="s">
        <v>941</v>
      </c>
      <c r="C1128" s="106">
        <v>7</v>
      </c>
      <c r="E1128" s="38"/>
      <c r="F1128" s="38"/>
      <c r="G1128" s="38">
        <v>0</v>
      </c>
      <c r="H1128" s="38">
        <v>3789</v>
      </c>
      <c r="I1128" s="108" t="e">
        <v>#DIV/0!</v>
      </c>
    </row>
    <row r="1129" spans="1:9" x14ac:dyDescent="0.3">
      <c r="A1129" s="35" t="s">
        <v>1101</v>
      </c>
      <c r="B1129" t="s">
        <v>941</v>
      </c>
      <c r="C1129" s="106">
        <v>8</v>
      </c>
      <c r="E1129" s="38"/>
      <c r="F1129" s="38"/>
      <c r="G1129" s="38">
        <v>0</v>
      </c>
      <c r="H1129" s="38">
        <v>3789</v>
      </c>
    </row>
    <row r="1130" spans="1:9" x14ac:dyDescent="0.3">
      <c r="A1130" s="35" t="s">
        <v>1101</v>
      </c>
      <c r="B1130" t="s">
        <v>941</v>
      </c>
      <c r="C1130" s="106">
        <v>9</v>
      </c>
      <c r="E1130" s="38"/>
      <c r="F1130" s="38"/>
      <c r="G1130" s="38">
        <v>0</v>
      </c>
      <c r="H1130" s="38">
        <v>3789</v>
      </c>
    </row>
    <row r="1131" spans="1:9" x14ac:dyDescent="0.3">
      <c r="A1131" s="35" t="s">
        <v>1101</v>
      </c>
      <c r="B1131" t="s">
        <v>941</v>
      </c>
      <c r="C1131" s="106">
        <v>10</v>
      </c>
      <c r="E1131" s="38"/>
      <c r="F1131" s="38"/>
      <c r="G1131" s="38">
        <v>0</v>
      </c>
      <c r="H1131" s="38">
        <v>3789</v>
      </c>
    </row>
    <row r="1132" spans="1:9" x14ac:dyDescent="0.3">
      <c r="A1132" s="35" t="s">
        <v>1101</v>
      </c>
      <c r="B1132" t="s">
        <v>941</v>
      </c>
      <c r="C1132" s="106">
        <v>11</v>
      </c>
      <c r="E1132" s="38"/>
      <c r="F1132" s="38"/>
      <c r="G1132" s="38">
        <v>0</v>
      </c>
      <c r="H1132" s="38">
        <v>3789</v>
      </c>
    </row>
    <row r="1133" spans="1:9" x14ac:dyDescent="0.3">
      <c r="A1133" s="35" t="s">
        <v>1101</v>
      </c>
      <c r="B1133" t="s">
        <v>941</v>
      </c>
      <c r="C1133" s="106">
        <v>12</v>
      </c>
      <c r="E1133" s="38"/>
      <c r="F1133" s="38"/>
      <c r="G1133" s="38">
        <v>0</v>
      </c>
      <c r="H1133" s="38">
        <v>3789</v>
      </c>
    </row>
    <row r="1134" spans="1:9" x14ac:dyDescent="0.3">
      <c r="A1134" s="35" t="s">
        <v>1101</v>
      </c>
      <c r="B1134" t="s">
        <v>941</v>
      </c>
      <c r="C1134" s="106">
        <v>13</v>
      </c>
      <c r="E1134" s="38"/>
      <c r="F1134" s="38"/>
      <c r="G1134" s="38">
        <v>0</v>
      </c>
      <c r="H1134" s="38">
        <v>3789</v>
      </c>
    </row>
    <row r="1135" spans="1:9" x14ac:dyDescent="0.3">
      <c r="A1135" s="35" t="s">
        <v>1101</v>
      </c>
      <c r="B1135" t="s">
        <v>941</v>
      </c>
      <c r="C1135" s="106">
        <v>14</v>
      </c>
      <c r="E1135" s="38"/>
      <c r="F1135" s="38"/>
      <c r="G1135" s="38">
        <v>0</v>
      </c>
      <c r="H1135" s="38">
        <v>3789</v>
      </c>
    </row>
    <row r="1136" spans="1:9" x14ac:dyDescent="0.3">
      <c r="A1136" s="35" t="s">
        <v>1101</v>
      </c>
      <c r="B1136" t="s">
        <v>941</v>
      </c>
      <c r="C1136" s="106">
        <v>15</v>
      </c>
      <c r="E1136" s="38"/>
      <c r="F1136" s="38"/>
      <c r="G1136" s="38">
        <v>0</v>
      </c>
      <c r="H1136" s="38">
        <v>3789</v>
      </c>
    </row>
    <row r="1137" spans="1:9" ht="15" thickBot="1" x14ac:dyDescent="0.35">
      <c r="A1137" s="109" t="s">
        <v>1101</v>
      </c>
      <c r="B1137" s="110" t="s">
        <v>941</v>
      </c>
      <c r="C1137" s="114">
        <v>16</v>
      </c>
      <c r="D1137" s="110"/>
      <c r="E1137" s="115"/>
      <c r="F1137" s="115"/>
      <c r="G1137" s="115">
        <v>0</v>
      </c>
      <c r="H1137" s="115">
        <v>3789</v>
      </c>
      <c r="I1137" s="110"/>
    </row>
    <row r="1138" spans="1:9" x14ac:dyDescent="0.3">
      <c r="A1138" s="35" t="s">
        <v>663</v>
      </c>
      <c r="B1138" t="s">
        <v>942</v>
      </c>
      <c r="C1138" s="106">
        <v>1</v>
      </c>
      <c r="D1138" s="56">
        <v>45917</v>
      </c>
      <c r="E1138" s="38">
        <v>12137</v>
      </c>
      <c r="F1138" s="38">
        <v>11552</v>
      </c>
      <c r="G1138" s="38">
        <v>585</v>
      </c>
      <c r="H1138" s="38">
        <v>585</v>
      </c>
      <c r="I1138" s="108">
        <v>5.0640581717451526E-2</v>
      </c>
    </row>
    <row r="1139" spans="1:9" x14ac:dyDescent="0.3">
      <c r="A1139" s="35" t="s">
        <v>663</v>
      </c>
      <c r="B1139" t="s">
        <v>942</v>
      </c>
      <c r="C1139" s="106">
        <v>2</v>
      </c>
      <c r="D1139" s="56">
        <v>45924</v>
      </c>
      <c r="E1139" s="38">
        <v>12137</v>
      </c>
      <c r="F1139" s="38">
        <v>11553</v>
      </c>
      <c r="G1139" s="38">
        <v>584</v>
      </c>
      <c r="H1139" s="38">
        <v>1169</v>
      </c>
      <c r="I1139" s="108">
        <v>5.0549640785943047E-2</v>
      </c>
    </row>
    <row r="1140" spans="1:9" x14ac:dyDescent="0.3">
      <c r="A1140" s="35" t="s">
        <v>663</v>
      </c>
      <c r="B1140" t="s">
        <v>942</v>
      </c>
      <c r="C1140" s="106">
        <v>3</v>
      </c>
      <c r="D1140" s="56">
        <v>45931</v>
      </c>
      <c r="E1140" s="38">
        <v>12137</v>
      </c>
      <c r="F1140" s="38">
        <v>11552</v>
      </c>
      <c r="G1140" s="38">
        <v>585</v>
      </c>
      <c r="H1140" s="38">
        <v>1754</v>
      </c>
      <c r="I1140" s="108">
        <v>5.0640581717451526E-2</v>
      </c>
    </row>
    <row r="1141" spans="1:9" x14ac:dyDescent="0.3">
      <c r="A1141" s="35" t="s">
        <v>663</v>
      </c>
      <c r="B1141" t="s">
        <v>942</v>
      </c>
      <c r="C1141" s="106">
        <v>4</v>
      </c>
      <c r="D1141" s="56">
        <v>45938</v>
      </c>
      <c r="E1141" s="38">
        <v>12137</v>
      </c>
      <c r="F1141" s="38">
        <v>11553</v>
      </c>
      <c r="G1141" s="38">
        <v>584</v>
      </c>
      <c r="H1141" s="38">
        <v>2338</v>
      </c>
      <c r="I1141" s="108">
        <v>5.0549640785943047E-2</v>
      </c>
    </row>
    <row r="1142" spans="1:9" x14ac:dyDescent="0.3">
      <c r="A1142" s="35" t="s">
        <v>663</v>
      </c>
      <c r="B1142" t="s">
        <v>942</v>
      </c>
      <c r="C1142" s="106">
        <v>5</v>
      </c>
      <c r="D1142" s="56">
        <v>45945</v>
      </c>
      <c r="E1142" s="38">
        <v>12137</v>
      </c>
      <c r="F1142" s="38">
        <v>11552</v>
      </c>
      <c r="G1142" s="38">
        <v>585</v>
      </c>
      <c r="H1142" s="38">
        <v>2923</v>
      </c>
      <c r="I1142" s="108">
        <v>5.0640581717451526E-2</v>
      </c>
    </row>
    <row r="1143" spans="1:9" x14ac:dyDescent="0.3">
      <c r="A1143" s="35" t="s">
        <v>663</v>
      </c>
      <c r="B1143" t="s">
        <v>942</v>
      </c>
      <c r="C1143" s="106">
        <v>6</v>
      </c>
      <c r="D1143" s="56">
        <v>45952</v>
      </c>
      <c r="E1143" s="38">
        <v>12137</v>
      </c>
      <c r="F1143" s="38">
        <v>11553</v>
      </c>
      <c r="G1143" s="38">
        <v>584</v>
      </c>
      <c r="H1143" s="38">
        <v>3507</v>
      </c>
      <c r="I1143" s="108">
        <v>5.0549640785943047E-2</v>
      </c>
    </row>
    <row r="1144" spans="1:9" x14ac:dyDescent="0.3">
      <c r="A1144" s="35" t="s">
        <v>663</v>
      </c>
      <c r="B1144" t="s">
        <v>942</v>
      </c>
      <c r="C1144" s="106">
        <v>7</v>
      </c>
      <c r="D1144" s="56">
        <v>45959</v>
      </c>
      <c r="E1144" s="38">
        <v>12137</v>
      </c>
      <c r="F1144" s="38">
        <v>11557</v>
      </c>
      <c r="G1144" s="38">
        <v>580</v>
      </c>
      <c r="H1144" s="38">
        <v>4087</v>
      </c>
      <c r="I1144" s="108">
        <v>5.0186034438002944E-2</v>
      </c>
    </row>
    <row r="1145" spans="1:9" x14ac:dyDescent="0.3">
      <c r="A1145" s="35" t="s">
        <v>663</v>
      </c>
      <c r="B1145" t="s">
        <v>942</v>
      </c>
      <c r="C1145" s="106">
        <v>8</v>
      </c>
      <c r="E1145" s="38"/>
      <c r="F1145" s="38"/>
      <c r="G1145" s="38">
        <v>0</v>
      </c>
      <c r="H1145" s="38">
        <v>4087</v>
      </c>
    </row>
    <row r="1146" spans="1:9" x14ac:dyDescent="0.3">
      <c r="A1146" s="35" t="s">
        <v>663</v>
      </c>
      <c r="B1146" t="s">
        <v>942</v>
      </c>
      <c r="C1146" s="106">
        <v>9</v>
      </c>
      <c r="E1146" s="38"/>
      <c r="F1146" s="38"/>
      <c r="G1146" s="38">
        <v>0</v>
      </c>
      <c r="H1146" s="38">
        <v>4087</v>
      </c>
    </row>
    <row r="1147" spans="1:9" x14ac:dyDescent="0.3">
      <c r="A1147" s="35" t="s">
        <v>663</v>
      </c>
      <c r="B1147" t="s">
        <v>942</v>
      </c>
      <c r="C1147" s="106">
        <v>10</v>
      </c>
      <c r="E1147" s="38"/>
      <c r="F1147" s="38"/>
      <c r="G1147" s="38">
        <v>0</v>
      </c>
      <c r="H1147" s="38">
        <v>4087</v>
      </c>
    </row>
    <row r="1148" spans="1:9" x14ac:dyDescent="0.3">
      <c r="A1148" s="35" t="s">
        <v>663</v>
      </c>
      <c r="B1148" t="s">
        <v>942</v>
      </c>
      <c r="C1148" s="106">
        <v>11</v>
      </c>
      <c r="E1148" s="38"/>
      <c r="F1148" s="38"/>
      <c r="G1148" s="38">
        <v>0</v>
      </c>
      <c r="H1148" s="38">
        <v>4087</v>
      </c>
    </row>
    <row r="1149" spans="1:9" x14ac:dyDescent="0.3">
      <c r="A1149" s="35" t="s">
        <v>663</v>
      </c>
      <c r="B1149" t="s">
        <v>942</v>
      </c>
      <c r="C1149" s="106">
        <v>12</v>
      </c>
      <c r="E1149" s="38"/>
      <c r="F1149" s="38"/>
      <c r="G1149" s="38">
        <v>0</v>
      </c>
      <c r="H1149" s="38">
        <v>4087</v>
      </c>
    </row>
    <row r="1150" spans="1:9" x14ac:dyDescent="0.3">
      <c r="A1150" s="35" t="s">
        <v>663</v>
      </c>
      <c r="B1150" t="s">
        <v>942</v>
      </c>
      <c r="C1150" s="106">
        <v>13</v>
      </c>
      <c r="E1150" s="38"/>
      <c r="F1150" s="38"/>
      <c r="G1150" s="38">
        <v>0</v>
      </c>
      <c r="H1150" s="38">
        <v>4087</v>
      </c>
    </row>
    <row r="1151" spans="1:9" x14ac:dyDescent="0.3">
      <c r="A1151" s="35" t="s">
        <v>663</v>
      </c>
      <c r="B1151" t="s">
        <v>942</v>
      </c>
      <c r="C1151" s="106">
        <v>14</v>
      </c>
      <c r="E1151" s="38"/>
      <c r="F1151" s="38"/>
      <c r="G1151" s="38">
        <v>0</v>
      </c>
      <c r="H1151" s="38">
        <v>4087</v>
      </c>
    </row>
    <row r="1152" spans="1:9" x14ac:dyDescent="0.3">
      <c r="A1152" s="35" t="s">
        <v>663</v>
      </c>
      <c r="B1152" t="s">
        <v>942</v>
      </c>
      <c r="C1152" s="106">
        <v>15</v>
      </c>
      <c r="E1152" s="38"/>
      <c r="F1152" s="38"/>
      <c r="G1152" s="38">
        <v>0</v>
      </c>
      <c r="H1152" s="38">
        <v>4087</v>
      </c>
    </row>
    <row r="1153" spans="1:9" ht="15" thickBot="1" x14ac:dyDescent="0.35">
      <c r="A1153" s="109" t="s">
        <v>663</v>
      </c>
      <c r="B1153" s="110" t="s">
        <v>942</v>
      </c>
      <c r="C1153" s="114">
        <v>16</v>
      </c>
      <c r="D1153" s="110"/>
      <c r="E1153" s="115"/>
      <c r="F1153" s="115"/>
      <c r="G1153" s="115">
        <v>0</v>
      </c>
      <c r="H1153" s="115">
        <v>4087</v>
      </c>
      <c r="I1153" s="110"/>
    </row>
    <row r="1154" spans="1:9" x14ac:dyDescent="0.3">
      <c r="A1154" s="35" t="s">
        <v>971</v>
      </c>
      <c r="B1154" t="s">
        <v>815</v>
      </c>
      <c r="C1154" s="106">
        <v>1</v>
      </c>
      <c r="D1154" s="56">
        <v>45918</v>
      </c>
      <c r="E1154" s="38">
        <v>15064</v>
      </c>
      <c r="F1154" s="38">
        <v>14060</v>
      </c>
      <c r="G1154" s="38">
        <v>1004</v>
      </c>
      <c r="H1154" s="38">
        <v>1004</v>
      </c>
      <c r="I1154" s="108">
        <v>7.1408250355618777E-2</v>
      </c>
    </row>
    <row r="1155" spans="1:9" x14ac:dyDescent="0.3">
      <c r="A1155" s="35" t="s">
        <v>971</v>
      </c>
      <c r="B1155" t="s">
        <v>815</v>
      </c>
      <c r="C1155" s="106">
        <v>2</v>
      </c>
      <c r="D1155" s="56">
        <v>45925</v>
      </c>
      <c r="E1155" s="38">
        <v>15064</v>
      </c>
      <c r="F1155" s="38">
        <v>14060</v>
      </c>
      <c r="G1155" s="38">
        <v>1004</v>
      </c>
      <c r="H1155" s="38">
        <v>2008</v>
      </c>
      <c r="I1155" s="108">
        <v>7.1408250355618777E-2</v>
      </c>
    </row>
    <row r="1156" spans="1:9" x14ac:dyDescent="0.3">
      <c r="A1156" s="35" t="s">
        <v>971</v>
      </c>
      <c r="B1156" t="s">
        <v>815</v>
      </c>
      <c r="C1156" s="106">
        <v>3</v>
      </c>
      <c r="D1156" s="56">
        <v>45932</v>
      </c>
      <c r="E1156" s="38">
        <v>15064</v>
      </c>
      <c r="F1156" s="38">
        <v>14060</v>
      </c>
      <c r="G1156" s="38">
        <v>1004</v>
      </c>
      <c r="H1156" s="38">
        <v>3012</v>
      </c>
      <c r="I1156" s="108">
        <v>7.1408250355618777E-2</v>
      </c>
    </row>
    <row r="1157" spans="1:9" x14ac:dyDescent="0.3">
      <c r="A1157" s="35" t="s">
        <v>971</v>
      </c>
      <c r="B1157" t="s">
        <v>815</v>
      </c>
      <c r="C1157" s="106">
        <v>4</v>
      </c>
      <c r="D1157" s="56">
        <v>45939</v>
      </c>
      <c r="E1157" s="38">
        <v>15064</v>
      </c>
      <c r="F1157" s="38">
        <v>14060</v>
      </c>
      <c r="G1157" s="38">
        <v>1004</v>
      </c>
      <c r="H1157" s="38">
        <v>4016</v>
      </c>
      <c r="I1157" s="108">
        <v>7.1408250355618777E-2</v>
      </c>
    </row>
    <row r="1158" spans="1:9" x14ac:dyDescent="0.3">
      <c r="A1158" s="35" t="s">
        <v>971</v>
      </c>
      <c r="B1158" t="s">
        <v>815</v>
      </c>
      <c r="C1158" s="106">
        <v>5</v>
      </c>
      <c r="D1158" s="56">
        <v>45946</v>
      </c>
      <c r="E1158" s="38">
        <v>15064</v>
      </c>
      <c r="F1158" s="38">
        <v>14060</v>
      </c>
      <c r="G1158" s="38">
        <v>1004</v>
      </c>
      <c r="H1158" s="38">
        <v>5020</v>
      </c>
      <c r="I1158" s="108">
        <v>7.1408250355618777E-2</v>
      </c>
    </row>
    <row r="1159" spans="1:9" x14ac:dyDescent="0.3">
      <c r="A1159" s="35" t="s">
        <v>971</v>
      </c>
      <c r="B1159" t="s">
        <v>815</v>
      </c>
      <c r="C1159" s="106">
        <v>6</v>
      </c>
      <c r="D1159" s="56">
        <v>45953</v>
      </c>
      <c r="E1159" s="38">
        <v>15064</v>
      </c>
      <c r="F1159" s="38">
        <v>14060</v>
      </c>
      <c r="G1159" s="38">
        <v>1004</v>
      </c>
      <c r="H1159" s="38">
        <v>6024</v>
      </c>
      <c r="I1159" s="108">
        <v>7.1408250355618777E-2</v>
      </c>
    </row>
    <row r="1160" spans="1:9" x14ac:dyDescent="0.3">
      <c r="A1160" s="35" t="s">
        <v>971</v>
      </c>
      <c r="B1160" t="s">
        <v>815</v>
      </c>
      <c r="C1160" s="106">
        <v>7</v>
      </c>
      <c r="D1160" s="56">
        <v>45960</v>
      </c>
      <c r="E1160" s="38">
        <v>15064</v>
      </c>
      <c r="F1160" s="38">
        <v>14061</v>
      </c>
      <c r="G1160" s="38">
        <v>1003</v>
      </c>
      <c r="H1160" s="38">
        <v>7027</v>
      </c>
      <c r="I1160" s="108">
        <v>7.1332053196785442E-2</v>
      </c>
    </row>
    <row r="1161" spans="1:9" x14ac:dyDescent="0.3">
      <c r="A1161" s="35" t="s">
        <v>971</v>
      </c>
      <c r="B1161" t="s">
        <v>815</v>
      </c>
      <c r="C1161" s="106">
        <v>8</v>
      </c>
      <c r="E1161" s="38"/>
      <c r="F1161" s="38"/>
      <c r="G1161" s="38">
        <v>0</v>
      </c>
      <c r="H1161" s="38">
        <v>7027</v>
      </c>
      <c r="I1161" s="108" t="e">
        <v>#DIV/0!</v>
      </c>
    </row>
    <row r="1162" spans="1:9" x14ac:dyDescent="0.3">
      <c r="A1162" s="35" t="s">
        <v>971</v>
      </c>
      <c r="B1162" t="s">
        <v>815</v>
      </c>
      <c r="C1162" s="106">
        <v>9</v>
      </c>
      <c r="E1162" s="38"/>
      <c r="F1162" s="38"/>
      <c r="G1162" s="38">
        <v>0</v>
      </c>
      <c r="H1162" s="38">
        <v>7027</v>
      </c>
      <c r="I1162" s="108" t="e">
        <v>#DIV/0!</v>
      </c>
    </row>
    <row r="1163" spans="1:9" x14ac:dyDescent="0.3">
      <c r="A1163" s="35" t="s">
        <v>971</v>
      </c>
      <c r="B1163" t="s">
        <v>815</v>
      </c>
      <c r="C1163" s="106">
        <v>10</v>
      </c>
      <c r="E1163" s="38"/>
      <c r="F1163" s="38"/>
      <c r="G1163" s="38">
        <v>0</v>
      </c>
      <c r="H1163" s="38">
        <v>7027</v>
      </c>
      <c r="I1163" s="108" t="e">
        <v>#DIV/0!</v>
      </c>
    </row>
    <row r="1164" spans="1:9" x14ac:dyDescent="0.3">
      <c r="A1164" s="35" t="s">
        <v>971</v>
      </c>
      <c r="B1164" t="s">
        <v>815</v>
      </c>
      <c r="C1164" s="106">
        <v>11</v>
      </c>
      <c r="E1164" s="38"/>
      <c r="F1164" s="38"/>
      <c r="G1164" s="38">
        <v>0</v>
      </c>
      <c r="H1164" s="38">
        <v>7027</v>
      </c>
      <c r="I1164" s="108" t="e">
        <v>#DIV/0!</v>
      </c>
    </row>
    <row r="1165" spans="1:9" x14ac:dyDescent="0.3">
      <c r="A1165" s="35" t="s">
        <v>971</v>
      </c>
      <c r="B1165" t="s">
        <v>815</v>
      </c>
      <c r="C1165" s="106">
        <v>12</v>
      </c>
      <c r="E1165" s="38"/>
      <c r="F1165" s="38"/>
      <c r="G1165" s="38">
        <v>0</v>
      </c>
      <c r="H1165" s="38">
        <v>7027</v>
      </c>
      <c r="I1165" s="108" t="e">
        <v>#DIV/0!</v>
      </c>
    </row>
    <row r="1166" spans="1:9" x14ac:dyDescent="0.3">
      <c r="A1166" s="35" t="s">
        <v>971</v>
      </c>
      <c r="B1166" t="s">
        <v>815</v>
      </c>
      <c r="C1166" s="106">
        <v>13</v>
      </c>
      <c r="E1166" s="38"/>
      <c r="F1166" s="38"/>
      <c r="G1166" s="38">
        <v>0</v>
      </c>
      <c r="H1166" s="38">
        <v>7027</v>
      </c>
      <c r="I1166" s="108" t="e">
        <v>#DIV/0!</v>
      </c>
    </row>
    <row r="1167" spans="1:9" x14ac:dyDescent="0.3">
      <c r="A1167" s="35" t="s">
        <v>971</v>
      </c>
      <c r="B1167" t="s">
        <v>815</v>
      </c>
      <c r="C1167" s="106">
        <v>14</v>
      </c>
      <c r="E1167" s="38"/>
      <c r="F1167" s="38"/>
      <c r="G1167" s="38">
        <v>0</v>
      </c>
      <c r="H1167" s="38">
        <v>7027</v>
      </c>
      <c r="I1167" s="108" t="e">
        <v>#DIV/0!</v>
      </c>
    </row>
    <row r="1168" spans="1:9" x14ac:dyDescent="0.3">
      <c r="A1168" s="35" t="s">
        <v>971</v>
      </c>
      <c r="B1168" t="s">
        <v>815</v>
      </c>
      <c r="C1168" s="106">
        <v>15</v>
      </c>
      <c r="E1168" s="38"/>
      <c r="F1168" s="38"/>
      <c r="G1168" s="38">
        <v>0</v>
      </c>
      <c r="H1168" s="38">
        <v>7027</v>
      </c>
      <c r="I1168" s="108" t="e">
        <v>#DIV/0!</v>
      </c>
    </row>
    <row r="1169" spans="1:9" ht="15" thickBot="1" x14ac:dyDescent="0.35">
      <c r="A1169" s="109" t="s">
        <v>971</v>
      </c>
      <c r="B1169" s="110" t="s">
        <v>815</v>
      </c>
      <c r="C1169" s="114">
        <v>16</v>
      </c>
      <c r="D1169" s="110"/>
      <c r="E1169" s="115"/>
      <c r="F1169" s="115"/>
      <c r="G1169" s="115">
        <v>0</v>
      </c>
      <c r="H1169" s="115">
        <v>7027</v>
      </c>
      <c r="I1169" s="110"/>
    </row>
    <row r="1170" spans="1:9" x14ac:dyDescent="0.3">
      <c r="A1170" s="35" t="s">
        <v>979</v>
      </c>
      <c r="B1170" t="s">
        <v>980</v>
      </c>
      <c r="C1170" s="106">
        <v>1</v>
      </c>
      <c r="D1170" s="56">
        <v>45918</v>
      </c>
      <c r="E1170" s="38">
        <v>3540</v>
      </c>
      <c r="F1170" s="38">
        <v>3344.03</v>
      </c>
      <c r="G1170" s="38">
        <v>195.9699999999998</v>
      </c>
      <c r="H1170" s="38">
        <v>195.9699999999998</v>
      </c>
      <c r="I1170" s="108">
        <v>5.8602943155414214E-2</v>
      </c>
    </row>
    <row r="1171" spans="1:9" x14ac:dyDescent="0.3">
      <c r="A1171" s="35" t="s">
        <v>979</v>
      </c>
      <c r="B1171" t="s">
        <v>980</v>
      </c>
      <c r="C1171" s="106">
        <v>2</v>
      </c>
      <c r="D1171" s="56">
        <v>45925</v>
      </c>
      <c r="E1171" s="38">
        <v>3540</v>
      </c>
      <c r="F1171" s="38">
        <v>3344.03</v>
      </c>
      <c r="G1171" s="38">
        <v>195.9699999999998</v>
      </c>
      <c r="H1171" s="38">
        <v>391.9399999999996</v>
      </c>
      <c r="I1171" s="108">
        <v>5.8602943155414214E-2</v>
      </c>
    </row>
    <row r="1172" spans="1:9" x14ac:dyDescent="0.3">
      <c r="A1172" s="35" t="s">
        <v>979</v>
      </c>
      <c r="B1172" t="s">
        <v>980</v>
      </c>
      <c r="C1172" s="106">
        <v>3</v>
      </c>
      <c r="D1172" s="56">
        <v>45932</v>
      </c>
      <c r="E1172" s="38">
        <v>3540</v>
      </c>
      <c r="F1172" s="38">
        <v>3344.03</v>
      </c>
      <c r="G1172" s="38">
        <v>195.9699999999998</v>
      </c>
      <c r="H1172" s="38">
        <v>587.9099999999994</v>
      </c>
      <c r="I1172" s="108">
        <v>5.8602943155414214E-2</v>
      </c>
    </row>
    <row r="1173" spans="1:9" x14ac:dyDescent="0.3">
      <c r="A1173" s="35" t="s">
        <v>979</v>
      </c>
      <c r="B1173" t="s">
        <v>980</v>
      </c>
      <c r="C1173" s="106">
        <v>4</v>
      </c>
      <c r="D1173" s="56">
        <v>45939</v>
      </c>
      <c r="E1173" s="38">
        <v>3540</v>
      </c>
      <c r="F1173" s="38">
        <v>3344.03</v>
      </c>
      <c r="G1173" s="38">
        <v>195.9699999999998</v>
      </c>
      <c r="H1173" s="38">
        <v>783.8799999999992</v>
      </c>
      <c r="I1173" s="108">
        <v>5.8602943155414214E-2</v>
      </c>
    </row>
    <row r="1174" spans="1:9" x14ac:dyDescent="0.3">
      <c r="A1174" s="35" t="s">
        <v>979</v>
      </c>
      <c r="B1174" t="s">
        <v>980</v>
      </c>
      <c r="C1174" s="106">
        <v>5</v>
      </c>
      <c r="D1174" s="56">
        <v>45946</v>
      </c>
      <c r="E1174" s="38">
        <v>3552</v>
      </c>
      <c r="F1174" s="38">
        <v>3344.03</v>
      </c>
      <c r="G1174" s="38">
        <v>207.9699999999998</v>
      </c>
      <c r="H1174" s="38">
        <v>991.849999999999</v>
      </c>
      <c r="I1174" s="108">
        <v>6.2191427708483411E-2</v>
      </c>
    </row>
    <row r="1175" spans="1:9" x14ac:dyDescent="0.3">
      <c r="A1175" s="35" t="s">
        <v>979</v>
      </c>
      <c r="B1175" t="s">
        <v>980</v>
      </c>
      <c r="C1175" s="106">
        <v>6</v>
      </c>
      <c r="D1175" s="56">
        <v>45953</v>
      </c>
      <c r="E1175" s="38">
        <v>3540</v>
      </c>
      <c r="F1175" s="38">
        <v>3344.03</v>
      </c>
      <c r="G1175" s="38">
        <v>195.9699999999998</v>
      </c>
      <c r="H1175" s="38">
        <v>1187.8199999999988</v>
      </c>
      <c r="I1175" s="108">
        <v>5.8602943155414214E-2</v>
      </c>
    </row>
    <row r="1176" spans="1:9" x14ac:dyDescent="0.3">
      <c r="A1176" s="35" t="s">
        <v>979</v>
      </c>
      <c r="B1176" t="s">
        <v>980</v>
      </c>
      <c r="C1176" s="106">
        <v>7</v>
      </c>
      <c r="D1176" s="56">
        <v>45960</v>
      </c>
      <c r="E1176" s="38">
        <v>3540</v>
      </c>
      <c r="F1176" s="38">
        <v>3344.03</v>
      </c>
      <c r="G1176" s="38">
        <v>195.9699999999998</v>
      </c>
      <c r="H1176" s="38">
        <v>1383.7899999999986</v>
      </c>
      <c r="I1176" s="108">
        <v>5.8602943155414214E-2</v>
      </c>
    </row>
    <row r="1177" spans="1:9" x14ac:dyDescent="0.3">
      <c r="A1177" s="35" t="s">
        <v>979</v>
      </c>
      <c r="B1177" t="s">
        <v>980</v>
      </c>
      <c r="C1177" s="106">
        <v>8</v>
      </c>
      <c r="E1177" s="38"/>
      <c r="F1177" s="38"/>
      <c r="G1177" s="38">
        <v>0</v>
      </c>
      <c r="H1177" s="38">
        <v>1383.7899999999986</v>
      </c>
      <c r="I1177" s="108" t="e">
        <v>#DIV/0!</v>
      </c>
    </row>
    <row r="1178" spans="1:9" x14ac:dyDescent="0.3">
      <c r="A1178" s="35" t="s">
        <v>979</v>
      </c>
      <c r="B1178" t="s">
        <v>980</v>
      </c>
      <c r="C1178" s="106">
        <v>9</v>
      </c>
      <c r="E1178" s="38"/>
      <c r="F1178" s="38"/>
      <c r="G1178" s="38">
        <v>0</v>
      </c>
      <c r="H1178" s="38">
        <v>1383.7899999999986</v>
      </c>
      <c r="I1178" s="108" t="e">
        <v>#DIV/0!</v>
      </c>
    </row>
    <row r="1179" spans="1:9" x14ac:dyDescent="0.3">
      <c r="A1179" s="35" t="s">
        <v>979</v>
      </c>
      <c r="B1179" t="s">
        <v>980</v>
      </c>
      <c r="C1179" s="106">
        <v>10</v>
      </c>
      <c r="E1179" s="38"/>
      <c r="F1179" s="38"/>
      <c r="G1179" s="38">
        <v>0</v>
      </c>
      <c r="H1179" s="38">
        <v>1383.7899999999986</v>
      </c>
      <c r="I1179" s="108" t="e">
        <v>#DIV/0!</v>
      </c>
    </row>
    <row r="1180" spans="1:9" x14ac:dyDescent="0.3">
      <c r="A1180" s="35" t="s">
        <v>979</v>
      </c>
      <c r="B1180" t="s">
        <v>980</v>
      </c>
      <c r="C1180" s="106">
        <v>11</v>
      </c>
      <c r="E1180" s="38"/>
      <c r="F1180" s="38"/>
      <c r="G1180" s="38">
        <v>0</v>
      </c>
      <c r="H1180" s="38">
        <v>1383.7899999999986</v>
      </c>
      <c r="I1180" s="108" t="e">
        <v>#DIV/0!</v>
      </c>
    </row>
    <row r="1181" spans="1:9" x14ac:dyDescent="0.3">
      <c r="A1181" s="35" t="s">
        <v>979</v>
      </c>
      <c r="B1181" t="s">
        <v>980</v>
      </c>
      <c r="C1181" s="106">
        <v>12</v>
      </c>
      <c r="E1181" s="38"/>
      <c r="F1181" s="38"/>
      <c r="G1181" s="38">
        <v>0</v>
      </c>
      <c r="H1181" s="38">
        <v>1383.7899999999986</v>
      </c>
      <c r="I1181" s="108" t="e">
        <v>#DIV/0!</v>
      </c>
    </row>
    <row r="1182" spans="1:9" x14ac:dyDescent="0.3">
      <c r="A1182" s="35" t="s">
        <v>979</v>
      </c>
      <c r="B1182" t="s">
        <v>980</v>
      </c>
      <c r="C1182" s="106">
        <v>13</v>
      </c>
      <c r="E1182" s="38"/>
      <c r="F1182" s="38"/>
      <c r="G1182" s="38">
        <v>0</v>
      </c>
      <c r="H1182" s="38">
        <v>1383.7899999999986</v>
      </c>
      <c r="I1182" s="108" t="e">
        <v>#DIV/0!</v>
      </c>
    </row>
    <row r="1183" spans="1:9" x14ac:dyDescent="0.3">
      <c r="A1183" s="35" t="s">
        <v>979</v>
      </c>
      <c r="B1183" t="s">
        <v>980</v>
      </c>
      <c r="C1183" s="106">
        <v>14</v>
      </c>
      <c r="E1183" s="38"/>
      <c r="F1183" s="38"/>
      <c r="G1183" s="38">
        <v>0</v>
      </c>
      <c r="H1183" s="38">
        <v>1383.7899999999986</v>
      </c>
      <c r="I1183" s="108" t="e">
        <v>#DIV/0!</v>
      </c>
    </row>
    <row r="1184" spans="1:9" x14ac:dyDescent="0.3">
      <c r="A1184" s="35" t="s">
        <v>979</v>
      </c>
      <c r="B1184" t="s">
        <v>980</v>
      </c>
      <c r="C1184" s="106">
        <v>15</v>
      </c>
      <c r="E1184" s="38"/>
      <c r="F1184" s="38"/>
      <c r="G1184" s="38">
        <v>0</v>
      </c>
      <c r="H1184" s="38">
        <v>1383.7899999999986</v>
      </c>
      <c r="I1184" s="108" t="e">
        <v>#DIV/0!</v>
      </c>
    </row>
    <row r="1185" spans="1:9" ht="15" thickBot="1" x14ac:dyDescent="0.35">
      <c r="A1185" s="109" t="s">
        <v>979</v>
      </c>
      <c r="B1185" s="110" t="s">
        <v>980</v>
      </c>
      <c r="C1185" s="114">
        <v>16</v>
      </c>
      <c r="D1185" s="110"/>
      <c r="E1185" s="115"/>
      <c r="F1185" s="115"/>
      <c r="G1185" s="115">
        <v>0</v>
      </c>
      <c r="H1185" s="115">
        <v>1383.7899999999986</v>
      </c>
      <c r="I1185" s="110"/>
    </row>
    <row r="1186" spans="1:9" x14ac:dyDescent="0.3">
      <c r="A1186" s="35" t="s">
        <v>883</v>
      </c>
      <c r="B1186" t="s">
        <v>939</v>
      </c>
      <c r="C1186" s="106">
        <v>1</v>
      </c>
      <c r="D1186" s="56">
        <v>45918</v>
      </c>
      <c r="E1186" s="38">
        <v>3261</v>
      </c>
      <c r="F1186" s="38">
        <v>2965</v>
      </c>
      <c r="G1186" s="38">
        <v>296</v>
      </c>
      <c r="H1186" s="38">
        <v>296</v>
      </c>
      <c r="I1186" s="108">
        <v>9.9831365935919056E-2</v>
      </c>
    </row>
    <row r="1187" spans="1:9" x14ac:dyDescent="0.3">
      <c r="A1187" s="35" t="s">
        <v>883</v>
      </c>
      <c r="B1187" t="s">
        <v>939</v>
      </c>
      <c r="C1187" s="106">
        <v>2</v>
      </c>
      <c r="D1187" s="56">
        <v>45925</v>
      </c>
      <c r="E1187" s="38">
        <v>3261</v>
      </c>
      <c r="F1187" s="38">
        <v>2961</v>
      </c>
      <c r="G1187" s="38">
        <v>300</v>
      </c>
      <c r="H1187" s="38">
        <v>596</v>
      </c>
      <c r="I1187" s="108">
        <v>0.10131712259371833</v>
      </c>
    </row>
    <row r="1188" spans="1:9" x14ac:dyDescent="0.3">
      <c r="A1188" s="35" t="s">
        <v>883</v>
      </c>
      <c r="B1188" t="s">
        <v>939</v>
      </c>
      <c r="C1188" s="106">
        <v>3</v>
      </c>
      <c r="D1188" s="56">
        <v>45932</v>
      </c>
      <c r="E1188" s="38">
        <v>3261</v>
      </c>
      <c r="F1188" s="38">
        <v>2965</v>
      </c>
      <c r="G1188" s="38">
        <v>296</v>
      </c>
      <c r="H1188" s="38">
        <v>892</v>
      </c>
      <c r="I1188" s="108">
        <v>9.9831365935919056E-2</v>
      </c>
    </row>
    <row r="1189" spans="1:9" x14ac:dyDescent="0.3">
      <c r="A1189" s="35" t="s">
        <v>883</v>
      </c>
      <c r="B1189" t="s">
        <v>939</v>
      </c>
      <c r="C1189" s="106">
        <v>4</v>
      </c>
      <c r="D1189" s="56">
        <v>45939</v>
      </c>
      <c r="E1189" s="38">
        <v>3191</v>
      </c>
      <c r="F1189" s="38">
        <v>2965</v>
      </c>
      <c r="G1189" s="38">
        <v>226</v>
      </c>
      <c r="H1189" s="38">
        <v>1118</v>
      </c>
      <c r="I1189" s="108">
        <v>7.6222596964586845E-2</v>
      </c>
    </row>
    <row r="1190" spans="1:9" x14ac:dyDescent="0.3">
      <c r="A1190" s="35" t="s">
        <v>883</v>
      </c>
      <c r="B1190" t="s">
        <v>939</v>
      </c>
      <c r="C1190" s="106">
        <v>5</v>
      </c>
      <c r="D1190" s="56">
        <v>45946</v>
      </c>
      <c r="E1190" s="38">
        <v>3191</v>
      </c>
      <c r="F1190" s="38">
        <v>2965</v>
      </c>
      <c r="G1190" s="38">
        <v>226</v>
      </c>
      <c r="H1190" s="38">
        <v>1344</v>
      </c>
      <c r="I1190" s="108">
        <v>7.6222596964586845E-2</v>
      </c>
    </row>
    <row r="1191" spans="1:9" x14ac:dyDescent="0.3">
      <c r="A1191" s="35" t="s">
        <v>883</v>
      </c>
      <c r="B1191" t="s">
        <v>939</v>
      </c>
      <c r="C1191" s="106">
        <v>6</v>
      </c>
      <c r="D1191" s="56">
        <v>45953</v>
      </c>
      <c r="E1191" s="38">
        <v>3191</v>
      </c>
      <c r="F1191" s="38">
        <v>2974</v>
      </c>
      <c r="G1191" s="38">
        <v>217</v>
      </c>
      <c r="H1191" s="38">
        <v>1561</v>
      </c>
      <c r="I1191" s="108">
        <v>7.2965702757229314E-2</v>
      </c>
    </row>
    <row r="1192" spans="1:9" x14ac:dyDescent="0.3">
      <c r="A1192" s="35" t="s">
        <v>883</v>
      </c>
      <c r="B1192" t="s">
        <v>939</v>
      </c>
      <c r="C1192" s="106">
        <v>7</v>
      </c>
      <c r="D1192" s="56">
        <v>45960</v>
      </c>
      <c r="E1192" s="38">
        <v>3191</v>
      </c>
      <c r="F1192" s="38">
        <v>2964</v>
      </c>
      <c r="G1192" s="38">
        <v>227</v>
      </c>
      <c r="H1192" s="38">
        <v>1788</v>
      </c>
      <c r="I1192" s="108">
        <v>7.6585695006747639E-2</v>
      </c>
    </row>
    <row r="1193" spans="1:9" x14ac:dyDescent="0.3">
      <c r="A1193" s="35" t="s">
        <v>883</v>
      </c>
      <c r="B1193" t="s">
        <v>939</v>
      </c>
      <c r="C1193" s="106">
        <v>8</v>
      </c>
      <c r="E1193" s="38"/>
      <c r="F1193" s="38"/>
      <c r="G1193" s="38">
        <v>0</v>
      </c>
      <c r="H1193" s="38">
        <v>1788</v>
      </c>
      <c r="I1193" s="108" t="e">
        <v>#DIV/0!</v>
      </c>
    </row>
    <row r="1194" spans="1:9" x14ac:dyDescent="0.3">
      <c r="A1194" s="35" t="s">
        <v>883</v>
      </c>
      <c r="B1194" t="s">
        <v>939</v>
      </c>
      <c r="C1194" s="106">
        <v>9</v>
      </c>
      <c r="E1194" s="38"/>
      <c r="F1194" s="38"/>
      <c r="G1194" s="38">
        <v>0</v>
      </c>
      <c r="H1194" s="38">
        <v>1788</v>
      </c>
      <c r="I1194" s="108" t="e">
        <v>#DIV/0!</v>
      </c>
    </row>
    <row r="1195" spans="1:9" x14ac:dyDescent="0.3">
      <c r="A1195" s="35" t="s">
        <v>883</v>
      </c>
      <c r="B1195" t="s">
        <v>939</v>
      </c>
      <c r="C1195" s="106">
        <v>10</v>
      </c>
      <c r="E1195" s="38"/>
      <c r="F1195" s="38"/>
      <c r="G1195" s="38">
        <v>0</v>
      </c>
      <c r="H1195" s="38">
        <v>1788</v>
      </c>
      <c r="I1195" s="108" t="e">
        <v>#DIV/0!</v>
      </c>
    </row>
    <row r="1196" spans="1:9" x14ac:dyDescent="0.3">
      <c r="A1196" s="35" t="s">
        <v>883</v>
      </c>
      <c r="B1196" t="s">
        <v>939</v>
      </c>
      <c r="C1196" s="106">
        <v>11</v>
      </c>
      <c r="E1196" s="38"/>
      <c r="F1196" s="38"/>
      <c r="G1196" s="38">
        <v>0</v>
      </c>
      <c r="H1196" s="38">
        <v>1788</v>
      </c>
      <c r="I1196" s="108" t="e">
        <v>#DIV/0!</v>
      </c>
    </row>
    <row r="1197" spans="1:9" x14ac:dyDescent="0.3">
      <c r="A1197" s="35" t="s">
        <v>883</v>
      </c>
      <c r="B1197" t="s">
        <v>939</v>
      </c>
      <c r="C1197" s="106">
        <v>12</v>
      </c>
      <c r="E1197" s="38"/>
      <c r="F1197" s="38"/>
      <c r="G1197" s="38">
        <v>0</v>
      </c>
      <c r="H1197" s="38">
        <v>1788</v>
      </c>
      <c r="I1197" s="108" t="e">
        <v>#DIV/0!</v>
      </c>
    </row>
    <row r="1198" spans="1:9" x14ac:dyDescent="0.3">
      <c r="A1198" s="35" t="s">
        <v>883</v>
      </c>
      <c r="B1198" t="s">
        <v>939</v>
      </c>
      <c r="C1198" s="106">
        <v>13</v>
      </c>
      <c r="E1198" s="38"/>
      <c r="F1198" s="38"/>
      <c r="G1198" s="38">
        <v>0</v>
      </c>
      <c r="H1198" s="38">
        <v>1788</v>
      </c>
      <c r="I1198" s="108" t="e">
        <v>#DIV/0!</v>
      </c>
    </row>
    <row r="1199" spans="1:9" x14ac:dyDescent="0.3">
      <c r="A1199" s="35" t="s">
        <v>883</v>
      </c>
      <c r="B1199" t="s">
        <v>939</v>
      </c>
      <c r="C1199" s="106">
        <v>14</v>
      </c>
      <c r="E1199" s="38"/>
      <c r="F1199" s="38"/>
      <c r="G1199" s="38">
        <v>0</v>
      </c>
      <c r="H1199" s="38">
        <v>1788</v>
      </c>
      <c r="I1199" s="108" t="e">
        <v>#DIV/0!</v>
      </c>
    </row>
    <row r="1200" spans="1:9" x14ac:dyDescent="0.3">
      <c r="A1200" s="35" t="s">
        <v>883</v>
      </c>
      <c r="B1200" t="s">
        <v>939</v>
      </c>
      <c r="C1200" s="106">
        <v>15</v>
      </c>
      <c r="E1200" s="38"/>
      <c r="F1200" s="38"/>
      <c r="G1200" s="38">
        <v>0</v>
      </c>
      <c r="H1200" s="38">
        <v>1788</v>
      </c>
      <c r="I1200" s="108" t="e">
        <v>#DIV/0!</v>
      </c>
    </row>
    <row r="1201" spans="1:9" ht="15" thickBot="1" x14ac:dyDescent="0.35">
      <c r="A1201" s="109" t="s">
        <v>883</v>
      </c>
      <c r="B1201" s="110" t="s">
        <v>939</v>
      </c>
      <c r="C1201" s="114">
        <v>16</v>
      </c>
      <c r="D1201" s="110"/>
      <c r="E1201" s="115"/>
      <c r="F1201" s="115"/>
      <c r="G1201" s="115">
        <v>0</v>
      </c>
      <c r="H1201" s="115">
        <v>1788</v>
      </c>
      <c r="I1201" s="110"/>
    </row>
    <row r="1202" spans="1:9" x14ac:dyDescent="0.3">
      <c r="A1202" s="35" t="s">
        <v>1006</v>
      </c>
      <c r="B1202" t="s">
        <v>983</v>
      </c>
      <c r="C1202" s="106">
        <v>1</v>
      </c>
      <c r="D1202" s="56">
        <v>45918</v>
      </c>
      <c r="E1202" s="38">
        <v>10032</v>
      </c>
      <c r="F1202" s="38">
        <v>9120.08</v>
      </c>
      <c r="G1202" s="38">
        <v>911.92000000000007</v>
      </c>
      <c r="H1202" s="38">
        <v>911.92000000000007</v>
      </c>
      <c r="I1202" s="108">
        <v>9.9990350961833674E-2</v>
      </c>
    </row>
    <row r="1203" spans="1:9" x14ac:dyDescent="0.3">
      <c r="A1203" s="35" t="s">
        <v>1006</v>
      </c>
      <c r="B1203" t="s">
        <v>983</v>
      </c>
      <c r="C1203" s="106">
        <v>2</v>
      </c>
      <c r="D1203" s="56">
        <v>45925</v>
      </c>
      <c r="E1203" s="38">
        <v>10032</v>
      </c>
      <c r="F1203" s="38">
        <v>9120.08</v>
      </c>
      <c r="G1203" s="38">
        <v>911.92000000000007</v>
      </c>
      <c r="H1203" s="38">
        <v>1823.8400000000001</v>
      </c>
      <c r="I1203" s="108">
        <v>9.9990350961833674E-2</v>
      </c>
    </row>
    <row r="1204" spans="1:9" x14ac:dyDescent="0.3">
      <c r="A1204" s="35" t="s">
        <v>1006</v>
      </c>
      <c r="B1204" t="s">
        <v>983</v>
      </c>
      <c r="C1204" s="106">
        <v>3</v>
      </c>
      <c r="D1204" s="56">
        <v>45932</v>
      </c>
      <c r="E1204" s="38">
        <v>10032</v>
      </c>
      <c r="F1204" s="38">
        <v>9120.08</v>
      </c>
      <c r="G1204" s="38">
        <v>911.92000000000007</v>
      </c>
      <c r="H1204" s="38">
        <v>2735.76</v>
      </c>
      <c r="I1204" s="108">
        <v>9.9990350961833674E-2</v>
      </c>
    </row>
    <row r="1205" spans="1:9" x14ac:dyDescent="0.3">
      <c r="A1205" s="35" t="s">
        <v>1006</v>
      </c>
      <c r="B1205" t="s">
        <v>983</v>
      </c>
      <c r="C1205" s="106">
        <v>4</v>
      </c>
      <c r="D1205" s="56">
        <v>45939</v>
      </c>
      <c r="E1205" s="38">
        <v>10032</v>
      </c>
      <c r="F1205" s="38">
        <v>9121</v>
      </c>
      <c r="G1205" s="38">
        <v>911</v>
      </c>
      <c r="H1205" s="38">
        <v>3646.76</v>
      </c>
      <c r="I1205" s="108">
        <v>9.987939918868545E-2</v>
      </c>
    </row>
    <row r="1206" spans="1:9" x14ac:dyDescent="0.3">
      <c r="A1206" s="35" t="s">
        <v>1006</v>
      </c>
      <c r="B1206" t="s">
        <v>983</v>
      </c>
      <c r="C1206" s="106">
        <v>5</v>
      </c>
      <c r="D1206" s="56">
        <v>45946</v>
      </c>
      <c r="E1206" s="38">
        <v>10032</v>
      </c>
      <c r="F1206" s="38">
        <v>9121</v>
      </c>
      <c r="G1206" s="38">
        <v>911</v>
      </c>
      <c r="H1206" s="38">
        <v>4557.76</v>
      </c>
      <c r="I1206" s="108">
        <v>9.987939918868545E-2</v>
      </c>
    </row>
    <row r="1207" spans="1:9" x14ac:dyDescent="0.3">
      <c r="A1207" s="35" t="s">
        <v>1006</v>
      </c>
      <c r="B1207" t="s">
        <v>983</v>
      </c>
      <c r="C1207" s="106">
        <v>6</v>
      </c>
      <c r="D1207" s="56">
        <v>45953</v>
      </c>
      <c r="E1207" s="38">
        <v>10032</v>
      </c>
      <c r="F1207" s="38">
        <v>9121</v>
      </c>
      <c r="G1207" s="38">
        <v>911</v>
      </c>
      <c r="H1207" s="38">
        <v>5468.76</v>
      </c>
      <c r="I1207" s="108">
        <v>9.987939918868545E-2</v>
      </c>
    </row>
    <row r="1208" spans="1:9" x14ac:dyDescent="0.3">
      <c r="A1208" s="35" t="s">
        <v>1006</v>
      </c>
      <c r="B1208" t="s">
        <v>983</v>
      </c>
      <c r="C1208" s="106">
        <v>7</v>
      </c>
      <c r="D1208" s="56">
        <v>45960</v>
      </c>
      <c r="E1208" s="38">
        <v>10032</v>
      </c>
      <c r="F1208" s="38">
        <v>9121</v>
      </c>
      <c r="G1208" s="38">
        <v>911</v>
      </c>
      <c r="H1208" s="38">
        <v>6379.76</v>
      </c>
      <c r="I1208" s="108">
        <v>9.987939918868545E-2</v>
      </c>
    </row>
    <row r="1209" spans="1:9" x14ac:dyDescent="0.3">
      <c r="A1209" s="35" t="s">
        <v>1006</v>
      </c>
      <c r="B1209" t="s">
        <v>983</v>
      </c>
      <c r="C1209" s="106">
        <v>8</v>
      </c>
      <c r="E1209" s="38"/>
      <c r="F1209" s="38"/>
      <c r="G1209" s="38">
        <v>0</v>
      </c>
      <c r="H1209" s="38">
        <v>6379.76</v>
      </c>
      <c r="I1209" s="108" t="e">
        <v>#DIV/0!</v>
      </c>
    </row>
    <row r="1210" spans="1:9" x14ac:dyDescent="0.3">
      <c r="A1210" s="35" t="s">
        <v>1006</v>
      </c>
      <c r="B1210" t="s">
        <v>983</v>
      </c>
      <c r="C1210" s="106">
        <v>9</v>
      </c>
      <c r="E1210" s="38"/>
      <c r="F1210" s="38"/>
      <c r="G1210" s="38">
        <v>0</v>
      </c>
      <c r="H1210" s="38">
        <v>6379.76</v>
      </c>
      <c r="I1210" s="108" t="e">
        <v>#DIV/0!</v>
      </c>
    </row>
    <row r="1211" spans="1:9" x14ac:dyDescent="0.3">
      <c r="A1211" s="35" t="s">
        <v>1006</v>
      </c>
      <c r="B1211" t="s">
        <v>983</v>
      </c>
      <c r="C1211" s="106">
        <v>10</v>
      </c>
      <c r="E1211" s="38"/>
      <c r="F1211" s="38"/>
      <c r="G1211" s="38">
        <v>0</v>
      </c>
      <c r="H1211" s="38">
        <v>6379.76</v>
      </c>
    </row>
    <row r="1212" spans="1:9" x14ac:dyDescent="0.3">
      <c r="A1212" s="35" t="s">
        <v>1006</v>
      </c>
      <c r="B1212" t="s">
        <v>983</v>
      </c>
      <c r="C1212" s="106">
        <v>11</v>
      </c>
      <c r="E1212" s="38"/>
      <c r="F1212" s="38"/>
      <c r="G1212" s="38">
        <v>0</v>
      </c>
      <c r="H1212" s="38">
        <v>6379.76</v>
      </c>
    </row>
    <row r="1213" spans="1:9" x14ac:dyDescent="0.3">
      <c r="A1213" s="35" t="s">
        <v>1006</v>
      </c>
      <c r="B1213" t="s">
        <v>983</v>
      </c>
      <c r="C1213" s="106">
        <v>12</v>
      </c>
      <c r="E1213" s="38"/>
      <c r="F1213" s="38"/>
      <c r="G1213" s="38">
        <v>0</v>
      </c>
      <c r="H1213" s="38">
        <v>6379.76</v>
      </c>
    </row>
    <row r="1214" spans="1:9" x14ac:dyDescent="0.3">
      <c r="A1214" s="35" t="s">
        <v>1006</v>
      </c>
      <c r="B1214" t="s">
        <v>983</v>
      </c>
      <c r="C1214" s="106">
        <v>13</v>
      </c>
      <c r="E1214" s="38"/>
      <c r="F1214" s="38"/>
      <c r="G1214" s="38">
        <v>0</v>
      </c>
      <c r="H1214" s="38">
        <v>6379.76</v>
      </c>
    </row>
    <row r="1215" spans="1:9" x14ac:dyDescent="0.3">
      <c r="A1215" s="35" t="s">
        <v>1006</v>
      </c>
      <c r="B1215" t="s">
        <v>983</v>
      </c>
      <c r="C1215" s="106">
        <v>14</v>
      </c>
      <c r="E1215" s="38"/>
      <c r="F1215" s="38"/>
      <c r="G1215" s="38">
        <v>0</v>
      </c>
      <c r="H1215" s="38">
        <v>6379.76</v>
      </c>
    </row>
    <row r="1216" spans="1:9" x14ac:dyDescent="0.3">
      <c r="A1216" s="35" t="s">
        <v>1006</v>
      </c>
      <c r="B1216" t="s">
        <v>983</v>
      </c>
      <c r="C1216" s="106">
        <v>15</v>
      </c>
      <c r="E1216" s="38"/>
      <c r="F1216" s="38"/>
      <c r="G1216" s="38">
        <v>0</v>
      </c>
      <c r="H1216" s="38">
        <v>6379.76</v>
      </c>
    </row>
    <row r="1217" spans="1:9" ht="15" thickBot="1" x14ac:dyDescent="0.35">
      <c r="A1217" s="109" t="s">
        <v>1006</v>
      </c>
      <c r="B1217" s="110" t="s">
        <v>983</v>
      </c>
      <c r="C1217" s="114">
        <v>16</v>
      </c>
      <c r="D1217" s="110"/>
      <c r="E1217" s="115"/>
      <c r="F1217" s="115"/>
      <c r="G1217" s="115">
        <v>0</v>
      </c>
      <c r="H1217" s="115">
        <v>6379.76</v>
      </c>
      <c r="I1217" s="110"/>
    </row>
    <row r="1218" spans="1:9" x14ac:dyDescent="0.3">
      <c r="A1218" s="35" t="s">
        <v>1052</v>
      </c>
      <c r="B1218" t="s">
        <v>945</v>
      </c>
      <c r="C1218" s="106">
        <v>1</v>
      </c>
      <c r="D1218" s="56">
        <v>45918</v>
      </c>
      <c r="E1218" s="38">
        <v>4561</v>
      </c>
      <c r="F1218" s="38">
        <v>4561</v>
      </c>
      <c r="G1218" s="38">
        <v>0</v>
      </c>
      <c r="H1218" s="38">
        <v>0</v>
      </c>
      <c r="I1218" s="108">
        <v>0</v>
      </c>
    </row>
    <row r="1219" spans="1:9" x14ac:dyDescent="0.3">
      <c r="A1219" s="35" t="s">
        <v>1052</v>
      </c>
      <c r="B1219" t="s">
        <v>945</v>
      </c>
      <c r="C1219" s="106">
        <v>2</v>
      </c>
      <c r="D1219" s="56">
        <v>45925</v>
      </c>
      <c r="E1219" s="38">
        <v>4561</v>
      </c>
      <c r="F1219" s="38">
        <v>4561</v>
      </c>
      <c r="G1219" s="38">
        <v>0</v>
      </c>
      <c r="H1219" s="38">
        <v>0</v>
      </c>
      <c r="I1219" s="108">
        <v>0</v>
      </c>
    </row>
    <row r="1220" spans="1:9" x14ac:dyDescent="0.3">
      <c r="A1220" s="35" t="s">
        <v>1052</v>
      </c>
      <c r="B1220" t="s">
        <v>945</v>
      </c>
      <c r="C1220" s="106">
        <v>3</v>
      </c>
      <c r="D1220" s="56">
        <v>45932</v>
      </c>
      <c r="E1220" s="38">
        <v>4829</v>
      </c>
      <c r="F1220" s="38">
        <v>4561</v>
      </c>
      <c r="G1220" s="38">
        <v>268</v>
      </c>
      <c r="H1220" s="38">
        <v>268</v>
      </c>
      <c r="I1220" s="108">
        <v>5.8759044069283055E-2</v>
      </c>
    </row>
    <row r="1221" spans="1:9" x14ac:dyDescent="0.3">
      <c r="A1221" s="35" t="s">
        <v>1052</v>
      </c>
      <c r="B1221" t="s">
        <v>945</v>
      </c>
      <c r="C1221" s="106">
        <v>4</v>
      </c>
      <c r="D1221" s="56">
        <v>45939</v>
      </c>
      <c r="E1221" s="38">
        <v>4636</v>
      </c>
      <c r="F1221" s="38">
        <v>4560</v>
      </c>
      <c r="G1221" s="38">
        <v>76</v>
      </c>
      <c r="H1221" s="38">
        <v>344</v>
      </c>
      <c r="I1221" s="108">
        <v>1.6666666666666666E-2</v>
      </c>
    </row>
    <row r="1222" spans="1:9" x14ac:dyDescent="0.3">
      <c r="A1222" s="35" t="s">
        <v>1052</v>
      </c>
      <c r="B1222" t="s">
        <v>945</v>
      </c>
      <c r="C1222" s="106">
        <v>5</v>
      </c>
      <c r="D1222" s="56">
        <v>45946</v>
      </c>
      <c r="E1222" s="38">
        <v>4636</v>
      </c>
      <c r="F1222" s="38">
        <v>4560</v>
      </c>
      <c r="G1222" s="38">
        <v>76</v>
      </c>
      <c r="H1222" s="38">
        <v>420</v>
      </c>
      <c r="I1222" s="108">
        <v>1.6666666666666666E-2</v>
      </c>
    </row>
    <row r="1223" spans="1:9" x14ac:dyDescent="0.3">
      <c r="A1223" s="35" t="s">
        <v>1052</v>
      </c>
      <c r="B1223" t="s">
        <v>945</v>
      </c>
      <c r="C1223" s="106">
        <v>6</v>
      </c>
      <c r="D1223" s="56">
        <v>45953</v>
      </c>
      <c r="E1223" s="38">
        <v>4676</v>
      </c>
      <c r="F1223" s="38">
        <v>4560</v>
      </c>
      <c r="G1223" s="38">
        <v>116</v>
      </c>
      <c r="H1223" s="38">
        <v>536</v>
      </c>
      <c r="I1223" s="108">
        <v>2.5438596491228069E-2</v>
      </c>
    </row>
    <row r="1224" spans="1:9" x14ac:dyDescent="0.3">
      <c r="A1224" s="35" t="s">
        <v>1052</v>
      </c>
      <c r="B1224" t="s">
        <v>945</v>
      </c>
      <c r="C1224" s="106">
        <v>7</v>
      </c>
      <c r="D1224" s="56">
        <v>45960</v>
      </c>
      <c r="E1224" s="38">
        <v>4636</v>
      </c>
      <c r="F1224" s="38">
        <v>4560</v>
      </c>
      <c r="G1224" s="38">
        <v>76</v>
      </c>
      <c r="H1224" s="38">
        <v>612</v>
      </c>
      <c r="I1224" s="108">
        <v>1.6666666666666666E-2</v>
      </c>
    </row>
    <row r="1225" spans="1:9" x14ac:dyDescent="0.3">
      <c r="A1225" s="35" t="s">
        <v>1052</v>
      </c>
      <c r="B1225" t="s">
        <v>945</v>
      </c>
      <c r="C1225" s="106">
        <v>8</v>
      </c>
      <c r="E1225" s="38"/>
      <c r="F1225" s="38"/>
      <c r="G1225" s="38">
        <v>0</v>
      </c>
      <c r="H1225" s="38">
        <v>612</v>
      </c>
      <c r="I1225" s="108" t="e">
        <v>#DIV/0!</v>
      </c>
    </row>
    <row r="1226" spans="1:9" x14ac:dyDescent="0.3">
      <c r="A1226" s="35" t="s">
        <v>1052</v>
      </c>
      <c r="B1226" t="s">
        <v>945</v>
      </c>
      <c r="C1226" s="106">
        <v>9</v>
      </c>
      <c r="E1226" s="38"/>
      <c r="F1226" s="38"/>
      <c r="G1226" s="38">
        <v>0</v>
      </c>
      <c r="H1226" s="38">
        <v>612</v>
      </c>
      <c r="I1226" s="108" t="e">
        <v>#DIV/0!</v>
      </c>
    </row>
    <row r="1227" spans="1:9" x14ac:dyDescent="0.3">
      <c r="A1227" s="35" t="s">
        <v>1052</v>
      </c>
      <c r="B1227" t="s">
        <v>945</v>
      </c>
      <c r="C1227" s="106">
        <v>10</v>
      </c>
      <c r="E1227" s="38"/>
      <c r="F1227" s="38"/>
      <c r="G1227" s="38">
        <v>0</v>
      </c>
      <c r="H1227" s="38">
        <v>612</v>
      </c>
      <c r="I1227" s="108" t="e">
        <v>#DIV/0!</v>
      </c>
    </row>
    <row r="1228" spans="1:9" x14ac:dyDescent="0.3">
      <c r="A1228" s="35" t="s">
        <v>1052</v>
      </c>
      <c r="B1228" t="s">
        <v>945</v>
      </c>
      <c r="C1228" s="106">
        <v>11</v>
      </c>
      <c r="E1228" s="38"/>
      <c r="F1228" s="38"/>
      <c r="G1228" s="38">
        <v>0</v>
      </c>
      <c r="H1228" s="38">
        <v>612</v>
      </c>
      <c r="I1228" s="108" t="e">
        <v>#DIV/0!</v>
      </c>
    </row>
    <row r="1229" spans="1:9" x14ac:dyDescent="0.3">
      <c r="A1229" s="35" t="s">
        <v>1052</v>
      </c>
      <c r="B1229" t="s">
        <v>945</v>
      </c>
      <c r="C1229" s="106">
        <v>12</v>
      </c>
      <c r="E1229" s="38"/>
      <c r="F1229" s="38"/>
      <c r="G1229" s="38">
        <v>0</v>
      </c>
      <c r="H1229" s="38">
        <v>612</v>
      </c>
      <c r="I1229" s="108" t="e">
        <v>#DIV/0!</v>
      </c>
    </row>
    <row r="1230" spans="1:9" x14ac:dyDescent="0.3">
      <c r="A1230" s="35" t="s">
        <v>1052</v>
      </c>
      <c r="B1230" t="s">
        <v>945</v>
      </c>
      <c r="C1230" s="106">
        <v>13</v>
      </c>
      <c r="E1230" s="38"/>
      <c r="F1230" s="38"/>
      <c r="G1230" s="38">
        <v>0</v>
      </c>
      <c r="H1230" s="38">
        <v>612</v>
      </c>
      <c r="I1230" s="108" t="e">
        <v>#DIV/0!</v>
      </c>
    </row>
    <row r="1231" spans="1:9" x14ac:dyDescent="0.3">
      <c r="A1231" s="35" t="s">
        <v>1052</v>
      </c>
      <c r="B1231" t="s">
        <v>945</v>
      </c>
      <c r="C1231" s="106">
        <v>14</v>
      </c>
      <c r="E1231" s="38"/>
      <c r="F1231" s="38"/>
      <c r="G1231" s="38">
        <v>0</v>
      </c>
      <c r="H1231" s="38">
        <v>612</v>
      </c>
    </row>
    <row r="1232" spans="1:9" x14ac:dyDescent="0.3">
      <c r="A1232" s="35" t="s">
        <v>1052</v>
      </c>
      <c r="B1232" t="s">
        <v>945</v>
      </c>
      <c r="C1232" s="106">
        <v>15</v>
      </c>
      <c r="E1232" s="38"/>
      <c r="F1232" s="38"/>
      <c r="G1232" s="38">
        <v>0</v>
      </c>
      <c r="H1232" s="38">
        <v>612</v>
      </c>
    </row>
    <row r="1233" spans="1:9" ht="15" thickBot="1" x14ac:dyDescent="0.35">
      <c r="A1233" s="109" t="s">
        <v>1052</v>
      </c>
      <c r="B1233" s="110" t="s">
        <v>945</v>
      </c>
      <c r="C1233" s="114">
        <v>16</v>
      </c>
      <c r="D1233" s="110"/>
      <c r="E1233" s="115"/>
      <c r="F1233" s="115"/>
      <c r="G1233" s="115">
        <v>0</v>
      </c>
      <c r="H1233" s="115">
        <v>612</v>
      </c>
      <c r="I1233" s="110"/>
    </row>
    <row r="1234" spans="1:9" x14ac:dyDescent="0.3">
      <c r="A1234" s="35" t="s">
        <v>1083</v>
      </c>
      <c r="B1234" t="s">
        <v>984</v>
      </c>
      <c r="C1234" s="106">
        <v>1</v>
      </c>
      <c r="D1234" s="56">
        <v>45919</v>
      </c>
      <c r="E1234" s="38">
        <v>12369</v>
      </c>
      <c r="F1234" s="38">
        <v>11780.1</v>
      </c>
      <c r="G1234" s="38">
        <v>588.89999999999964</v>
      </c>
      <c r="H1234" s="38">
        <v>588.89999999999964</v>
      </c>
      <c r="I1234" s="108">
        <v>4.99910866631013E-2</v>
      </c>
    </row>
    <row r="1235" spans="1:9" x14ac:dyDescent="0.3">
      <c r="A1235" s="35" t="s">
        <v>1083</v>
      </c>
      <c r="B1235" t="s">
        <v>984</v>
      </c>
      <c r="C1235" s="106">
        <v>2</v>
      </c>
      <c r="D1235" s="56">
        <v>45926</v>
      </c>
      <c r="E1235" s="38">
        <v>12377</v>
      </c>
      <c r="F1235" s="38">
        <v>11780.1</v>
      </c>
      <c r="G1235" s="38">
        <v>596.89999999999964</v>
      </c>
      <c r="H1235" s="38">
        <v>1185.7999999999993</v>
      </c>
      <c r="I1235" s="108">
        <v>5.0670198045856964E-2</v>
      </c>
    </row>
    <row r="1236" spans="1:9" x14ac:dyDescent="0.3">
      <c r="A1236" s="35" t="s">
        <v>1083</v>
      </c>
      <c r="B1236" t="s">
        <v>984</v>
      </c>
      <c r="C1236" s="106">
        <v>3</v>
      </c>
      <c r="D1236" s="56">
        <v>45932</v>
      </c>
      <c r="E1236" s="38">
        <v>12369</v>
      </c>
      <c r="F1236" s="38">
        <v>11780.1</v>
      </c>
      <c r="G1236" s="38">
        <v>588.89999999999964</v>
      </c>
      <c r="H1236" s="38">
        <v>1774.6999999999989</v>
      </c>
      <c r="I1236" s="108">
        <v>4.99910866631013E-2</v>
      </c>
    </row>
    <row r="1237" spans="1:9" x14ac:dyDescent="0.3">
      <c r="A1237" s="35" t="s">
        <v>1083</v>
      </c>
      <c r="B1237" t="s">
        <v>984</v>
      </c>
      <c r="C1237" s="106">
        <v>4</v>
      </c>
      <c r="D1237" s="56">
        <v>45939</v>
      </c>
      <c r="E1237" s="38">
        <v>12369</v>
      </c>
      <c r="F1237" s="38">
        <v>11780.1</v>
      </c>
      <c r="G1237" s="38">
        <v>588.89999999999964</v>
      </c>
      <c r="H1237" s="38">
        <v>2363.5999999999985</v>
      </c>
      <c r="I1237" s="108">
        <v>4.99910866631013E-2</v>
      </c>
    </row>
    <row r="1238" spans="1:9" x14ac:dyDescent="0.3">
      <c r="A1238" s="35" t="s">
        <v>1083</v>
      </c>
      <c r="B1238" t="s">
        <v>984</v>
      </c>
      <c r="C1238" s="106">
        <v>5</v>
      </c>
      <c r="D1238" s="56">
        <v>45947</v>
      </c>
      <c r="E1238" s="38">
        <v>12369</v>
      </c>
      <c r="F1238" s="38">
        <v>11780.1</v>
      </c>
      <c r="G1238" s="38">
        <v>588.89999999999964</v>
      </c>
      <c r="H1238" s="38">
        <v>2952.4999999999982</v>
      </c>
      <c r="I1238" s="108">
        <v>4.99910866631013E-2</v>
      </c>
    </row>
    <row r="1239" spans="1:9" x14ac:dyDescent="0.3">
      <c r="A1239" s="35" t="s">
        <v>1083</v>
      </c>
      <c r="B1239" t="s">
        <v>984</v>
      </c>
      <c r="C1239" s="106">
        <v>6</v>
      </c>
      <c r="D1239" s="56">
        <v>45954</v>
      </c>
      <c r="E1239" s="38">
        <v>12369</v>
      </c>
      <c r="F1239" s="38">
        <v>11780.1</v>
      </c>
      <c r="G1239" s="38">
        <v>588.89999999999964</v>
      </c>
      <c r="H1239" s="38">
        <v>3541.3999999999978</v>
      </c>
      <c r="I1239" s="108">
        <v>4.99910866631013E-2</v>
      </c>
    </row>
    <row r="1240" spans="1:9" x14ac:dyDescent="0.3">
      <c r="A1240" s="35" t="s">
        <v>1083</v>
      </c>
      <c r="B1240" t="s">
        <v>984</v>
      </c>
      <c r="C1240" s="106">
        <v>7</v>
      </c>
      <c r="E1240" s="38"/>
      <c r="F1240" s="38"/>
      <c r="G1240" s="38">
        <v>0</v>
      </c>
      <c r="H1240" s="38">
        <v>3541.3999999999978</v>
      </c>
      <c r="I1240" s="108" t="e">
        <v>#DIV/0!</v>
      </c>
    </row>
    <row r="1241" spans="1:9" x14ac:dyDescent="0.3">
      <c r="A1241" s="35" t="s">
        <v>1083</v>
      </c>
      <c r="B1241" t="s">
        <v>984</v>
      </c>
      <c r="C1241" s="106">
        <v>8</v>
      </c>
      <c r="E1241" s="38"/>
      <c r="F1241" s="38"/>
      <c r="G1241" s="38">
        <v>0</v>
      </c>
      <c r="H1241" s="38">
        <v>3541.3999999999978</v>
      </c>
    </row>
    <row r="1242" spans="1:9" x14ac:dyDescent="0.3">
      <c r="A1242" s="35" t="s">
        <v>1083</v>
      </c>
      <c r="B1242" t="s">
        <v>984</v>
      </c>
      <c r="C1242" s="106">
        <v>9</v>
      </c>
      <c r="E1242" s="38"/>
      <c r="F1242" s="38"/>
      <c r="G1242" s="38">
        <v>0</v>
      </c>
      <c r="H1242" s="38">
        <v>3541.3999999999978</v>
      </c>
    </row>
    <row r="1243" spans="1:9" x14ac:dyDescent="0.3">
      <c r="A1243" s="35" t="s">
        <v>1083</v>
      </c>
      <c r="B1243" t="s">
        <v>984</v>
      </c>
      <c r="C1243" s="106">
        <v>10</v>
      </c>
      <c r="E1243" s="38"/>
      <c r="F1243" s="38"/>
      <c r="G1243" s="38">
        <v>0</v>
      </c>
      <c r="H1243" s="38">
        <v>3541.3999999999978</v>
      </c>
    </row>
    <row r="1244" spans="1:9" x14ac:dyDescent="0.3">
      <c r="A1244" s="35" t="s">
        <v>1083</v>
      </c>
      <c r="B1244" t="s">
        <v>984</v>
      </c>
      <c r="C1244" s="106">
        <v>11</v>
      </c>
      <c r="E1244" s="38"/>
      <c r="F1244" s="38"/>
      <c r="G1244" s="38">
        <v>0</v>
      </c>
      <c r="H1244" s="38">
        <v>3541.3999999999978</v>
      </c>
    </row>
    <row r="1245" spans="1:9" x14ac:dyDescent="0.3">
      <c r="A1245" s="35" t="s">
        <v>1083</v>
      </c>
      <c r="B1245" t="s">
        <v>984</v>
      </c>
      <c r="C1245" s="106">
        <v>12</v>
      </c>
      <c r="E1245" s="38"/>
      <c r="F1245" s="38"/>
      <c r="G1245" s="38">
        <v>0</v>
      </c>
      <c r="H1245" s="38">
        <v>3541.3999999999978</v>
      </c>
    </row>
    <row r="1246" spans="1:9" x14ac:dyDescent="0.3">
      <c r="A1246" s="35" t="s">
        <v>1083</v>
      </c>
      <c r="B1246" t="s">
        <v>984</v>
      </c>
      <c r="C1246" s="106">
        <v>13</v>
      </c>
      <c r="E1246" s="38"/>
      <c r="F1246" s="38"/>
      <c r="G1246" s="38">
        <v>0</v>
      </c>
      <c r="H1246" s="38">
        <v>3541.3999999999978</v>
      </c>
    </row>
    <row r="1247" spans="1:9" x14ac:dyDescent="0.3">
      <c r="A1247" s="35" t="s">
        <v>1083</v>
      </c>
      <c r="B1247" t="s">
        <v>984</v>
      </c>
      <c r="C1247" s="106">
        <v>14</v>
      </c>
      <c r="E1247" s="38"/>
      <c r="F1247" s="38"/>
      <c r="G1247" s="38">
        <v>0</v>
      </c>
      <c r="H1247" s="38">
        <v>3541.3999999999978</v>
      </c>
    </row>
    <row r="1248" spans="1:9" x14ac:dyDescent="0.3">
      <c r="A1248" s="35" t="s">
        <v>1083</v>
      </c>
      <c r="B1248" t="s">
        <v>984</v>
      </c>
      <c r="C1248" s="106">
        <v>15</v>
      </c>
      <c r="E1248" s="38"/>
      <c r="F1248" s="38"/>
      <c r="G1248" s="38">
        <v>0</v>
      </c>
      <c r="H1248" s="38">
        <v>3541.3999999999978</v>
      </c>
    </row>
    <row r="1249" spans="1:9" ht="15" thickBot="1" x14ac:dyDescent="0.35">
      <c r="A1249" s="109" t="s">
        <v>1083</v>
      </c>
      <c r="B1249" s="110" t="s">
        <v>984</v>
      </c>
      <c r="C1249" s="114">
        <v>16</v>
      </c>
      <c r="D1249" s="110"/>
      <c r="E1249" s="115"/>
      <c r="F1249" s="115"/>
      <c r="G1249" s="115">
        <v>0</v>
      </c>
      <c r="H1249" s="115">
        <v>3541.3999999999978</v>
      </c>
      <c r="I1249" s="110"/>
    </row>
    <row r="1250" spans="1:9" x14ac:dyDescent="0.3">
      <c r="A1250" s="35" t="s">
        <v>1102</v>
      </c>
      <c r="B1250" t="s">
        <v>689</v>
      </c>
      <c r="C1250" s="106">
        <v>1</v>
      </c>
      <c r="D1250" s="56">
        <v>45923</v>
      </c>
      <c r="E1250" s="38">
        <v>5506</v>
      </c>
      <c r="F1250" s="38">
        <v>5245</v>
      </c>
      <c r="G1250" s="38">
        <v>261</v>
      </c>
      <c r="H1250" s="38">
        <v>261</v>
      </c>
      <c r="I1250" s="108">
        <v>4.9761677788369874E-2</v>
      </c>
    </row>
    <row r="1251" spans="1:9" x14ac:dyDescent="0.3">
      <c r="A1251" s="35" t="s">
        <v>1102</v>
      </c>
      <c r="B1251" t="s">
        <v>689</v>
      </c>
      <c r="C1251" s="106">
        <v>2</v>
      </c>
      <c r="D1251" s="56">
        <v>45930</v>
      </c>
      <c r="E1251" s="38">
        <v>5506</v>
      </c>
      <c r="F1251" s="38">
        <v>5245</v>
      </c>
      <c r="G1251" s="38">
        <v>261</v>
      </c>
      <c r="H1251" s="38">
        <v>522</v>
      </c>
      <c r="I1251" s="108">
        <v>4.9761677788369874E-2</v>
      </c>
    </row>
    <row r="1252" spans="1:9" x14ac:dyDescent="0.3">
      <c r="A1252" s="35" t="s">
        <v>1102</v>
      </c>
      <c r="B1252" t="s">
        <v>689</v>
      </c>
      <c r="C1252" s="106">
        <v>3</v>
      </c>
      <c r="D1252" s="56">
        <v>45937</v>
      </c>
      <c r="E1252" s="38">
        <v>5506</v>
      </c>
      <c r="F1252" s="38">
        <v>5245</v>
      </c>
      <c r="G1252" s="38">
        <v>261</v>
      </c>
      <c r="H1252" s="38">
        <v>783</v>
      </c>
      <c r="I1252" s="108">
        <v>4.9761677788369874E-2</v>
      </c>
    </row>
    <row r="1253" spans="1:9" x14ac:dyDescent="0.3">
      <c r="A1253" s="35" t="s">
        <v>1102</v>
      </c>
      <c r="B1253" t="s">
        <v>689</v>
      </c>
      <c r="C1253" s="106">
        <v>4</v>
      </c>
      <c r="D1253" s="56">
        <v>45944</v>
      </c>
      <c r="E1253" s="38">
        <v>5506</v>
      </c>
      <c r="F1253" s="38">
        <v>5245</v>
      </c>
      <c r="G1253" s="38">
        <v>261</v>
      </c>
      <c r="H1253" s="38">
        <v>1044</v>
      </c>
      <c r="I1253" s="108">
        <v>4.9761677788369874E-2</v>
      </c>
    </row>
    <row r="1254" spans="1:9" x14ac:dyDescent="0.3">
      <c r="A1254" s="35" t="s">
        <v>1102</v>
      </c>
      <c r="B1254" t="s">
        <v>689</v>
      </c>
      <c r="C1254" s="106">
        <v>5</v>
      </c>
      <c r="D1254" s="56">
        <v>45951</v>
      </c>
      <c r="E1254" s="38">
        <v>5506</v>
      </c>
      <c r="F1254" s="38">
        <v>5245</v>
      </c>
      <c r="G1254" s="38">
        <v>261</v>
      </c>
      <c r="H1254" s="38">
        <v>1305</v>
      </c>
      <c r="I1254" s="108">
        <v>4.9761677788369874E-2</v>
      </c>
    </row>
    <row r="1255" spans="1:9" x14ac:dyDescent="0.3">
      <c r="A1255" s="35" t="s">
        <v>1102</v>
      </c>
      <c r="B1255" t="s">
        <v>689</v>
      </c>
      <c r="C1255" s="106">
        <v>6</v>
      </c>
      <c r="D1255" s="56">
        <v>45958</v>
      </c>
      <c r="E1255" s="38">
        <v>5506</v>
      </c>
      <c r="F1255" s="38">
        <v>5245</v>
      </c>
      <c r="G1255" s="38">
        <v>261</v>
      </c>
      <c r="H1255" s="38">
        <v>1566</v>
      </c>
      <c r="I1255" s="108">
        <v>4.9761677788369874E-2</v>
      </c>
    </row>
    <row r="1256" spans="1:9" x14ac:dyDescent="0.3">
      <c r="A1256" s="35" t="s">
        <v>1102</v>
      </c>
      <c r="B1256" t="s">
        <v>689</v>
      </c>
      <c r="C1256" s="106">
        <v>7</v>
      </c>
      <c r="E1256" s="38"/>
      <c r="F1256" s="38"/>
      <c r="G1256" s="38">
        <v>0</v>
      </c>
      <c r="H1256" s="38">
        <v>1566</v>
      </c>
      <c r="I1256" s="108" t="e">
        <v>#DIV/0!</v>
      </c>
    </row>
    <row r="1257" spans="1:9" x14ac:dyDescent="0.3">
      <c r="A1257" s="35" t="s">
        <v>1102</v>
      </c>
      <c r="B1257" t="s">
        <v>689</v>
      </c>
      <c r="C1257" s="106">
        <v>8</v>
      </c>
      <c r="E1257" s="38"/>
      <c r="F1257" s="38"/>
      <c r="G1257" s="38">
        <v>0</v>
      </c>
      <c r="H1257" s="38">
        <v>1566</v>
      </c>
      <c r="I1257" s="108" t="e">
        <v>#DIV/0!</v>
      </c>
    </row>
    <row r="1258" spans="1:9" x14ac:dyDescent="0.3">
      <c r="A1258" s="35" t="s">
        <v>1102</v>
      </c>
      <c r="B1258" t="s">
        <v>689</v>
      </c>
      <c r="C1258" s="106">
        <v>9</v>
      </c>
      <c r="E1258" s="38"/>
      <c r="F1258" s="38"/>
      <c r="G1258" s="38">
        <v>0</v>
      </c>
      <c r="H1258" s="38">
        <v>1566</v>
      </c>
      <c r="I1258" s="108" t="e">
        <v>#DIV/0!</v>
      </c>
    </row>
    <row r="1259" spans="1:9" x14ac:dyDescent="0.3">
      <c r="A1259" s="35" t="s">
        <v>1102</v>
      </c>
      <c r="B1259" t="s">
        <v>689</v>
      </c>
      <c r="C1259" s="106">
        <v>10</v>
      </c>
      <c r="E1259" s="38"/>
      <c r="F1259" s="38"/>
      <c r="G1259" s="38">
        <v>0</v>
      </c>
      <c r="H1259" s="38">
        <v>1566</v>
      </c>
      <c r="I1259" s="108" t="e">
        <v>#DIV/0!</v>
      </c>
    </row>
    <row r="1260" spans="1:9" x14ac:dyDescent="0.3">
      <c r="A1260" s="35" t="s">
        <v>1102</v>
      </c>
      <c r="B1260" t="s">
        <v>689</v>
      </c>
      <c r="C1260" s="106">
        <v>11</v>
      </c>
      <c r="E1260" s="38"/>
      <c r="F1260" s="38"/>
      <c r="G1260" s="38">
        <v>0</v>
      </c>
      <c r="H1260" s="38">
        <v>1566</v>
      </c>
      <c r="I1260" s="108" t="e">
        <v>#DIV/0!</v>
      </c>
    </row>
    <row r="1261" spans="1:9" x14ac:dyDescent="0.3">
      <c r="A1261" s="35" t="s">
        <v>1102</v>
      </c>
      <c r="B1261" t="s">
        <v>689</v>
      </c>
      <c r="C1261" s="106">
        <v>12</v>
      </c>
      <c r="E1261" s="38"/>
      <c r="F1261" s="38"/>
      <c r="G1261" s="38">
        <v>0</v>
      </c>
      <c r="H1261" s="38">
        <v>1566</v>
      </c>
      <c r="I1261" s="108" t="e">
        <v>#DIV/0!</v>
      </c>
    </row>
    <row r="1262" spans="1:9" x14ac:dyDescent="0.3">
      <c r="A1262" s="35" t="s">
        <v>1102</v>
      </c>
      <c r="B1262" t="s">
        <v>689</v>
      </c>
      <c r="C1262" s="106">
        <v>13</v>
      </c>
      <c r="E1262" s="38"/>
      <c r="F1262" s="38"/>
      <c r="G1262" s="38">
        <v>0</v>
      </c>
      <c r="H1262" s="38">
        <v>1566</v>
      </c>
      <c r="I1262" s="108" t="e">
        <v>#DIV/0!</v>
      </c>
    </row>
    <row r="1263" spans="1:9" x14ac:dyDescent="0.3">
      <c r="A1263" s="35" t="s">
        <v>1102</v>
      </c>
      <c r="B1263" t="s">
        <v>689</v>
      </c>
      <c r="C1263" s="106">
        <v>14</v>
      </c>
      <c r="E1263" s="38"/>
      <c r="F1263" s="38"/>
      <c r="G1263" s="38">
        <v>0</v>
      </c>
      <c r="H1263" s="38">
        <v>1566</v>
      </c>
      <c r="I1263" s="108" t="e">
        <v>#DIV/0!</v>
      </c>
    </row>
    <row r="1264" spans="1:9" x14ac:dyDescent="0.3">
      <c r="A1264" s="35" t="s">
        <v>1102</v>
      </c>
      <c r="B1264" t="s">
        <v>689</v>
      </c>
      <c r="C1264" s="106">
        <v>15</v>
      </c>
      <c r="E1264" s="38"/>
      <c r="F1264" s="38"/>
      <c r="G1264" s="38">
        <v>0</v>
      </c>
      <c r="H1264" s="38">
        <v>1566</v>
      </c>
      <c r="I1264" s="108" t="e">
        <v>#DIV/0!</v>
      </c>
    </row>
    <row r="1265" spans="1:9" ht="15" thickBot="1" x14ac:dyDescent="0.35">
      <c r="A1265" s="109" t="s">
        <v>1102</v>
      </c>
      <c r="B1265" s="110" t="s">
        <v>689</v>
      </c>
      <c r="C1265" s="114">
        <v>16</v>
      </c>
      <c r="D1265" s="110"/>
      <c r="E1265" s="115"/>
      <c r="F1265" s="115"/>
      <c r="G1265" s="115">
        <v>0</v>
      </c>
      <c r="H1265" s="115">
        <v>1566</v>
      </c>
      <c r="I1265" s="110"/>
    </row>
    <row r="1266" spans="1:9" x14ac:dyDescent="0.3">
      <c r="A1266" s="35" t="s">
        <v>1124</v>
      </c>
      <c r="B1266" t="s">
        <v>1103</v>
      </c>
      <c r="C1266" s="106">
        <v>1</v>
      </c>
      <c r="D1266" s="56">
        <v>45924</v>
      </c>
      <c r="E1266" s="38">
        <v>3834</v>
      </c>
      <c r="F1266" s="38">
        <v>3648</v>
      </c>
      <c r="G1266" s="38">
        <v>186</v>
      </c>
      <c r="H1266" s="38">
        <v>186</v>
      </c>
      <c r="I1266" s="108">
        <v>5.0986842105263157E-2</v>
      </c>
    </row>
    <row r="1267" spans="1:9" x14ac:dyDescent="0.3">
      <c r="A1267" s="35" t="s">
        <v>1124</v>
      </c>
      <c r="B1267" t="s">
        <v>1103</v>
      </c>
      <c r="C1267" s="106">
        <v>2</v>
      </c>
      <c r="D1267" s="56">
        <v>45931</v>
      </c>
      <c r="E1267" s="38">
        <v>3835</v>
      </c>
      <c r="F1267" s="38">
        <v>3648</v>
      </c>
      <c r="G1267" s="38">
        <v>187</v>
      </c>
      <c r="H1267" s="38">
        <v>373</v>
      </c>
      <c r="I1267" s="108">
        <v>5.1260964912280702E-2</v>
      </c>
    </row>
    <row r="1268" spans="1:9" x14ac:dyDescent="0.3">
      <c r="A1268" s="35" t="s">
        <v>1124</v>
      </c>
      <c r="B1268" t="s">
        <v>1103</v>
      </c>
      <c r="C1268" s="106">
        <v>3</v>
      </c>
      <c r="D1268" s="56">
        <v>45938</v>
      </c>
      <c r="E1268" s="38">
        <v>3834</v>
      </c>
      <c r="F1268" s="38">
        <v>3648</v>
      </c>
      <c r="G1268" s="38">
        <v>186</v>
      </c>
      <c r="H1268" s="38">
        <v>559</v>
      </c>
      <c r="I1268" s="108">
        <v>5.0986842105263157E-2</v>
      </c>
    </row>
    <row r="1269" spans="1:9" x14ac:dyDescent="0.3">
      <c r="A1269" s="35" t="s">
        <v>1124</v>
      </c>
      <c r="B1269" t="s">
        <v>1103</v>
      </c>
      <c r="C1269" s="106">
        <v>4</v>
      </c>
      <c r="D1269" s="56">
        <v>45945</v>
      </c>
      <c r="E1269" s="38">
        <v>3834</v>
      </c>
      <c r="F1269" s="38">
        <v>3648</v>
      </c>
      <c r="G1269" s="38">
        <v>186</v>
      </c>
      <c r="H1269" s="38">
        <v>745</v>
      </c>
      <c r="I1269" s="108">
        <v>5.0986842105263157E-2</v>
      </c>
    </row>
    <row r="1270" spans="1:9" x14ac:dyDescent="0.3">
      <c r="A1270" s="35" t="s">
        <v>1124</v>
      </c>
      <c r="B1270" t="s">
        <v>1103</v>
      </c>
      <c r="C1270" s="106">
        <v>5</v>
      </c>
      <c r="D1270" s="56">
        <v>45952</v>
      </c>
      <c r="E1270" s="38">
        <v>3834</v>
      </c>
      <c r="F1270" s="38">
        <v>3648</v>
      </c>
      <c r="G1270" s="38">
        <v>186</v>
      </c>
      <c r="H1270" s="38">
        <v>931</v>
      </c>
      <c r="I1270" s="108">
        <v>5.0986842105263157E-2</v>
      </c>
    </row>
    <row r="1271" spans="1:9" x14ac:dyDescent="0.3">
      <c r="A1271" s="35" t="s">
        <v>1124</v>
      </c>
      <c r="B1271" t="s">
        <v>1103</v>
      </c>
      <c r="C1271" s="106">
        <v>6</v>
      </c>
      <c r="D1271" s="56">
        <v>45959</v>
      </c>
      <c r="E1271" s="38">
        <v>3834</v>
      </c>
      <c r="F1271" s="38">
        <v>3648</v>
      </c>
      <c r="G1271" s="38">
        <v>186</v>
      </c>
      <c r="H1271" s="38">
        <v>1117</v>
      </c>
      <c r="I1271" s="108">
        <v>5.0986842105263157E-2</v>
      </c>
    </row>
    <row r="1272" spans="1:9" x14ac:dyDescent="0.3">
      <c r="A1272" s="35" t="s">
        <v>1124</v>
      </c>
      <c r="B1272" t="s">
        <v>1103</v>
      </c>
      <c r="C1272" s="106">
        <v>7</v>
      </c>
      <c r="E1272" s="38"/>
      <c r="F1272" s="38"/>
      <c r="G1272" s="38">
        <v>0</v>
      </c>
      <c r="H1272" s="38">
        <v>1117</v>
      </c>
      <c r="I1272" s="108" t="e">
        <v>#DIV/0!</v>
      </c>
    </row>
    <row r="1273" spans="1:9" x14ac:dyDescent="0.3">
      <c r="A1273" s="35" t="s">
        <v>1124</v>
      </c>
      <c r="B1273" t="s">
        <v>1103</v>
      </c>
      <c r="C1273" s="106">
        <v>8</v>
      </c>
      <c r="E1273" s="38"/>
      <c r="F1273" s="38"/>
      <c r="G1273" s="38">
        <v>0</v>
      </c>
      <c r="H1273" s="38">
        <v>1117</v>
      </c>
      <c r="I1273" s="108" t="e">
        <v>#DIV/0!</v>
      </c>
    </row>
    <row r="1274" spans="1:9" x14ac:dyDescent="0.3">
      <c r="A1274" s="35" t="s">
        <v>1124</v>
      </c>
      <c r="B1274" t="s">
        <v>1103</v>
      </c>
      <c r="C1274" s="106">
        <v>9</v>
      </c>
      <c r="E1274" s="38"/>
      <c r="F1274" s="38"/>
      <c r="G1274" s="38">
        <v>0</v>
      </c>
      <c r="H1274" s="38">
        <v>1117</v>
      </c>
    </row>
    <row r="1275" spans="1:9" x14ac:dyDescent="0.3">
      <c r="A1275" s="35" t="s">
        <v>1124</v>
      </c>
      <c r="B1275" t="s">
        <v>1103</v>
      </c>
      <c r="C1275" s="106">
        <v>10</v>
      </c>
      <c r="E1275" s="38"/>
      <c r="F1275" s="38"/>
      <c r="G1275" s="38">
        <v>0</v>
      </c>
      <c r="H1275" s="38">
        <v>1117</v>
      </c>
    </row>
    <row r="1276" spans="1:9" x14ac:dyDescent="0.3">
      <c r="A1276" s="35" t="s">
        <v>1124</v>
      </c>
      <c r="B1276" t="s">
        <v>1103</v>
      </c>
      <c r="C1276" s="106">
        <v>11</v>
      </c>
      <c r="E1276" s="38"/>
      <c r="F1276" s="38"/>
      <c r="G1276" s="38">
        <v>0</v>
      </c>
      <c r="H1276" s="38">
        <v>1117</v>
      </c>
    </row>
    <row r="1277" spans="1:9" x14ac:dyDescent="0.3">
      <c r="A1277" s="35" t="s">
        <v>1124</v>
      </c>
      <c r="B1277" t="s">
        <v>1103</v>
      </c>
      <c r="C1277" s="106">
        <v>12</v>
      </c>
      <c r="E1277" s="38"/>
      <c r="F1277" s="38"/>
      <c r="G1277" s="38">
        <v>0</v>
      </c>
      <c r="H1277" s="38">
        <v>1117</v>
      </c>
    </row>
    <row r="1278" spans="1:9" x14ac:dyDescent="0.3">
      <c r="A1278" s="35" t="s">
        <v>1124</v>
      </c>
      <c r="B1278" t="s">
        <v>1103</v>
      </c>
      <c r="C1278" s="106">
        <v>13</v>
      </c>
      <c r="E1278" s="38"/>
      <c r="F1278" s="38"/>
      <c r="G1278" s="38">
        <v>0</v>
      </c>
      <c r="H1278" s="38">
        <v>1117</v>
      </c>
    </row>
    <row r="1279" spans="1:9" x14ac:dyDescent="0.3">
      <c r="A1279" s="35" t="s">
        <v>1124</v>
      </c>
      <c r="B1279" t="s">
        <v>1103</v>
      </c>
      <c r="C1279" s="106">
        <v>14</v>
      </c>
      <c r="E1279" s="38"/>
      <c r="F1279" s="38"/>
      <c r="G1279" s="38">
        <v>0</v>
      </c>
      <c r="H1279" s="38">
        <v>1117</v>
      </c>
    </row>
    <row r="1280" spans="1:9" x14ac:dyDescent="0.3">
      <c r="A1280" s="35" t="s">
        <v>1124</v>
      </c>
      <c r="B1280" t="s">
        <v>1103</v>
      </c>
      <c r="C1280" s="106">
        <v>15</v>
      </c>
      <c r="E1280" s="38"/>
      <c r="F1280" s="38"/>
      <c r="G1280" s="38">
        <v>0</v>
      </c>
      <c r="H1280" s="38">
        <v>1117</v>
      </c>
    </row>
    <row r="1281" spans="1:9" ht="15" thickBot="1" x14ac:dyDescent="0.35">
      <c r="A1281" s="109" t="s">
        <v>1124</v>
      </c>
      <c r="B1281" s="110" t="s">
        <v>1103</v>
      </c>
      <c r="C1281" s="114">
        <v>16</v>
      </c>
      <c r="D1281" s="110"/>
      <c r="E1281" s="115"/>
      <c r="F1281" s="115"/>
      <c r="G1281" s="115">
        <v>0</v>
      </c>
      <c r="H1281" s="115">
        <v>1117</v>
      </c>
      <c r="I1281" s="110"/>
    </row>
    <row r="1282" spans="1:9" x14ac:dyDescent="0.3">
      <c r="A1282" s="35" t="s">
        <v>1163</v>
      </c>
      <c r="B1282" t="s">
        <v>1104</v>
      </c>
      <c r="C1282" s="106">
        <v>1</v>
      </c>
      <c r="D1282" s="56">
        <v>45926</v>
      </c>
      <c r="E1282" s="38">
        <v>4864</v>
      </c>
      <c r="F1282" s="38">
        <v>4560.04</v>
      </c>
      <c r="G1282" s="38">
        <v>303.96000000000004</v>
      </c>
      <c r="H1282" s="38">
        <v>303.96000000000004</v>
      </c>
      <c r="I1282" s="108">
        <v>6.6657310023596289E-2</v>
      </c>
    </row>
    <row r="1283" spans="1:9" x14ac:dyDescent="0.3">
      <c r="A1283" s="35" t="s">
        <v>1163</v>
      </c>
      <c r="B1283" t="s">
        <v>1104</v>
      </c>
      <c r="C1283" s="106">
        <v>2</v>
      </c>
      <c r="D1283" s="56">
        <v>45933</v>
      </c>
      <c r="E1283" s="38">
        <v>4864</v>
      </c>
      <c r="F1283" s="38">
        <v>4560.04</v>
      </c>
      <c r="G1283" s="38">
        <v>303.96000000000004</v>
      </c>
      <c r="H1283" s="38">
        <v>607.92000000000007</v>
      </c>
      <c r="I1283" s="108">
        <v>6.6657310023596289E-2</v>
      </c>
    </row>
    <row r="1284" spans="1:9" x14ac:dyDescent="0.3">
      <c r="A1284" s="35" t="s">
        <v>1163</v>
      </c>
      <c r="B1284" t="s">
        <v>1104</v>
      </c>
      <c r="C1284" s="106">
        <v>3</v>
      </c>
      <c r="D1284" s="56">
        <v>45940</v>
      </c>
      <c r="E1284" s="38">
        <v>4864</v>
      </c>
      <c r="F1284" s="38">
        <v>4561</v>
      </c>
      <c r="G1284" s="38">
        <v>303</v>
      </c>
      <c r="H1284" s="38">
        <v>910.92000000000007</v>
      </c>
      <c r="I1284" s="108">
        <v>6.6432799824599875E-2</v>
      </c>
    </row>
    <row r="1285" spans="1:9" x14ac:dyDescent="0.3">
      <c r="A1285" s="35" t="s">
        <v>1163</v>
      </c>
      <c r="B1285" t="s">
        <v>1104</v>
      </c>
      <c r="C1285" s="106">
        <v>4</v>
      </c>
      <c r="D1285" s="56">
        <v>45947</v>
      </c>
      <c r="E1285" s="38">
        <v>4864</v>
      </c>
      <c r="F1285" s="38">
        <v>4561</v>
      </c>
      <c r="G1285" s="38">
        <v>303</v>
      </c>
      <c r="H1285" s="38">
        <v>1213.92</v>
      </c>
      <c r="I1285" s="108">
        <v>6.6432799824599875E-2</v>
      </c>
    </row>
    <row r="1286" spans="1:9" x14ac:dyDescent="0.3">
      <c r="A1286" s="35" t="s">
        <v>1163</v>
      </c>
      <c r="B1286" t="s">
        <v>1104</v>
      </c>
      <c r="C1286" s="106">
        <v>5</v>
      </c>
      <c r="D1286" s="56">
        <v>45954</v>
      </c>
      <c r="E1286" s="38">
        <v>4864</v>
      </c>
      <c r="F1286" s="38">
        <v>4561</v>
      </c>
      <c r="G1286" s="38">
        <v>303</v>
      </c>
      <c r="H1286" s="38">
        <v>1516.92</v>
      </c>
      <c r="I1286" s="108">
        <v>6.6432799824599875E-2</v>
      </c>
    </row>
    <row r="1287" spans="1:9" x14ac:dyDescent="0.3">
      <c r="A1287" s="35" t="s">
        <v>1163</v>
      </c>
      <c r="B1287" t="s">
        <v>1104</v>
      </c>
      <c r="C1287" s="106">
        <v>6</v>
      </c>
      <c r="E1287" s="38"/>
      <c r="F1287" s="38"/>
      <c r="G1287" s="38">
        <v>0</v>
      </c>
      <c r="H1287" s="38">
        <v>1516.92</v>
      </c>
    </row>
    <row r="1288" spans="1:9" x14ac:dyDescent="0.3">
      <c r="A1288" s="35" t="s">
        <v>1163</v>
      </c>
      <c r="B1288" t="s">
        <v>1104</v>
      </c>
      <c r="C1288" s="106">
        <v>7</v>
      </c>
      <c r="E1288" s="38"/>
      <c r="F1288" s="38"/>
      <c r="G1288" s="38">
        <v>0</v>
      </c>
      <c r="H1288" s="38">
        <v>1516.92</v>
      </c>
    </row>
    <row r="1289" spans="1:9" x14ac:dyDescent="0.3">
      <c r="A1289" s="35" t="s">
        <v>1163</v>
      </c>
      <c r="B1289" t="s">
        <v>1104</v>
      </c>
      <c r="C1289" s="106">
        <v>8</v>
      </c>
      <c r="E1289" s="38"/>
      <c r="F1289" s="38"/>
      <c r="G1289" s="38">
        <v>0</v>
      </c>
      <c r="H1289" s="38">
        <v>1516.92</v>
      </c>
    </row>
    <row r="1290" spans="1:9" x14ac:dyDescent="0.3">
      <c r="A1290" s="35" t="s">
        <v>1163</v>
      </c>
      <c r="B1290" t="s">
        <v>1104</v>
      </c>
      <c r="C1290" s="106">
        <v>9</v>
      </c>
      <c r="E1290" s="38"/>
      <c r="F1290" s="38"/>
      <c r="G1290" s="38">
        <v>0</v>
      </c>
      <c r="H1290" s="38">
        <v>1516.92</v>
      </c>
    </row>
    <row r="1291" spans="1:9" x14ac:dyDescent="0.3">
      <c r="A1291" s="35" t="s">
        <v>1163</v>
      </c>
      <c r="B1291" t="s">
        <v>1104</v>
      </c>
      <c r="C1291" s="106">
        <v>10</v>
      </c>
      <c r="E1291" s="38"/>
      <c r="F1291" s="38"/>
      <c r="G1291" s="38">
        <v>0</v>
      </c>
      <c r="H1291" s="38">
        <v>1516.92</v>
      </c>
    </row>
    <row r="1292" spans="1:9" x14ac:dyDescent="0.3">
      <c r="A1292" s="35" t="s">
        <v>1163</v>
      </c>
      <c r="B1292" t="s">
        <v>1104</v>
      </c>
      <c r="C1292" s="106">
        <v>11</v>
      </c>
      <c r="E1292" s="38"/>
      <c r="F1292" s="38"/>
      <c r="G1292" s="38">
        <v>0</v>
      </c>
      <c r="H1292" s="38">
        <v>1516.92</v>
      </c>
    </row>
    <row r="1293" spans="1:9" x14ac:dyDescent="0.3">
      <c r="A1293" s="35" t="s">
        <v>1163</v>
      </c>
      <c r="B1293" t="s">
        <v>1104</v>
      </c>
      <c r="C1293" s="106">
        <v>12</v>
      </c>
      <c r="E1293" s="38"/>
      <c r="F1293" s="38"/>
      <c r="G1293" s="38">
        <v>0</v>
      </c>
      <c r="H1293" s="38">
        <v>1516.92</v>
      </c>
    </row>
    <row r="1294" spans="1:9" x14ac:dyDescent="0.3">
      <c r="A1294" s="35" t="s">
        <v>1163</v>
      </c>
      <c r="B1294" t="s">
        <v>1104</v>
      </c>
      <c r="C1294" s="106">
        <v>13</v>
      </c>
      <c r="E1294" s="38"/>
      <c r="F1294" s="38"/>
      <c r="G1294" s="38">
        <v>0</v>
      </c>
      <c r="H1294" s="38">
        <v>1516.92</v>
      </c>
    </row>
    <row r="1295" spans="1:9" x14ac:dyDescent="0.3">
      <c r="A1295" s="35" t="s">
        <v>1163</v>
      </c>
      <c r="B1295" t="s">
        <v>1104</v>
      </c>
      <c r="C1295" s="106">
        <v>14</v>
      </c>
      <c r="E1295" s="38"/>
      <c r="F1295" s="38"/>
      <c r="G1295" s="38">
        <v>0</v>
      </c>
      <c r="H1295" s="38">
        <v>1516.92</v>
      </c>
    </row>
    <row r="1296" spans="1:9" x14ac:dyDescent="0.3">
      <c r="A1296" s="35" t="s">
        <v>1163</v>
      </c>
      <c r="B1296" t="s">
        <v>1104</v>
      </c>
      <c r="C1296" s="106">
        <v>15</v>
      </c>
      <c r="E1296" s="38"/>
      <c r="F1296" s="38"/>
      <c r="G1296" s="38">
        <v>0</v>
      </c>
      <c r="H1296" s="38">
        <v>1516.92</v>
      </c>
    </row>
    <row r="1297" spans="1:9" ht="15" thickBot="1" x14ac:dyDescent="0.35">
      <c r="A1297" s="119" t="s">
        <v>1163</v>
      </c>
      <c r="B1297" s="112" t="s">
        <v>1104</v>
      </c>
      <c r="C1297" s="111">
        <v>16</v>
      </c>
      <c r="D1297" s="112"/>
      <c r="E1297" s="113"/>
      <c r="F1297" s="113"/>
      <c r="G1297" s="113">
        <v>0</v>
      </c>
      <c r="H1297" s="113">
        <v>1516.92</v>
      </c>
      <c r="I1297" s="112"/>
    </row>
    <row r="1298" spans="1:9" ht="15" thickTop="1" x14ac:dyDescent="0.3">
      <c r="A1298" s="35" t="s">
        <v>1145</v>
      </c>
      <c r="B1298" t="s">
        <v>1146</v>
      </c>
      <c r="C1298" s="106">
        <v>1</v>
      </c>
      <c r="D1298" s="56">
        <v>45925</v>
      </c>
      <c r="E1298" s="38">
        <v>8540</v>
      </c>
      <c r="F1298" s="38">
        <v>7600</v>
      </c>
      <c r="G1298" s="38">
        <v>940</v>
      </c>
      <c r="H1298" s="38">
        <v>940</v>
      </c>
      <c r="I1298" s="108">
        <v>0.12368421052631579</v>
      </c>
    </row>
    <row r="1299" spans="1:9" x14ac:dyDescent="0.3">
      <c r="A1299" s="35" t="s">
        <v>1145</v>
      </c>
      <c r="B1299" t="s">
        <v>1146</v>
      </c>
      <c r="C1299" s="106">
        <v>2</v>
      </c>
      <c r="D1299" s="56">
        <v>45932</v>
      </c>
      <c r="E1299" s="38">
        <v>8367</v>
      </c>
      <c r="F1299" s="38">
        <v>7600</v>
      </c>
      <c r="G1299" s="38">
        <v>767</v>
      </c>
      <c r="H1299" s="38">
        <v>1707</v>
      </c>
      <c r="I1299" s="108">
        <v>0.10092105263157895</v>
      </c>
    </row>
    <row r="1300" spans="1:9" x14ac:dyDescent="0.3">
      <c r="A1300" s="35" t="s">
        <v>1145</v>
      </c>
      <c r="B1300" t="s">
        <v>1146</v>
      </c>
      <c r="C1300" s="106">
        <v>3</v>
      </c>
      <c r="D1300" s="56">
        <v>45939</v>
      </c>
      <c r="E1300" s="38">
        <v>8367</v>
      </c>
      <c r="F1300" s="38">
        <v>7600</v>
      </c>
      <c r="G1300" s="38">
        <v>767</v>
      </c>
      <c r="H1300" s="38">
        <v>2474</v>
      </c>
      <c r="I1300" s="108">
        <v>0.10092105263157895</v>
      </c>
    </row>
    <row r="1301" spans="1:9" x14ac:dyDescent="0.3">
      <c r="A1301" s="35" t="s">
        <v>1145</v>
      </c>
      <c r="B1301" t="s">
        <v>1146</v>
      </c>
      <c r="C1301" s="106">
        <v>4</v>
      </c>
      <c r="D1301" s="56">
        <v>45946</v>
      </c>
      <c r="E1301" s="38">
        <v>8360</v>
      </c>
      <c r="F1301" s="38">
        <v>7600</v>
      </c>
      <c r="G1301" s="38">
        <v>760</v>
      </c>
      <c r="H1301" s="38">
        <v>3234</v>
      </c>
      <c r="I1301" s="108">
        <v>0.1</v>
      </c>
    </row>
    <row r="1302" spans="1:9" x14ac:dyDescent="0.3">
      <c r="A1302" s="35" t="s">
        <v>1145</v>
      </c>
      <c r="B1302" t="s">
        <v>1146</v>
      </c>
      <c r="C1302" s="106">
        <v>5</v>
      </c>
      <c r="D1302" s="56">
        <v>45953</v>
      </c>
      <c r="E1302" s="38">
        <v>7970</v>
      </c>
      <c r="F1302" s="38">
        <v>7600</v>
      </c>
      <c r="G1302" s="38">
        <v>370</v>
      </c>
      <c r="H1302" s="38">
        <v>3604</v>
      </c>
      <c r="I1302" s="108">
        <v>4.8684210526315788E-2</v>
      </c>
    </row>
    <row r="1303" spans="1:9" x14ac:dyDescent="0.3">
      <c r="A1303" s="35" t="s">
        <v>1145</v>
      </c>
      <c r="B1303" t="s">
        <v>1146</v>
      </c>
      <c r="C1303" s="106">
        <v>6</v>
      </c>
      <c r="D1303" s="56">
        <v>45960</v>
      </c>
      <c r="E1303" s="38">
        <v>8300</v>
      </c>
      <c r="F1303" s="38">
        <v>7600</v>
      </c>
      <c r="G1303" s="38">
        <v>700</v>
      </c>
      <c r="H1303" s="38">
        <v>4304</v>
      </c>
      <c r="I1303" s="108">
        <v>9.2105263157894732E-2</v>
      </c>
    </row>
    <row r="1304" spans="1:9" x14ac:dyDescent="0.3">
      <c r="A1304" s="35" t="s">
        <v>1145</v>
      </c>
      <c r="B1304" t="s">
        <v>1146</v>
      </c>
      <c r="C1304" s="106">
        <v>7</v>
      </c>
      <c r="E1304" s="38"/>
      <c r="F1304" s="38"/>
      <c r="G1304" s="38">
        <v>0</v>
      </c>
      <c r="H1304" s="38">
        <v>4304</v>
      </c>
      <c r="I1304" s="108" t="e">
        <v>#DIV/0!</v>
      </c>
    </row>
    <row r="1305" spans="1:9" x14ac:dyDescent="0.3">
      <c r="A1305" s="35" t="s">
        <v>1145</v>
      </c>
      <c r="B1305" t="s">
        <v>1146</v>
      </c>
      <c r="C1305" s="106">
        <v>8</v>
      </c>
      <c r="E1305" s="38"/>
      <c r="F1305" s="38"/>
      <c r="G1305" s="38">
        <v>0</v>
      </c>
      <c r="H1305" s="38">
        <v>4304</v>
      </c>
      <c r="I1305" s="108" t="e">
        <v>#DIV/0!</v>
      </c>
    </row>
    <row r="1306" spans="1:9" x14ac:dyDescent="0.3">
      <c r="A1306" s="35" t="s">
        <v>1145</v>
      </c>
      <c r="B1306" t="s">
        <v>1146</v>
      </c>
      <c r="C1306" s="106">
        <v>9</v>
      </c>
      <c r="E1306" s="38"/>
      <c r="F1306" s="38"/>
      <c r="G1306" s="38">
        <v>0</v>
      </c>
      <c r="H1306" s="38">
        <v>4304</v>
      </c>
      <c r="I1306" s="108" t="e">
        <v>#DIV/0!</v>
      </c>
    </row>
    <row r="1307" spans="1:9" x14ac:dyDescent="0.3">
      <c r="A1307" s="35" t="s">
        <v>1145</v>
      </c>
      <c r="B1307" t="s">
        <v>1146</v>
      </c>
      <c r="C1307" s="106">
        <v>10</v>
      </c>
      <c r="E1307" s="38"/>
      <c r="F1307" s="38"/>
      <c r="G1307" s="38">
        <v>0</v>
      </c>
      <c r="H1307" s="38">
        <v>4304</v>
      </c>
      <c r="I1307" s="108" t="e">
        <v>#DIV/0!</v>
      </c>
    </row>
    <row r="1308" spans="1:9" x14ac:dyDescent="0.3">
      <c r="A1308" s="35" t="s">
        <v>1145</v>
      </c>
      <c r="B1308" t="s">
        <v>1146</v>
      </c>
      <c r="C1308" s="106">
        <v>11</v>
      </c>
      <c r="E1308" s="38"/>
      <c r="F1308" s="38"/>
      <c r="G1308" s="38">
        <v>0</v>
      </c>
      <c r="H1308" s="38">
        <v>4304</v>
      </c>
      <c r="I1308" s="108" t="e">
        <v>#DIV/0!</v>
      </c>
    </row>
    <row r="1309" spans="1:9" x14ac:dyDescent="0.3">
      <c r="A1309" s="35" t="s">
        <v>1145</v>
      </c>
      <c r="B1309" t="s">
        <v>1146</v>
      </c>
      <c r="C1309" s="106">
        <v>12</v>
      </c>
      <c r="E1309" s="38"/>
      <c r="F1309" s="38"/>
      <c r="G1309" s="38">
        <v>0</v>
      </c>
      <c r="H1309" s="38">
        <v>4304</v>
      </c>
      <c r="I1309" s="108" t="e">
        <v>#DIV/0!</v>
      </c>
    </row>
    <row r="1310" spans="1:9" x14ac:dyDescent="0.3">
      <c r="A1310" s="35" t="s">
        <v>1145</v>
      </c>
      <c r="B1310" t="s">
        <v>1146</v>
      </c>
      <c r="C1310" s="106">
        <v>13</v>
      </c>
      <c r="E1310" s="38"/>
      <c r="F1310" s="38"/>
      <c r="G1310" s="38">
        <v>0</v>
      </c>
      <c r="H1310" s="38">
        <v>4304</v>
      </c>
      <c r="I1310" s="108" t="e">
        <v>#DIV/0!</v>
      </c>
    </row>
    <row r="1311" spans="1:9" x14ac:dyDescent="0.3">
      <c r="A1311" s="35" t="s">
        <v>1145</v>
      </c>
      <c r="B1311" t="s">
        <v>1146</v>
      </c>
      <c r="C1311" s="106">
        <v>14</v>
      </c>
      <c r="E1311" s="38"/>
      <c r="F1311" s="38"/>
      <c r="G1311" s="38">
        <v>0</v>
      </c>
      <c r="H1311" s="38">
        <v>4304</v>
      </c>
      <c r="I1311" s="108" t="e">
        <v>#DIV/0!</v>
      </c>
    </row>
    <row r="1312" spans="1:9" x14ac:dyDescent="0.3">
      <c r="A1312" s="35" t="s">
        <v>1145</v>
      </c>
      <c r="B1312" t="s">
        <v>1146</v>
      </c>
      <c r="C1312" s="106">
        <v>15</v>
      </c>
      <c r="E1312" s="38"/>
      <c r="F1312" s="38"/>
      <c r="G1312" s="38">
        <v>0</v>
      </c>
      <c r="H1312" s="38">
        <v>4304</v>
      </c>
      <c r="I1312" s="108" t="e">
        <v>#DIV/0!</v>
      </c>
    </row>
    <row r="1313" spans="1:9" ht="15" thickBot="1" x14ac:dyDescent="0.35">
      <c r="A1313" s="109" t="s">
        <v>1145</v>
      </c>
      <c r="B1313" s="110" t="s">
        <v>1146</v>
      </c>
      <c r="C1313" s="114">
        <v>16</v>
      </c>
      <c r="D1313" s="110"/>
      <c r="E1313" s="115"/>
      <c r="F1313" s="115"/>
      <c r="G1313" s="115">
        <v>0</v>
      </c>
      <c r="H1313" s="115">
        <v>4304</v>
      </c>
      <c r="I1313" s="110"/>
    </row>
    <row r="1314" spans="1:9" x14ac:dyDescent="0.3">
      <c r="A1314" s="35" t="s">
        <v>1142</v>
      </c>
      <c r="B1314" t="s">
        <v>1106</v>
      </c>
      <c r="C1314" s="106">
        <v>1</v>
      </c>
      <c r="D1314" s="56">
        <v>45925</v>
      </c>
      <c r="E1314" s="38">
        <v>4430</v>
      </c>
      <c r="F1314" s="38">
        <v>3876.03</v>
      </c>
      <c r="G1314" s="38">
        <v>553.9699999999998</v>
      </c>
      <c r="H1314" s="38">
        <v>553.9699999999998</v>
      </c>
      <c r="I1314" s="108">
        <v>0.14292201040755612</v>
      </c>
    </row>
    <row r="1315" spans="1:9" x14ac:dyDescent="0.3">
      <c r="A1315" s="35" t="s">
        <v>1142</v>
      </c>
      <c r="B1315" t="s">
        <v>1106</v>
      </c>
      <c r="C1315" s="106">
        <v>2</v>
      </c>
      <c r="D1315" s="56">
        <v>45932</v>
      </c>
      <c r="E1315" s="38">
        <v>4368</v>
      </c>
      <c r="F1315" s="38">
        <v>3876.03</v>
      </c>
      <c r="G1315" s="38">
        <v>491.9699999999998</v>
      </c>
      <c r="H1315" s="38">
        <v>1045.9399999999996</v>
      </c>
      <c r="I1315" s="108">
        <v>0.12692626218063321</v>
      </c>
    </row>
    <row r="1316" spans="1:9" x14ac:dyDescent="0.3">
      <c r="A1316" s="35" t="s">
        <v>1142</v>
      </c>
      <c r="B1316" t="s">
        <v>1106</v>
      </c>
      <c r="C1316" s="106">
        <v>3</v>
      </c>
      <c r="D1316" s="56">
        <v>45939</v>
      </c>
      <c r="E1316" s="38">
        <v>4351</v>
      </c>
      <c r="F1316" s="38">
        <v>3876.03</v>
      </c>
      <c r="G1316" s="38">
        <v>474.9699999999998</v>
      </c>
      <c r="H1316" s="38">
        <v>1520.9099999999994</v>
      </c>
      <c r="I1316" s="108">
        <v>0.12254033121518662</v>
      </c>
    </row>
    <row r="1317" spans="1:9" x14ac:dyDescent="0.3">
      <c r="A1317" s="35" t="s">
        <v>1142</v>
      </c>
      <c r="B1317" t="s">
        <v>1106</v>
      </c>
      <c r="C1317" s="106">
        <v>4</v>
      </c>
      <c r="D1317" s="56">
        <v>45946</v>
      </c>
      <c r="E1317" s="38">
        <v>4368</v>
      </c>
      <c r="F1317" s="38">
        <v>3876.03</v>
      </c>
      <c r="G1317" s="38">
        <v>491.9699999999998</v>
      </c>
      <c r="H1317" s="38">
        <v>2012.8799999999992</v>
      </c>
      <c r="I1317" s="108">
        <v>0.12692626218063321</v>
      </c>
    </row>
    <row r="1318" spans="1:9" x14ac:dyDescent="0.3">
      <c r="A1318" s="35" t="s">
        <v>1142</v>
      </c>
      <c r="B1318" t="s">
        <v>1106</v>
      </c>
      <c r="C1318" s="106">
        <v>5</v>
      </c>
      <c r="D1318" s="56">
        <v>45953</v>
      </c>
      <c r="E1318" s="38">
        <v>4368</v>
      </c>
      <c r="F1318" s="38">
        <v>3876.03</v>
      </c>
      <c r="G1318" s="38">
        <v>491.9699999999998</v>
      </c>
      <c r="H1318" s="38">
        <v>2504.849999999999</v>
      </c>
      <c r="I1318" s="108">
        <v>0.12692626218063321</v>
      </c>
    </row>
    <row r="1319" spans="1:9" x14ac:dyDescent="0.3">
      <c r="A1319" s="35" t="s">
        <v>1142</v>
      </c>
      <c r="B1319" t="s">
        <v>1106</v>
      </c>
      <c r="C1319" s="106">
        <v>6</v>
      </c>
      <c r="D1319" s="56">
        <v>45960</v>
      </c>
      <c r="E1319" s="38">
        <v>4368</v>
      </c>
      <c r="F1319" s="38">
        <v>3876.03</v>
      </c>
      <c r="G1319" s="38">
        <v>491.9699999999998</v>
      </c>
      <c r="H1319" s="38">
        <v>2996.8199999999988</v>
      </c>
      <c r="I1319" s="108">
        <v>0.12692626218063321</v>
      </c>
    </row>
    <row r="1320" spans="1:9" x14ac:dyDescent="0.3">
      <c r="A1320" s="35" t="s">
        <v>1142</v>
      </c>
      <c r="B1320" t="s">
        <v>1106</v>
      </c>
      <c r="C1320" s="106">
        <v>7</v>
      </c>
      <c r="E1320" s="38"/>
      <c r="F1320" s="38"/>
      <c r="G1320" s="38">
        <v>0</v>
      </c>
      <c r="H1320" s="38">
        <v>2996.8199999999988</v>
      </c>
      <c r="I1320" s="108" t="e">
        <v>#DIV/0!</v>
      </c>
    </row>
    <row r="1321" spans="1:9" x14ac:dyDescent="0.3">
      <c r="A1321" s="35" t="s">
        <v>1142</v>
      </c>
      <c r="B1321" t="s">
        <v>1106</v>
      </c>
      <c r="C1321" s="106">
        <v>8</v>
      </c>
      <c r="E1321" s="38"/>
      <c r="F1321" s="38"/>
      <c r="G1321" s="38">
        <v>0</v>
      </c>
      <c r="H1321" s="38">
        <v>2996.8199999999988</v>
      </c>
      <c r="I1321" s="108" t="e">
        <v>#DIV/0!</v>
      </c>
    </row>
    <row r="1322" spans="1:9" x14ac:dyDescent="0.3">
      <c r="A1322" s="35" t="s">
        <v>1142</v>
      </c>
      <c r="B1322" t="s">
        <v>1106</v>
      </c>
      <c r="C1322" s="106">
        <v>9</v>
      </c>
      <c r="E1322" s="38"/>
      <c r="F1322" s="38"/>
      <c r="G1322" s="38">
        <v>0</v>
      </c>
      <c r="H1322" s="38">
        <v>2996.8199999999988</v>
      </c>
      <c r="I1322" s="108" t="e">
        <v>#DIV/0!</v>
      </c>
    </row>
    <row r="1323" spans="1:9" x14ac:dyDescent="0.3">
      <c r="A1323" s="35" t="s">
        <v>1142</v>
      </c>
      <c r="B1323" t="s">
        <v>1106</v>
      </c>
      <c r="C1323" s="106">
        <v>10</v>
      </c>
      <c r="E1323" s="38"/>
      <c r="F1323" s="38"/>
      <c r="G1323" s="38">
        <v>0</v>
      </c>
      <c r="H1323" s="38">
        <v>2996.8199999999988</v>
      </c>
      <c r="I1323" s="108" t="e">
        <v>#DIV/0!</v>
      </c>
    </row>
    <row r="1324" spans="1:9" x14ac:dyDescent="0.3">
      <c r="A1324" s="35" t="s">
        <v>1142</v>
      </c>
      <c r="B1324" t="s">
        <v>1106</v>
      </c>
      <c r="C1324" s="106">
        <v>11</v>
      </c>
      <c r="E1324" s="38"/>
      <c r="F1324" s="38"/>
      <c r="G1324" s="38">
        <v>0</v>
      </c>
      <c r="H1324" s="38">
        <v>2996.8199999999988</v>
      </c>
      <c r="I1324" s="108" t="e">
        <v>#DIV/0!</v>
      </c>
    </row>
    <row r="1325" spans="1:9" x14ac:dyDescent="0.3">
      <c r="A1325" s="35" t="s">
        <v>1142</v>
      </c>
      <c r="B1325" t="s">
        <v>1106</v>
      </c>
      <c r="C1325" s="106">
        <v>12</v>
      </c>
      <c r="E1325" s="38"/>
      <c r="F1325" s="38"/>
      <c r="G1325" s="38">
        <v>0</v>
      </c>
      <c r="H1325" s="38">
        <v>2996.8199999999988</v>
      </c>
      <c r="I1325" s="108" t="e">
        <v>#DIV/0!</v>
      </c>
    </row>
    <row r="1326" spans="1:9" x14ac:dyDescent="0.3">
      <c r="A1326" s="35" t="s">
        <v>1142</v>
      </c>
      <c r="B1326" t="s">
        <v>1106</v>
      </c>
      <c r="C1326" s="106">
        <v>13</v>
      </c>
      <c r="E1326" s="38"/>
      <c r="F1326" s="38"/>
      <c r="G1326" s="38">
        <v>0</v>
      </c>
      <c r="H1326" s="38">
        <v>2996.8199999999988</v>
      </c>
      <c r="I1326" s="108" t="e">
        <v>#DIV/0!</v>
      </c>
    </row>
    <row r="1327" spans="1:9" x14ac:dyDescent="0.3">
      <c r="A1327" s="35" t="s">
        <v>1142</v>
      </c>
      <c r="B1327" t="s">
        <v>1106</v>
      </c>
      <c r="C1327" s="106">
        <v>14</v>
      </c>
      <c r="E1327" s="38"/>
      <c r="F1327" s="38"/>
      <c r="G1327" s="38">
        <v>0</v>
      </c>
      <c r="H1327" s="38">
        <v>2996.8199999999988</v>
      </c>
      <c r="I1327" s="108" t="e">
        <v>#DIV/0!</v>
      </c>
    </row>
    <row r="1328" spans="1:9" x14ac:dyDescent="0.3">
      <c r="A1328" s="35" t="s">
        <v>1142</v>
      </c>
      <c r="B1328" t="s">
        <v>1106</v>
      </c>
      <c r="C1328" s="106">
        <v>15</v>
      </c>
      <c r="E1328" s="38"/>
      <c r="F1328" s="38"/>
      <c r="G1328" s="38">
        <v>0</v>
      </c>
      <c r="H1328" s="38">
        <v>2996.8199999999988</v>
      </c>
      <c r="I1328" s="108" t="e">
        <v>#DIV/0!</v>
      </c>
    </row>
    <row r="1329" spans="1:9" ht="15" thickBot="1" x14ac:dyDescent="0.35">
      <c r="A1329" s="109" t="s">
        <v>1142</v>
      </c>
      <c r="B1329" s="110" t="s">
        <v>1106</v>
      </c>
      <c r="C1329" s="114">
        <v>16</v>
      </c>
      <c r="D1329" s="110"/>
      <c r="E1329" s="115"/>
      <c r="F1329" s="115"/>
      <c r="G1329" s="115">
        <v>0</v>
      </c>
      <c r="H1329" s="115">
        <v>2996.8199999999988</v>
      </c>
      <c r="I1329" s="110"/>
    </row>
    <row r="1330" spans="1:9" x14ac:dyDescent="0.3">
      <c r="A1330" s="35" t="s">
        <v>1144</v>
      </c>
      <c r="B1330" t="s">
        <v>1127</v>
      </c>
      <c r="C1330" s="106">
        <v>1</v>
      </c>
      <c r="D1330" s="56">
        <v>45925</v>
      </c>
      <c r="E1330" s="38">
        <v>13696</v>
      </c>
      <c r="F1330" s="38">
        <v>12920.11</v>
      </c>
      <c r="G1330" s="38">
        <v>775.88999999999942</v>
      </c>
      <c r="H1330" s="38">
        <v>775.88999999999942</v>
      </c>
      <c r="I1330" s="108">
        <v>6.0052894286503705E-2</v>
      </c>
    </row>
    <row r="1331" spans="1:9" x14ac:dyDescent="0.3">
      <c r="A1331" s="35" t="s">
        <v>1144</v>
      </c>
      <c r="B1331" t="s">
        <v>1127</v>
      </c>
      <c r="C1331" s="106">
        <v>2</v>
      </c>
      <c r="D1331" s="56">
        <v>45932</v>
      </c>
      <c r="E1331" s="38">
        <v>13696</v>
      </c>
      <c r="F1331" s="38">
        <v>12920.11</v>
      </c>
      <c r="G1331" s="38">
        <v>775.88999999999942</v>
      </c>
      <c r="H1331" s="38">
        <v>1551.7799999999988</v>
      </c>
      <c r="I1331" s="108">
        <v>6.0052894286503705E-2</v>
      </c>
    </row>
    <row r="1332" spans="1:9" x14ac:dyDescent="0.3">
      <c r="A1332" s="35" t="s">
        <v>1144</v>
      </c>
      <c r="B1332" t="s">
        <v>1127</v>
      </c>
      <c r="C1332" s="106">
        <v>3</v>
      </c>
      <c r="D1332" s="56">
        <v>45939</v>
      </c>
      <c r="E1332" s="38">
        <v>13696</v>
      </c>
      <c r="F1332" s="38">
        <v>12920.11</v>
      </c>
      <c r="G1332" s="38">
        <v>775.88999999999942</v>
      </c>
      <c r="H1332" s="38">
        <v>2327.6699999999983</v>
      </c>
      <c r="I1332" s="108">
        <v>6.0052894286503705E-2</v>
      </c>
    </row>
    <row r="1333" spans="1:9" x14ac:dyDescent="0.3">
      <c r="A1333" s="35" t="s">
        <v>1144</v>
      </c>
      <c r="B1333" t="s">
        <v>1127</v>
      </c>
      <c r="C1333" s="106">
        <v>4</v>
      </c>
      <c r="D1333" s="56">
        <v>45946</v>
      </c>
      <c r="E1333" s="38">
        <v>13696</v>
      </c>
      <c r="F1333" s="38">
        <v>12920.11</v>
      </c>
      <c r="G1333" s="38">
        <v>775.88999999999942</v>
      </c>
      <c r="H1333" s="38">
        <v>3103.5599999999977</v>
      </c>
      <c r="I1333" s="108">
        <v>6.0052894286503705E-2</v>
      </c>
    </row>
    <row r="1334" spans="1:9" x14ac:dyDescent="0.3">
      <c r="A1334" s="35" t="s">
        <v>1144</v>
      </c>
      <c r="B1334" t="s">
        <v>1127</v>
      </c>
      <c r="C1334" s="106">
        <v>5</v>
      </c>
      <c r="D1334" s="56">
        <v>45953</v>
      </c>
      <c r="E1334" s="38">
        <v>14214</v>
      </c>
      <c r="F1334" s="38">
        <v>12921</v>
      </c>
      <c r="G1334" s="38">
        <v>1293</v>
      </c>
      <c r="H1334" s="38">
        <v>4396.5599999999977</v>
      </c>
      <c r="I1334" s="108">
        <v>0.100069654051544</v>
      </c>
    </row>
    <row r="1335" spans="1:9" x14ac:dyDescent="0.3">
      <c r="A1335" s="35" t="s">
        <v>1144</v>
      </c>
      <c r="B1335" t="s">
        <v>1127</v>
      </c>
      <c r="C1335" s="106">
        <v>6</v>
      </c>
      <c r="D1335" s="56">
        <v>45960</v>
      </c>
      <c r="E1335" s="38">
        <v>13696</v>
      </c>
      <c r="F1335" s="38">
        <v>12921</v>
      </c>
      <c r="G1335" s="38">
        <v>775</v>
      </c>
      <c r="H1335" s="38">
        <v>5171.5599999999977</v>
      </c>
      <c r="I1335" s="108">
        <v>5.9979877718442848E-2</v>
      </c>
    </row>
    <row r="1336" spans="1:9" x14ac:dyDescent="0.3">
      <c r="A1336" s="35" t="s">
        <v>1144</v>
      </c>
      <c r="B1336" t="s">
        <v>1127</v>
      </c>
      <c r="C1336" s="106">
        <v>7</v>
      </c>
      <c r="E1336" s="38"/>
      <c r="F1336" s="38"/>
      <c r="G1336" s="38">
        <v>0</v>
      </c>
      <c r="H1336" s="38">
        <v>5171.5599999999977</v>
      </c>
    </row>
    <row r="1337" spans="1:9" x14ac:dyDescent="0.3">
      <c r="A1337" s="35" t="s">
        <v>1144</v>
      </c>
      <c r="B1337" t="s">
        <v>1127</v>
      </c>
      <c r="C1337" s="106">
        <v>8</v>
      </c>
      <c r="E1337" s="38"/>
      <c r="F1337" s="38"/>
      <c r="G1337" s="38">
        <v>0</v>
      </c>
      <c r="H1337" s="38">
        <v>5171.5599999999977</v>
      </c>
    </row>
    <row r="1338" spans="1:9" x14ac:dyDescent="0.3">
      <c r="A1338" s="35" t="s">
        <v>1144</v>
      </c>
      <c r="B1338" t="s">
        <v>1127</v>
      </c>
      <c r="C1338" s="106">
        <v>9</v>
      </c>
      <c r="E1338" s="38"/>
      <c r="F1338" s="38"/>
      <c r="G1338" s="38">
        <v>0</v>
      </c>
      <c r="H1338" s="38">
        <v>5171.5599999999977</v>
      </c>
    </row>
    <row r="1339" spans="1:9" x14ac:dyDescent="0.3">
      <c r="A1339" s="35" t="s">
        <v>1144</v>
      </c>
      <c r="B1339" t="s">
        <v>1127</v>
      </c>
      <c r="C1339" s="106">
        <v>10</v>
      </c>
      <c r="E1339" s="38"/>
      <c r="F1339" s="38"/>
      <c r="G1339" s="38">
        <v>0</v>
      </c>
      <c r="H1339" s="38">
        <v>5171.5599999999977</v>
      </c>
    </row>
    <row r="1340" spans="1:9" x14ac:dyDescent="0.3">
      <c r="A1340" s="35" t="s">
        <v>1144</v>
      </c>
      <c r="B1340" t="s">
        <v>1127</v>
      </c>
      <c r="C1340" s="106">
        <v>11</v>
      </c>
      <c r="E1340" s="38"/>
      <c r="F1340" s="38"/>
      <c r="G1340" s="38">
        <v>0</v>
      </c>
      <c r="H1340" s="38">
        <v>5171.5599999999977</v>
      </c>
    </row>
    <row r="1341" spans="1:9" x14ac:dyDescent="0.3">
      <c r="A1341" s="35" t="s">
        <v>1144</v>
      </c>
      <c r="B1341" t="s">
        <v>1127</v>
      </c>
      <c r="C1341" s="106">
        <v>12</v>
      </c>
      <c r="E1341" s="38"/>
      <c r="F1341" s="38"/>
      <c r="G1341" s="38">
        <v>0</v>
      </c>
      <c r="H1341" s="38">
        <v>5171.5599999999977</v>
      </c>
    </row>
    <row r="1342" spans="1:9" x14ac:dyDescent="0.3">
      <c r="A1342" s="35" t="s">
        <v>1144</v>
      </c>
      <c r="B1342" t="s">
        <v>1127</v>
      </c>
      <c r="C1342" s="106">
        <v>13</v>
      </c>
      <c r="E1342" s="38"/>
      <c r="F1342" s="38"/>
      <c r="G1342" s="38">
        <v>0</v>
      </c>
      <c r="H1342" s="38">
        <v>5171.5599999999977</v>
      </c>
    </row>
    <row r="1343" spans="1:9" x14ac:dyDescent="0.3">
      <c r="A1343" s="35" t="s">
        <v>1144</v>
      </c>
      <c r="B1343" t="s">
        <v>1127</v>
      </c>
      <c r="C1343" s="106">
        <v>14</v>
      </c>
      <c r="E1343" s="38"/>
      <c r="F1343" s="38"/>
      <c r="G1343" s="38">
        <v>0</v>
      </c>
      <c r="H1343" s="38">
        <v>5171.5599999999977</v>
      </c>
    </row>
    <row r="1344" spans="1:9" x14ac:dyDescent="0.3">
      <c r="A1344" s="35" t="s">
        <v>1144</v>
      </c>
      <c r="B1344" t="s">
        <v>1127</v>
      </c>
      <c r="C1344" s="106">
        <v>15</v>
      </c>
      <c r="E1344" s="38"/>
      <c r="F1344" s="38"/>
      <c r="G1344" s="38">
        <v>0</v>
      </c>
      <c r="H1344" s="38">
        <v>5171.5599999999977</v>
      </c>
    </row>
    <row r="1345" spans="1:9" ht="15" thickBot="1" x14ac:dyDescent="0.35">
      <c r="A1345" s="109" t="s">
        <v>1144</v>
      </c>
      <c r="B1345" s="110" t="s">
        <v>1127</v>
      </c>
      <c r="C1345" s="114">
        <v>16</v>
      </c>
      <c r="D1345" s="110"/>
      <c r="E1345" s="115"/>
      <c r="F1345" s="115"/>
      <c r="G1345" s="115">
        <v>0</v>
      </c>
      <c r="H1345" s="115">
        <v>5171.5599999999977</v>
      </c>
      <c r="I1345" s="110"/>
    </row>
    <row r="1346" spans="1:9" x14ac:dyDescent="0.3">
      <c r="A1346" s="35" t="s">
        <v>1140</v>
      </c>
      <c r="B1346" t="s">
        <v>1130</v>
      </c>
      <c r="C1346" s="106">
        <v>1</v>
      </c>
      <c r="D1346" s="56">
        <v>45926</v>
      </c>
      <c r="E1346" s="38">
        <v>4486</v>
      </c>
      <c r="F1346" s="38">
        <v>4180.04</v>
      </c>
      <c r="G1346" s="38">
        <v>305.96000000000004</v>
      </c>
      <c r="H1346" s="38">
        <v>305.96000000000004</v>
      </c>
      <c r="I1346" s="108">
        <v>7.3195471813666868E-2</v>
      </c>
    </row>
    <row r="1347" spans="1:9" x14ac:dyDescent="0.3">
      <c r="A1347" s="35" t="s">
        <v>1140</v>
      </c>
      <c r="B1347" t="s">
        <v>1130</v>
      </c>
      <c r="C1347" s="106">
        <v>2</v>
      </c>
      <c r="D1347" s="56">
        <v>45932</v>
      </c>
      <c r="E1347" s="38">
        <v>4486</v>
      </c>
      <c r="F1347" s="38">
        <v>4180.04</v>
      </c>
      <c r="G1347" s="38">
        <v>305.96000000000004</v>
      </c>
      <c r="H1347" s="38">
        <v>611.92000000000007</v>
      </c>
      <c r="I1347" s="108">
        <v>7.3195471813666868E-2</v>
      </c>
    </row>
    <row r="1348" spans="1:9" x14ac:dyDescent="0.3">
      <c r="A1348" s="35" t="s">
        <v>1140</v>
      </c>
      <c r="B1348" t="s">
        <v>1130</v>
      </c>
      <c r="C1348" s="106">
        <v>3</v>
      </c>
      <c r="D1348" s="56">
        <v>45939</v>
      </c>
      <c r="E1348" s="38">
        <v>4486</v>
      </c>
      <c r="F1348" s="38">
        <v>4180.04</v>
      </c>
      <c r="G1348" s="38">
        <v>305.96000000000004</v>
      </c>
      <c r="H1348" s="38">
        <v>917.88000000000011</v>
      </c>
      <c r="I1348" s="108">
        <v>7.3195471813666868E-2</v>
      </c>
    </row>
    <row r="1349" spans="1:9" x14ac:dyDescent="0.3">
      <c r="A1349" s="35" t="s">
        <v>1140</v>
      </c>
      <c r="B1349" t="s">
        <v>1130</v>
      </c>
      <c r="C1349" s="106">
        <v>4</v>
      </c>
      <c r="D1349" s="56">
        <v>45946</v>
      </c>
      <c r="E1349" s="38">
        <v>4486</v>
      </c>
      <c r="F1349" s="38">
        <v>4180.04</v>
      </c>
      <c r="G1349" s="38">
        <v>305.96000000000004</v>
      </c>
      <c r="H1349" s="38">
        <v>1223.8400000000001</v>
      </c>
      <c r="I1349" s="108">
        <v>7.3195471813666868E-2</v>
      </c>
    </row>
    <row r="1350" spans="1:9" x14ac:dyDescent="0.3">
      <c r="A1350" s="35" t="s">
        <v>1140</v>
      </c>
      <c r="B1350" t="s">
        <v>1130</v>
      </c>
      <c r="C1350" s="106">
        <v>5</v>
      </c>
      <c r="D1350" s="56">
        <v>45953</v>
      </c>
      <c r="E1350" s="38">
        <v>4486</v>
      </c>
      <c r="F1350" s="38">
        <v>4180.04</v>
      </c>
      <c r="G1350" s="38">
        <v>305.96000000000004</v>
      </c>
      <c r="H1350" s="38">
        <v>1529.8000000000002</v>
      </c>
      <c r="I1350" s="108">
        <v>7.3195471813666868E-2</v>
      </c>
    </row>
    <row r="1351" spans="1:9" x14ac:dyDescent="0.3">
      <c r="A1351" s="35" t="s">
        <v>1140</v>
      </c>
      <c r="B1351" t="s">
        <v>1130</v>
      </c>
      <c r="C1351" s="106">
        <v>6</v>
      </c>
      <c r="D1351" s="56">
        <v>45960</v>
      </c>
      <c r="E1351" s="38">
        <v>4486</v>
      </c>
      <c r="F1351" s="38">
        <v>4180.04</v>
      </c>
      <c r="G1351" s="38">
        <v>305.96000000000004</v>
      </c>
      <c r="H1351" s="38">
        <v>1835.7600000000002</v>
      </c>
      <c r="I1351" s="108">
        <v>7.3195471813666868E-2</v>
      </c>
    </row>
    <row r="1352" spans="1:9" x14ac:dyDescent="0.3">
      <c r="A1352" s="35" t="s">
        <v>1140</v>
      </c>
      <c r="B1352" t="s">
        <v>1130</v>
      </c>
      <c r="C1352" s="106">
        <v>7</v>
      </c>
      <c r="E1352" s="38"/>
      <c r="F1352" s="38"/>
      <c r="G1352" s="38">
        <v>0</v>
      </c>
      <c r="H1352" s="38">
        <v>1835.7600000000002</v>
      </c>
      <c r="I1352" s="108" t="e">
        <v>#DIV/0!</v>
      </c>
    </row>
    <row r="1353" spans="1:9" x14ac:dyDescent="0.3">
      <c r="A1353" s="35" t="s">
        <v>1140</v>
      </c>
      <c r="B1353" t="s">
        <v>1130</v>
      </c>
      <c r="C1353" s="106">
        <v>8</v>
      </c>
      <c r="E1353" s="38"/>
      <c r="F1353" s="38"/>
      <c r="G1353" s="38">
        <v>0</v>
      </c>
      <c r="H1353" s="38">
        <v>1835.7600000000002</v>
      </c>
      <c r="I1353" s="108" t="e">
        <v>#DIV/0!</v>
      </c>
    </row>
    <row r="1354" spans="1:9" x14ac:dyDescent="0.3">
      <c r="A1354" s="35" t="s">
        <v>1140</v>
      </c>
      <c r="B1354" t="s">
        <v>1130</v>
      </c>
      <c r="C1354" s="106">
        <v>9</v>
      </c>
      <c r="E1354" s="38"/>
      <c r="F1354" s="38"/>
      <c r="G1354" s="38">
        <v>0</v>
      </c>
      <c r="H1354" s="38">
        <v>1835.7600000000002</v>
      </c>
      <c r="I1354" s="108" t="e">
        <v>#DIV/0!</v>
      </c>
    </row>
    <row r="1355" spans="1:9" x14ac:dyDescent="0.3">
      <c r="A1355" s="35" t="s">
        <v>1140</v>
      </c>
      <c r="B1355" t="s">
        <v>1130</v>
      </c>
      <c r="C1355" s="106">
        <v>10</v>
      </c>
      <c r="E1355" s="38"/>
      <c r="F1355" s="38"/>
      <c r="G1355" s="38">
        <v>0</v>
      </c>
      <c r="H1355" s="38">
        <v>1835.7600000000002</v>
      </c>
      <c r="I1355" s="108" t="e">
        <v>#DIV/0!</v>
      </c>
    </row>
    <row r="1356" spans="1:9" x14ac:dyDescent="0.3">
      <c r="A1356" s="35" t="s">
        <v>1140</v>
      </c>
      <c r="B1356" t="s">
        <v>1130</v>
      </c>
      <c r="C1356" s="106">
        <v>11</v>
      </c>
      <c r="E1356" s="38"/>
      <c r="F1356" s="38"/>
      <c r="G1356" s="38">
        <v>0</v>
      </c>
      <c r="H1356" s="38">
        <v>1835.7600000000002</v>
      </c>
      <c r="I1356" s="108" t="e">
        <v>#DIV/0!</v>
      </c>
    </row>
    <row r="1357" spans="1:9" x14ac:dyDescent="0.3">
      <c r="A1357" s="35" t="s">
        <v>1140</v>
      </c>
      <c r="B1357" t="s">
        <v>1130</v>
      </c>
      <c r="C1357" s="106">
        <v>12</v>
      </c>
      <c r="E1357" s="38"/>
      <c r="F1357" s="38"/>
      <c r="G1357" s="38">
        <v>0</v>
      </c>
      <c r="H1357" s="38">
        <v>1835.7600000000002</v>
      </c>
      <c r="I1357" s="108" t="e">
        <v>#DIV/0!</v>
      </c>
    </row>
    <row r="1358" spans="1:9" x14ac:dyDescent="0.3">
      <c r="A1358" s="35" t="s">
        <v>1140</v>
      </c>
      <c r="B1358" t="s">
        <v>1130</v>
      </c>
      <c r="C1358" s="106">
        <v>13</v>
      </c>
      <c r="E1358" s="38"/>
      <c r="F1358" s="38"/>
      <c r="G1358" s="38">
        <v>0</v>
      </c>
      <c r="H1358" s="38">
        <v>1835.7600000000002</v>
      </c>
      <c r="I1358" s="108" t="e">
        <v>#DIV/0!</v>
      </c>
    </row>
    <row r="1359" spans="1:9" x14ac:dyDescent="0.3">
      <c r="A1359" s="35" t="s">
        <v>1140</v>
      </c>
      <c r="B1359" t="s">
        <v>1130</v>
      </c>
      <c r="C1359" s="106">
        <v>14</v>
      </c>
      <c r="E1359" s="38"/>
      <c r="F1359" s="38"/>
      <c r="G1359" s="38">
        <v>0</v>
      </c>
      <c r="H1359" s="38">
        <v>1835.7600000000002</v>
      </c>
      <c r="I1359" s="108" t="e">
        <v>#DIV/0!</v>
      </c>
    </row>
    <row r="1360" spans="1:9" x14ac:dyDescent="0.3">
      <c r="A1360" s="35" t="s">
        <v>1140</v>
      </c>
      <c r="B1360" t="s">
        <v>1130</v>
      </c>
      <c r="C1360" s="106">
        <v>15</v>
      </c>
      <c r="E1360" s="38"/>
      <c r="F1360" s="38"/>
      <c r="G1360" s="38">
        <v>0</v>
      </c>
      <c r="H1360" s="38">
        <v>1835.7600000000002</v>
      </c>
      <c r="I1360" s="108" t="e">
        <v>#DIV/0!</v>
      </c>
    </row>
    <row r="1361" spans="1:9" ht="15" thickBot="1" x14ac:dyDescent="0.35">
      <c r="A1361" s="109" t="s">
        <v>1140</v>
      </c>
      <c r="B1361" s="110" t="s">
        <v>1130</v>
      </c>
      <c r="C1361" s="114">
        <v>16</v>
      </c>
      <c r="D1361" s="110"/>
      <c r="E1361" s="115"/>
      <c r="F1361" s="115"/>
      <c r="G1361" s="115">
        <v>0</v>
      </c>
      <c r="H1361" s="115">
        <v>1835.7600000000002</v>
      </c>
      <c r="I1361" s="110"/>
    </row>
    <row r="1362" spans="1:9" x14ac:dyDescent="0.3">
      <c r="A1362" s="35" t="s">
        <v>1164</v>
      </c>
      <c r="B1362" t="s">
        <v>1157</v>
      </c>
      <c r="C1362" s="106">
        <v>1</v>
      </c>
      <c r="D1362" s="56">
        <v>45926</v>
      </c>
      <c r="E1362" s="38">
        <v>8104</v>
      </c>
      <c r="F1362" s="38">
        <v>7372</v>
      </c>
      <c r="G1362" s="38">
        <v>732</v>
      </c>
      <c r="H1362" s="38">
        <v>732</v>
      </c>
      <c r="I1362" s="108">
        <v>9.9294628323385786E-2</v>
      </c>
    </row>
    <row r="1363" spans="1:9" x14ac:dyDescent="0.3">
      <c r="A1363" s="35" t="s">
        <v>1164</v>
      </c>
      <c r="B1363" t="s">
        <v>1157</v>
      </c>
      <c r="C1363" s="106">
        <v>2</v>
      </c>
      <c r="D1363" s="56">
        <v>45933</v>
      </c>
      <c r="E1363" s="38">
        <v>8104</v>
      </c>
      <c r="F1363" s="38">
        <v>7372</v>
      </c>
      <c r="G1363" s="38">
        <v>732</v>
      </c>
      <c r="H1363" s="38">
        <v>1464</v>
      </c>
      <c r="I1363" s="108">
        <v>9.9294628323385786E-2</v>
      </c>
    </row>
    <row r="1364" spans="1:9" x14ac:dyDescent="0.3">
      <c r="A1364" s="35" t="s">
        <v>1164</v>
      </c>
      <c r="B1364" t="s">
        <v>1157</v>
      </c>
      <c r="C1364" s="106">
        <v>3</v>
      </c>
      <c r="D1364" s="56">
        <v>45940</v>
      </c>
      <c r="E1364" s="38">
        <v>8104</v>
      </c>
      <c r="F1364" s="38">
        <v>7372</v>
      </c>
      <c r="G1364" s="38">
        <v>732</v>
      </c>
      <c r="H1364" s="38">
        <v>2196</v>
      </c>
      <c r="I1364" s="108">
        <v>9.9294628323385786E-2</v>
      </c>
    </row>
    <row r="1365" spans="1:9" x14ac:dyDescent="0.3">
      <c r="A1365" s="35" t="s">
        <v>1164</v>
      </c>
      <c r="B1365" t="s">
        <v>1157</v>
      </c>
      <c r="C1365" s="106">
        <v>4</v>
      </c>
      <c r="D1365" s="56">
        <v>45947</v>
      </c>
      <c r="E1365" s="38">
        <v>8104</v>
      </c>
      <c r="F1365" s="38">
        <v>7372</v>
      </c>
      <c r="G1365" s="38">
        <v>732</v>
      </c>
      <c r="H1365" s="38">
        <v>2928</v>
      </c>
      <c r="I1365" s="108">
        <v>9.9294628323385786E-2</v>
      </c>
    </row>
    <row r="1366" spans="1:9" x14ac:dyDescent="0.3">
      <c r="A1366" s="35" t="s">
        <v>1164</v>
      </c>
      <c r="B1366" t="s">
        <v>1157</v>
      </c>
      <c r="C1366" s="106">
        <v>5</v>
      </c>
      <c r="D1366" s="56">
        <v>45954</v>
      </c>
      <c r="E1366" s="38">
        <v>8104</v>
      </c>
      <c r="F1366" s="38">
        <v>7372</v>
      </c>
      <c r="G1366" s="38">
        <v>732</v>
      </c>
      <c r="H1366" s="38">
        <v>3660</v>
      </c>
      <c r="I1366" s="108">
        <v>9.9294628323385786E-2</v>
      </c>
    </row>
    <row r="1367" spans="1:9" x14ac:dyDescent="0.3">
      <c r="A1367" s="35" t="s">
        <v>1164</v>
      </c>
      <c r="B1367" t="s">
        <v>1157</v>
      </c>
      <c r="C1367" s="106">
        <v>6</v>
      </c>
      <c r="E1367" s="38"/>
      <c r="F1367" s="38"/>
      <c r="G1367" s="38">
        <v>0</v>
      </c>
      <c r="H1367" s="38">
        <v>3660</v>
      </c>
    </row>
    <row r="1368" spans="1:9" x14ac:dyDescent="0.3">
      <c r="A1368" s="35" t="s">
        <v>1164</v>
      </c>
      <c r="B1368" t="s">
        <v>1157</v>
      </c>
      <c r="C1368" s="106">
        <v>7</v>
      </c>
      <c r="E1368" s="38"/>
      <c r="F1368" s="38"/>
      <c r="G1368" s="38">
        <v>0</v>
      </c>
      <c r="H1368" s="38">
        <v>3660</v>
      </c>
    </row>
    <row r="1369" spans="1:9" x14ac:dyDescent="0.3">
      <c r="A1369" s="35" t="s">
        <v>1164</v>
      </c>
      <c r="B1369" t="s">
        <v>1157</v>
      </c>
      <c r="C1369" s="106">
        <v>8</v>
      </c>
      <c r="E1369" s="38"/>
      <c r="F1369" s="38"/>
      <c r="G1369" s="38">
        <v>0</v>
      </c>
      <c r="H1369" s="38">
        <v>3660</v>
      </c>
    </row>
    <row r="1370" spans="1:9" x14ac:dyDescent="0.3">
      <c r="A1370" s="35" t="s">
        <v>1164</v>
      </c>
      <c r="B1370" t="s">
        <v>1157</v>
      </c>
      <c r="C1370" s="106">
        <v>9</v>
      </c>
      <c r="E1370" s="38"/>
      <c r="F1370" s="38"/>
      <c r="G1370" s="38">
        <v>0</v>
      </c>
      <c r="H1370" s="38">
        <v>3660</v>
      </c>
    </row>
    <row r="1371" spans="1:9" x14ac:dyDescent="0.3">
      <c r="A1371" s="35" t="s">
        <v>1164</v>
      </c>
      <c r="B1371" t="s">
        <v>1157</v>
      </c>
      <c r="C1371" s="106">
        <v>10</v>
      </c>
      <c r="E1371" s="38"/>
      <c r="F1371" s="38"/>
      <c r="G1371" s="38">
        <v>0</v>
      </c>
      <c r="H1371" s="38">
        <v>3660</v>
      </c>
    </row>
    <row r="1372" spans="1:9" x14ac:dyDescent="0.3">
      <c r="A1372" s="35" t="s">
        <v>1164</v>
      </c>
      <c r="B1372" t="s">
        <v>1157</v>
      </c>
      <c r="C1372" s="106">
        <v>11</v>
      </c>
      <c r="E1372" s="38"/>
      <c r="F1372" s="38"/>
      <c r="G1372" s="38">
        <v>0</v>
      </c>
      <c r="H1372" s="38">
        <v>3660</v>
      </c>
    </row>
    <row r="1373" spans="1:9" x14ac:dyDescent="0.3">
      <c r="A1373" s="35" t="s">
        <v>1164</v>
      </c>
      <c r="B1373" t="s">
        <v>1157</v>
      </c>
      <c r="C1373" s="106">
        <v>12</v>
      </c>
      <c r="E1373" s="38"/>
      <c r="F1373" s="38"/>
      <c r="G1373" s="38">
        <v>0</v>
      </c>
      <c r="H1373" s="38">
        <v>3660</v>
      </c>
    </row>
    <row r="1374" spans="1:9" x14ac:dyDescent="0.3">
      <c r="A1374" s="35" t="s">
        <v>1164</v>
      </c>
      <c r="B1374" t="s">
        <v>1157</v>
      </c>
      <c r="C1374" s="106">
        <v>13</v>
      </c>
      <c r="E1374" s="38"/>
      <c r="F1374" s="38"/>
      <c r="G1374" s="38">
        <v>0</v>
      </c>
      <c r="H1374" s="38">
        <v>3660</v>
      </c>
    </row>
    <row r="1375" spans="1:9" x14ac:dyDescent="0.3">
      <c r="A1375" s="35" t="s">
        <v>1164</v>
      </c>
      <c r="B1375" t="s">
        <v>1157</v>
      </c>
      <c r="C1375" s="106">
        <v>14</v>
      </c>
      <c r="E1375" s="38"/>
      <c r="F1375" s="38"/>
      <c r="G1375" s="38">
        <v>0</v>
      </c>
      <c r="H1375" s="38">
        <v>3660</v>
      </c>
    </row>
    <row r="1376" spans="1:9" x14ac:dyDescent="0.3">
      <c r="A1376" s="35" t="s">
        <v>1164</v>
      </c>
      <c r="B1376" t="s">
        <v>1157</v>
      </c>
      <c r="C1376" s="106">
        <v>15</v>
      </c>
      <c r="E1376" s="38"/>
      <c r="F1376" s="38"/>
      <c r="G1376" s="38">
        <v>0</v>
      </c>
      <c r="H1376" s="38">
        <v>3660</v>
      </c>
    </row>
    <row r="1377" spans="1:9" ht="15" thickBot="1" x14ac:dyDescent="0.35">
      <c r="A1377" s="109" t="s">
        <v>1164</v>
      </c>
      <c r="B1377" s="110" t="s">
        <v>1157</v>
      </c>
      <c r="C1377" s="114">
        <v>16</v>
      </c>
      <c r="D1377" s="110"/>
      <c r="E1377" s="115"/>
      <c r="F1377" s="115"/>
      <c r="G1377" s="115">
        <v>0</v>
      </c>
      <c r="H1377" s="115">
        <v>3660</v>
      </c>
      <c r="I1377" s="110"/>
    </row>
    <row r="1378" spans="1:9" x14ac:dyDescent="0.3">
      <c r="A1378" s="35" t="s">
        <v>1316</v>
      </c>
      <c r="B1378" t="s">
        <v>1158</v>
      </c>
      <c r="C1378" s="106">
        <v>1</v>
      </c>
      <c r="D1378" s="56">
        <v>45929</v>
      </c>
      <c r="E1378" s="38">
        <v>4265</v>
      </c>
      <c r="F1378" s="38">
        <v>3877</v>
      </c>
      <c r="G1378" s="38">
        <v>388</v>
      </c>
      <c r="H1378" s="38">
        <v>388</v>
      </c>
      <c r="I1378" s="108">
        <v>0.10007737941707506</v>
      </c>
    </row>
    <row r="1379" spans="1:9" x14ac:dyDescent="0.3">
      <c r="A1379" s="35" t="s">
        <v>1316</v>
      </c>
      <c r="B1379" t="s">
        <v>1158</v>
      </c>
      <c r="C1379" s="106">
        <v>2</v>
      </c>
      <c r="D1379" s="56">
        <v>45929</v>
      </c>
      <c r="E1379" s="38">
        <v>4265</v>
      </c>
      <c r="F1379" s="38">
        <v>3877</v>
      </c>
      <c r="G1379" s="38">
        <v>388</v>
      </c>
      <c r="H1379" s="38">
        <v>776</v>
      </c>
      <c r="I1379" s="108">
        <v>0.10007737941707506</v>
      </c>
    </row>
    <row r="1380" spans="1:9" x14ac:dyDescent="0.3">
      <c r="A1380" s="35" t="s">
        <v>1316</v>
      </c>
      <c r="B1380" t="s">
        <v>1158</v>
      </c>
      <c r="C1380" s="106">
        <v>3</v>
      </c>
      <c r="D1380" s="56">
        <v>45940</v>
      </c>
      <c r="E1380" s="38">
        <v>4265</v>
      </c>
      <c r="F1380" s="38">
        <v>3874</v>
      </c>
      <c r="G1380" s="38">
        <v>391</v>
      </c>
      <c r="H1380" s="38">
        <v>1167</v>
      </c>
      <c r="I1380" s="108">
        <v>0.10092927207021167</v>
      </c>
    </row>
    <row r="1381" spans="1:9" x14ac:dyDescent="0.3">
      <c r="A1381" s="35" t="s">
        <v>1316</v>
      </c>
      <c r="B1381" t="s">
        <v>1158</v>
      </c>
      <c r="C1381" s="106">
        <v>4</v>
      </c>
      <c r="D1381" s="56">
        <v>45947</v>
      </c>
      <c r="E1381" s="38">
        <v>4265</v>
      </c>
      <c r="F1381" s="38">
        <v>3874</v>
      </c>
      <c r="G1381" s="38">
        <v>391</v>
      </c>
      <c r="H1381" s="38">
        <v>1558</v>
      </c>
      <c r="I1381" s="108">
        <v>0.10092927207021167</v>
      </c>
    </row>
    <row r="1382" spans="1:9" x14ac:dyDescent="0.3">
      <c r="A1382" s="35" t="s">
        <v>1316</v>
      </c>
      <c r="B1382" t="s">
        <v>1158</v>
      </c>
      <c r="C1382" s="106">
        <v>5</v>
      </c>
      <c r="D1382" s="56">
        <v>45954</v>
      </c>
      <c r="E1382" s="38">
        <v>4265</v>
      </c>
      <c r="F1382" s="38">
        <v>3874</v>
      </c>
      <c r="G1382" s="38">
        <v>391</v>
      </c>
      <c r="H1382" s="38">
        <v>1949</v>
      </c>
      <c r="I1382" s="108">
        <v>0.10092927207021167</v>
      </c>
    </row>
    <row r="1383" spans="1:9" x14ac:dyDescent="0.3">
      <c r="A1383" s="35" t="s">
        <v>1316</v>
      </c>
      <c r="B1383" t="s">
        <v>1158</v>
      </c>
      <c r="C1383" s="106">
        <v>6</v>
      </c>
      <c r="E1383" s="38"/>
      <c r="F1383" s="38"/>
      <c r="G1383" s="38">
        <v>0</v>
      </c>
      <c r="H1383" s="38">
        <v>1949</v>
      </c>
    </row>
    <row r="1384" spans="1:9" x14ac:dyDescent="0.3">
      <c r="A1384" s="35" t="s">
        <v>1316</v>
      </c>
      <c r="B1384" t="s">
        <v>1158</v>
      </c>
      <c r="C1384" s="106">
        <v>7</v>
      </c>
      <c r="E1384" s="38"/>
      <c r="F1384" s="38"/>
      <c r="G1384" s="38">
        <v>0</v>
      </c>
      <c r="H1384" s="38">
        <v>1949</v>
      </c>
    </row>
    <row r="1385" spans="1:9" x14ac:dyDescent="0.3">
      <c r="A1385" s="35" t="s">
        <v>1316</v>
      </c>
      <c r="B1385" t="s">
        <v>1158</v>
      </c>
      <c r="C1385" s="106">
        <v>8</v>
      </c>
      <c r="E1385" s="38"/>
      <c r="F1385" s="38"/>
      <c r="G1385" s="38">
        <v>0</v>
      </c>
      <c r="H1385" s="38">
        <v>1949</v>
      </c>
    </row>
    <row r="1386" spans="1:9" x14ac:dyDescent="0.3">
      <c r="A1386" s="35" t="s">
        <v>1316</v>
      </c>
      <c r="B1386" t="s">
        <v>1158</v>
      </c>
      <c r="C1386" s="106">
        <v>9</v>
      </c>
      <c r="E1386" s="38"/>
      <c r="F1386" s="38"/>
      <c r="G1386" s="38">
        <v>0</v>
      </c>
      <c r="H1386" s="38">
        <v>1949</v>
      </c>
    </row>
    <row r="1387" spans="1:9" x14ac:dyDescent="0.3">
      <c r="A1387" s="35" t="s">
        <v>1316</v>
      </c>
      <c r="B1387" t="s">
        <v>1158</v>
      </c>
      <c r="C1387" s="106">
        <v>10</v>
      </c>
      <c r="E1387" s="38"/>
      <c r="F1387" s="38"/>
      <c r="G1387" s="38">
        <v>0</v>
      </c>
      <c r="H1387" s="38">
        <v>1949</v>
      </c>
    </row>
    <row r="1388" spans="1:9" x14ac:dyDescent="0.3">
      <c r="A1388" s="35" t="s">
        <v>1316</v>
      </c>
      <c r="B1388" t="s">
        <v>1158</v>
      </c>
      <c r="C1388" s="106">
        <v>11</v>
      </c>
      <c r="E1388" s="38"/>
      <c r="F1388" s="38"/>
      <c r="G1388" s="38">
        <v>0</v>
      </c>
      <c r="H1388" s="38">
        <v>1949</v>
      </c>
    </row>
    <row r="1389" spans="1:9" x14ac:dyDescent="0.3">
      <c r="A1389" s="35" t="s">
        <v>1316</v>
      </c>
      <c r="B1389" t="s">
        <v>1158</v>
      </c>
      <c r="C1389" s="106">
        <v>12</v>
      </c>
      <c r="E1389" s="38"/>
      <c r="F1389" s="38"/>
      <c r="G1389" s="38">
        <v>0</v>
      </c>
      <c r="H1389" s="38">
        <v>1949</v>
      </c>
    </row>
    <row r="1390" spans="1:9" x14ac:dyDescent="0.3">
      <c r="A1390" s="35" t="s">
        <v>1316</v>
      </c>
      <c r="B1390" t="s">
        <v>1158</v>
      </c>
      <c r="C1390" s="106">
        <v>13</v>
      </c>
      <c r="E1390" s="38"/>
      <c r="F1390" s="38"/>
      <c r="G1390" s="38">
        <v>0</v>
      </c>
      <c r="H1390" s="38">
        <v>1949</v>
      </c>
    </row>
    <row r="1391" spans="1:9" x14ac:dyDescent="0.3">
      <c r="A1391" s="35" t="s">
        <v>1316</v>
      </c>
      <c r="B1391" t="s">
        <v>1158</v>
      </c>
      <c r="C1391" s="106">
        <v>14</v>
      </c>
      <c r="E1391" s="38"/>
      <c r="F1391" s="38"/>
      <c r="G1391" s="38">
        <v>0</v>
      </c>
      <c r="H1391" s="38">
        <v>1949</v>
      </c>
    </row>
    <row r="1392" spans="1:9" x14ac:dyDescent="0.3">
      <c r="A1392" s="35" t="s">
        <v>1316</v>
      </c>
      <c r="B1392" t="s">
        <v>1158</v>
      </c>
      <c r="C1392" s="106">
        <v>15</v>
      </c>
      <c r="E1392" s="38"/>
      <c r="F1392" s="38"/>
      <c r="G1392" s="38">
        <v>0</v>
      </c>
      <c r="H1392" s="38">
        <v>1949</v>
      </c>
    </row>
    <row r="1393" spans="1:9" ht="15" thickBot="1" x14ac:dyDescent="0.35">
      <c r="A1393" s="119" t="s">
        <v>1316</v>
      </c>
      <c r="B1393" s="112" t="s">
        <v>1158</v>
      </c>
      <c r="C1393" s="111">
        <v>16</v>
      </c>
      <c r="D1393" s="112"/>
      <c r="E1393" s="113"/>
      <c r="F1393" s="113"/>
      <c r="G1393" s="113">
        <v>0</v>
      </c>
      <c r="H1393" s="113">
        <v>1949</v>
      </c>
      <c r="I1393" s="112"/>
    </row>
    <row r="1394" spans="1:9" ht="15" thickTop="1" x14ac:dyDescent="0.3">
      <c r="A1394" s="35" t="s">
        <v>1171</v>
      </c>
      <c r="B1394" t="s">
        <v>1128</v>
      </c>
      <c r="C1394" s="106">
        <v>1</v>
      </c>
      <c r="D1394" s="56">
        <v>45929</v>
      </c>
      <c r="E1394" s="38">
        <v>5130</v>
      </c>
      <c r="F1394" s="38">
        <v>4789</v>
      </c>
      <c r="G1394" s="38">
        <v>341</v>
      </c>
      <c r="H1394" s="38">
        <v>341</v>
      </c>
      <c r="I1394" s="108">
        <v>7.1204844435163922E-2</v>
      </c>
    </row>
    <row r="1395" spans="1:9" x14ac:dyDescent="0.3">
      <c r="A1395" s="35" t="s">
        <v>1171</v>
      </c>
      <c r="B1395" t="s">
        <v>1128</v>
      </c>
      <c r="C1395" s="106">
        <v>2</v>
      </c>
      <c r="D1395" s="56">
        <v>45936</v>
      </c>
      <c r="E1395" s="38">
        <v>5140</v>
      </c>
      <c r="F1395" s="38">
        <v>4789</v>
      </c>
      <c r="G1395" s="38">
        <v>351</v>
      </c>
      <c r="H1395" s="38">
        <v>692</v>
      </c>
      <c r="I1395" s="108">
        <v>7.3292963040300696E-2</v>
      </c>
    </row>
    <row r="1396" spans="1:9" x14ac:dyDescent="0.3">
      <c r="A1396" s="35" t="s">
        <v>1171</v>
      </c>
      <c r="B1396" t="s">
        <v>1128</v>
      </c>
      <c r="C1396" s="106">
        <v>3</v>
      </c>
      <c r="D1396" s="56">
        <v>45943</v>
      </c>
      <c r="E1396" s="38">
        <v>5140</v>
      </c>
      <c r="F1396" s="38">
        <v>4789</v>
      </c>
      <c r="G1396" s="38">
        <v>351</v>
      </c>
      <c r="H1396" s="38">
        <v>1043</v>
      </c>
      <c r="I1396" s="108">
        <v>7.3292963040300696E-2</v>
      </c>
    </row>
    <row r="1397" spans="1:9" x14ac:dyDescent="0.3">
      <c r="A1397" s="35" t="s">
        <v>1171</v>
      </c>
      <c r="B1397" t="s">
        <v>1128</v>
      </c>
      <c r="C1397" s="106">
        <v>4</v>
      </c>
      <c r="D1397" s="56">
        <v>45950</v>
      </c>
      <c r="E1397" s="38">
        <v>5140</v>
      </c>
      <c r="F1397" s="38">
        <v>4789</v>
      </c>
      <c r="G1397" s="38">
        <v>351</v>
      </c>
      <c r="H1397" s="38">
        <v>1394</v>
      </c>
      <c r="I1397" s="108">
        <v>7.3292963040300696E-2</v>
      </c>
    </row>
    <row r="1398" spans="1:9" x14ac:dyDescent="0.3">
      <c r="A1398" s="35" t="s">
        <v>1171</v>
      </c>
      <c r="B1398" t="s">
        <v>1128</v>
      </c>
      <c r="C1398" s="106">
        <v>5</v>
      </c>
      <c r="D1398" s="56">
        <v>45957</v>
      </c>
      <c r="E1398" s="38">
        <v>5140</v>
      </c>
      <c r="F1398" s="38">
        <v>4789</v>
      </c>
      <c r="G1398" s="38">
        <v>351</v>
      </c>
      <c r="H1398" s="38">
        <v>1745</v>
      </c>
      <c r="I1398" s="108">
        <v>7.3292963040300696E-2</v>
      </c>
    </row>
    <row r="1399" spans="1:9" x14ac:dyDescent="0.3">
      <c r="A1399" s="35" t="s">
        <v>1171</v>
      </c>
      <c r="B1399" t="s">
        <v>1128</v>
      </c>
      <c r="C1399" s="106">
        <v>6</v>
      </c>
      <c r="E1399" s="38"/>
      <c r="F1399" s="38"/>
      <c r="G1399" s="38">
        <v>0</v>
      </c>
      <c r="H1399" s="38">
        <v>1745</v>
      </c>
      <c r="I1399" s="108" t="e">
        <v>#DIV/0!</v>
      </c>
    </row>
    <row r="1400" spans="1:9" x14ac:dyDescent="0.3">
      <c r="A1400" s="35" t="s">
        <v>1171</v>
      </c>
      <c r="B1400" t="s">
        <v>1128</v>
      </c>
      <c r="C1400" s="106">
        <v>7</v>
      </c>
      <c r="E1400" s="38"/>
      <c r="F1400" s="38"/>
      <c r="G1400" s="38">
        <v>0</v>
      </c>
      <c r="H1400" s="38">
        <v>1745</v>
      </c>
      <c r="I1400" s="108" t="e">
        <v>#DIV/0!</v>
      </c>
    </row>
    <row r="1401" spans="1:9" x14ac:dyDescent="0.3">
      <c r="A1401" s="35" t="s">
        <v>1171</v>
      </c>
      <c r="B1401" t="s">
        <v>1128</v>
      </c>
      <c r="C1401" s="106">
        <v>8</v>
      </c>
      <c r="E1401" s="38"/>
      <c r="F1401" s="38"/>
      <c r="G1401" s="38">
        <v>0</v>
      </c>
      <c r="H1401" s="38">
        <v>1745</v>
      </c>
      <c r="I1401" s="108" t="e">
        <v>#DIV/0!</v>
      </c>
    </row>
    <row r="1402" spans="1:9" x14ac:dyDescent="0.3">
      <c r="A1402" s="35" t="s">
        <v>1171</v>
      </c>
      <c r="B1402" t="s">
        <v>1128</v>
      </c>
      <c r="C1402" s="106">
        <v>9</v>
      </c>
      <c r="E1402" s="38"/>
      <c r="F1402" s="38"/>
      <c r="G1402" s="38">
        <v>0</v>
      </c>
      <c r="H1402" s="38">
        <v>1745</v>
      </c>
      <c r="I1402" s="108" t="e">
        <v>#DIV/0!</v>
      </c>
    </row>
    <row r="1403" spans="1:9" x14ac:dyDescent="0.3">
      <c r="A1403" s="35" t="s">
        <v>1171</v>
      </c>
      <c r="B1403" t="s">
        <v>1128</v>
      </c>
      <c r="C1403" s="106">
        <v>10</v>
      </c>
      <c r="E1403" s="38"/>
      <c r="F1403" s="38"/>
      <c r="G1403" s="38">
        <v>0</v>
      </c>
      <c r="H1403" s="38">
        <v>1745</v>
      </c>
      <c r="I1403" s="108" t="e">
        <v>#DIV/0!</v>
      </c>
    </row>
    <row r="1404" spans="1:9" x14ac:dyDescent="0.3">
      <c r="A1404" s="35" t="s">
        <v>1171</v>
      </c>
      <c r="B1404" t="s">
        <v>1128</v>
      </c>
      <c r="C1404" s="106">
        <v>11</v>
      </c>
      <c r="E1404" s="38"/>
      <c r="F1404" s="38"/>
      <c r="G1404" s="38">
        <v>0</v>
      </c>
      <c r="H1404" s="38">
        <v>1745</v>
      </c>
      <c r="I1404" s="108" t="e">
        <v>#DIV/0!</v>
      </c>
    </row>
    <row r="1405" spans="1:9" x14ac:dyDescent="0.3">
      <c r="A1405" s="35" t="s">
        <v>1171</v>
      </c>
      <c r="B1405" t="s">
        <v>1128</v>
      </c>
      <c r="C1405" s="106">
        <v>12</v>
      </c>
      <c r="E1405" s="38"/>
      <c r="F1405" s="38"/>
      <c r="G1405" s="38">
        <v>0</v>
      </c>
      <c r="H1405" s="38">
        <v>1745</v>
      </c>
      <c r="I1405" s="108" t="e">
        <v>#DIV/0!</v>
      </c>
    </row>
    <row r="1406" spans="1:9" x14ac:dyDescent="0.3">
      <c r="A1406" s="35" t="s">
        <v>1171</v>
      </c>
      <c r="B1406" t="s">
        <v>1128</v>
      </c>
      <c r="C1406" s="106">
        <v>13</v>
      </c>
      <c r="E1406" s="38"/>
      <c r="F1406" s="38"/>
      <c r="G1406" s="38">
        <v>0</v>
      </c>
      <c r="H1406" s="38">
        <v>1745</v>
      </c>
      <c r="I1406" s="108" t="e">
        <v>#DIV/0!</v>
      </c>
    </row>
    <row r="1407" spans="1:9" x14ac:dyDescent="0.3">
      <c r="A1407" s="35" t="s">
        <v>1171</v>
      </c>
      <c r="B1407" t="s">
        <v>1128</v>
      </c>
      <c r="C1407" s="106">
        <v>14</v>
      </c>
      <c r="E1407" s="38"/>
      <c r="F1407" s="38"/>
      <c r="G1407" s="38">
        <v>0</v>
      </c>
      <c r="H1407" s="38">
        <v>1745</v>
      </c>
      <c r="I1407" s="108" t="e">
        <v>#DIV/0!</v>
      </c>
    </row>
    <row r="1408" spans="1:9" x14ac:dyDescent="0.3">
      <c r="A1408" s="35" t="s">
        <v>1171</v>
      </c>
      <c r="B1408" t="s">
        <v>1128</v>
      </c>
      <c r="C1408" s="106">
        <v>15</v>
      </c>
      <c r="E1408" s="38"/>
      <c r="F1408" s="38"/>
      <c r="G1408" s="38">
        <v>0</v>
      </c>
      <c r="H1408" s="38">
        <v>1745</v>
      </c>
      <c r="I1408" s="108" t="e">
        <v>#DIV/0!</v>
      </c>
    </row>
    <row r="1409" spans="1:9" ht="15" thickBot="1" x14ac:dyDescent="0.35">
      <c r="A1409" s="109" t="s">
        <v>1171</v>
      </c>
      <c r="B1409" s="110" t="s">
        <v>1128</v>
      </c>
      <c r="C1409" s="114">
        <v>16</v>
      </c>
      <c r="D1409" s="110"/>
      <c r="E1409" s="115"/>
      <c r="F1409" s="115"/>
      <c r="G1409" s="115">
        <v>0</v>
      </c>
      <c r="H1409" s="115">
        <v>1745</v>
      </c>
      <c r="I1409" s="110"/>
    </row>
    <row r="1410" spans="1:9" x14ac:dyDescent="0.3">
      <c r="A1410" s="35" t="s">
        <v>1174</v>
      </c>
      <c r="B1410" t="s">
        <v>1126</v>
      </c>
      <c r="C1410" s="106">
        <v>1</v>
      </c>
      <c r="D1410" s="56">
        <v>45926</v>
      </c>
      <c r="E1410" s="38">
        <v>7199</v>
      </c>
      <c r="F1410" s="38">
        <v>6840</v>
      </c>
      <c r="G1410" s="38">
        <v>359</v>
      </c>
      <c r="H1410" s="38">
        <v>359</v>
      </c>
      <c r="I1410" s="108">
        <v>5.2485380116959066E-2</v>
      </c>
    </row>
    <row r="1411" spans="1:9" x14ac:dyDescent="0.3">
      <c r="A1411" s="35" t="s">
        <v>1174</v>
      </c>
      <c r="B1411" t="s">
        <v>1126</v>
      </c>
      <c r="C1411" s="106">
        <v>2</v>
      </c>
      <c r="D1411" s="56">
        <v>45930</v>
      </c>
      <c r="E1411" s="38">
        <v>7199</v>
      </c>
      <c r="F1411" s="38">
        <v>6840</v>
      </c>
      <c r="G1411" s="38">
        <v>359</v>
      </c>
      <c r="H1411" s="38">
        <v>718</v>
      </c>
      <c r="I1411" s="108">
        <v>5.2485380116959066E-2</v>
      </c>
    </row>
    <row r="1412" spans="1:9" x14ac:dyDescent="0.3">
      <c r="A1412" s="35" t="s">
        <v>1174</v>
      </c>
      <c r="B1412" t="s">
        <v>1126</v>
      </c>
      <c r="C1412" s="106">
        <v>3</v>
      </c>
      <c r="D1412" s="56">
        <v>45941</v>
      </c>
      <c r="E1412" s="38">
        <v>7199</v>
      </c>
      <c r="F1412" s="38">
        <v>6840</v>
      </c>
      <c r="G1412" s="38">
        <v>359</v>
      </c>
      <c r="H1412" s="38">
        <v>1077</v>
      </c>
      <c r="I1412" s="108">
        <v>5.2485380116959066E-2</v>
      </c>
    </row>
    <row r="1413" spans="1:9" x14ac:dyDescent="0.3">
      <c r="A1413" s="35" t="s">
        <v>1174</v>
      </c>
      <c r="B1413" t="s">
        <v>1126</v>
      </c>
      <c r="C1413" s="106">
        <v>4</v>
      </c>
      <c r="D1413" s="56">
        <v>45949</v>
      </c>
      <c r="E1413" s="38">
        <v>7199</v>
      </c>
      <c r="F1413" s="38">
        <v>6840</v>
      </c>
      <c r="G1413" s="38">
        <v>359</v>
      </c>
      <c r="H1413" s="38">
        <v>1437</v>
      </c>
      <c r="I1413" s="108">
        <v>5.2485380116959066E-2</v>
      </c>
    </row>
    <row r="1414" spans="1:9" x14ac:dyDescent="0.3">
      <c r="A1414" s="35" t="s">
        <v>1174</v>
      </c>
      <c r="B1414" t="s">
        <v>1126</v>
      </c>
      <c r="C1414" s="106">
        <v>5</v>
      </c>
      <c r="D1414" s="56">
        <v>45957</v>
      </c>
      <c r="E1414" s="38">
        <v>7200</v>
      </c>
      <c r="F1414" s="38">
        <v>6840</v>
      </c>
      <c r="G1414" s="38">
        <v>360</v>
      </c>
      <c r="H1414" s="38">
        <v>1437</v>
      </c>
      <c r="I1414" s="108">
        <v>5.2631578947368418E-2</v>
      </c>
    </row>
    <row r="1415" spans="1:9" x14ac:dyDescent="0.3">
      <c r="A1415" s="35" t="s">
        <v>1174</v>
      </c>
      <c r="B1415" t="s">
        <v>1126</v>
      </c>
      <c r="C1415" s="106">
        <v>6</v>
      </c>
      <c r="E1415" s="38"/>
      <c r="F1415" s="38"/>
      <c r="G1415" s="38">
        <v>0</v>
      </c>
      <c r="H1415" s="38">
        <v>1437</v>
      </c>
      <c r="I1415" s="108" t="e">
        <v>#DIV/0!</v>
      </c>
    </row>
    <row r="1416" spans="1:9" x14ac:dyDescent="0.3">
      <c r="A1416" s="35" t="s">
        <v>1174</v>
      </c>
      <c r="B1416" t="s">
        <v>1126</v>
      </c>
      <c r="C1416" s="106">
        <v>7</v>
      </c>
      <c r="E1416" s="38"/>
      <c r="F1416" s="38"/>
      <c r="G1416" s="38">
        <v>0</v>
      </c>
      <c r="H1416" s="38">
        <v>1437</v>
      </c>
      <c r="I1416" s="108" t="e">
        <v>#DIV/0!</v>
      </c>
    </row>
    <row r="1417" spans="1:9" x14ac:dyDescent="0.3">
      <c r="A1417" s="35" t="s">
        <v>1174</v>
      </c>
      <c r="B1417" t="s">
        <v>1126</v>
      </c>
      <c r="C1417" s="106">
        <v>8</v>
      </c>
      <c r="E1417" s="38"/>
      <c r="F1417" s="38"/>
      <c r="G1417" s="38">
        <v>0</v>
      </c>
      <c r="H1417" s="38">
        <v>1437</v>
      </c>
      <c r="I1417" s="108" t="e">
        <v>#DIV/0!</v>
      </c>
    </row>
    <row r="1418" spans="1:9" x14ac:dyDescent="0.3">
      <c r="A1418" s="35" t="s">
        <v>1174</v>
      </c>
      <c r="B1418" t="s">
        <v>1126</v>
      </c>
      <c r="C1418" s="106">
        <v>9</v>
      </c>
      <c r="E1418" s="38"/>
      <c r="F1418" s="38"/>
      <c r="G1418" s="38">
        <v>0</v>
      </c>
      <c r="H1418" s="38">
        <v>1437</v>
      </c>
      <c r="I1418" s="108" t="e">
        <v>#DIV/0!</v>
      </c>
    </row>
    <row r="1419" spans="1:9" x14ac:dyDescent="0.3">
      <c r="A1419" s="35" t="s">
        <v>1174</v>
      </c>
      <c r="B1419" t="s">
        <v>1126</v>
      </c>
      <c r="C1419" s="106">
        <v>10</v>
      </c>
      <c r="E1419" s="38"/>
      <c r="F1419" s="38"/>
      <c r="G1419" s="38">
        <v>0</v>
      </c>
      <c r="H1419" s="38">
        <v>1437</v>
      </c>
      <c r="I1419" s="108" t="e">
        <v>#DIV/0!</v>
      </c>
    </row>
    <row r="1420" spans="1:9" x14ac:dyDescent="0.3">
      <c r="A1420" s="35" t="s">
        <v>1174</v>
      </c>
      <c r="B1420" t="s">
        <v>1126</v>
      </c>
      <c r="C1420" s="106">
        <v>11</v>
      </c>
      <c r="E1420" s="38"/>
      <c r="F1420" s="38"/>
      <c r="G1420" s="38">
        <v>0</v>
      </c>
      <c r="H1420" s="38">
        <v>1437</v>
      </c>
    </row>
    <row r="1421" spans="1:9" x14ac:dyDescent="0.3">
      <c r="A1421" s="35" t="s">
        <v>1174</v>
      </c>
      <c r="B1421" t="s">
        <v>1126</v>
      </c>
      <c r="C1421" s="106">
        <v>12</v>
      </c>
      <c r="E1421" s="38"/>
      <c r="F1421" s="38"/>
      <c r="G1421" s="38">
        <v>0</v>
      </c>
      <c r="H1421" s="38">
        <v>1437</v>
      </c>
    </row>
    <row r="1422" spans="1:9" x14ac:dyDescent="0.3">
      <c r="A1422" s="35" t="s">
        <v>1174</v>
      </c>
      <c r="B1422" t="s">
        <v>1126</v>
      </c>
      <c r="C1422" s="106">
        <v>13</v>
      </c>
      <c r="E1422" s="38"/>
      <c r="F1422" s="38"/>
      <c r="G1422" s="38">
        <v>0</v>
      </c>
      <c r="H1422" s="38">
        <v>1437</v>
      </c>
    </row>
    <row r="1423" spans="1:9" x14ac:dyDescent="0.3">
      <c r="A1423" s="35" t="s">
        <v>1174</v>
      </c>
      <c r="B1423" t="s">
        <v>1126</v>
      </c>
      <c r="C1423" s="106">
        <v>14</v>
      </c>
      <c r="E1423" s="38"/>
      <c r="F1423" s="38"/>
      <c r="G1423" s="38">
        <v>0</v>
      </c>
      <c r="H1423" s="38">
        <v>1437</v>
      </c>
    </row>
    <row r="1424" spans="1:9" x14ac:dyDescent="0.3">
      <c r="A1424" s="35" t="s">
        <v>1174</v>
      </c>
      <c r="B1424" t="s">
        <v>1126</v>
      </c>
      <c r="C1424" s="106">
        <v>15</v>
      </c>
      <c r="E1424" s="38"/>
      <c r="F1424" s="38"/>
      <c r="G1424" s="38">
        <v>0</v>
      </c>
      <c r="H1424" s="38">
        <v>1437</v>
      </c>
    </row>
    <row r="1425" spans="1:9" ht="15" thickBot="1" x14ac:dyDescent="0.35">
      <c r="A1425" s="109" t="s">
        <v>1174</v>
      </c>
      <c r="B1425" s="110" t="s">
        <v>1126</v>
      </c>
      <c r="C1425" s="114">
        <v>16</v>
      </c>
      <c r="D1425" s="110"/>
      <c r="E1425" s="115"/>
      <c r="F1425" s="115"/>
      <c r="G1425" s="115">
        <v>0</v>
      </c>
      <c r="H1425" s="115">
        <v>1817.42</v>
      </c>
      <c r="I1425" s="110"/>
    </row>
    <row r="1426" spans="1:9" x14ac:dyDescent="0.3">
      <c r="A1426" s="35" t="s">
        <v>1176</v>
      </c>
      <c r="B1426" t="s">
        <v>1129</v>
      </c>
      <c r="C1426" s="106">
        <v>1</v>
      </c>
      <c r="D1426" s="56">
        <v>45928</v>
      </c>
      <c r="E1426" s="38">
        <v>9244.5</v>
      </c>
      <c r="F1426" s="38">
        <v>8864.08</v>
      </c>
      <c r="G1426" s="38">
        <v>380.42000000000007</v>
      </c>
      <c r="H1426" s="38">
        <v>380.42000000000007</v>
      </c>
      <c r="I1426" s="108">
        <v>4.2917031434734354E-2</v>
      </c>
    </row>
    <row r="1427" spans="1:9" x14ac:dyDescent="0.3">
      <c r="A1427" s="35" t="s">
        <v>1176</v>
      </c>
      <c r="B1427" t="s">
        <v>1129</v>
      </c>
      <c r="C1427" s="106">
        <v>2</v>
      </c>
      <c r="D1427" s="56">
        <v>45936</v>
      </c>
      <c r="E1427" s="38">
        <v>9244.5</v>
      </c>
      <c r="F1427" s="38">
        <v>8672.1</v>
      </c>
      <c r="G1427" s="38">
        <v>572.39999999999964</v>
      </c>
      <c r="H1427" s="38">
        <v>952.81999999999971</v>
      </c>
      <c r="I1427" s="108">
        <v>6.6004773930189872E-2</v>
      </c>
    </row>
    <row r="1428" spans="1:9" x14ac:dyDescent="0.3">
      <c r="A1428" s="35" t="s">
        <v>1176</v>
      </c>
      <c r="B1428" t="s">
        <v>1129</v>
      </c>
      <c r="C1428" s="106">
        <v>3</v>
      </c>
      <c r="D1428" s="56">
        <v>45942</v>
      </c>
      <c r="E1428" s="38">
        <v>9244.5</v>
      </c>
      <c r="F1428" s="38">
        <v>8672.1</v>
      </c>
      <c r="G1428" s="38">
        <v>572.39999999999964</v>
      </c>
      <c r="H1428" s="38">
        <v>1525.2199999999993</v>
      </c>
      <c r="I1428" s="108">
        <v>6.6004773930189872E-2</v>
      </c>
    </row>
    <row r="1429" spans="1:9" x14ac:dyDescent="0.3">
      <c r="A1429" s="35" t="s">
        <v>1176</v>
      </c>
      <c r="B1429" t="s">
        <v>1129</v>
      </c>
      <c r="C1429" s="106">
        <v>4</v>
      </c>
      <c r="D1429" s="56">
        <v>45949</v>
      </c>
      <c r="E1429" s="38">
        <v>9181.01</v>
      </c>
      <c r="F1429" s="38">
        <v>8672.1</v>
      </c>
      <c r="G1429" s="38">
        <v>508.90999999999985</v>
      </c>
      <c r="H1429" s="38">
        <v>2034.1299999999992</v>
      </c>
      <c r="I1429" s="108">
        <v>5.8683594515745875E-2</v>
      </c>
    </row>
    <row r="1430" spans="1:9" x14ac:dyDescent="0.3">
      <c r="A1430" s="35" t="s">
        <v>1176</v>
      </c>
      <c r="B1430" t="s">
        <v>1129</v>
      </c>
      <c r="C1430" s="106">
        <v>5</v>
      </c>
      <c r="D1430" s="56">
        <v>45956</v>
      </c>
      <c r="E1430" s="38">
        <v>9245</v>
      </c>
      <c r="F1430" s="38">
        <v>8672.1</v>
      </c>
      <c r="G1430" s="38">
        <v>572.89999999999964</v>
      </c>
      <c r="H1430" s="38">
        <v>2607.0299999999988</v>
      </c>
      <c r="I1430" s="108">
        <v>6.6062430091903879E-2</v>
      </c>
    </row>
    <row r="1431" spans="1:9" x14ac:dyDescent="0.3">
      <c r="A1431" s="35" t="s">
        <v>1176</v>
      </c>
      <c r="B1431" t="s">
        <v>1129</v>
      </c>
      <c r="C1431" s="106">
        <v>6</v>
      </c>
      <c r="E1431" s="38"/>
      <c r="F1431" s="38"/>
      <c r="G1431" s="38">
        <v>0</v>
      </c>
      <c r="H1431" s="38">
        <v>2607.0299999999988</v>
      </c>
      <c r="I1431" s="108" t="e">
        <v>#DIV/0!</v>
      </c>
    </row>
    <row r="1432" spans="1:9" x14ac:dyDescent="0.3">
      <c r="A1432" s="35" t="s">
        <v>1176</v>
      </c>
      <c r="B1432" t="s">
        <v>1129</v>
      </c>
      <c r="C1432" s="106">
        <v>7</v>
      </c>
      <c r="E1432" s="38"/>
      <c r="F1432" s="38"/>
      <c r="G1432" s="38">
        <v>0</v>
      </c>
      <c r="H1432" s="38">
        <v>2607.0299999999988</v>
      </c>
      <c r="I1432" s="108" t="e">
        <v>#DIV/0!</v>
      </c>
    </row>
    <row r="1433" spans="1:9" x14ac:dyDescent="0.3">
      <c r="A1433" s="35" t="s">
        <v>1176</v>
      </c>
      <c r="B1433" t="s">
        <v>1129</v>
      </c>
      <c r="C1433" s="106">
        <v>8</v>
      </c>
      <c r="E1433" s="38"/>
      <c r="F1433" s="38"/>
      <c r="G1433" s="38">
        <v>0</v>
      </c>
      <c r="H1433" s="38">
        <v>2607.0299999999988</v>
      </c>
      <c r="I1433" s="108" t="e">
        <v>#DIV/0!</v>
      </c>
    </row>
    <row r="1434" spans="1:9" x14ac:dyDescent="0.3">
      <c r="A1434" s="35" t="s">
        <v>1176</v>
      </c>
      <c r="B1434" t="s">
        <v>1129</v>
      </c>
      <c r="C1434" s="106">
        <v>9</v>
      </c>
      <c r="E1434" s="38"/>
      <c r="F1434" s="38"/>
      <c r="G1434" s="38">
        <v>0</v>
      </c>
      <c r="H1434" s="38">
        <v>2607.0299999999988</v>
      </c>
      <c r="I1434" s="108" t="e">
        <v>#DIV/0!</v>
      </c>
    </row>
    <row r="1435" spans="1:9" x14ac:dyDescent="0.3">
      <c r="A1435" s="35" t="s">
        <v>1176</v>
      </c>
      <c r="B1435" t="s">
        <v>1129</v>
      </c>
      <c r="C1435" s="106">
        <v>10</v>
      </c>
      <c r="E1435" s="38"/>
      <c r="F1435" s="38"/>
      <c r="G1435" s="38">
        <v>0</v>
      </c>
      <c r="H1435" s="38">
        <v>2607.0299999999988</v>
      </c>
      <c r="I1435" s="108" t="e">
        <v>#DIV/0!</v>
      </c>
    </row>
    <row r="1436" spans="1:9" x14ac:dyDescent="0.3">
      <c r="A1436" s="35" t="s">
        <v>1176</v>
      </c>
      <c r="B1436" t="s">
        <v>1129</v>
      </c>
      <c r="C1436" s="106">
        <v>11</v>
      </c>
      <c r="E1436" s="38"/>
      <c r="F1436" s="38"/>
      <c r="G1436" s="38">
        <v>0</v>
      </c>
      <c r="H1436" s="38">
        <v>2607.0299999999988</v>
      </c>
      <c r="I1436" s="108" t="e">
        <v>#DIV/0!</v>
      </c>
    </row>
    <row r="1437" spans="1:9" x14ac:dyDescent="0.3">
      <c r="A1437" s="35" t="s">
        <v>1176</v>
      </c>
      <c r="B1437" t="s">
        <v>1129</v>
      </c>
      <c r="C1437" s="106">
        <v>12</v>
      </c>
      <c r="E1437" s="38"/>
      <c r="F1437" s="38"/>
      <c r="G1437" s="38">
        <v>0</v>
      </c>
      <c r="H1437" s="38">
        <v>2607.0299999999988</v>
      </c>
      <c r="I1437" s="108" t="e">
        <v>#DIV/0!</v>
      </c>
    </row>
    <row r="1438" spans="1:9" x14ac:dyDescent="0.3">
      <c r="A1438" s="35" t="s">
        <v>1176</v>
      </c>
      <c r="B1438" t="s">
        <v>1129</v>
      </c>
      <c r="C1438" s="106">
        <v>13</v>
      </c>
      <c r="E1438" s="38"/>
      <c r="F1438" s="38"/>
      <c r="G1438" s="38">
        <v>0</v>
      </c>
      <c r="H1438" s="38">
        <v>2607.0299999999988</v>
      </c>
      <c r="I1438" s="108" t="e">
        <v>#DIV/0!</v>
      </c>
    </row>
    <row r="1439" spans="1:9" x14ac:dyDescent="0.3">
      <c r="A1439" s="35" t="s">
        <v>1176</v>
      </c>
      <c r="B1439" t="s">
        <v>1129</v>
      </c>
      <c r="C1439" s="106">
        <v>14</v>
      </c>
      <c r="E1439" s="38"/>
      <c r="F1439" s="38"/>
      <c r="G1439" s="38">
        <v>0</v>
      </c>
      <c r="H1439" s="38">
        <v>2607.0299999999988</v>
      </c>
      <c r="I1439" s="108" t="e">
        <v>#DIV/0!</v>
      </c>
    </row>
    <row r="1440" spans="1:9" x14ac:dyDescent="0.3">
      <c r="A1440" s="35" t="s">
        <v>1176</v>
      </c>
      <c r="B1440" t="s">
        <v>1129</v>
      </c>
      <c r="C1440" s="106">
        <v>15</v>
      </c>
      <c r="E1440" s="38"/>
      <c r="F1440" s="38"/>
      <c r="G1440" s="38">
        <v>0</v>
      </c>
      <c r="H1440" s="38">
        <v>2607.0299999999988</v>
      </c>
      <c r="I1440" s="108" t="e">
        <v>#DIV/0!</v>
      </c>
    </row>
    <row r="1441" spans="1:9" ht="15" thickBot="1" x14ac:dyDescent="0.35">
      <c r="A1441" s="109" t="s">
        <v>1176</v>
      </c>
      <c r="B1441" s="110" t="s">
        <v>1129</v>
      </c>
      <c r="C1441" s="114">
        <v>16</v>
      </c>
      <c r="D1441" s="110"/>
      <c r="E1441" s="115"/>
      <c r="F1441" s="115"/>
      <c r="G1441" s="115">
        <v>0</v>
      </c>
      <c r="H1441" s="115">
        <v>2607.0299999999988</v>
      </c>
      <c r="I1441" s="110"/>
    </row>
    <row r="1442" spans="1:9" x14ac:dyDescent="0.3">
      <c r="A1442" s="35" t="s">
        <v>1208</v>
      </c>
      <c r="B1442" t="s">
        <v>1200</v>
      </c>
      <c r="C1442" s="106">
        <v>1</v>
      </c>
      <c r="D1442" s="56">
        <v>45930</v>
      </c>
      <c r="E1442" s="38">
        <v>4263</v>
      </c>
      <c r="F1442" s="38">
        <v>3876.03</v>
      </c>
      <c r="G1442" s="38">
        <v>386.9699999999998</v>
      </c>
      <c r="H1442" s="38">
        <v>2607.0299999999988</v>
      </c>
      <c r="I1442" s="108">
        <v>9.9836688570521845E-2</v>
      </c>
    </row>
    <row r="1443" spans="1:9" x14ac:dyDescent="0.3">
      <c r="A1443" s="35" t="s">
        <v>1208</v>
      </c>
      <c r="B1443" t="s">
        <v>1200</v>
      </c>
      <c r="C1443" s="106">
        <v>2</v>
      </c>
      <c r="D1443" s="56">
        <v>45937</v>
      </c>
      <c r="E1443" s="38">
        <v>4263</v>
      </c>
      <c r="F1443" s="38">
        <v>3876.03</v>
      </c>
      <c r="G1443" s="38">
        <v>386.9699999999998</v>
      </c>
      <c r="H1443" s="38">
        <v>2993.9999999999986</v>
      </c>
      <c r="I1443" s="108">
        <v>9.9836688570521845E-2</v>
      </c>
    </row>
    <row r="1444" spans="1:9" x14ac:dyDescent="0.3">
      <c r="A1444" s="35" t="s">
        <v>1208</v>
      </c>
      <c r="B1444" t="s">
        <v>1200</v>
      </c>
      <c r="C1444" s="106">
        <v>3</v>
      </c>
      <c r="D1444" s="56">
        <v>45944</v>
      </c>
      <c r="E1444" s="38">
        <v>4263</v>
      </c>
      <c r="F1444" s="38">
        <v>3876.03</v>
      </c>
      <c r="G1444" s="38">
        <v>386.9699999999998</v>
      </c>
      <c r="H1444" s="38">
        <v>3380.9699999999984</v>
      </c>
      <c r="I1444" s="108">
        <v>9.9836688570521845E-2</v>
      </c>
    </row>
    <row r="1445" spans="1:9" x14ac:dyDescent="0.3">
      <c r="A1445" s="35" t="s">
        <v>1208</v>
      </c>
      <c r="B1445" t="s">
        <v>1200</v>
      </c>
      <c r="C1445" s="106">
        <v>4</v>
      </c>
      <c r="D1445" s="56">
        <v>45951</v>
      </c>
      <c r="E1445" s="38">
        <v>4263</v>
      </c>
      <c r="F1445" s="38">
        <v>3876.03</v>
      </c>
      <c r="G1445" s="38">
        <v>386.9699999999998</v>
      </c>
      <c r="H1445" s="38">
        <v>3767.9399999999982</v>
      </c>
      <c r="I1445" s="108">
        <v>9.9836688570521845E-2</v>
      </c>
    </row>
    <row r="1446" spans="1:9" x14ac:dyDescent="0.3">
      <c r="A1446" s="35" t="s">
        <v>1208</v>
      </c>
      <c r="B1446" t="s">
        <v>1200</v>
      </c>
      <c r="C1446" s="106">
        <v>5</v>
      </c>
      <c r="D1446" s="56">
        <v>45958</v>
      </c>
      <c r="E1446" s="38">
        <v>4263</v>
      </c>
      <c r="F1446" s="38">
        <v>3877</v>
      </c>
      <c r="G1446" s="38">
        <v>386</v>
      </c>
      <c r="H1446" s="38">
        <v>4153.9399999999987</v>
      </c>
      <c r="I1446" s="108">
        <v>9.9561516636574671E-2</v>
      </c>
    </row>
    <row r="1447" spans="1:9" x14ac:dyDescent="0.3">
      <c r="A1447" s="35" t="s">
        <v>1208</v>
      </c>
      <c r="B1447" t="s">
        <v>1200</v>
      </c>
      <c r="C1447" s="106">
        <v>6</v>
      </c>
      <c r="E1447" s="38"/>
      <c r="F1447" s="38"/>
      <c r="G1447" s="38">
        <v>0</v>
      </c>
      <c r="H1447" s="38">
        <v>4153.9399999999987</v>
      </c>
      <c r="I1447" s="108" t="e">
        <v>#DIV/0!</v>
      </c>
    </row>
    <row r="1448" spans="1:9" x14ac:dyDescent="0.3">
      <c r="A1448" s="35" t="s">
        <v>1208</v>
      </c>
      <c r="B1448" t="s">
        <v>1200</v>
      </c>
      <c r="C1448" s="106">
        <v>7</v>
      </c>
      <c r="E1448" s="38"/>
      <c r="F1448" s="38"/>
      <c r="G1448" s="38">
        <v>0</v>
      </c>
      <c r="H1448" s="38">
        <v>4153.9399999999987</v>
      </c>
      <c r="I1448" s="108" t="e">
        <v>#DIV/0!</v>
      </c>
    </row>
    <row r="1449" spans="1:9" x14ac:dyDescent="0.3">
      <c r="A1449" s="35" t="s">
        <v>1208</v>
      </c>
      <c r="B1449" t="s">
        <v>1200</v>
      </c>
      <c r="C1449" s="106">
        <v>8</v>
      </c>
      <c r="E1449" s="38"/>
      <c r="F1449" s="38"/>
      <c r="G1449" s="38">
        <v>0</v>
      </c>
      <c r="H1449" s="38">
        <v>4153.9399999999987</v>
      </c>
      <c r="I1449" s="108" t="e">
        <v>#DIV/0!</v>
      </c>
    </row>
    <row r="1450" spans="1:9" x14ac:dyDescent="0.3">
      <c r="A1450" s="35" t="s">
        <v>1208</v>
      </c>
      <c r="B1450" t="s">
        <v>1200</v>
      </c>
      <c r="C1450" s="106">
        <v>9</v>
      </c>
      <c r="E1450" s="38"/>
      <c r="F1450" s="38"/>
      <c r="G1450" s="38">
        <v>0</v>
      </c>
      <c r="H1450" s="38">
        <v>4153.9399999999987</v>
      </c>
      <c r="I1450" s="108" t="e">
        <v>#DIV/0!</v>
      </c>
    </row>
    <row r="1451" spans="1:9" x14ac:dyDescent="0.3">
      <c r="A1451" s="35" t="s">
        <v>1208</v>
      </c>
      <c r="B1451" t="s">
        <v>1200</v>
      </c>
      <c r="C1451" s="106">
        <v>10</v>
      </c>
      <c r="E1451" s="38"/>
      <c r="F1451" s="38"/>
      <c r="G1451" s="38">
        <v>0</v>
      </c>
      <c r="H1451" s="38">
        <v>4153.9399999999987</v>
      </c>
      <c r="I1451" s="108" t="e">
        <v>#DIV/0!</v>
      </c>
    </row>
    <row r="1452" spans="1:9" x14ac:dyDescent="0.3">
      <c r="A1452" s="35" t="s">
        <v>1208</v>
      </c>
      <c r="B1452" t="s">
        <v>1200</v>
      </c>
      <c r="C1452" s="106">
        <v>11</v>
      </c>
      <c r="E1452" s="38"/>
      <c r="F1452" s="38"/>
      <c r="G1452" s="38">
        <v>0</v>
      </c>
      <c r="H1452" s="38">
        <v>4153.9399999999987</v>
      </c>
      <c r="I1452" s="108" t="e">
        <v>#DIV/0!</v>
      </c>
    </row>
    <row r="1453" spans="1:9" x14ac:dyDescent="0.3">
      <c r="A1453" s="35" t="s">
        <v>1208</v>
      </c>
      <c r="B1453" t="s">
        <v>1200</v>
      </c>
      <c r="C1453" s="106">
        <v>12</v>
      </c>
      <c r="E1453" s="38"/>
      <c r="F1453" s="38"/>
      <c r="G1453" s="38">
        <v>0</v>
      </c>
      <c r="H1453" s="38">
        <v>4153.9399999999987</v>
      </c>
      <c r="I1453" s="108" t="e">
        <v>#DIV/0!</v>
      </c>
    </row>
    <row r="1454" spans="1:9" x14ac:dyDescent="0.3">
      <c r="A1454" s="35" t="s">
        <v>1208</v>
      </c>
      <c r="B1454" t="s">
        <v>1200</v>
      </c>
      <c r="C1454" s="106">
        <v>13</v>
      </c>
      <c r="E1454" s="38"/>
      <c r="F1454" s="38"/>
      <c r="G1454" s="38">
        <v>0</v>
      </c>
      <c r="H1454" s="38">
        <v>4153.9399999999987</v>
      </c>
      <c r="I1454" s="108" t="e">
        <v>#DIV/0!</v>
      </c>
    </row>
    <row r="1455" spans="1:9" x14ac:dyDescent="0.3">
      <c r="A1455" s="35" t="s">
        <v>1208</v>
      </c>
      <c r="B1455" t="s">
        <v>1200</v>
      </c>
      <c r="C1455" s="106">
        <v>14</v>
      </c>
      <c r="E1455" s="38"/>
      <c r="F1455" s="38"/>
      <c r="G1455" s="38">
        <v>0</v>
      </c>
      <c r="H1455" s="38">
        <v>4153.9399999999987</v>
      </c>
      <c r="I1455" s="108" t="e">
        <v>#DIV/0!</v>
      </c>
    </row>
    <row r="1456" spans="1:9" x14ac:dyDescent="0.3">
      <c r="A1456" s="35" t="s">
        <v>1208</v>
      </c>
      <c r="B1456" t="s">
        <v>1200</v>
      </c>
      <c r="C1456" s="106">
        <v>15</v>
      </c>
      <c r="E1456" s="38"/>
      <c r="F1456" s="38"/>
      <c r="G1456" s="38">
        <v>0</v>
      </c>
      <c r="H1456" s="38">
        <v>4153.9399999999987</v>
      </c>
      <c r="I1456" s="108" t="e">
        <v>#DIV/0!</v>
      </c>
    </row>
    <row r="1457" spans="1:9" ht="15" thickBot="1" x14ac:dyDescent="0.35">
      <c r="A1457" s="109" t="s">
        <v>1208</v>
      </c>
      <c r="B1457" s="110" t="s">
        <v>1200</v>
      </c>
      <c r="C1457" s="114">
        <v>16</v>
      </c>
      <c r="D1457" s="110"/>
      <c r="E1457" s="115"/>
      <c r="F1457" s="115"/>
      <c r="G1457" s="115">
        <v>0</v>
      </c>
      <c r="H1457" s="115">
        <v>4153.9399999999987</v>
      </c>
      <c r="I1457" s="110"/>
    </row>
    <row r="1458" spans="1:9" x14ac:dyDescent="0.3">
      <c r="A1458" s="35" t="s">
        <v>1209</v>
      </c>
      <c r="B1458" t="s">
        <v>1161</v>
      </c>
      <c r="C1458" s="106">
        <v>1</v>
      </c>
      <c r="D1458" s="56">
        <v>45930</v>
      </c>
      <c r="E1458" s="38">
        <v>4948</v>
      </c>
      <c r="F1458" s="38">
        <v>4718</v>
      </c>
      <c r="G1458" s="38">
        <v>230</v>
      </c>
      <c r="H1458" s="38">
        <v>230</v>
      </c>
      <c r="I1458" s="108">
        <v>4.8749470114455275E-2</v>
      </c>
    </row>
    <row r="1459" spans="1:9" x14ac:dyDescent="0.3">
      <c r="A1459" s="35" t="s">
        <v>1209</v>
      </c>
      <c r="B1459" t="s">
        <v>1161</v>
      </c>
      <c r="C1459" s="106">
        <v>2</v>
      </c>
      <c r="D1459" s="56">
        <v>45937</v>
      </c>
      <c r="E1459" s="38">
        <v>4963</v>
      </c>
      <c r="F1459" s="38">
        <v>4718</v>
      </c>
      <c r="G1459" s="38">
        <v>245</v>
      </c>
      <c r="H1459" s="38">
        <v>475</v>
      </c>
      <c r="I1459" s="108">
        <v>5.192878338278932E-2</v>
      </c>
    </row>
    <row r="1460" spans="1:9" x14ac:dyDescent="0.3">
      <c r="A1460" s="35" t="s">
        <v>1209</v>
      </c>
      <c r="B1460" t="s">
        <v>1161</v>
      </c>
      <c r="C1460" s="106">
        <v>3</v>
      </c>
      <c r="D1460" s="56">
        <v>45944</v>
      </c>
      <c r="E1460" s="38">
        <v>4963</v>
      </c>
      <c r="F1460" s="38">
        <v>4718</v>
      </c>
      <c r="G1460" s="38">
        <v>245</v>
      </c>
      <c r="H1460" s="38">
        <v>720</v>
      </c>
      <c r="I1460" s="108">
        <v>5.192878338278932E-2</v>
      </c>
    </row>
    <row r="1461" spans="1:9" x14ac:dyDescent="0.3">
      <c r="A1461" s="35" t="s">
        <v>1209</v>
      </c>
      <c r="B1461" t="s">
        <v>1161</v>
      </c>
      <c r="C1461" s="106">
        <v>4</v>
      </c>
      <c r="D1461" s="56">
        <v>45951</v>
      </c>
      <c r="E1461" s="38">
        <v>4963</v>
      </c>
      <c r="F1461" s="38">
        <v>4718</v>
      </c>
      <c r="G1461" s="38">
        <v>245</v>
      </c>
      <c r="H1461" s="38">
        <v>965</v>
      </c>
      <c r="I1461" s="108">
        <v>5.192878338278932E-2</v>
      </c>
    </row>
    <row r="1462" spans="1:9" x14ac:dyDescent="0.3">
      <c r="A1462" s="35" t="s">
        <v>1209</v>
      </c>
      <c r="B1462" t="s">
        <v>1161</v>
      </c>
      <c r="C1462" s="106">
        <v>5</v>
      </c>
      <c r="D1462" s="56">
        <v>45958</v>
      </c>
      <c r="E1462" s="38">
        <v>4963</v>
      </c>
      <c r="F1462" s="38">
        <v>4718</v>
      </c>
      <c r="G1462" s="38">
        <v>245</v>
      </c>
      <c r="H1462" s="38">
        <v>1210</v>
      </c>
      <c r="I1462" s="108">
        <v>5.192878338278932E-2</v>
      </c>
    </row>
    <row r="1463" spans="1:9" x14ac:dyDescent="0.3">
      <c r="A1463" s="35" t="s">
        <v>1209</v>
      </c>
      <c r="B1463" t="s">
        <v>1161</v>
      </c>
      <c r="C1463" s="106">
        <v>6</v>
      </c>
      <c r="E1463" s="38"/>
      <c r="F1463" s="38"/>
      <c r="G1463" s="38">
        <v>0</v>
      </c>
      <c r="H1463" s="38">
        <v>1210</v>
      </c>
      <c r="I1463" s="108" t="e">
        <v>#DIV/0!</v>
      </c>
    </row>
    <row r="1464" spans="1:9" x14ac:dyDescent="0.3">
      <c r="A1464" s="35" t="s">
        <v>1209</v>
      </c>
      <c r="B1464" t="s">
        <v>1161</v>
      </c>
      <c r="C1464" s="106">
        <v>7</v>
      </c>
      <c r="E1464" s="38"/>
      <c r="F1464" s="38"/>
      <c r="G1464" s="38">
        <v>0</v>
      </c>
      <c r="H1464" s="38">
        <v>1210</v>
      </c>
      <c r="I1464" s="108" t="e">
        <v>#DIV/0!</v>
      </c>
    </row>
    <row r="1465" spans="1:9" x14ac:dyDescent="0.3">
      <c r="A1465" s="35" t="s">
        <v>1209</v>
      </c>
      <c r="B1465" t="s">
        <v>1161</v>
      </c>
      <c r="C1465" s="106">
        <v>8</v>
      </c>
      <c r="E1465" s="38"/>
      <c r="F1465" s="38"/>
      <c r="G1465" s="38">
        <v>0</v>
      </c>
      <c r="H1465" s="38">
        <v>1210</v>
      </c>
      <c r="I1465" s="108" t="e">
        <v>#DIV/0!</v>
      </c>
    </row>
    <row r="1466" spans="1:9" x14ac:dyDescent="0.3">
      <c r="A1466" s="35" t="s">
        <v>1209</v>
      </c>
      <c r="B1466" t="s">
        <v>1161</v>
      </c>
      <c r="C1466" s="106">
        <v>9</v>
      </c>
      <c r="E1466" s="38"/>
      <c r="F1466" s="38"/>
      <c r="G1466" s="38">
        <v>0</v>
      </c>
      <c r="H1466" s="38">
        <v>1210</v>
      </c>
      <c r="I1466" s="108" t="e">
        <v>#DIV/0!</v>
      </c>
    </row>
    <row r="1467" spans="1:9" x14ac:dyDescent="0.3">
      <c r="A1467" s="35" t="s">
        <v>1209</v>
      </c>
      <c r="B1467" t="s">
        <v>1161</v>
      </c>
      <c r="C1467" s="106">
        <v>10</v>
      </c>
      <c r="E1467" s="38"/>
      <c r="F1467" s="38"/>
      <c r="G1467" s="38">
        <v>0</v>
      </c>
      <c r="H1467" s="38">
        <v>1210</v>
      </c>
      <c r="I1467" s="108" t="e">
        <v>#DIV/0!</v>
      </c>
    </row>
    <row r="1468" spans="1:9" x14ac:dyDescent="0.3">
      <c r="A1468" s="35" t="s">
        <v>1209</v>
      </c>
      <c r="B1468" t="s">
        <v>1161</v>
      </c>
      <c r="C1468" s="106">
        <v>11</v>
      </c>
      <c r="E1468" s="38"/>
      <c r="F1468" s="38"/>
      <c r="G1468" s="38">
        <v>0</v>
      </c>
      <c r="H1468" s="38">
        <v>1210</v>
      </c>
      <c r="I1468" s="108" t="e">
        <v>#DIV/0!</v>
      </c>
    </row>
    <row r="1469" spans="1:9" x14ac:dyDescent="0.3">
      <c r="A1469" s="35" t="s">
        <v>1209</v>
      </c>
      <c r="B1469" t="s">
        <v>1161</v>
      </c>
      <c r="C1469" s="106">
        <v>12</v>
      </c>
      <c r="E1469" s="38"/>
      <c r="F1469" s="38"/>
      <c r="G1469" s="38">
        <v>0</v>
      </c>
      <c r="H1469" s="38">
        <v>1210</v>
      </c>
      <c r="I1469" s="108" t="e">
        <v>#DIV/0!</v>
      </c>
    </row>
    <row r="1470" spans="1:9" x14ac:dyDescent="0.3">
      <c r="A1470" s="35" t="s">
        <v>1209</v>
      </c>
      <c r="B1470" t="s">
        <v>1161</v>
      </c>
      <c r="C1470" s="106">
        <v>13</v>
      </c>
      <c r="E1470" s="38"/>
      <c r="F1470" s="38"/>
      <c r="G1470" s="38">
        <v>0</v>
      </c>
      <c r="H1470" s="38">
        <v>1210</v>
      </c>
      <c r="I1470" s="108" t="e">
        <v>#DIV/0!</v>
      </c>
    </row>
    <row r="1471" spans="1:9" x14ac:dyDescent="0.3">
      <c r="A1471" s="35" t="s">
        <v>1209</v>
      </c>
      <c r="B1471" t="s">
        <v>1161</v>
      </c>
      <c r="C1471" s="106">
        <v>14</v>
      </c>
      <c r="E1471" s="38"/>
      <c r="F1471" s="38"/>
      <c r="G1471" s="38">
        <v>0</v>
      </c>
      <c r="H1471" s="38">
        <v>1210</v>
      </c>
      <c r="I1471" s="108" t="e">
        <v>#DIV/0!</v>
      </c>
    </row>
    <row r="1472" spans="1:9" x14ac:dyDescent="0.3">
      <c r="A1472" s="35" t="s">
        <v>1209</v>
      </c>
      <c r="B1472" t="s">
        <v>1161</v>
      </c>
      <c r="C1472" s="106">
        <v>15</v>
      </c>
      <c r="E1472" s="38"/>
      <c r="F1472" s="38"/>
      <c r="G1472" s="38">
        <v>0</v>
      </c>
      <c r="H1472" s="38">
        <v>1210</v>
      </c>
      <c r="I1472" s="108" t="e">
        <v>#DIV/0!</v>
      </c>
    </row>
    <row r="1473" spans="1:9" ht="15" thickBot="1" x14ac:dyDescent="0.35">
      <c r="A1473" s="109" t="s">
        <v>1209</v>
      </c>
      <c r="B1473" s="110" t="s">
        <v>1161</v>
      </c>
      <c r="C1473" s="114">
        <v>16</v>
      </c>
      <c r="D1473" s="110"/>
      <c r="E1473" s="115"/>
      <c r="F1473" s="115"/>
      <c r="G1473" s="115">
        <v>0</v>
      </c>
      <c r="H1473" s="115">
        <v>1210</v>
      </c>
      <c r="I1473" s="110"/>
    </row>
    <row r="1474" spans="1:9" x14ac:dyDescent="0.3">
      <c r="A1474" s="35" t="s">
        <v>1270</v>
      </c>
      <c r="B1474" t="s">
        <v>1204</v>
      </c>
      <c r="C1474" s="106">
        <v>1</v>
      </c>
      <c r="D1474" s="56">
        <v>45929</v>
      </c>
      <c r="E1474" s="38">
        <v>8527</v>
      </c>
      <c r="F1474" s="38">
        <v>7762</v>
      </c>
      <c r="G1474" s="38">
        <v>765</v>
      </c>
      <c r="H1474" s="38">
        <v>765</v>
      </c>
      <c r="I1474" s="108">
        <v>9.8557072919350688E-2</v>
      </c>
    </row>
    <row r="1475" spans="1:9" x14ac:dyDescent="0.3">
      <c r="A1475" s="35" t="s">
        <v>1270</v>
      </c>
      <c r="B1475" t="s">
        <v>1204</v>
      </c>
      <c r="C1475" s="106">
        <v>2</v>
      </c>
      <c r="D1475" s="56">
        <v>45937</v>
      </c>
      <c r="E1475" s="38">
        <v>8225</v>
      </c>
      <c r="F1475" s="38">
        <v>7752</v>
      </c>
      <c r="G1475" s="38">
        <v>473</v>
      </c>
      <c r="H1475" s="38">
        <v>1238</v>
      </c>
      <c r="I1475" s="108">
        <v>6.1016511867905056E-2</v>
      </c>
    </row>
    <row r="1476" spans="1:9" x14ac:dyDescent="0.3">
      <c r="A1476" s="35" t="s">
        <v>1270</v>
      </c>
      <c r="B1476" t="s">
        <v>1204</v>
      </c>
      <c r="C1476" s="106">
        <v>3</v>
      </c>
      <c r="D1476" s="56">
        <v>45944</v>
      </c>
      <c r="E1476" s="38">
        <v>8225</v>
      </c>
      <c r="F1476" s="38">
        <v>7752</v>
      </c>
      <c r="G1476" s="38">
        <v>473</v>
      </c>
      <c r="H1476" s="38">
        <v>1711</v>
      </c>
      <c r="I1476" s="108">
        <v>6.1016511867905056E-2</v>
      </c>
    </row>
    <row r="1477" spans="1:9" x14ac:dyDescent="0.3">
      <c r="A1477" s="35" t="s">
        <v>1270</v>
      </c>
      <c r="B1477" t="s">
        <v>1204</v>
      </c>
      <c r="C1477" s="106">
        <v>4</v>
      </c>
      <c r="D1477" s="56">
        <v>45951</v>
      </c>
      <c r="E1477" s="38">
        <v>8225</v>
      </c>
      <c r="F1477" s="38">
        <v>7752</v>
      </c>
      <c r="G1477" s="38">
        <v>473</v>
      </c>
      <c r="H1477" s="38">
        <v>2184</v>
      </c>
      <c r="I1477" s="108">
        <v>6.1016511867905056E-2</v>
      </c>
    </row>
    <row r="1478" spans="1:9" x14ac:dyDescent="0.3">
      <c r="A1478" s="35" t="s">
        <v>1270</v>
      </c>
      <c r="B1478" t="s">
        <v>1204</v>
      </c>
      <c r="C1478" s="106">
        <v>5</v>
      </c>
      <c r="D1478" s="56">
        <v>45958</v>
      </c>
      <c r="E1478" s="38">
        <v>8238</v>
      </c>
      <c r="F1478" s="38">
        <v>7752</v>
      </c>
      <c r="G1478" s="38">
        <v>486</v>
      </c>
      <c r="H1478" s="38">
        <v>2670</v>
      </c>
      <c r="I1478" s="108">
        <v>6.2693498452012386E-2</v>
      </c>
    </row>
    <row r="1479" spans="1:9" x14ac:dyDescent="0.3">
      <c r="A1479" s="35" t="s">
        <v>1270</v>
      </c>
      <c r="B1479" t="s">
        <v>1204</v>
      </c>
      <c r="C1479" s="106">
        <v>6</v>
      </c>
      <c r="E1479" s="38"/>
      <c r="F1479" s="38"/>
      <c r="G1479" s="38">
        <v>0</v>
      </c>
      <c r="H1479" s="38">
        <v>2670</v>
      </c>
      <c r="I1479" s="108" t="e">
        <v>#DIV/0!</v>
      </c>
    </row>
    <row r="1480" spans="1:9" x14ac:dyDescent="0.3">
      <c r="A1480" s="35" t="s">
        <v>1270</v>
      </c>
      <c r="B1480" t="s">
        <v>1204</v>
      </c>
      <c r="C1480" s="106">
        <v>7</v>
      </c>
      <c r="E1480" s="38"/>
      <c r="F1480" s="38"/>
      <c r="G1480" s="38">
        <v>0</v>
      </c>
      <c r="H1480" s="38">
        <v>2670</v>
      </c>
      <c r="I1480" s="108" t="e">
        <v>#DIV/0!</v>
      </c>
    </row>
    <row r="1481" spans="1:9" x14ac:dyDescent="0.3">
      <c r="A1481" s="35" t="s">
        <v>1270</v>
      </c>
      <c r="B1481" t="s">
        <v>1204</v>
      </c>
      <c r="C1481" s="106">
        <v>8</v>
      </c>
      <c r="E1481" s="38"/>
      <c r="F1481" s="38"/>
      <c r="G1481" s="38">
        <v>0</v>
      </c>
      <c r="H1481" s="38">
        <v>2670</v>
      </c>
      <c r="I1481" s="108" t="e">
        <v>#DIV/0!</v>
      </c>
    </row>
    <row r="1482" spans="1:9" x14ac:dyDescent="0.3">
      <c r="A1482" s="35" t="s">
        <v>1270</v>
      </c>
      <c r="B1482" t="s">
        <v>1204</v>
      </c>
      <c r="C1482" s="106">
        <v>9</v>
      </c>
      <c r="E1482" s="38"/>
      <c r="F1482" s="38"/>
      <c r="G1482" s="38">
        <v>0</v>
      </c>
      <c r="H1482" s="38">
        <v>2670</v>
      </c>
      <c r="I1482" s="108" t="e">
        <v>#DIV/0!</v>
      </c>
    </row>
    <row r="1483" spans="1:9" x14ac:dyDescent="0.3">
      <c r="A1483" s="35" t="s">
        <v>1270</v>
      </c>
      <c r="B1483" t="s">
        <v>1204</v>
      </c>
      <c r="C1483" s="106">
        <v>10</v>
      </c>
      <c r="E1483" s="38"/>
      <c r="F1483" s="38"/>
      <c r="G1483" s="38">
        <v>0</v>
      </c>
      <c r="H1483" s="38">
        <v>2670</v>
      </c>
      <c r="I1483" s="108" t="e">
        <v>#DIV/0!</v>
      </c>
    </row>
    <row r="1484" spans="1:9" x14ac:dyDescent="0.3">
      <c r="A1484" s="35" t="s">
        <v>1270</v>
      </c>
      <c r="B1484" t="s">
        <v>1204</v>
      </c>
      <c r="C1484" s="106">
        <v>11</v>
      </c>
      <c r="E1484" s="38"/>
      <c r="F1484" s="38"/>
      <c r="G1484" s="38">
        <v>0</v>
      </c>
      <c r="H1484" s="38">
        <v>2670</v>
      </c>
      <c r="I1484" s="108" t="e">
        <v>#DIV/0!</v>
      </c>
    </row>
    <row r="1485" spans="1:9" x14ac:dyDescent="0.3">
      <c r="A1485" s="35" t="s">
        <v>1270</v>
      </c>
      <c r="B1485" t="s">
        <v>1204</v>
      </c>
      <c r="C1485" s="106">
        <v>12</v>
      </c>
      <c r="E1485" s="38"/>
      <c r="F1485" s="38"/>
      <c r="G1485" s="38">
        <v>0</v>
      </c>
      <c r="H1485" s="38">
        <v>2670</v>
      </c>
      <c r="I1485" s="108" t="e">
        <v>#DIV/0!</v>
      </c>
    </row>
    <row r="1486" spans="1:9" x14ac:dyDescent="0.3">
      <c r="A1486" s="35" t="s">
        <v>1270</v>
      </c>
      <c r="B1486" t="s">
        <v>1204</v>
      </c>
      <c r="C1486" s="106">
        <v>13</v>
      </c>
      <c r="E1486" s="38"/>
      <c r="F1486" s="38"/>
      <c r="G1486" s="38">
        <v>0</v>
      </c>
      <c r="H1486" s="38">
        <v>2670</v>
      </c>
      <c r="I1486" s="108" t="e">
        <v>#DIV/0!</v>
      </c>
    </row>
    <row r="1487" spans="1:9" x14ac:dyDescent="0.3">
      <c r="A1487" s="35" t="s">
        <v>1270</v>
      </c>
      <c r="B1487" t="s">
        <v>1204</v>
      </c>
      <c r="C1487" s="106">
        <v>14</v>
      </c>
      <c r="E1487" s="38"/>
      <c r="F1487" s="38"/>
      <c r="G1487" s="38">
        <v>0</v>
      </c>
      <c r="H1487" s="38">
        <v>2670</v>
      </c>
      <c r="I1487" s="108" t="e">
        <v>#DIV/0!</v>
      </c>
    </row>
    <row r="1488" spans="1:9" x14ac:dyDescent="0.3">
      <c r="A1488" s="35" t="s">
        <v>1270</v>
      </c>
      <c r="B1488" t="s">
        <v>1204</v>
      </c>
      <c r="C1488" s="106">
        <v>15</v>
      </c>
      <c r="E1488" s="38"/>
      <c r="F1488" s="38"/>
      <c r="G1488" s="38">
        <v>0</v>
      </c>
      <c r="H1488" s="38">
        <v>2670</v>
      </c>
      <c r="I1488" s="108" t="e">
        <v>#DIV/0!</v>
      </c>
    </row>
    <row r="1489" spans="1:9" ht="15" thickBot="1" x14ac:dyDescent="0.35">
      <c r="A1489" s="109" t="s">
        <v>1270</v>
      </c>
      <c r="B1489" s="110" t="s">
        <v>1204</v>
      </c>
      <c r="C1489" s="114">
        <v>16</v>
      </c>
      <c r="D1489" s="110"/>
      <c r="E1489" s="115"/>
      <c r="F1489" s="115"/>
      <c r="G1489" s="115">
        <v>0</v>
      </c>
      <c r="H1489" s="115">
        <v>2670</v>
      </c>
      <c r="I1489" s="110"/>
    </row>
    <row r="1490" spans="1:9" x14ac:dyDescent="0.3">
      <c r="A1490" s="35" t="s">
        <v>1272</v>
      </c>
      <c r="B1490" t="s">
        <v>1198</v>
      </c>
      <c r="C1490" s="106">
        <v>1</v>
      </c>
      <c r="D1490" s="56">
        <v>45931</v>
      </c>
      <c r="E1490" s="38">
        <v>6524</v>
      </c>
      <c r="F1490" s="38">
        <v>6080.05</v>
      </c>
      <c r="G1490" s="38">
        <v>443.94999999999982</v>
      </c>
      <c r="H1490" s="38">
        <v>443.94999999999982</v>
      </c>
      <c r="I1490" s="108">
        <v>7.3017491632470094E-2</v>
      </c>
    </row>
    <row r="1491" spans="1:9" x14ac:dyDescent="0.3">
      <c r="A1491" s="35" t="s">
        <v>1272</v>
      </c>
      <c r="B1491" t="s">
        <v>1198</v>
      </c>
      <c r="C1491" s="106">
        <v>2</v>
      </c>
      <c r="D1491" s="56">
        <v>45938</v>
      </c>
      <c r="E1491" s="38">
        <v>6524</v>
      </c>
      <c r="F1491" s="38">
        <v>6080.05</v>
      </c>
      <c r="G1491" s="38">
        <v>443.94999999999982</v>
      </c>
      <c r="H1491" s="38">
        <v>887.89999999999964</v>
      </c>
      <c r="I1491" s="108">
        <v>7.3017491632470094E-2</v>
      </c>
    </row>
    <row r="1492" spans="1:9" x14ac:dyDescent="0.3">
      <c r="A1492" s="35" t="s">
        <v>1272</v>
      </c>
      <c r="B1492" t="s">
        <v>1198</v>
      </c>
      <c r="C1492" s="106">
        <v>3</v>
      </c>
      <c r="D1492" s="56">
        <v>45945</v>
      </c>
      <c r="E1492" s="38">
        <v>6524</v>
      </c>
      <c r="F1492" s="38">
        <v>6080.05</v>
      </c>
      <c r="G1492" s="38">
        <v>443.94999999999982</v>
      </c>
      <c r="H1492" s="38">
        <v>1331.8499999999995</v>
      </c>
      <c r="I1492" s="108">
        <v>7.3017491632470094E-2</v>
      </c>
    </row>
    <row r="1493" spans="1:9" x14ac:dyDescent="0.3">
      <c r="A1493" s="35" t="s">
        <v>1272</v>
      </c>
      <c r="B1493" t="s">
        <v>1198</v>
      </c>
      <c r="C1493" s="106">
        <v>4</v>
      </c>
      <c r="D1493" s="56">
        <v>45952</v>
      </c>
      <c r="E1493" s="38">
        <v>6524</v>
      </c>
      <c r="F1493" s="38">
        <v>6080.05</v>
      </c>
      <c r="G1493" s="38">
        <v>443.94999999999982</v>
      </c>
      <c r="H1493" s="38">
        <v>1775.7999999999993</v>
      </c>
      <c r="I1493" s="108">
        <v>7.3017491632470094E-2</v>
      </c>
    </row>
    <row r="1494" spans="1:9" x14ac:dyDescent="0.3">
      <c r="A1494" s="35" t="s">
        <v>1272</v>
      </c>
      <c r="B1494" t="s">
        <v>1198</v>
      </c>
      <c r="C1494" s="106">
        <v>5</v>
      </c>
      <c r="D1494" s="56">
        <v>45959</v>
      </c>
      <c r="E1494" s="38">
        <v>6524</v>
      </c>
      <c r="F1494" s="38">
        <v>6080.05</v>
      </c>
      <c r="G1494" s="38">
        <v>443.94999999999982</v>
      </c>
      <c r="H1494" s="38">
        <v>2219.7499999999991</v>
      </c>
      <c r="I1494" s="108">
        <v>7.3017491632470094E-2</v>
      </c>
    </row>
    <row r="1495" spans="1:9" x14ac:dyDescent="0.3">
      <c r="A1495" s="35" t="s">
        <v>1272</v>
      </c>
      <c r="B1495" t="s">
        <v>1198</v>
      </c>
      <c r="C1495" s="106">
        <v>6</v>
      </c>
      <c r="E1495" s="38"/>
      <c r="F1495" s="38"/>
      <c r="G1495" s="38">
        <v>0</v>
      </c>
      <c r="H1495" s="38">
        <v>2219.7499999999991</v>
      </c>
      <c r="I1495" s="108" t="e">
        <v>#DIV/0!</v>
      </c>
    </row>
    <row r="1496" spans="1:9" x14ac:dyDescent="0.3">
      <c r="A1496" s="35" t="s">
        <v>1272</v>
      </c>
      <c r="B1496" t="s">
        <v>1198</v>
      </c>
      <c r="C1496" s="106">
        <v>7</v>
      </c>
      <c r="E1496" s="38"/>
      <c r="F1496" s="38"/>
      <c r="G1496" s="38">
        <v>0</v>
      </c>
      <c r="H1496" s="38">
        <v>2219.7499999999991</v>
      </c>
      <c r="I1496" s="108" t="e">
        <v>#DIV/0!</v>
      </c>
    </row>
    <row r="1497" spans="1:9" x14ac:dyDescent="0.3">
      <c r="A1497" s="35" t="s">
        <v>1272</v>
      </c>
      <c r="B1497" t="s">
        <v>1198</v>
      </c>
      <c r="C1497" s="106">
        <v>8</v>
      </c>
      <c r="E1497" s="38"/>
      <c r="F1497" s="38"/>
      <c r="G1497" s="38">
        <v>0</v>
      </c>
      <c r="H1497" s="38">
        <v>2219.7499999999991</v>
      </c>
      <c r="I1497" s="108" t="e">
        <v>#DIV/0!</v>
      </c>
    </row>
    <row r="1498" spans="1:9" x14ac:dyDescent="0.3">
      <c r="A1498" s="35" t="s">
        <v>1272</v>
      </c>
      <c r="B1498" t="s">
        <v>1198</v>
      </c>
      <c r="C1498" s="106">
        <v>9</v>
      </c>
      <c r="E1498" s="38"/>
      <c r="F1498" s="38"/>
      <c r="G1498" s="38">
        <v>0</v>
      </c>
      <c r="H1498" s="38">
        <v>2219.7499999999991</v>
      </c>
      <c r="I1498" s="108" t="e">
        <v>#DIV/0!</v>
      </c>
    </row>
    <row r="1499" spans="1:9" x14ac:dyDescent="0.3">
      <c r="A1499" s="35" t="s">
        <v>1272</v>
      </c>
      <c r="B1499" t="s">
        <v>1198</v>
      </c>
      <c r="C1499" s="106">
        <v>10</v>
      </c>
      <c r="E1499" s="38"/>
      <c r="F1499" s="38"/>
      <c r="G1499" s="38">
        <v>0</v>
      </c>
      <c r="H1499" s="38">
        <v>2219.7499999999991</v>
      </c>
      <c r="I1499" s="108" t="e">
        <v>#DIV/0!</v>
      </c>
    </row>
    <row r="1500" spans="1:9" x14ac:dyDescent="0.3">
      <c r="A1500" s="35" t="s">
        <v>1272</v>
      </c>
      <c r="B1500" t="s">
        <v>1198</v>
      </c>
      <c r="C1500" s="106">
        <v>11</v>
      </c>
      <c r="E1500" s="38"/>
      <c r="F1500" s="38"/>
      <c r="G1500" s="38">
        <v>0</v>
      </c>
      <c r="H1500" s="38">
        <v>2219.7499999999991</v>
      </c>
      <c r="I1500" s="108" t="e">
        <v>#DIV/0!</v>
      </c>
    </row>
    <row r="1501" spans="1:9" x14ac:dyDescent="0.3">
      <c r="A1501" s="35" t="s">
        <v>1272</v>
      </c>
      <c r="B1501" t="s">
        <v>1198</v>
      </c>
      <c r="C1501" s="106">
        <v>12</v>
      </c>
      <c r="E1501" s="38"/>
      <c r="F1501" s="38"/>
      <c r="G1501" s="38">
        <v>0</v>
      </c>
      <c r="H1501" s="38">
        <v>2219.7499999999991</v>
      </c>
      <c r="I1501" s="108" t="e">
        <v>#DIV/0!</v>
      </c>
    </row>
    <row r="1502" spans="1:9" x14ac:dyDescent="0.3">
      <c r="A1502" s="35" t="s">
        <v>1272</v>
      </c>
      <c r="B1502" t="s">
        <v>1198</v>
      </c>
      <c r="C1502" s="106">
        <v>13</v>
      </c>
      <c r="E1502" s="38"/>
      <c r="F1502" s="38"/>
      <c r="G1502" s="38">
        <v>0</v>
      </c>
      <c r="H1502" s="38">
        <v>2219.7499999999991</v>
      </c>
      <c r="I1502" s="108" t="e">
        <v>#DIV/0!</v>
      </c>
    </row>
    <row r="1503" spans="1:9" x14ac:dyDescent="0.3">
      <c r="A1503" s="35" t="s">
        <v>1272</v>
      </c>
      <c r="B1503" t="s">
        <v>1198</v>
      </c>
      <c r="C1503" s="106">
        <v>14</v>
      </c>
      <c r="E1503" s="38"/>
      <c r="F1503" s="38"/>
      <c r="G1503" s="38">
        <v>0</v>
      </c>
      <c r="H1503" s="38">
        <v>2219.7499999999991</v>
      </c>
      <c r="I1503" s="108" t="e">
        <v>#DIV/0!</v>
      </c>
    </row>
    <row r="1504" spans="1:9" x14ac:dyDescent="0.3">
      <c r="A1504" s="35" t="s">
        <v>1272</v>
      </c>
      <c r="B1504" t="s">
        <v>1198</v>
      </c>
      <c r="C1504" s="106">
        <v>15</v>
      </c>
      <c r="E1504" s="38"/>
      <c r="F1504" s="38"/>
      <c r="G1504" s="38">
        <v>0</v>
      </c>
      <c r="H1504" s="38">
        <v>2219.7499999999991</v>
      </c>
      <c r="I1504" s="108" t="e">
        <v>#DIV/0!</v>
      </c>
    </row>
    <row r="1505" spans="1:9" ht="15" thickBot="1" x14ac:dyDescent="0.35">
      <c r="A1505" s="109" t="s">
        <v>1272</v>
      </c>
      <c r="B1505" s="110" t="s">
        <v>1198</v>
      </c>
      <c r="C1505" s="114">
        <v>16</v>
      </c>
      <c r="D1505" s="110"/>
      <c r="E1505" s="115"/>
      <c r="F1505" s="115"/>
      <c r="G1505" s="115">
        <v>0</v>
      </c>
      <c r="H1505" s="115">
        <v>2219.7499999999991</v>
      </c>
      <c r="I1505" s="110"/>
    </row>
    <row r="1506" spans="1:9" x14ac:dyDescent="0.3">
      <c r="A1506" s="35" t="s">
        <v>1273</v>
      </c>
      <c r="B1506" t="s">
        <v>1206</v>
      </c>
      <c r="C1506" s="106">
        <v>1</v>
      </c>
      <c r="D1506" s="56">
        <v>45931</v>
      </c>
      <c r="E1506" s="38">
        <v>10593</v>
      </c>
      <c r="F1506" s="38">
        <v>9880.09</v>
      </c>
      <c r="G1506" s="38">
        <v>712.90999999999985</v>
      </c>
      <c r="H1506" s="38">
        <v>712.90999999999985</v>
      </c>
      <c r="I1506" s="108">
        <v>7.2156225297542814E-2</v>
      </c>
    </row>
    <row r="1507" spans="1:9" x14ac:dyDescent="0.3">
      <c r="A1507" s="35" t="s">
        <v>1273</v>
      </c>
      <c r="B1507" t="s">
        <v>1206</v>
      </c>
      <c r="C1507" s="106">
        <v>2</v>
      </c>
      <c r="D1507" s="56">
        <v>45938</v>
      </c>
      <c r="E1507" s="38">
        <v>10593</v>
      </c>
      <c r="F1507" s="38">
        <v>9880.09</v>
      </c>
      <c r="G1507" s="38">
        <v>712.90999999999985</v>
      </c>
      <c r="H1507" s="38">
        <v>1425.8199999999997</v>
      </c>
      <c r="I1507" s="108">
        <v>7.2156225297542814E-2</v>
      </c>
    </row>
    <row r="1508" spans="1:9" x14ac:dyDescent="0.3">
      <c r="A1508" s="35" t="s">
        <v>1273</v>
      </c>
      <c r="B1508" t="s">
        <v>1206</v>
      </c>
      <c r="C1508" s="106">
        <v>3</v>
      </c>
      <c r="D1508" s="56">
        <v>45945</v>
      </c>
      <c r="E1508" s="38">
        <v>10593</v>
      </c>
      <c r="F1508" s="38">
        <v>9880.09</v>
      </c>
      <c r="G1508" s="38">
        <v>712.90999999999985</v>
      </c>
      <c r="H1508" s="38">
        <v>2138.7299999999996</v>
      </c>
      <c r="I1508" s="108">
        <v>7.2156225297542814E-2</v>
      </c>
    </row>
    <row r="1509" spans="1:9" x14ac:dyDescent="0.3">
      <c r="A1509" s="35" t="s">
        <v>1273</v>
      </c>
      <c r="B1509" t="s">
        <v>1206</v>
      </c>
      <c r="C1509" s="106">
        <v>4</v>
      </c>
      <c r="D1509" s="56">
        <v>45952</v>
      </c>
      <c r="E1509" s="38">
        <v>10593</v>
      </c>
      <c r="F1509" s="38">
        <v>9880.09</v>
      </c>
      <c r="G1509" s="38">
        <v>712.90999999999985</v>
      </c>
      <c r="H1509" s="38">
        <v>2851.6399999999994</v>
      </c>
      <c r="I1509" s="108">
        <v>7.2156225297542814E-2</v>
      </c>
    </row>
    <row r="1510" spans="1:9" x14ac:dyDescent="0.3">
      <c r="A1510" s="35" t="s">
        <v>1273</v>
      </c>
      <c r="B1510" t="s">
        <v>1206</v>
      </c>
      <c r="C1510" s="106">
        <v>5</v>
      </c>
      <c r="D1510" s="56">
        <v>45959</v>
      </c>
      <c r="E1510" s="38">
        <v>10593</v>
      </c>
      <c r="F1510" s="38">
        <v>9880.09</v>
      </c>
      <c r="G1510" s="38">
        <v>712.90999999999985</v>
      </c>
      <c r="H1510" s="38">
        <v>3564.5499999999993</v>
      </c>
      <c r="I1510" s="108">
        <v>7.2156225297542814E-2</v>
      </c>
    </row>
    <row r="1511" spans="1:9" x14ac:dyDescent="0.3">
      <c r="A1511" s="35" t="s">
        <v>1273</v>
      </c>
      <c r="B1511" t="s">
        <v>1206</v>
      </c>
      <c r="C1511" s="106">
        <v>6</v>
      </c>
      <c r="E1511" s="38"/>
      <c r="F1511" s="38"/>
      <c r="G1511" s="38">
        <v>0</v>
      </c>
      <c r="H1511" s="38">
        <v>3564.5499999999993</v>
      </c>
      <c r="I1511" s="108" t="e">
        <v>#DIV/0!</v>
      </c>
    </row>
    <row r="1512" spans="1:9" x14ac:dyDescent="0.3">
      <c r="A1512" s="35" t="s">
        <v>1273</v>
      </c>
      <c r="B1512" t="s">
        <v>1206</v>
      </c>
      <c r="C1512" s="106">
        <v>7</v>
      </c>
      <c r="E1512" s="38"/>
      <c r="F1512" s="38"/>
      <c r="G1512" s="38">
        <v>0</v>
      </c>
      <c r="H1512" s="38">
        <v>3564.5499999999993</v>
      </c>
      <c r="I1512" s="108" t="e">
        <v>#DIV/0!</v>
      </c>
    </row>
    <row r="1513" spans="1:9" x14ac:dyDescent="0.3">
      <c r="A1513" s="35" t="s">
        <v>1273</v>
      </c>
      <c r="B1513" t="s">
        <v>1206</v>
      </c>
      <c r="C1513" s="106">
        <v>8</v>
      </c>
      <c r="E1513" s="38"/>
      <c r="F1513" s="38"/>
      <c r="G1513" s="38">
        <v>0</v>
      </c>
      <c r="H1513" s="38">
        <v>3564.5499999999993</v>
      </c>
      <c r="I1513" s="108" t="e">
        <v>#DIV/0!</v>
      </c>
    </row>
    <row r="1514" spans="1:9" x14ac:dyDescent="0.3">
      <c r="A1514" s="35" t="s">
        <v>1273</v>
      </c>
      <c r="B1514" t="s">
        <v>1206</v>
      </c>
      <c r="C1514" s="106">
        <v>9</v>
      </c>
      <c r="E1514" s="38"/>
      <c r="F1514" s="38"/>
      <c r="G1514" s="38">
        <v>0</v>
      </c>
      <c r="H1514" s="38">
        <v>3564.5499999999993</v>
      </c>
      <c r="I1514" s="108" t="e">
        <v>#DIV/0!</v>
      </c>
    </row>
    <row r="1515" spans="1:9" x14ac:dyDescent="0.3">
      <c r="A1515" s="35" t="s">
        <v>1273</v>
      </c>
      <c r="B1515" t="s">
        <v>1206</v>
      </c>
      <c r="C1515" s="106">
        <v>10</v>
      </c>
      <c r="E1515" s="38"/>
      <c r="F1515" s="38"/>
      <c r="G1515" s="38">
        <v>0</v>
      </c>
      <c r="H1515" s="38">
        <v>3564.5499999999993</v>
      </c>
      <c r="I1515" s="108" t="e">
        <v>#DIV/0!</v>
      </c>
    </row>
    <row r="1516" spans="1:9" x14ac:dyDescent="0.3">
      <c r="A1516" s="35" t="s">
        <v>1273</v>
      </c>
      <c r="B1516" t="s">
        <v>1206</v>
      </c>
      <c r="C1516" s="106">
        <v>11</v>
      </c>
      <c r="E1516" s="38"/>
      <c r="F1516" s="38"/>
      <c r="G1516" s="38">
        <v>0</v>
      </c>
      <c r="H1516" s="38">
        <v>3564.5499999999993</v>
      </c>
      <c r="I1516" s="108" t="e">
        <v>#DIV/0!</v>
      </c>
    </row>
    <row r="1517" spans="1:9" x14ac:dyDescent="0.3">
      <c r="A1517" s="35" t="s">
        <v>1273</v>
      </c>
      <c r="B1517" t="s">
        <v>1206</v>
      </c>
      <c r="C1517" s="106">
        <v>12</v>
      </c>
      <c r="E1517" s="38"/>
      <c r="F1517" s="38"/>
      <c r="G1517" s="38">
        <v>0</v>
      </c>
      <c r="H1517" s="38">
        <v>3564.5499999999993</v>
      </c>
      <c r="I1517" s="108" t="e">
        <v>#DIV/0!</v>
      </c>
    </row>
    <row r="1518" spans="1:9" x14ac:dyDescent="0.3">
      <c r="A1518" s="35" t="s">
        <v>1273</v>
      </c>
      <c r="B1518" t="s">
        <v>1206</v>
      </c>
      <c r="C1518" s="106">
        <v>13</v>
      </c>
      <c r="E1518" s="38"/>
      <c r="F1518" s="38"/>
      <c r="G1518" s="38">
        <v>0</v>
      </c>
      <c r="H1518" s="38">
        <v>3564.5499999999993</v>
      </c>
      <c r="I1518" s="108" t="e">
        <v>#DIV/0!</v>
      </c>
    </row>
    <row r="1519" spans="1:9" x14ac:dyDescent="0.3">
      <c r="A1519" s="35" t="s">
        <v>1273</v>
      </c>
      <c r="B1519" t="s">
        <v>1206</v>
      </c>
      <c r="C1519" s="106">
        <v>14</v>
      </c>
      <c r="E1519" s="38"/>
      <c r="F1519" s="38"/>
      <c r="G1519" s="38">
        <v>0</v>
      </c>
      <c r="H1519" s="38">
        <v>3564.5499999999993</v>
      </c>
      <c r="I1519" s="108" t="e">
        <v>#DIV/0!</v>
      </c>
    </row>
    <row r="1520" spans="1:9" x14ac:dyDescent="0.3">
      <c r="A1520" s="35" t="s">
        <v>1273</v>
      </c>
      <c r="B1520" t="s">
        <v>1206</v>
      </c>
      <c r="C1520" s="106">
        <v>15</v>
      </c>
      <c r="E1520" s="38"/>
      <c r="F1520" s="38"/>
      <c r="G1520" s="38">
        <v>0</v>
      </c>
      <c r="H1520" s="38">
        <v>3564.5499999999993</v>
      </c>
      <c r="I1520" s="108" t="e">
        <v>#DIV/0!</v>
      </c>
    </row>
    <row r="1521" spans="1:9" ht="15" thickBot="1" x14ac:dyDescent="0.35">
      <c r="A1521" s="109" t="s">
        <v>1273</v>
      </c>
      <c r="B1521" s="110" t="s">
        <v>1206</v>
      </c>
      <c r="C1521" s="114">
        <v>16</v>
      </c>
      <c r="D1521" s="110"/>
      <c r="E1521" s="115"/>
      <c r="F1521" s="115"/>
      <c r="G1521" s="115">
        <v>0</v>
      </c>
      <c r="H1521" s="115">
        <v>3564.5499999999993</v>
      </c>
      <c r="I1521" s="110"/>
    </row>
    <row r="1522" spans="1:9" x14ac:dyDescent="0.3">
      <c r="A1522" s="35" t="s">
        <v>1274</v>
      </c>
      <c r="B1522" t="s">
        <v>1199</v>
      </c>
      <c r="C1522" s="106">
        <v>1</v>
      </c>
      <c r="D1522" s="56">
        <v>45931</v>
      </c>
      <c r="E1522" s="38">
        <v>11200</v>
      </c>
      <c r="F1522" s="38">
        <v>10640</v>
      </c>
      <c r="G1522" s="38">
        <v>560</v>
      </c>
      <c r="H1522" s="38">
        <v>560</v>
      </c>
      <c r="I1522" s="108">
        <v>5.2631578947368418E-2</v>
      </c>
    </row>
    <row r="1523" spans="1:9" x14ac:dyDescent="0.3">
      <c r="A1523" s="35" t="s">
        <v>1274</v>
      </c>
      <c r="B1523" t="s">
        <v>1199</v>
      </c>
      <c r="C1523" s="106">
        <v>2</v>
      </c>
      <c r="D1523" s="56">
        <v>45938</v>
      </c>
      <c r="E1523" s="38">
        <v>11300</v>
      </c>
      <c r="F1523" s="38">
        <v>10640</v>
      </c>
      <c r="G1523" s="38">
        <v>660</v>
      </c>
      <c r="H1523" s="38">
        <v>1220</v>
      </c>
      <c r="I1523" s="108">
        <v>6.2030075187969921E-2</v>
      </c>
    </row>
    <row r="1524" spans="1:9" x14ac:dyDescent="0.3">
      <c r="A1524" s="35" t="s">
        <v>1274</v>
      </c>
      <c r="B1524" t="s">
        <v>1199</v>
      </c>
      <c r="C1524" s="106">
        <v>3</v>
      </c>
      <c r="D1524" s="56">
        <v>45945</v>
      </c>
      <c r="E1524" s="38">
        <v>11150</v>
      </c>
      <c r="F1524" s="38">
        <v>10640</v>
      </c>
      <c r="G1524" s="38">
        <v>510</v>
      </c>
      <c r="H1524" s="38">
        <v>1730</v>
      </c>
      <c r="I1524" s="108">
        <v>4.7932330827067667E-2</v>
      </c>
    </row>
    <row r="1525" spans="1:9" x14ac:dyDescent="0.3">
      <c r="A1525" s="35" t="s">
        <v>1274</v>
      </c>
      <c r="B1525" t="s">
        <v>1199</v>
      </c>
      <c r="C1525" s="106">
        <v>4</v>
      </c>
      <c r="D1525" s="56">
        <v>45952</v>
      </c>
      <c r="E1525" s="38">
        <v>11200</v>
      </c>
      <c r="F1525" s="38">
        <v>10640</v>
      </c>
      <c r="G1525" s="38">
        <v>560</v>
      </c>
      <c r="H1525" s="38">
        <v>2290</v>
      </c>
      <c r="I1525" s="108">
        <v>5.2631578947368418E-2</v>
      </c>
    </row>
    <row r="1526" spans="1:9" x14ac:dyDescent="0.3">
      <c r="A1526" s="35" t="s">
        <v>1274</v>
      </c>
      <c r="B1526" t="s">
        <v>1199</v>
      </c>
      <c r="C1526" s="106">
        <v>5</v>
      </c>
      <c r="D1526" s="56">
        <v>45959</v>
      </c>
      <c r="E1526" s="38">
        <v>11265</v>
      </c>
      <c r="F1526" s="38">
        <v>10643</v>
      </c>
      <c r="G1526" s="38">
        <v>622</v>
      </c>
      <c r="H1526" s="38">
        <v>2912</v>
      </c>
      <c r="I1526" s="108">
        <v>5.8442168561495818E-2</v>
      </c>
    </row>
    <row r="1527" spans="1:9" x14ac:dyDescent="0.3">
      <c r="A1527" s="35" t="s">
        <v>1274</v>
      </c>
      <c r="B1527" t="s">
        <v>1199</v>
      </c>
      <c r="C1527" s="106">
        <v>6</v>
      </c>
      <c r="E1527" s="38"/>
      <c r="F1527" s="38"/>
      <c r="G1527" s="38">
        <v>0</v>
      </c>
      <c r="H1527" s="38">
        <v>2912</v>
      </c>
      <c r="I1527" s="108" t="e">
        <v>#DIV/0!</v>
      </c>
    </row>
    <row r="1528" spans="1:9" x14ac:dyDescent="0.3">
      <c r="A1528" s="35" t="s">
        <v>1274</v>
      </c>
      <c r="B1528" t="s">
        <v>1199</v>
      </c>
      <c r="C1528" s="106">
        <v>7</v>
      </c>
      <c r="E1528" s="38"/>
      <c r="F1528" s="38"/>
      <c r="G1528" s="38">
        <v>0</v>
      </c>
      <c r="H1528" s="38">
        <v>2912</v>
      </c>
      <c r="I1528" s="108" t="e">
        <v>#DIV/0!</v>
      </c>
    </row>
    <row r="1529" spans="1:9" x14ac:dyDescent="0.3">
      <c r="A1529" s="35" t="s">
        <v>1274</v>
      </c>
      <c r="B1529" t="s">
        <v>1199</v>
      </c>
      <c r="C1529" s="106">
        <v>8</v>
      </c>
      <c r="E1529" s="38"/>
      <c r="F1529" s="38"/>
      <c r="G1529" s="38">
        <v>0</v>
      </c>
      <c r="H1529" s="38">
        <v>2912</v>
      </c>
      <c r="I1529" s="108" t="e">
        <v>#DIV/0!</v>
      </c>
    </row>
    <row r="1530" spans="1:9" x14ac:dyDescent="0.3">
      <c r="A1530" s="35" t="s">
        <v>1274</v>
      </c>
      <c r="B1530" t="s">
        <v>1199</v>
      </c>
      <c r="C1530" s="106">
        <v>9</v>
      </c>
      <c r="E1530" s="38"/>
      <c r="F1530" s="38"/>
      <c r="G1530" s="38">
        <v>0</v>
      </c>
      <c r="H1530" s="38">
        <v>2912</v>
      </c>
      <c r="I1530" s="108" t="e">
        <v>#DIV/0!</v>
      </c>
    </row>
    <row r="1531" spans="1:9" x14ac:dyDescent="0.3">
      <c r="A1531" s="35" t="s">
        <v>1274</v>
      </c>
      <c r="B1531" t="s">
        <v>1199</v>
      </c>
      <c r="C1531" s="106">
        <v>10</v>
      </c>
      <c r="E1531" s="38"/>
      <c r="F1531" s="38"/>
      <c r="G1531" s="38">
        <v>0</v>
      </c>
      <c r="H1531" s="38">
        <v>2912</v>
      </c>
      <c r="I1531" s="108" t="e">
        <v>#DIV/0!</v>
      </c>
    </row>
    <row r="1532" spans="1:9" x14ac:dyDescent="0.3">
      <c r="A1532" s="35" t="s">
        <v>1274</v>
      </c>
      <c r="B1532" t="s">
        <v>1199</v>
      </c>
      <c r="C1532" s="106">
        <v>11</v>
      </c>
      <c r="E1532" s="38"/>
      <c r="F1532" s="38"/>
      <c r="G1532" s="38">
        <v>0</v>
      </c>
      <c r="H1532" s="38">
        <v>2912</v>
      </c>
      <c r="I1532" s="108" t="e">
        <v>#DIV/0!</v>
      </c>
    </row>
    <row r="1533" spans="1:9" x14ac:dyDescent="0.3">
      <c r="A1533" s="35" t="s">
        <v>1274</v>
      </c>
      <c r="B1533" t="s">
        <v>1199</v>
      </c>
      <c r="C1533" s="106">
        <v>12</v>
      </c>
      <c r="E1533" s="38"/>
      <c r="F1533" s="38"/>
      <c r="G1533" s="38">
        <v>0</v>
      </c>
      <c r="H1533" s="38">
        <v>2912</v>
      </c>
    </row>
    <row r="1534" spans="1:9" x14ac:dyDescent="0.3">
      <c r="A1534" s="35" t="s">
        <v>1274</v>
      </c>
      <c r="B1534" t="s">
        <v>1199</v>
      </c>
      <c r="C1534" s="106">
        <v>13</v>
      </c>
      <c r="E1534" s="38"/>
      <c r="F1534" s="38"/>
      <c r="G1534" s="38">
        <v>0</v>
      </c>
      <c r="H1534" s="38">
        <v>2912</v>
      </c>
    </row>
    <row r="1535" spans="1:9" x14ac:dyDescent="0.3">
      <c r="A1535" s="35" t="s">
        <v>1274</v>
      </c>
      <c r="B1535" t="s">
        <v>1199</v>
      </c>
      <c r="C1535" s="106">
        <v>14</v>
      </c>
      <c r="E1535" s="38"/>
      <c r="F1535" s="38"/>
      <c r="G1535" s="38">
        <v>0</v>
      </c>
      <c r="H1535" s="38">
        <v>2912</v>
      </c>
    </row>
    <row r="1536" spans="1:9" x14ac:dyDescent="0.3">
      <c r="A1536" s="35" t="s">
        <v>1274</v>
      </c>
      <c r="B1536" t="s">
        <v>1199</v>
      </c>
      <c r="C1536" s="106">
        <v>15</v>
      </c>
      <c r="E1536" s="38"/>
      <c r="F1536" s="38"/>
      <c r="G1536" s="38">
        <v>0</v>
      </c>
      <c r="H1536" s="38">
        <v>2912</v>
      </c>
    </row>
    <row r="1537" spans="1:9" ht="15" thickBot="1" x14ac:dyDescent="0.35">
      <c r="A1537" s="109" t="s">
        <v>1274</v>
      </c>
      <c r="B1537" s="110" t="s">
        <v>1199</v>
      </c>
      <c r="C1537" s="114">
        <v>16</v>
      </c>
      <c r="D1537" s="110"/>
      <c r="E1537" s="115"/>
      <c r="F1537" s="115"/>
      <c r="G1537" s="115">
        <v>0</v>
      </c>
      <c r="H1537" s="115">
        <v>2912</v>
      </c>
      <c r="I1537" s="110"/>
    </row>
    <row r="1538" spans="1:9" x14ac:dyDescent="0.3">
      <c r="A1538" s="35" t="s">
        <v>1268</v>
      </c>
      <c r="B1538" t="s">
        <v>1269</v>
      </c>
      <c r="C1538" s="106">
        <v>1</v>
      </c>
      <c r="D1538" s="56">
        <v>45930</v>
      </c>
      <c r="E1538" s="38">
        <v>9065.07</v>
      </c>
      <c r="F1538" s="38">
        <v>8208.07</v>
      </c>
      <c r="G1538" s="38">
        <v>857</v>
      </c>
      <c r="H1538" s="38">
        <v>857</v>
      </c>
      <c r="I1538" s="108">
        <v>0.10440944095262346</v>
      </c>
    </row>
    <row r="1539" spans="1:9" x14ac:dyDescent="0.3">
      <c r="A1539" s="35" t="s">
        <v>1268</v>
      </c>
      <c r="B1539" t="s">
        <v>1269</v>
      </c>
      <c r="C1539" s="106">
        <v>2</v>
      </c>
      <c r="D1539" s="56">
        <v>45937</v>
      </c>
      <c r="E1539" s="38">
        <v>9065</v>
      </c>
      <c r="F1539" s="38">
        <v>8208.07</v>
      </c>
      <c r="G1539" s="38">
        <v>856.93000000000029</v>
      </c>
      <c r="H1539" s="38">
        <v>1713.9300000000003</v>
      </c>
      <c r="I1539" s="108">
        <v>0.10440091276024696</v>
      </c>
    </row>
    <row r="1540" spans="1:9" x14ac:dyDescent="0.3">
      <c r="A1540" s="35" t="s">
        <v>1268</v>
      </c>
      <c r="B1540" t="s">
        <v>1269</v>
      </c>
      <c r="C1540" s="106">
        <v>3</v>
      </c>
      <c r="D1540" s="56">
        <v>45944</v>
      </c>
      <c r="E1540" s="38">
        <v>9065.07</v>
      </c>
      <c r="F1540" s="38">
        <v>8208</v>
      </c>
      <c r="G1540" s="38">
        <v>857.06999999999971</v>
      </c>
      <c r="H1540" s="38">
        <v>2571</v>
      </c>
      <c r="I1540" s="108">
        <v>0.10441885964912277</v>
      </c>
    </row>
    <row r="1541" spans="1:9" x14ac:dyDescent="0.3">
      <c r="A1541" s="35" t="s">
        <v>1268</v>
      </c>
      <c r="B1541" t="s">
        <v>1269</v>
      </c>
      <c r="C1541" s="106">
        <v>4</v>
      </c>
      <c r="D1541" s="56">
        <v>45951</v>
      </c>
      <c r="E1541" s="38">
        <v>9065.07</v>
      </c>
      <c r="F1541" s="38">
        <v>8208</v>
      </c>
      <c r="G1541" s="38">
        <v>857.06999999999971</v>
      </c>
      <c r="H1541" s="38">
        <v>3428.0699999999997</v>
      </c>
      <c r="I1541" s="108">
        <v>0.10441885964912277</v>
      </c>
    </row>
    <row r="1542" spans="1:9" x14ac:dyDescent="0.3">
      <c r="A1542" s="35" t="s">
        <v>1268</v>
      </c>
      <c r="B1542" t="s">
        <v>1269</v>
      </c>
      <c r="C1542" s="106">
        <v>5</v>
      </c>
      <c r="D1542" s="56">
        <v>45958</v>
      </c>
      <c r="E1542" s="38">
        <v>9065.07</v>
      </c>
      <c r="F1542" s="38">
        <v>8208</v>
      </c>
      <c r="G1542" s="38">
        <v>857.06999999999971</v>
      </c>
      <c r="H1542" s="38">
        <v>4285.1399999999994</v>
      </c>
      <c r="I1542" s="108">
        <v>0.10441885964912277</v>
      </c>
    </row>
    <row r="1543" spans="1:9" x14ac:dyDescent="0.3">
      <c r="A1543" s="35" t="s">
        <v>1268</v>
      </c>
      <c r="B1543" t="s">
        <v>1269</v>
      </c>
      <c r="C1543" s="106">
        <v>6</v>
      </c>
      <c r="E1543" s="38"/>
      <c r="F1543" s="38"/>
      <c r="G1543" s="38">
        <v>0</v>
      </c>
      <c r="H1543" s="38">
        <v>4285.1399999999994</v>
      </c>
      <c r="I1543" s="108" t="e">
        <v>#DIV/0!</v>
      </c>
    </row>
    <row r="1544" spans="1:9" x14ac:dyDescent="0.3">
      <c r="A1544" s="35" t="s">
        <v>1268</v>
      </c>
      <c r="B1544" t="s">
        <v>1269</v>
      </c>
      <c r="C1544" s="106">
        <v>7</v>
      </c>
      <c r="E1544" s="38"/>
      <c r="F1544" s="38"/>
      <c r="G1544" s="38">
        <v>0</v>
      </c>
      <c r="H1544" s="38">
        <v>4285.1399999999994</v>
      </c>
      <c r="I1544" s="108" t="e">
        <v>#DIV/0!</v>
      </c>
    </row>
    <row r="1545" spans="1:9" x14ac:dyDescent="0.3">
      <c r="A1545" s="35" t="s">
        <v>1268</v>
      </c>
      <c r="B1545" t="s">
        <v>1269</v>
      </c>
      <c r="C1545" s="106">
        <v>8</v>
      </c>
      <c r="E1545" s="38"/>
      <c r="F1545" s="38"/>
      <c r="G1545" s="38">
        <v>0</v>
      </c>
      <c r="H1545" s="38">
        <v>4285.1399999999994</v>
      </c>
      <c r="I1545" s="108" t="e">
        <v>#DIV/0!</v>
      </c>
    </row>
    <row r="1546" spans="1:9" x14ac:dyDescent="0.3">
      <c r="A1546" s="35" t="s">
        <v>1268</v>
      </c>
      <c r="B1546" t="s">
        <v>1269</v>
      </c>
      <c r="C1546" s="106">
        <v>9</v>
      </c>
      <c r="E1546" s="38"/>
      <c r="F1546" s="38"/>
      <c r="G1546" s="38">
        <v>0</v>
      </c>
      <c r="H1546" s="38">
        <v>4285.1399999999994</v>
      </c>
      <c r="I1546" s="108" t="e">
        <v>#DIV/0!</v>
      </c>
    </row>
    <row r="1547" spans="1:9" x14ac:dyDescent="0.3">
      <c r="A1547" s="35" t="s">
        <v>1268</v>
      </c>
      <c r="B1547" t="s">
        <v>1269</v>
      </c>
      <c r="C1547" s="106">
        <v>10</v>
      </c>
      <c r="E1547" s="38"/>
      <c r="F1547" s="38"/>
      <c r="G1547" s="38">
        <v>0</v>
      </c>
      <c r="H1547" s="38">
        <v>4285.1399999999994</v>
      </c>
      <c r="I1547" s="108" t="e">
        <v>#DIV/0!</v>
      </c>
    </row>
    <row r="1548" spans="1:9" x14ac:dyDescent="0.3">
      <c r="A1548" s="35" t="s">
        <v>1268</v>
      </c>
      <c r="B1548" t="s">
        <v>1269</v>
      </c>
      <c r="C1548" s="106">
        <v>11</v>
      </c>
      <c r="E1548" s="38"/>
      <c r="F1548" s="38"/>
      <c r="G1548" s="38">
        <v>0</v>
      </c>
      <c r="H1548" s="38">
        <v>4285.1399999999994</v>
      </c>
      <c r="I1548" s="108" t="e">
        <v>#DIV/0!</v>
      </c>
    </row>
    <row r="1549" spans="1:9" x14ac:dyDescent="0.3">
      <c r="A1549" s="35" t="s">
        <v>1268</v>
      </c>
      <c r="B1549" t="s">
        <v>1269</v>
      </c>
      <c r="C1549" s="106">
        <v>12</v>
      </c>
      <c r="E1549" s="38"/>
      <c r="F1549" s="38"/>
      <c r="G1549" s="38">
        <v>0</v>
      </c>
      <c r="H1549" s="38">
        <v>4285.1399999999994</v>
      </c>
      <c r="I1549" s="108" t="e">
        <v>#DIV/0!</v>
      </c>
    </row>
    <row r="1550" spans="1:9" x14ac:dyDescent="0.3">
      <c r="A1550" s="35" t="s">
        <v>1268</v>
      </c>
      <c r="B1550" t="s">
        <v>1269</v>
      </c>
      <c r="C1550" s="106">
        <v>13</v>
      </c>
      <c r="E1550" s="38"/>
      <c r="F1550" s="38"/>
      <c r="G1550" s="38">
        <v>0</v>
      </c>
      <c r="H1550" s="38">
        <v>4285.1399999999994</v>
      </c>
      <c r="I1550" s="108" t="e">
        <v>#DIV/0!</v>
      </c>
    </row>
    <row r="1551" spans="1:9" x14ac:dyDescent="0.3">
      <c r="A1551" s="35" t="s">
        <v>1268</v>
      </c>
      <c r="B1551" t="s">
        <v>1269</v>
      </c>
      <c r="C1551" s="106">
        <v>14</v>
      </c>
      <c r="E1551" s="38"/>
      <c r="F1551" s="38"/>
      <c r="G1551" s="38">
        <v>0</v>
      </c>
      <c r="H1551" s="38">
        <v>4285.1399999999994</v>
      </c>
      <c r="I1551" s="108" t="e">
        <v>#DIV/0!</v>
      </c>
    </row>
    <row r="1552" spans="1:9" x14ac:dyDescent="0.3">
      <c r="A1552" s="35" t="s">
        <v>1268</v>
      </c>
      <c r="B1552" t="s">
        <v>1269</v>
      </c>
      <c r="C1552" s="106">
        <v>15</v>
      </c>
      <c r="E1552" s="38"/>
      <c r="F1552" s="38"/>
      <c r="G1552" s="38">
        <v>0</v>
      </c>
      <c r="H1552" s="38">
        <v>4285.1399999999994</v>
      </c>
      <c r="I1552" s="108" t="e">
        <v>#DIV/0!</v>
      </c>
    </row>
    <row r="1553" spans="1:9" ht="15" thickBot="1" x14ac:dyDescent="0.35">
      <c r="A1553" s="109" t="s">
        <v>1268</v>
      </c>
      <c r="B1553" s="110" t="s">
        <v>1269</v>
      </c>
      <c r="C1553" s="114">
        <v>16</v>
      </c>
      <c r="D1553" s="110"/>
      <c r="E1553" s="115"/>
      <c r="F1553" s="115"/>
      <c r="G1553" s="115">
        <v>0</v>
      </c>
      <c r="H1553" s="115">
        <v>4285.1399999999994</v>
      </c>
      <c r="I1553" s="110"/>
    </row>
    <row r="1554" spans="1:9" x14ac:dyDescent="0.3">
      <c r="A1554" s="35" t="s">
        <v>1210</v>
      </c>
      <c r="B1554" t="s">
        <v>1160</v>
      </c>
      <c r="C1554" s="106">
        <v>1</v>
      </c>
      <c r="D1554" s="56">
        <v>45930</v>
      </c>
      <c r="E1554" s="38">
        <v>10048</v>
      </c>
      <c r="F1554" s="38">
        <v>9501</v>
      </c>
      <c r="G1554" s="38">
        <v>547</v>
      </c>
      <c r="H1554" s="38">
        <v>547</v>
      </c>
      <c r="I1554" s="108">
        <v>5.7572887064519525E-2</v>
      </c>
    </row>
    <row r="1555" spans="1:9" x14ac:dyDescent="0.3">
      <c r="A1555" s="35" t="s">
        <v>1210</v>
      </c>
      <c r="B1555" t="s">
        <v>1160</v>
      </c>
      <c r="C1555" s="106">
        <v>2</v>
      </c>
      <c r="D1555" s="56">
        <v>45937</v>
      </c>
      <c r="E1555" s="38">
        <v>10033</v>
      </c>
      <c r="F1555" s="38">
        <v>9501</v>
      </c>
      <c r="G1555" s="38">
        <v>532</v>
      </c>
      <c r="H1555" s="38">
        <v>1079</v>
      </c>
      <c r="I1555" s="108">
        <v>5.5994105883591203E-2</v>
      </c>
    </row>
    <row r="1556" spans="1:9" x14ac:dyDescent="0.3">
      <c r="A1556" s="35" t="s">
        <v>1210</v>
      </c>
      <c r="B1556" t="s">
        <v>1160</v>
      </c>
      <c r="C1556" s="106">
        <v>3</v>
      </c>
      <c r="D1556" s="56">
        <v>45944</v>
      </c>
      <c r="E1556" s="38">
        <v>9985</v>
      </c>
      <c r="F1556" s="38">
        <v>9508</v>
      </c>
      <c r="G1556" s="38">
        <v>477</v>
      </c>
      <c r="H1556" s="38">
        <v>1556</v>
      </c>
      <c r="I1556" s="108">
        <v>5.0168279343710556E-2</v>
      </c>
    </row>
    <row r="1557" spans="1:9" x14ac:dyDescent="0.3">
      <c r="A1557" s="35" t="s">
        <v>1210</v>
      </c>
      <c r="B1557" t="s">
        <v>1160</v>
      </c>
      <c r="C1557" s="106">
        <v>4</v>
      </c>
      <c r="D1557" s="56">
        <v>45951</v>
      </c>
      <c r="E1557" s="38">
        <v>9988</v>
      </c>
      <c r="F1557" s="38">
        <v>9508</v>
      </c>
      <c r="G1557" s="38">
        <v>480</v>
      </c>
      <c r="H1557" s="38">
        <v>2036</v>
      </c>
      <c r="I1557" s="108">
        <v>5.0483803113167858E-2</v>
      </c>
    </row>
    <row r="1558" spans="1:9" x14ac:dyDescent="0.3">
      <c r="A1558" s="35" t="s">
        <v>1210</v>
      </c>
      <c r="B1558" t="s">
        <v>1160</v>
      </c>
      <c r="C1558" s="106">
        <v>5</v>
      </c>
      <c r="D1558" s="56">
        <v>45958</v>
      </c>
      <c r="E1558" s="38">
        <v>9983</v>
      </c>
      <c r="F1558" s="38">
        <v>9508</v>
      </c>
      <c r="G1558" s="38">
        <v>475</v>
      </c>
      <c r="H1558" s="38">
        <v>2511</v>
      </c>
      <c r="I1558" s="108">
        <v>4.9957930164072357E-2</v>
      </c>
    </row>
    <row r="1559" spans="1:9" x14ac:dyDescent="0.3">
      <c r="A1559" s="35" t="s">
        <v>1210</v>
      </c>
      <c r="B1559" t="s">
        <v>1160</v>
      </c>
      <c r="C1559" s="106">
        <v>6</v>
      </c>
      <c r="E1559" s="38"/>
      <c r="F1559" s="38"/>
      <c r="G1559" s="38">
        <v>0</v>
      </c>
      <c r="H1559" s="38">
        <v>2511</v>
      </c>
      <c r="I1559" s="108" t="e">
        <v>#DIV/0!</v>
      </c>
    </row>
    <row r="1560" spans="1:9" x14ac:dyDescent="0.3">
      <c r="A1560" s="35" t="s">
        <v>1210</v>
      </c>
      <c r="B1560" t="s">
        <v>1160</v>
      </c>
      <c r="C1560" s="106">
        <v>7</v>
      </c>
      <c r="E1560" s="38"/>
      <c r="F1560" s="38"/>
      <c r="G1560" s="38">
        <v>0</v>
      </c>
      <c r="H1560" s="38">
        <v>2511</v>
      </c>
      <c r="I1560" s="108" t="e">
        <v>#DIV/0!</v>
      </c>
    </row>
    <row r="1561" spans="1:9" x14ac:dyDescent="0.3">
      <c r="A1561" s="35" t="s">
        <v>1210</v>
      </c>
      <c r="B1561" t="s">
        <v>1160</v>
      </c>
      <c r="C1561" s="106">
        <v>8</v>
      </c>
      <c r="E1561" s="38"/>
      <c r="F1561" s="38"/>
      <c r="G1561" s="38">
        <v>0</v>
      </c>
      <c r="H1561" s="38">
        <v>2511</v>
      </c>
      <c r="I1561" s="108" t="e">
        <v>#DIV/0!</v>
      </c>
    </row>
    <row r="1562" spans="1:9" x14ac:dyDescent="0.3">
      <c r="A1562" s="35" t="s">
        <v>1210</v>
      </c>
      <c r="B1562" t="s">
        <v>1160</v>
      </c>
      <c r="C1562" s="106">
        <v>9</v>
      </c>
      <c r="E1562" s="38"/>
      <c r="F1562" s="38"/>
      <c r="G1562" s="38">
        <v>0</v>
      </c>
      <c r="H1562" s="38">
        <v>2511</v>
      </c>
      <c r="I1562" s="108" t="e">
        <v>#DIV/0!</v>
      </c>
    </row>
    <row r="1563" spans="1:9" x14ac:dyDescent="0.3">
      <c r="A1563" s="35" t="s">
        <v>1210</v>
      </c>
      <c r="B1563" t="s">
        <v>1160</v>
      </c>
      <c r="C1563" s="106">
        <v>10</v>
      </c>
      <c r="E1563" s="38"/>
      <c r="F1563" s="38"/>
      <c r="G1563" s="38">
        <v>0</v>
      </c>
      <c r="H1563" s="38">
        <v>2511</v>
      </c>
      <c r="I1563" s="108" t="e">
        <v>#DIV/0!</v>
      </c>
    </row>
    <row r="1564" spans="1:9" x14ac:dyDescent="0.3">
      <c r="A1564" s="35" t="s">
        <v>1210</v>
      </c>
      <c r="B1564" t="s">
        <v>1160</v>
      </c>
      <c r="C1564" s="106">
        <v>11</v>
      </c>
      <c r="E1564" s="38"/>
      <c r="F1564" s="38"/>
      <c r="G1564" s="38">
        <v>0</v>
      </c>
      <c r="H1564" s="38">
        <v>2511</v>
      </c>
      <c r="I1564" s="108" t="e">
        <v>#DIV/0!</v>
      </c>
    </row>
    <row r="1565" spans="1:9" x14ac:dyDescent="0.3">
      <c r="A1565" s="35" t="s">
        <v>1210</v>
      </c>
      <c r="B1565" t="s">
        <v>1160</v>
      </c>
      <c r="C1565" s="106">
        <v>12</v>
      </c>
      <c r="E1565" s="38"/>
      <c r="F1565" s="38"/>
      <c r="G1565" s="38">
        <v>0</v>
      </c>
      <c r="H1565" s="38">
        <v>2511</v>
      </c>
    </row>
    <row r="1566" spans="1:9" x14ac:dyDescent="0.3">
      <c r="A1566" s="35" t="s">
        <v>1210</v>
      </c>
      <c r="B1566" t="s">
        <v>1160</v>
      </c>
      <c r="C1566" s="106">
        <v>13</v>
      </c>
      <c r="E1566" s="38"/>
      <c r="F1566" s="38"/>
      <c r="G1566" s="38">
        <v>0</v>
      </c>
      <c r="H1566" s="38">
        <v>2511</v>
      </c>
    </row>
    <row r="1567" spans="1:9" x14ac:dyDescent="0.3">
      <c r="A1567" s="35" t="s">
        <v>1210</v>
      </c>
      <c r="B1567" t="s">
        <v>1160</v>
      </c>
      <c r="C1567" s="106">
        <v>14</v>
      </c>
      <c r="E1567" s="38"/>
      <c r="F1567" s="38"/>
      <c r="G1567" s="38">
        <v>0</v>
      </c>
      <c r="H1567" s="38">
        <v>2511</v>
      </c>
    </row>
    <row r="1568" spans="1:9" x14ac:dyDescent="0.3">
      <c r="A1568" s="35" t="s">
        <v>1210</v>
      </c>
      <c r="B1568" t="s">
        <v>1160</v>
      </c>
      <c r="C1568" s="106">
        <v>15</v>
      </c>
      <c r="E1568" s="38"/>
      <c r="F1568" s="38"/>
      <c r="G1568" s="38">
        <v>0</v>
      </c>
      <c r="H1568" s="38">
        <v>2511</v>
      </c>
    </row>
    <row r="1569" spans="1:9" ht="15" thickBot="1" x14ac:dyDescent="0.35">
      <c r="A1569" s="109" t="s">
        <v>1210</v>
      </c>
      <c r="B1569" s="110" t="s">
        <v>1160</v>
      </c>
      <c r="C1569" s="114">
        <v>16</v>
      </c>
      <c r="D1569" s="110"/>
      <c r="E1569" s="115"/>
      <c r="F1569" s="115"/>
      <c r="G1569" s="115">
        <v>0</v>
      </c>
      <c r="H1569" s="115">
        <v>2511</v>
      </c>
      <c r="I1569" s="110"/>
    </row>
    <row r="1570" spans="1:9" x14ac:dyDescent="0.3">
      <c r="A1570" s="35" t="s">
        <v>1311</v>
      </c>
      <c r="B1570" t="s">
        <v>1207</v>
      </c>
      <c r="C1570" s="106">
        <v>1</v>
      </c>
      <c r="D1570" s="56">
        <v>45931</v>
      </c>
      <c r="E1570" s="38">
        <v>5518</v>
      </c>
      <c r="F1570" s="38">
        <v>5016</v>
      </c>
      <c r="G1570" s="38">
        <v>502</v>
      </c>
      <c r="H1570" s="38">
        <v>502</v>
      </c>
      <c r="I1570" s="108">
        <v>0.10007974481658692</v>
      </c>
    </row>
    <row r="1571" spans="1:9" x14ac:dyDescent="0.3">
      <c r="A1571" s="35" t="s">
        <v>1311</v>
      </c>
      <c r="B1571" t="s">
        <v>1207</v>
      </c>
      <c r="C1571" s="106">
        <v>2</v>
      </c>
      <c r="D1571" s="56">
        <v>45938</v>
      </c>
      <c r="E1571" s="38">
        <v>5618</v>
      </c>
      <c r="F1571" s="38">
        <v>5016</v>
      </c>
      <c r="G1571" s="38">
        <v>602</v>
      </c>
      <c r="H1571" s="38">
        <v>1104</v>
      </c>
      <c r="I1571" s="108">
        <v>0.12001594896331738</v>
      </c>
    </row>
    <row r="1572" spans="1:9" x14ac:dyDescent="0.3">
      <c r="A1572" s="35" t="s">
        <v>1311</v>
      </c>
      <c r="B1572" t="s">
        <v>1207</v>
      </c>
      <c r="C1572" s="106">
        <v>3</v>
      </c>
      <c r="D1572" s="56">
        <v>45945</v>
      </c>
      <c r="E1572" s="38">
        <v>5518</v>
      </c>
      <c r="F1572" s="38">
        <v>5016</v>
      </c>
      <c r="G1572" s="38">
        <v>502</v>
      </c>
      <c r="H1572" s="38">
        <v>1606</v>
      </c>
      <c r="I1572" s="108">
        <v>0.10007974481658692</v>
      </c>
    </row>
    <row r="1573" spans="1:9" x14ac:dyDescent="0.3">
      <c r="A1573" s="35" t="s">
        <v>1311</v>
      </c>
      <c r="B1573" t="s">
        <v>1207</v>
      </c>
      <c r="C1573" s="106">
        <v>4</v>
      </c>
      <c r="D1573" s="56">
        <v>45952</v>
      </c>
      <c r="E1573" s="38">
        <v>5518</v>
      </c>
      <c r="F1573" s="38">
        <v>5016</v>
      </c>
      <c r="G1573" s="38">
        <v>502</v>
      </c>
      <c r="H1573" s="38">
        <v>2108</v>
      </c>
      <c r="I1573" s="108">
        <v>0.10007974481658692</v>
      </c>
    </row>
    <row r="1574" spans="1:9" x14ac:dyDescent="0.3">
      <c r="A1574" s="35" t="s">
        <v>1311</v>
      </c>
      <c r="B1574" t="s">
        <v>1207</v>
      </c>
      <c r="C1574" s="106">
        <v>5</v>
      </c>
      <c r="D1574" s="56">
        <v>45959</v>
      </c>
      <c r="E1574" s="38">
        <v>5538</v>
      </c>
      <c r="F1574" s="38">
        <v>5016</v>
      </c>
      <c r="G1574" s="38">
        <v>522</v>
      </c>
      <c r="H1574" s="38">
        <v>2630</v>
      </c>
      <c r="I1574" s="108">
        <v>0.10406698564593302</v>
      </c>
    </row>
    <row r="1575" spans="1:9" x14ac:dyDescent="0.3">
      <c r="A1575" s="35" t="s">
        <v>1311</v>
      </c>
      <c r="B1575" t="s">
        <v>1207</v>
      </c>
      <c r="C1575" s="106">
        <v>6</v>
      </c>
      <c r="E1575" s="38"/>
      <c r="F1575" s="38"/>
      <c r="G1575" s="38">
        <v>0</v>
      </c>
      <c r="H1575" s="38">
        <v>2630</v>
      </c>
      <c r="I1575" s="108" t="e">
        <v>#DIV/0!</v>
      </c>
    </row>
    <row r="1576" spans="1:9" x14ac:dyDescent="0.3">
      <c r="A1576" s="35" t="s">
        <v>1311</v>
      </c>
      <c r="B1576" t="s">
        <v>1207</v>
      </c>
      <c r="C1576" s="106">
        <v>7</v>
      </c>
      <c r="E1576" s="38"/>
      <c r="F1576" s="38"/>
      <c r="G1576" s="38">
        <v>0</v>
      </c>
      <c r="H1576" s="38">
        <v>2630</v>
      </c>
      <c r="I1576" s="108" t="e">
        <v>#DIV/0!</v>
      </c>
    </row>
    <row r="1577" spans="1:9" x14ac:dyDescent="0.3">
      <c r="A1577" s="35" t="s">
        <v>1311</v>
      </c>
      <c r="B1577" t="s">
        <v>1207</v>
      </c>
      <c r="C1577" s="106">
        <v>8</v>
      </c>
      <c r="E1577" s="38"/>
      <c r="F1577" s="38"/>
      <c r="G1577" s="38">
        <v>0</v>
      </c>
      <c r="H1577" s="38">
        <v>2630</v>
      </c>
      <c r="I1577" s="108" t="e">
        <v>#DIV/0!</v>
      </c>
    </row>
    <row r="1578" spans="1:9" x14ac:dyDescent="0.3">
      <c r="A1578" s="35" t="s">
        <v>1311</v>
      </c>
      <c r="B1578" t="s">
        <v>1207</v>
      </c>
      <c r="C1578" s="106">
        <v>9</v>
      </c>
      <c r="E1578" s="38"/>
      <c r="F1578" s="38"/>
      <c r="G1578" s="38">
        <v>0</v>
      </c>
      <c r="H1578" s="38">
        <v>2630</v>
      </c>
      <c r="I1578" s="108" t="e">
        <v>#DIV/0!</v>
      </c>
    </row>
    <row r="1579" spans="1:9" x14ac:dyDescent="0.3">
      <c r="A1579" s="35" t="s">
        <v>1311</v>
      </c>
      <c r="B1579" t="s">
        <v>1207</v>
      </c>
      <c r="C1579" s="106">
        <v>10</v>
      </c>
      <c r="E1579" s="38"/>
      <c r="F1579" s="38"/>
      <c r="G1579" s="38">
        <v>0</v>
      </c>
      <c r="H1579" s="38">
        <v>2630</v>
      </c>
      <c r="I1579" s="108" t="e">
        <v>#DIV/0!</v>
      </c>
    </row>
    <row r="1580" spans="1:9" x14ac:dyDescent="0.3">
      <c r="A1580" s="35" t="s">
        <v>1311</v>
      </c>
      <c r="B1580" t="s">
        <v>1207</v>
      </c>
      <c r="C1580" s="106">
        <v>11</v>
      </c>
      <c r="E1580" s="38"/>
      <c r="F1580" s="38"/>
      <c r="G1580" s="38">
        <v>0</v>
      </c>
      <c r="H1580" s="38">
        <v>2630</v>
      </c>
      <c r="I1580" s="108" t="e">
        <v>#DIV/0!</v>
      </c>
    </row>
    <row r="1581" spans="1:9" x14ac:dyDescent="0.3">
      <c r="A1581" s="35" t="s">
        <v>1311</v>
      </c>
      <c r="B1581" t="s">
        <v>1207</v>
      </c>
      <c r="C1581" s="106">
        <v>12</v>
      </c>
      <c r="E1581" s="38"/>
      <c r="F1581" s="38"/>
      <c r="G1581" s="38">
        <v>0</v>
      </c>
      <c r="H1581" s="38">
        <v>2630</v>
      </c>
    </row>
    <row r="1582" spans="1:9" x14ac:dyDescent="0.3">
      <c r="A1582" s="35" t="s">
        <v>1311</v>
      </c>
      <c r="B1582" t="s">
        <v>1207</v>
      </c>
      <c r="C1582" s="106">
        <v>13</v>
      </c>
      <c r="E1582" s="38"/>
      <c r="F1582" s="38"/>
      <c r="G1582" s="38">
        <v>0</v>
      </c>
      <c r="H1582" s="38">
        <v>2630</v>
      </c>
    </row>
    <row r="1583" spans="1:9" x14ac:dyDescent="0.3">
      <c r="A1583" s="35" t="s">
        <v>1311</v>
      </c>
      <c r="B1583" t="s">
        <v>1207</v>
      </c>
      <c r="C1583" s="106">
        <v>14</v>
      </c>
      <c r="E1583" s="38"/>
      <c r="F1583" s="38"/>
      <c r="G1583" s="38">
        <v>0</v>
      </c>
      <c r="H1583" s="38">
        <v>2630</v>
      </c>
    </row>
    <row r="1584" spans="1:9" x14ac:dyDescent="0.3">
      <c r="A1584" s="35" t="s">
        <v>1311</v>
      </c>
      <c r="B1584" t="s">
        <v>1207</v>
      </c>
      <c r="C1584" s="106">
        <v>15</v>
      </c>
      <c r="E1584" s="38"/>
      <c r="F1584" s="38"/>
      <c r="G1584" s="38">
        <v>0</v>
      </c>
      <c r="H1584" s="38">
        <v>2630</v>
      </c>
    </row>
    <row r="1585" spans="1:9" ht="15" thickBot="1" x14ac:dyDescent="0.35">
      <c r="A1585" s="109" t="s">
        <v>1311</v>
      </c>
      <c r="B1585" s="110" t="s">
        <v>1207</v>
      </c>
      <c r="C1585" s="114">
        <v>16</v>
      </c>
      <c r="D1585" s="110"/>
      <c r="E1585" s="115"/>
      <c r="F1585" s="115"/>
      <c r="G1585" s="115">
        <v>0</v>
      </c>
      <c r="H1585" s="115">
        <v>2630</v>
      </c>
      <c r="I1585" s="110"/>
    </row>
    <row r="1586" spans="1:9" x14ac:dyDescent="0.3">
      <c r="A1586" s="35" t="s">
        <v>1312</v>
      </c>
      <c r="B1586" t="s">
        <v>1201</v>
      </c>
      <c r="C1586" s="106">
        <v>1</v>
      </c>
      <c r="D1586" s="56">
        <v>45932</v>
      </c>
      <c r="E1586" s="38">
        <v>3455</v>
      </c>
      <c r="F1586" s="38">
        <v>3268</v>
      </c>
      <c r="G1586" s="38">
        <v>187</v>
      </c>
      <c r="H1586" s="38">
        <v>187</v>
      </c>
      <c r="I1586" s="108">
        <v>5.7221542227662181E-2</v>
      </c>
    </row>
    <row r="1587" spans="1:9" x14ac:dyDescent="0.3">
      <c r="A1587" s="35" t="s">
        <v>1312</v>
      </c>
      <c r="B1587" t="s">
        <v>1201</v>
      </c>
      <c r="C1587" s="106">
        <v>2</v>
      </c>
      <c r="D1587" s="56">
        <v>45939</v>
      </c>
      <c r="E1587" s="38">
        <v>3448</v>
      </c>
      <c r="F1587" s="38">
        <v>3268</v>
      </c>
      <c r="G1587" s="38">
        <v>180</v>
      </c>
      <c r="H1587" s="38">
        <v>367</v>
      </c>
      <c r="I1587" s="108">
        <v>5.5079559363525092E-2</v>
      </c>
    </row>
    <row r="1588" spans="1:9" x14ac:dyDescent="0.3">
      <c r="A1588" s="35" t="s">
        <v>1312</v>
      </c>
      <c r="B1588" t="s">
        <v>1201</v>
      </c>
      <c r="C1588" s="106">
        <v>3</v>
      </c>
      <c r="D1588" s="56">
        <v>45946</v>
      </c>
      <c r="E1588" s="38">
        <v>3450</v>
      </c>
      <c r="F1588" s="38">
        <v>3268</v>
      </c>
      <c r="G1588" s="38">
        <v>182</v>
      </c>
      <c r="H1588" s="38">
        <v>549</v>
      </c>
      <c r="I1588" s="108">
        <v>5.5691554467564262E-2</v>
      </c>
    </row>
    <row r="1589" spans="1:9" x14ac:dyDescent="0.3">
      <c r="A1589" s="35" t="s">
        <v>1312</v>
      </c>
      <c r="B1589" t="s">
        <v>1201</v>
      </c>
      <c r="C1589" s="106">
        <v>4</v>
      </c>
      <c r="D1589" s="56">
        <v>45953</v>
      </c>
      <c r="E1589" s="38">
        <v>3450</v>
      </c>
      <c r="F1589" s="38">
        <v>3268</v>
      </c>
      <c r="G1589" s="38">
        <v>182</v>
      </c>
      <c r="H1589" s="38">
        <v>731</v>
      </c>
      <c r="I1589" s="108">
        <v>5.5691554467564262E-2</v>
      </c>
    </row>
    <row r="1590" spans="1:9" x14ac:dyDescent="0.3">
      <c r="A1590" s="35" t="s">
        <v>1312</v>
      </c>
      <c r="B1590" t="s">
        <v>1201</v>
      </c>
      <c r="C1590" s="106">
        <v>5</v>
      </c>
      <c r="D1590" s="56">
        <v>45960</v>
      </c>
      <c r="E1590" s="38">
        <v>3440</v>
      </c>
      <c r="F1590" s="38">
        <v>3269</v>
      </c>
      <c r="G1590" s="38">
        <v>171</v>
      </c>
      <c r="H1590" s="38">
        <v>902</v>
      </c>
      <c r="I1590" s="108">
        <v>5.2309574793514835E-2</v>
      </c>
    </row>
    <row r="1591" spans="1:9" x14ac:dyDescent="0.3">
      <c r="A1591" s="35" t="s">
        <v>1312</v>
      </c>
      <c r="B1591" t="s">
        <v>1201</v>
      </c>
      <c r="C1591" s="106">
        <v>6</v>
      </c>
      <c r="D1591" s="56"/>
      <c r="E1591" s="38"/>
      <c r="F1591" s="38"/>
      <c r="G1591" s="38">
        <v>0</v>
      </c>
      <c r="H1591" s="38">
        <v>902</v>
      </c>
      <c r="I1591" s="108" t="e">
        <v>#DIV/0!</v>
      </c>
    </row>
    <row r="1592" spans="1:9" x14ac:dyDescent="0.3">
      <c r="A1592" s="35" t="s">
        <v>1312</v>
      </c>
      <c r="B1592" t="s">
        <v>1201</v>
      </c>
      <c r="C1592" s="106">
        <v>7</v>
      </c>
      <c r="E1592" s="38"/>
      <c r="F1592" s="38"/>
      <c r="G1592" s="38">
        <v>0</v>
      </c>
      <c r="H1592" s="38">
        <v>902</v>
      </c>
      <c r="I1592" s="108" t="e">
        <v>#DIV/0!</v>
      </c>
    </row>
    <row r="1593" spans="1:9" x14ac:dyDescent="0.3">
      <c r="A1593" s="35" t="s">
        <v>1312</v>
      </c>
      <c r="B1593" t="s">
        <v>1201</v>
      </c>
      <c r="C1593" s="106">
        <v>8</v>
      </c>
      <c r="E1593" s="38"/>
      <c r="F1593" s="38"/>
      <c r="G1593" s="38">
        <v>0</v>
      </c>
      <c r="H1593" s="38">
        <v>902</v>
      </c>
      <c r="I1593" s="108" t="e">
        <v>#DIV/0!</v>
      </c>
    </row>
    <row r="1594" spans="1:9" x14ac:dyDescent="0.3">
      <c r="A1594" s="35" t="s">
        <v>1312</v>
      </c>
      <c r="B1594" t="s">
        <v>1201</v>
      </c>
      <c r="C1594" s="106">
        <v>9</v>
      </c>
      <c r="E1594" s="38"/>
      <c r="F1594" s="38"/>
      <c r="G1594" s="38">
        <v>0</v>
      </c>
      <c r="H1594" s="38">
        <v>902</v>
      </c>
      <c r="I1594" s="108" t="e">
        <v>#DIV/0!</v>
      </c>
    </row>
    <row r="1595" spans="1:9" x14ac:dyDescent="0.3">
      <c r="A1595" s="35" t="s">
        <v>1312</v>
      </c>
      <c r="B1595" t="s">
        <v>1201</v>
      </c>
      <c r="C1595" s="106">
        <v>10</v>
      </c>
      <c r="E1595" s="38"/>
      <c r="F1595" s="38"/>
      <c r="G1595" s="38">
        <v>0</v>
      </c>
      <c r="H1595" s="38">
        <v>902</v>
      </c>
      <c r="I1595" s="108" t="e">
        <v>#DIV/0!</v>
      </c>
    </row>
    <row r="1596" spans="1:9" x14ac:dyDescent="0.3">
      <c r="A1596" s="35" t="s">
        <v>1312</v>
      </c>
      <c r="B1596" t="s">
        <v>1201</v>
      </c>
      <c r="C1596" s="106">
        <v>11</v>
      </c>
      <c r="E1596" s="38"/>
      <c r="F1596" s="38"/>
      <c r="G1596" s="38">
        <v>0</v>
      </c>
      <c r="H1596" s="38">
        <v>902</v>
      </c>
      <c r="I1596" s="108" t="e">
        <v>#DIV/0!</v>
      </c>
    </row>
    <row r="1597" spans="1:9" x14ac:dyDescent="0.3">
      <c r="A1597" s="35" t="s">
        <v>1312</v>
      </c>
      <c r="B1597" t="s">
        <v>1201</v>
      </c>
      <c r="C1597" s="106">
        <v>12</v>
      </c>
      <c r="E1597" s="38"/>
      <c r="F1597" s="38"/>
      <c r="G1597" s="38">
        <v>0</v>
      </c>
      <c r="H1597" s="38">
        <v>902</v>
      </c>
      <c r="I1597" s="108" t="e">
        <v>#DIV/0!</v>
      </c>
    </row>
    <row r="1598" spans="1:9" x14ac:dyDescent="0.3">
      <c r="A1598" s="35" t="s">
        <v>1312</v>
      </c>
      <c r="B1598" t="s">
        <v>1201</v>
      </c>
      <c r="C1598" s="106">
        <v>13</v>
      </c>
      <c r="E1598" s="38"/>
      <c r="F1598" s="38"/>
      <c r="G1598" s="38">
        <v>0</v>
      </c>
      <c r="H1598" s="38">
        <v>902</v>
      </c>
      <c r="I1598" s="108" t="e">
        <v>#DIV/0!</v>
      </c>
    </row>
    <row r="1599" spans="1:9" x14ac:dyDescent="0.3">
      <c r="A1599" s="35" t="s">
        <v>1312</v>
      </c>
      <c r="B1599" t="s">
        <v>1201</v>
      </c>
      <c r="C1599" s="106">
        <v>14</v>
      </c>
      <c r="E1599" s="38"/>
      <c r="F1599" s="38"/>
      <c r="G1599" s="38">
        <v>0</v>
      </c>
      <c r="H1599" s="38">
        <v>902</v>
      </c>
      <c r="I1599" s="108" t="e">
        <v>#DIV/0!</v>
      </c>
    </row>
    <row r="1600" spans="1:9" x14ac:dyDescent="0.3">
      <c r="A1600" s="35" t="s">
        <v>1312</v>
      </c>
      <c r="B1600" t="s">
        <v>1201</v>
      </c>
      <c r="C1600" s="106">
        <v>15</v>
      </c>
      <c r="E1600" s="38"/>
      <c r="F1600" s="38"/>
      <c r="G1600" s="38">
        <v>0</v>
      </c>
      <c r="H1600" s="38">
        <v>902</v>
      </c>
      <c r="I1600" s="108" t="e">
        <v>#DIV/0!</v>
      </c>
    </row>
    <row r="1601" spans="1:9" ht="15" thickBot="1" x14ac:dyDescent="0.35">
      <c r="A1601" s="109" t="s">
        <v>1312</v>
      </c>
      <c r="B1601" s="110" t="s">
        <v>1201</v>
      </c>
      <c r="C1601" s="114">
        <v>16</v>
      </c>
      <c r="D1601" s="110"/>
      <c r="E1601" s="115"/>
      <c r="F1601" s="115"/>
      <c r="G1601" s="115">
        <v>0</v>
      </c>
      <c r="H1601" s="115">
        <v>902</v>
      </c>
      <c r="I1601" s="110"/>
    </row>
    <row r="1602" spans="1:9" x14ac:dyDescent="0.3">
      <c r="A1602" s="35" t="s">
        <v>1411</v>
      </c>
      <c r="B1602" t="s">
        <v>1353</v>
      </c>
      <c r="C1602" s="106">
        <v>1</v>
      </c>
      <c r="D1602" s="56">
        <v>45936</v>
      </c>
      <c r="E1602" s="38">
        <v>4405</v>
      </c>
      <c r="F1602" s="38">
        <v>4181</v>
      </c>
      <c r="G1602" s="38">
        <v>224</v>
      </c>
      <c r="H1602" s="38">
        <v>224</v>
      </c>
      <c r="I1602" s="108">
        <v>5.357569959339871E-2</v>
      </c>
    </row>
    <row r="1603" spans="1:9" x14ac:dyDescent="0.3">
      <c r="A1603" s="35" t="s">
        <v>1411</v>
      </c>
      <c r="B1603" t="s">
        <v>1353</v>
      </c>
      <c r="C1603" s="106">
        <v>2</v>
      </c>
      <c r="D1603" s="56">
        <v>45943</v>
      </c>
      <c r="E1603" s="38">
        <v>4400</v>
      </c>
      <c r="F1603" s="38">
        <v>4180</v>
      </c>
      <c r="G1603" s="38">
        <v>220</v>
      </c>
      <c r="H1603" s="38">
        <v>444</v>
      </c>
      <c r="I1603" s="108">
        <v>5.2631578947368418E-2</v>
      </c>
    </row>
    <row r="1604" spans="1:9" x14ac:dyDescent="0.3">
      <c r="A1604" s="35" t="s">
        <v>1411</v>
      </c>
      <c r="B1604" t="s">
        <v>1353</v>
      </c>
      <c r="C1604" s="106">
        <v>3</v>
      </c>
      <c r="D1604" s="56">
        <v>45950</v>
      </c>
      <c r="E1604" s="38">
        <v>4353</v>
      </c>
      <c r="F1604" s="38">
        <v>4180</v>
      </c>
      <c r="G1604" s="38">
        <v>173</v>
      </c>
      <c r="H1604" s="38">
        <v>617</v>
      </c>
      <c r="I1604" s="108">
        <v>4.1387559808612438E-2</v>
      </c>
    </row>
    <row r="1605" spans="1:9" x14ac:dyDescent="0.3">
      <c r="A1605" s="35" t="s">
        <v>1411</v>
      </c>
      <c r="B1605" t="s">
        <v>1353</v>
      </c>
      <c r="C1605" s="106">
        <v>4</v>
      </c>
      <c r="D1605" s="56">
        <v>45961</v>
      </c>
      <c r="E1605" s="38">
        <v>4360</v>
      </c>
      <c r="F1605" s="38">
        <v>4181</v>
      </c>
      <c r="G1605" s="38">
        <v>179</v>
      </c>
      <c r="H1605" s="38">
        <v>796</v>
      </c>
      <c r="I1605" s="108">
        <v>4.2812724228653433E-2</v>
      </c>
    </row>
    <row r="1606" spans="1:9" x14ac:dyDescent="0.3">
      <c r="A1606" s="35" t="s">
        <v>1411</v>
      </c>
      <c r="B1606" t="s">
        <v>1353</v>
      </c>
      <c r="C1606" s="106">
        <v>5</v>
      </c>
      <c r="E1606" s="38"/>
      <c r="F1606" s="38"/>
      <c r="G1606" s="38">
        <v>0</v>
      </c>
      <c r="H1606" s="38">
        <v>796</v>
      </c>
      <c r="I1606" s="108" t="e">
        <v>#DIV/0!</v>
      </c>
    </row>
    <row r="1607" spans="1:9" x14ac:dyDescent="0.3">
      <c r="A1607" s="35" t="s">
        <v>1411</v>
      </c>
      <c r="B1607" t="s">
        <v>1353</v>
      </c>
      <c r="C1607" s="106">
        <v>6</v>
      </c>
      <c r="E1607" s="38"/>
      <c r="F1607" s="38"/>
      <c r="G1607" s="38">
        <v>0</v>
      </c>
      <c r="H1607" s="38">
        <v>796</v>
      </c>
      <c r="I1607" s="108" t="e">
        <v>#DIV/0!</v>
      </c>
    </row>
    <row r="1608" spans="1:9" x14ac:dyDescent="0.3">
      <c r="A1608" s="35" t="s">
        <v>1411</v>
      </c>
      <c r="B1608" t="s">
        <v>1353</v>
      </c>
      <c r="C1608" s="106">
        <v>7</v>
      </c>
      <c r="E1608" s="38"/>
      <c r="F1608" s="38"/>
      <c r="G1608" s="38">
        <v>0</v>
      </c>
      <c r="H1608" s="38">
        <v>796</v>
      </c>
      <c r="I1608" s="108" t="e">
        <v>#DIV/0!</v>
      </c>
    </row>
    <row r="1609" spans="1:9" x14ac:dyDescent="0.3">
      <c r="A1609" s="35" t="s">
        <v>1411</v>
      </c>
      <c r="B1609" t="s">
        <v>1353</v>
      </c>
      <c r="C1609" s="106">
        <v>8</v>
      </c>
      <c r="E1609" s="38"/>
      <c r="F1609" s="38"/>
      <c r="G1609" s="38">
        <v>0</v>
      </c>
      <c r="H1609" s="38">
        <v>796</v>
      </c>
      <c r="I1609" s="108" t="e">
        <v>#DIV/0!</v>
      </c>
    </row>
    <row r="1610" spans="1:9" x14ac:dyDescent="0.3">
      <c r="A1610" s="35" t="s">
        <v>1411</v>
      </c>
      <c r="B1610" t="s">
        <v>1353</v>
      </c>
      <c r="C1610" s="106">
        <v>9</v>
      </c>
      <c r="E1610" s="38"/>
      <c r="F1610" s="38"/>
      <c r="G1610" s="38">
        <v>0</v>
      </c>
      <c r="H1610" s="38">
        <v>796</v>
      </c>
      <c r="I1610" s="108" t="e">
        <v>#DIV/0!</v>
      </c>
    </row>
    <row r="1611" spans="1:9" x14ac:dyDescent="0.3">
      <c r="A1611" s="35" t="s">
        <v>1411</v>
      </c>
      <c r="B1611" t="s">
        <v>1353</v>
      </c>
      <c r="C1611" s="106">
        <v>10</v>
      </c>
      <c r="E1611" s="38"/>
      <c r="F1611" s="38"/>
      <c r="G1611" s="38">
        <v>0</v>
      </c>
      <c r="H1611" s="38">
        <v>796</v>
      </c>
      <c r="I1611" s="108" t="e">
        <v>#DIV/0!</v>
      </c>
    </row>
    <row r="1612" spans="1:9" x14ac:dyDescent="0.3">
      <c r="A1612" s="35" t="s">
        <v>1411</v>
      </c>
      <c r="B1612" t="s">
        <v>1353</v>
      </c>
      <c r="C1612" s="106">
        <v>11</v>
      </c>
      <c r="E1612" s="38"/>
      <c r="F1612" s="38"/>
      <c r="G1612" s="38">
        <v>0</v>
      </c>
      <c r="H1612" s="38">
        <v>796</v>
      </c>
      <c r="I1612" s="108" t="e">
        <v>#DIV/0!</v>
      </c>
    </row>
    <row r="1613" spans="1:9" x14ac:dyDescent="0.3">
      <c r="A1613" s="35" t="s">
        <v>1411</v>
      </c>
      <c r="B1613" t="s">
        <v>1353</v>
      </c>
      <c r="C1613" s="106">
        <v>12</v>
      </c>
      <c r="E1613" s="38"/>
      <c r="F1613" s="38"/>
      <c r="G1613" s="38">
        <v>0</v>
      </c>
      <c r="H1613" s="38">
        <v>796</v>
      </c>
      <c r="I1613" s="108" t="e">
        <v>#DIV/0!</v>
      </c>
    </row>
    <row r="1614" spans="1:9" x14ac:dyDescent="0.3">
      <c r="A1614" s="35" t="s">
        <v>1411</v>
      </c>
      <c r="B1614" t="s">
        <v>1353</v>
      </c>
      <c r="C1614" s="106">
        <v>13</v>
      </c>
      <c r="E1614" s="38"/>
      <c r="F1614" s="38"/>
      <c r="G1614" s="38">
        <v>0</v>
      </c>
      <c r="H1614" s="38">
        <v>796</v>
      </c>
      <c r="I1614" s="108" t="e">
        <v>#DIV/0!</v>
      </c>
    </row>
    <row r="1615" spans="1:9" x14ac:dyDescent="0.3">
      <c r="A1615" s="35" t="s">
        <v>1411</v>
      </c>
      <c r="B1615" t="s">
        <v>1353</v>
      </c>
      <c r="C1615" s="106">
        <v>14</v>
      </c>
      <c r="E1615" s="38"/>
      <c r="F1615" s="38"/>
      <c r="G1615" s="38">
        <v>0</v>
      </c>
      <c r="H1615" s="38">
        <v>796</v>
      </c>
      <c r="I1615" s="108" t="e">
        <v>#DIV/0!</v>
      </c>
    </row>
    <row r="1616" spans="1:9" x14ac:dyDescent="0.3">
      <c r="A1616" s="35" t="s">
        <v>1411</v>
      </c>
      <c r="B1616" t="s">
        <v>1353</v>
      </c>
      <c r="C1616" s="106">
        <v>15</v>
      </c>
      <c r="E1616" s="38"/>
      <c r="F1616" s="38"/>
      <c r="G1616" s="38">
        <v>0</v>
      </c>
      <c r="H1616" s="38">
        <v>796</v>
      </c>
      <c r="I1616" s="108" t="e">
        <v>#DIV/0!</v>
      </c>
    </row>
    <row r="1617" spans="1:9" ht="15" thickBot="1" x14ac:dyDescent="0.35">
      <c r="A1617" s="109" t="s">
        <v>1411</v>
      </c>
      <c r="B1617" s="110" t="s">
        <v>1353</v>
      </c>
      <c r="C1617" s="114">
        <v>16</v>
      </c>
      <c r="D1617" s="110"/>
      <c r="E1617" s="115"/>
      <c r="F1617" s="115"/>
      <c r="G1617" s="115">
        <v>0</v>
      </c>
      <c r="H1617" s="115">
        <v>796</v>
      </c>
      <c r="I1617" s="110"/>
    </row>
    <row r="1618" spans="1:9" x14ac:dyDescent="0.3">
      <c r="A1618" s="35" t="s">
        <v>1271</v>
      </c>
      <c r="B1618" t="s">
        <v>1159</v>
      </c>
      <c r="C1618" s="106">
        <v>1</v>
      </c>
      <c r="D1618" s="56">
        <v>45931</v>
      </c>
      <c r="E1618" s="38">
        <v>5016</v>
      </c>
      <c r="F1618" s="38">
        <v>4560.04</v>
      </c>
      <c r="G1618" s="38">
        <v>455.96000000000004</v>
      </c>
      <c r="H1618" s="38">
        <v>455.96000000000004</v>
      </c>
      <c r="I1618" s="108">
        <v>9.9990350961833674E-2</v>
      </c>
    </row>
    <row r="1619" spans="1:9" x14ac:dyDescent="0.3">
      <c r="A1619" s="35" t="s">
        <v>1271</v>
      </c>
      <c r="B1619" t="s">
        <v>1159</v>
      </c>
      <c r="C1619" s="106">
        <v>2</v>
      </c>
      <c r="D1619" s="56">
        <v>45938</v>
      </c>
      <c r="E1619" s="38">
        <v>5016</v>
      </c>
      <c r="F1619" s="38">
        <v>4560</v>
      </c>
      <c r="G1619" s="38">
        <v>456</v>
      </c>
      <c r="H1619" s="38">
        <v>911.96</v>
      </c>
      <c r="I1619" s="108">
        <v>0.1</v>
      </c>
    </row>
    <row r="1620" spans="1:9" x14ac:dyDescent="0.3">
      <c r="A1620" s="35" t="s">
        <v>1271</v>
      </c>
      <c r="B1620" t="s">
        <v>1159</v>
      </c>
      <c r="C1620" s="106">
        <v>3</v>
      </c>
      <c r="D1620" s="56">
        <v>45945</v>
      </c>
      <c r="E1620" s="38">
        <v>5016</v>
      </c>
      <c r="F1620" s="38">
        <v>4560</v>
      </c>
      <c r="G1620" s="38">
        <v>456</v>
      </c>
      <c r="H1620" s="38">
        <v>1367.96</v>
      </c>
      <c r="I1620" s="108">
        <v>0.1</v>
      </c>
    </row>
    <row r="1621" spans="1:9" x14ac:dyDescent="0.3">
      <c r="A1621" s="35" t="s">
        <v>1271</v>
      </c>
      <c r="B1621" t="s">
        <v>1159</v>
      </c>
      <c r="C1621" s="106">
        <v>4</v>
      </c>
      <c r="D1621" s="56">
        <v>45952</v>
      </c>
      <c r="E1621" s="38">
        <v>5016</v>
      </c>
      <c r="F1621" s="38">
        <v>4560</v>
      </c>
      <c r="G1621" s="38">
        <v>456</v>
      </c>
      <c r="H1621" s="38">
        <v>1823.96</v>
      </c>
      <c r="I1621" s="108">
        <v>0.1</v>
      </c>
    </row>
    <row r="1622" spans="1:9" x14ac:dyDescent="0.3">
      <c r="A1622" s="35" t="s">
        <v>1271</v>
      </c>
      <c r="B1622" t="s">
        <v>1159</v>
      </c>
      <c r="C1622" s="106">
        <v>5</v>
      </c>
      <c r="D1622" s="56">
        <v>45959</v>
      </c>
      <c r="E1622" s="38">
        <v>5017</v>
      </c>
      <c r="F1622" s="38">
        <v>4560</v>
      </c>
      <c r="G1622" s="38">
        <v>457</v>
      </c>
      <c r="H1622" s="38">
        <v>2280.96</v>
      </c>
      <c r="I1622" s="108">
        <v>0.10021929824561404</v>
      </c>
    </row>
    <row r="1623" spans="1:9" x14ac:dyDescent="0.3">
      <c r="A1623" s="35" t="s">
        <v>1271</v>
      </c>
      <c r="B1623" t="s">
        <v>1159</v>
      </c>
      <c r="C1623" s="106">
        <v>6</v>
      </c>
      <c r="E1623" s="38"/>
      <c r="F1623" s="38"/>
      <c r="G1623" s="38">
        <v>0</v>
      </c>
      <c r="H1623" s="38">
        <v>2280.96</v>
      </c>
      <c r="I1623" s="108" t="e">
        <v>#DIV/0!</v>
      </c>
    </row>
    <row r="1624" spans="1:9" x14ac:dyDescent="0.3">
      <c r="A1624" s="35" t="s">
        <v>1271</v>
      </c>
      <c r="B1624" t="s">
        <v>1159</v>
      </c>
      <c r="C1624" s="106">
        <v>7</v>
      </c>
      <c r="E1624" s="38"/>
      <c r="F1624" s="38"/>
      <c r="G1624" s="38">
        <v>0</v>
      </c>
      <c r="H1624" s="38">
        <v>2280.96</v>
      </c>
      <c r="I1624" s="108" t="e">
        <v>#DIV/0!</v>
      </c>
    </row>
    <row r="1625" spans="1:9" x14ac:dyDescent="0.3">
      <c r="A1625" s="35" t="s">
        <v>1271</v>
      </c>
      <c r="B1625" t="s">
        <v>1159</v>
      </c>
      <c r="C1625" s="106">
        <v>8</v>
      </c>
      <c r="E1625" s="38"/>
      <c r="F1625" s="38"/>
      <c r="G1625" s="38">
        <v>0</v>
      </c>
      <c r="H1625" s="38">
        <v>2280.96</v>
      </c>
    </row>
    <row r="1626" spans="1:9" x14ac:dyDescent="0.3">
      <c r="A1626" s="35" t="s">
        <v>1271</v>
      </c>
      <c r="B1626" t="s">
        <v>1159</v>
      </c>
      <c r="C1626" s="106">
        <v>9</v>
      </c>
      <c r="E1626" s="38"/>
      <c r="F1626" s="38"/>
      <c r="G1626" s="38">
        <v>0</v>
      </c>
      <c r="H1626" s="38">
        <v>2280.96</v>
      </c>
    </row>
    <row r="1627" spans="1:9" x14ac:dyDescent="0.3">
      <c r="A1627" s="35" t="s">
        <v>1271</v>
      </c>
      <c r="B1627" t="s">
        <v>1159</v>
      </c>
      <c r="C1627" s="106">
        <v>10</v>
      </c>
      <c r="E1627" s="38"/>
      <c r="F1627" s="38"/>
      <c r="G1627" s="38">
        <v>0</v>
      </c>
      <c r="H1627" s="38">
        <v>2280.96</v>
      </c>
    </row>
    <row r="1628" spans="1:9" x14ac:dyDescent="0.3">
      <c r="A1628" s="35" t="s">
        <v>1271</v>
      </c>
      <c r="B1628" t="s">
        <v>1159</v>
      </c>
      <c r="C1628" s="106">
        <v>11</v>
      </c>
      <c r="E1628" s="38"/>
      <c r="F1628" s="38"/>
      <c r="G1628" s="38">
        <v>0</v>
      </c>
      <c r="H1628" s="38">
        <v>2280.96</v>
      </c>
    </row>
    <row r="1629" spans="1:9" x14ac:dyDescent="0.3">
      <c r="A1629" s="35" t="s">
        <v>1271</v>
      </c>
      <c r="B1629" t="s">
        <v>1159</v>
      </c>
      <c r="C1629" s="106">
        <v>12</v>
      </c>
      <c r="E1629" s="38"/>
      <c r="F1629" s="38"/>
      <c r="G1629" s="38">
        <v>0</v>
      </c>
      <c r="H1629" s="38">
        <v>2280.96</v>
      </c>
    </row>
    <row r="1630" spans="1:9" x14ac:dyDescent="0.3">
      <c r="A1630" s="35" t="s">
        <v>1271</v>
      </c>
      <c r="B1630" t="s">
        <v>1159</v>
      </c>
      <c r="C1630" s="106">
        <v>13</v>
      </c>
      <c r="E1630" s="38"/>
      <c r="F1630" s="38"/>
      <c r="G1630" s="38">
        <v>0</v>
      </c>
      <c r="H1630" s="38">
        <v>2280.96</v>
      </c>
    </row>
    <row r="1631" spans="1:9" x14ac:dyDescent="0.3">
      <c r="A1631" s="35" t="s">
        <v>1271</v>
      </c>
      <c r="B1631" t="s">
        <v>1159</v>
      </c>
      <c r="C1631" s="106">
        <v>14</v>
      </c>
      <c r="E1631" s="38"/>
      <c r="F1631" s="38"/>
      <c r="G1631" s="38">
        <v>0</v>
      </c>
      <c r="H1631" s="38">
        <v>2280.96</v>
      </c>
    </row>
    <row r="1632" spans="1:9" x14ac:dyDescent="0.3">
      <c r="A1632" s="35" t="s">
        <v>1271</v>
      </c>
      <c r="B1632" t="s">
        <v>1159</v>
      </c>
      <c r="C1632" s="106">
        <v>15</v>
      </c>
      <c r="E1632" s="38"/>
      <c r="F1632" s="38"/>
      <c r="G1632" s="38">
        <v>0</v>
      </c>
      <c r="H1632" s="38">
        <v>2280.96</v>
      </c>
    </row>
    <row r="1633" spans="1:9" ht="15" thickBot="1" x14ac:dyDescent="0.35">
      <c r="A1633" s="109" t="s">
        <v>1271</v>
      </c>
      <c r="B1633" s="110" t="s">
        <v>1159</v>
      </c>
      <c r="C1633" s="114">
        <v>16</v>
      </c>
      <c r="D1633" s="110"/>
      <c r="E1633" s="115"/>
      <c r="F1633" s="115"/>
      <c r="G1633" s="115">
        <v>0</v>
      </c>
      <c r="H1633" s="115">
        <v>2280.96</v>
      </c>
      <c r="I1633" s="110"/>
    </row>
    <row r="1634" spans="1:9" x14ac:dyDescent="0.3">
      <c r="A1634" s="35" t="s">
        <v>1321</v>
      </c>
      <c r="B1634" t="s">
        <v>439</v>
      </c>
      <c r="C1634" s="106">
        <v>1</v>
      </c>
      <c r="D1634" s="56">
        <v>45932</v>
      </c>
      <c r="E1634" s="38">
        <v>4485</v>
      </c>
      <c r="F1634" s="38">
        <v>4180.04</v>
      </c>
      <c r="G1634" s="38">
        <v>304.96000000000004</v>
      </c>
      <c r="H1634" s="38">
        <v>304.96000000000004</v>
      </c>
      <c r="I1634" s="108">
        <v>7.2956239653209076E-2</v>
      </c>
    </row>
    <row r="1635" spans="1:9" x14ac:dyDescent="0.3">
      <c r="A1635" s="35" t="s">
        <v>1321</v>
      </c>
      <c r="B1635" t="s">
        <v>439</v>
      </c>
      <c r="C1635" s="106">
        <v>2</v>
      </c>
      <c r="D1635" s="56">
        <v>45939</v>
      </c>
      <c r="E1635" s="38">
        <v>4485</v>
      </c>
      <c r="F1635" s="38">
        <v>4180.04</v>
      </c>
      <c r="G1635" s="38">
        <v>304.96000000000004</v>
      </c>
      <c r="H1635" s="38">
        <v>609.92000000000007</v>
      </c>
      <c r="I1635" s="108">
        <v>7.2956239653209076E-2</v>
      </c>
    </row>
    <row r="1636" spans="1:9" x14ac:dyDescent="0.3">
      <c r="A1636" s="35" t="s">
        <v>1321</v>
      </c>
      <c r="B1636" t="s">
        <v>439</v>
      </c>
      <c r="C1636" s="106">
        <v>3</v>
      </c>
      <c r="D1636" s="56">
        <v>45946</v>
      </c>
      <c r="E1636" s="38">
        <v>4485</v>
      </c>
      <c r="F1636" s="38">
        <v>4180.04</v>
      </c>
      <c r="G1636" s="38">
        <v>304.96000000000004</v>
      </c>
      <c r="H1636" s="38">
        <v>914.88000000000011</v>
      </c>
      <c r="I1636" s="108">
        <v>7.2956239653209076E-2</v>
      </c>
    </row>
    <row r="1637" spans="1:9" x14ac:dyDescent="0.3">
      <c r="A1637" s="35" t="s">
        <v>1321</v>
      </c>
      <c r="B1637" t="s">
        <v>439</v>
      </c>
      <c r="C1637" s="106">
        <v>4</v>
      </c>
      <c r="D1637" s="56">
        <v>45953</v>
      </c>
      <c r="E1637" s="38">
        <v>4485</v>
      </c>
      <c r="F1637" s="38">
        <v>4180.04</v>
      </c>
      <c r="G1637" s="38">
        <v>304.96000000000004</v>
      </c>
      <c r="H1637" s="38">
        <v>1219.8400000000001</v>
      </c>
      <c r="I1637" s="108">
        <v>7.2956239653209076E-2</v>
      </c>
    </row>
    <row r="1638" spans="1:9" x14ac:dyDescent="0.3">
      <c r="A1638" s="35" t="s">
        <v>1321</v>
      </c>
      <c r="B1638" t="s">
        <v>439</v>
      </c>
      <c r="C1638" s="106">
        <v>5</v>
      </c>
      <c r="D1638" s="56">
        <v>45960</v>
      </c>
      <c r="E1638" s="38">
        <v>4485</v>
      </c>
      <c r="F1638" s="38">
        <v>4180.04</v>
      </c>
      <c r="G1638" s="38">
        <v>304.96000000000004</v>
      </c>
      <c r="H1638" s="38">
        <v>1524.8000000000002</v>
      </c>
      <c r="I1638" s="108">
        <v>7.2956239653209076E-2</v>
      </c>
    </row>
    <row r="1639" spans="1:9" x14ac:dyDescent="0.3">
      <c r="A1639" s="35" t="s">
        <v>1321</v>
      </c>
      <c r="B1639" t="s">
        <v>439</v>
      </c>
      <c r="C1639" s="106">
        <v>6</v>
      </c>
      <c r="E1639" s="38"/>
      <c r="F1639" s="38"/>
      <c r="G1639" s="38">
        <v>0</v>
      </c>
      <c r="H1639" s="38">
        <v>1524.8000000000002</v>
      </c>
      <c r="I1639" s="108" t="e">
        <v>#DIV/0!</v>
      </c>
    </row>
    <row r="1640" spans="1:9" x14ac:dyDescent="0.3">
      <c r="A1640" s="35" t="s">
        <v>1321</v>
      </c>
      <c r="B1640" t="s">
        <v>439</v>
      </c>
      <c r="C1640" s="106">
        <v>7</v>
      </c>
      <c r="E1640" s="38"/>
      <c r="F1640" s="38"/>
      <c r="G1640" s="38">
        <v>0</v>
      </c>
      <c r="H1640" s="38">
        <v>1524.8000000000002</v>
      </c>
      <c r="I1640" s="108" t="e">
        <v>#DIV/0!</v>
      </c>
    </row>
    <row r="1641" spans="1:9" x14ac:dyDescent="0.3">
      <c r="A1641" s="35" t="s">
        <v>1321</v>
      </c>
      <c r="B1641" t="s">
        <v>439</v>
      </c>
      <c r="C1641" s="106">
        <v>8</v>
      </c>
      <c r="E1641" s="38"/>
      <c r="F1641" s="38"/>
      <c r="G1641" s="38">
        <v>0</v>
      </c>
      <c r="H1641" s="38">
        <v>1524.8000000000002</v>
      </c>
      <c r="I1641" s="108" t="e">
        <v>#DIV/0!</v>
      </c>
    </row>
    <row r="1642" spans="1:9" x14ac:dyDescent="0.3">
      <c r="A1642" s="35" t="s">
        <v>1321</v>
      </c>
      <c r="B1642" t="s">
        <v>439</v>
      </c>
      <c r="C1642" s="106">
        <v>9</v>
      </c>
      <c r="E1642" s="38"/>
      <c r="F1642" s="38"/>
      <c r="G1642" s="38">
        <v>0</v>
      </c>
      <c r="H1642" s="38">
        <v>1524.8000000000002</v>
      </c>
      <c r="I1642" s="108" t="e">
        <v>#DIV/0!</v>
      </c>
    </row>
    <row r="1643" spans="1:9" x14ac:dyDescent="0.3">
      <c r="A1643" s="35" t="s">
        <v>1321</v>
      </c>
      <c r="B1643" t="s">
        <v>439</v>
      </c>
      <c r="C1643" s="106">
        <v>10</v>
      </c>
      <c r="E1643" s="38"/>
      <c r="F1643" s="38"/>
      <c r="G1643" s="38">
        <v>0</v>
      </c>
      <c r="H1643" s="38">
        <v>1524.8000000000002</v>
      </c>
      <c r="I1643" s="108" t="e">
        <v>#DIV/0!</v>
      </c>
    </row>
    <row r="1644" spans="1:9" x14ac:dyDescent="0.3">
      <c r="A1644" s="35" t="s">
        <v>1321</v>
      </c>
      <c r="B1644" t="s">
        <v>439</v>
      </c>
      <c r="C1644" s="106">
        <v>11</v>
      </c>
      <c r="E1644" s="38"/>
      <c r="F1644" s="38"/>
      <c r="G1644" s="38">
        <v>0</v>
      </c>
      <c r="H1644" s="38">
        <v>1524.8000000000002</v>
      </c>
      <c r="I1644" s="108" t="e">
        <v>#DIV/0!</v>
      </c>
    </row>
    <row r="1645" spans="1:9" x14ac:dyDescent="0.3">
      <c r="A1645" s="35" t="s">
        <v>1321</v>
      </c>
      <c r="B1645" t="s">
        <v>439</v>
      </c>
      <c r="C1645" s="106">
        <v>12</v>
      </c>
      <c r="E1645" s="38"/>
      <c r="F1645" s="38"/>
      <c r="G1645" s="38">
        <v>0</v>
      </c>
      <c r="H1645" s="38">
        <v>1524.8000000000002</v>
      </c>
      <c r="I1645" s="108" t="e">
        <v>#DIV/0!</v>
      </c>
    </row>
    <row r="1646" spans="1:9" x14ac:dyDescent="0.3">
      <c r="A1646" s="35" t="s">
        <v>1321</v>
      </c>
      <c r="B1646" t="s">
        <v>439</v>
      </c>
      <c r="C1646" s="106">
        <v>13</v>
      </c>
      <c r="E1646" s="38"/>
      <c r="F1646" s="38"/>
      <c r="G1646" s="38">
        <v>0</v>
      </c>
      <c r="H1646" s="38">
        <v>1524.8000000000002</v>
      </c>
      <c r="I1646" s="108" t="e">
        <v>#DIV/0!</v>
      </c>
    </row>
    <row r="1647" spans="1:9" x14ac:dyDescent="0.3">
      <c r="A1647" s="35" t="s">
        <v>1321</v>
      </c>
      <c r="B1647" t="s">
        <v>439</v>
      </c>
      <c r="C1647" s="106">
        <v>14</v>
      </c>
      <c r="E1647" s="38"/>
      <c r="F1647" s="38"/>
      <c r="G1647" s="38">
        <v>0</v>
      </c>
      <c r="H1647" s="38">
        <v>1524.8000000000002</v>
      </c>
      <c r="I1647" s="108" t="e">
        <v>#DIV/0!</v>
      </c>
    </row>
    <row r="1648" spans="1:9" x14ac:dyDescent="0.3">
      <c r="A1648" s="35" t="s">
        <v>1321</v>
      </c>
      <c r="B1648" t="s">
        <v>439</v>
      </c>
      <c r="C1648" s="106">
        <v>15</v>
      </c>
      <c r="E1648" s="38"/>
      <c r="F1648" s="38"/>
      <c r="G1648" s="38">
        <v>0</v>
      </c>
      <c r="H1648" s="38">
        <v>1524.8000000000002</v>
      </c>
      <c r="I1648" s="108" t="e">
        <v>#DIV/0!</v>
      </c>
    </row>
    <row r="1649" spans="1:9" ht="15" thickBot="1" x14ac:dyDescent="0.35">
      <c r="A1649" s="109" t="s">
        <v>1321</v>
      </c>
      <c r="B1649" s="110" t="s">
        <v>439</v>
      </c>
      <c r="C1649" s="114">
        <v>16</v>
      </c>
      <c r="D1649" s="110"/>
      <c r="E1649" s="115"/>
      <c r="F1649" s="115"/>
      <c r="G1649" s="115">
        <v>0</v>
      </c>
      <c r="H1649" s="115">
        <v>1524.8000000000002</v>
      </c>
      <c r="I1649" s="110"/>
    </row>
    <row r="1650" spans="1:9" x14ac:dyDescent="0.3">
      <c r="A1650" s="35" t="s">
        <v>1323</v>
      </c>
      <c r="B1650" t="s">
        <v>1324</v>
      </c>
      <c r="C1650" s="106">
        <v>1</v>
      </c>
      <c r="D1650" s="56">
        <v>45932</v>
      </c>
      <c r="E1650" s="38">
        <v>9144</v>
      </c>
      <c r="F1650" s="38">
        <v>8512</v>
      </c>
      <c r="G1650" s="38">
        <v>632</v>
      </c>
      <c r="H1650" s="38">
        <v>632</v>
      </c>
      <c r="I1650" s="108">
        <v>7.4248120300751883E-2</v>
      </c>
    </row>
    <row r="1651" spans="1:9" x14ac:dyDescent="0.3">
      <c r="A1651" s="35" t="s">
        <v>1323</v>
      </c>
      <c r="B1651" t="s">
        <v>1324</v>
      </c>
      <c r="C1651" s="106">
        <v>2</v>
      </c>
      <c r="D1651" s="56">
        <v>45939</v>
      </c>
      <c r="E1651" s="38">
        <v>9154</v>
      </c>
      <c r="F1651" s="38">
        <v>8512</v>
      </c>
      <c r="G1651" s="38">
        <v>642</v>
      </c>
      <c r="H1651" s="38">
        <v>1274</v>
      </c>
      <c r="I1651" s="108">
        <v>7.5422932330827072E-2</v>
      </c>
    </row>
    <row r="1652" spans="1:9" x14ac:dyDescent="0.3">
      <c r="A1652" s="35" t="s">
        <v>1323</v>
      </c>
      <c r="B1652" t="s">
        <v>1324</v>
      </c>
      <c r="C1652" s="106">
        <v>3</v>
      </c>
      <c r="D1652" s="56">
        <v>45946</v>
      </c>
      <c r="E1652" s="38">
        <v>9178</v>
      </c>
      <c r="F1652" s="38">
        <v>8512</v>
      </c>
      <c r="G1652" s="38">
        <v>666</v>
      </c>
      <c r="H1652" s="38">
        <v>1940</v>
      </c>
      <c r="I1652" s="108">
        <v>7.8242481203007516E-2</v>
      </c>
    </row>
    <row r="1653" spans="1:9" x14ac:dyDescent="0.3">
      <c r="A1653" s="35" t="s">
        <v>1323</v>
      </c>
      <c r="B1653" t="s">
        <v>1324</v>
      </c>
      <c r="C1653" s="106">
        <v>4</v>
      </c>
      <c r="D1653" s="56">
        <v>45953</v>
      </c>
      <c r="E1653" s="38">
        <v>9178</v>
      </c>
      <c r="F1653" s="38">
        <v>8512</v>
      </c>
      <c r="G1653" s="38">
        <v>666</v>
      </c>
      <c r="H1653" s="38">
        <v>2606</v>
      </c>
      <c r="I1653" s="108">
        <v>7.8242481203007516E-2</v>
      </c>
    </row>
    <row r="1654" spans="1:9" x14ac:dyDescent="0.3">
      <c r="A1654" s="35" t="s">
        <v>1323</v>
      </c>
      <c r="B1654" t="s">
        <v>1324</v>
      </c>
      <c r="C1654" s="106">
        <v>5</v>
      </c>
      <c r="D1654" s="56">
        <v>45960</v>
      </c>
      <c r="E1654" s="38">
        <v>9178</v>
      </c>
      <c r="F1654" s="38">
        <v>8512</v>
      </c>
      <c r="G1654" s="38">
        <v>666</v>
      </c>
      <c r="H1654" s="38">
        <v>3272</v>
      </c>
      <c r="I1654" s="108">
        <v>7.8242481203007516E-2</v>
      </c>
    </row>
    <row r="1655" spans="1:9" x14ac:dyDescent="0.3">
      <c r="A1655" s="35" t="s">
        <v>1323</v>
      </c>
      <c r="B1655" t="s">
        <v>1324</v>
      </c>
      <c r="C1655" s="106">
        <v>6</v>
      </c>
      <c r="E1655" s="38"/>
      <c r="F1655" s="38"/>
      <c r="G1655" s="38">
        <v>0</v>
      </c>
      <c r="H1655" s="38">
        <v>3272</v>
      </c>
      <c r="I1655" s="108" t="e">
        <v>#DIV/0!</v>
      </c>
    </row>
    <row r="1656" spans="1:9" x14ac:dyDescent="0.3">
      <c r="A1656" s="35" t="s">
        <v>1323</v>
      </c>
      <c r="B1656" t="s">
        <v>1324</v>
      </c>
      <c r="C1656" s="106">
        <v>7</v>
      </c>
      <c r="E1656" s="38"/>
      <c r="F1656" s="38"/>
      <c r="G1656" s="38">
        <v>0</v>
      </c>
      <c r="H1656" s="38">
        <v>3272</v>
      </c>
      <c r="I1656" s="108" t="e">
        <v>#DIV/0!</v>
      </c>
    </row>
    <row r="1657" spans="1:9" x14ac:dyDescent="0.3">
      <c r="A1657" s="35" t="s">
        <v>1323</v>
      </c>
      <c r="B1657" t="s">
        <v>1324</v>
      </c>
      <c r="C1657" s="106">
        <v>8</v>
      </c>
      <c r="E1657" s="38"/>
      <c r="F1657" s="38"/>
      <c r="G1657" s="38">
        <v>0</v>
      </c>
      <c r="H1657" s="38">
        <v>3272</v>
      </c>
      <c r="I1657" s="108" t="e">
        <v>#DIV/0!</v>
      </c>
    </row>
    <row r="1658" spans="1:9" x14ac:dyDescent="0.3">
      <c r="A1658" s="35" t="s">
        <v>1323</v>
      </c>
      <c r="B1658" t="s">
        <v>1324</v>
      </c>
      <c r="C1658" s="106">
        <v>9</v>
      </c>
      <c r="E1658" s="38"/>
      <c r="F1658" s="38"/>
      <c r="G1658" s="38">
        <v>0</v>
      </c>
      <c r="H1658" s="38">
        <v>3272</v>
      </c>
      <c r="I1658" s="108" t="e">
        <v>#DIV/0!</v>
      </c>
    </row>
    <row r="1659" spans="1:9" x14ac:dyDescent="0.3">
      <c r="A1659" s="35" t="s">
        <v>1323</v>
      </c>
      <c r="B1659" t="s">
        <v>1324</v>
      </c>
      <c r="C1659" s="106">
        <v>10</v>
      </c>
      <c r="E1659" s="38"/>
      <c r="F1659" s="38"/>
      <c r="G1659" s="38">
        <v>0</v>
      </c>
      <c r="H1659" s="38">
        <v>3272</v>
      </c>
      <c r="I1659" s="108" t="e">
        <v>#DIV/0!</v>
      </c>
    </row>
    <row r="1660" spans="1:9" x14ac:dyDescent="0.3">
      <c r="A1660" s="35" t="s">
        <v>1323</v>
      </c>
      <c r="B1660" t="s">
        <v>1324</v>
      </c>
      <c r="C1660" s="106">
        <v>11</v>
      </c>
      <c r="E1660" s="38"/>
      <c r="F1660" s="38"/>
      <c r="G1660" s="38">
        <v>0</v>
      </c>
      <c r="H1660" s="38">
        <v>3272</v>
      </c>
      <c r="I1660" s="108" t="e">
        <v>#DIV/0!</v>
      </c>
    </row>
    <row r="1661" spans="1:9" x14ac:dyDescent="0.3">
      <c r="A1661" s="35" t="s">
        <v>1323</v>
      </c>
      <c r="B1661" t="s">
        <v>1324</v>
      </c>
      <c r="C1661" s="106">
        <v>12</v>
      </c>
      <c r="E1661" s="38"/>
      <c r="F1661" s="38"/>
      <c r="G1661" s="38">
        <v>0</v>
      </c>
      <c r="H1661" s="38">
        <v>3272</v>
      </c>
      <c r="I1661" s="108" t="e">
        <v>#DIV/0!</v>
      </c>
    </row>
    <row r="1662" spans="1:9" x14ac:dyDescent="0.3">
      <c r="A1662" s="35" t="s">
        <v>1323</v>
      </c>
      <c r="B1662" t="s">
        <v>1324</v>
      </c>
      <c r="C1662" s="106">
        <v>13</v>
      </c>
      <c r="E1662" s="38"/>
      <c r="F1662" s="38"/>
      <c r="G1662" s="38">
        <v>0</v>
      </c>
      <c r="H1662" s="38">
        <v>3272</v>
      </c>
      <c r="I1662" s="108" t="e">
        <v>#DIV/0!</v>
      </c>
    </row>
    <row r="1663" spans="1:9" x14ac:dyDescent="0.3">
      <c r="A1663" s="35" t="s">
        <v>1323</v>
      </c>
      <c r="B1663" t="s">
        <v>1324</v>
      </c>
      <c r="C1663" s="106">
        <v>14</v>
      </c>
      <c r="E1663" s="38"/>
      <c r="F1663" s="38"/>
      <c r="G1663" s="38">
        <v>0</v>
      </c>
      <c r="H1663" s="38">
        <v>3272</v>
      </c>
      <c r="I1663" s="108" t="e">
        <v>#DIV/0!</v>
      </c>
    </row>
    <row r="1664" spans="1:9" x14ac:dyDescent="0.3">
      <c r="A1664" s="35" t="s">
        <v>1323</v>
      </c>
      <c r="B1664" t="s">
        <v>1324</v>
      </c>
      <c r="C1664" s="106">
        <v>15</v>
      </c>
      <c r="E1664" s="38"/>
      <c r="F1664" s="38"/>
      <c r="G1664" s="38">
        <v>0</v>
      </c>
      <c r="H1664" s="38">
        <v>3272</v>
      </c>
      <c r="I1664" s="108" t="e">
        <v>#DIV/0!</v>
      </c>
    </row>
    <row r="1665" spans="1:9" ht="15" thickBot="1" x14ac:dyDescent="0.35">
      <c r="A1665" s="109" t="s">
        <v>1323</v>
      </c>
      <c r="B1665" s="110" t="s">
        <v>1324</v>
      </c>
      <c r="C1665" s="114">
        <v>16</v>
      </c>
      <c r="D1665" s="110"/>
      <c r="E1665" s="115"/>
      <c r="F1665" s="115"/>
      <c r="G1665" s="115">
        <v>0</v>
      </c>
      <c r="H1665" s="115">
        <v>3272</v>
      </c>
      <c r="I1665" s="110"/>
    </row>
    <row r="1666" spans="1:9" x14ac:dyDescent="0.3">
      <c r="A1666" s="35" t="s">
        <v>1386</v>
      </c>
      <c r="B1666" t="s">
        <v>1355</v>
      </c>
      <c r="C1666" s="106">
        <v>1</v>
      </c>
      <c r="D1666" s="56">
        <v>45936</v>
      </c>
      <c r="E1666" s="38">
        <v>9530</v>
      </c>
      <c r="F1666" s="38">
        <v>8664</v>
      </c>
      <c r="G1666" s="38">
        <v>866</v>
      </c>
      <c r="H1666" s="38">
        <v>866</v>
      </c>
      <c r="I1666" s="108">
        <v>9.9953831948291785E-2</v>
      </c>
    </row>
    <row r="1667" spans="1:9" x14ac:dyDescent="0.3">
      <c r="A1667" s="35" t="s">
        <v>1386</v>
      </c>
      <c r="B1667" t="s">
        <v>1355</v>
      </c>
      <c r="C1667" s="106">
        <v>2</v>
      </c>
      <c r="D1667" s="56">
        <v>45943</v>
      </c>
      <c r="E1667" s="38">
        <v>9530</v>
      </c>
      <c r="F1667" s="38">
        <v>8644</v>
      </c>
      <c r="G1667" s="38">
        <v>886</v>
      </c>
      <c r="H1667" s="38">
        <v>1752</v>
      </c>
      <c r="I1667" s="108">
        <v>0.1024988431281814</v>
      </c>
    </row>
    <row r="1668" spans="1:9" x14ac:dyDescent="0.3">
      <c r="A1668" s="35" t="s">
        <v>1386</v>
      </c>
      <c r="B1668" t="s">
        <v>1355</v>
      </c>
      <c r="C1668" s="106">
        <v>3</v>
      </c>
      <c r="D1668" s="56">
        <v>45950</v>
      </c>
      <c r="E1668" s="38">
        <v>9530</v>
      </c>
      <c r="F1668" s="38">
        <v>8664</v>
      </c>
      <c r="G1668" s="38">
        <v>866</v>
      </c>
      <c r="H1668" s="38">
        <v>2618</v>
      </c>
      <c r="I1668" s="108">
        <v>9.9953831948291785E-2</v>
      </c>
    </row>
    <row r="1669" spans="1:9" x14ac:dyDescent="0.3">
      <c r="A1669" s="35" t="s">
        <v>1386</v>
      </c>
      <c r="B1669" t="s">
        <v>1355</v>
      </c>
      <c r="C1669" s="106">
        <v>4</v>
      </c>
      <c r="D1669" s="56">
        <v>45953</v>
      </c>
      <c r="E1669" s="38">
        <v>9530</v>
      </c>
      <c r="F1669" s="38">
        <v>8664</v>
      </c>
      <c r="G1669" s="38">
        <v>866</v>
      </c>
      <c r="H1669" s="38">
        <v>3484</v>
      </c>
      <c r="I1669" s="108">
        <v>9.9953831948291785E-2</v>
      </c>
    </row>
    <row r="1670" spans="1:9" x14ac:dyDescent="0.3">
      <c r="A1670" s="35" t="s">
        <v>1386</v>
      </c>
      <c r="B1670" t="s">
        <v>1355</v>
      </c>
      <c r="C1670" s="106">
        <v>5</v>
      </c>
      <c r="E1670" s="38"/>
      <c r="F1670" s="38"/>
      <c r="G1670" s="38">
        <v>0</v>
      </c>
      <c r="H1670" s="38">
        <v>3484</v>
      </c>
      <c r="I1670" s="108" t="e">
        <v>#DIV/0!</v>
      </c>
    </row>
    <row r="1671" spans="1:9" x14ac:dyDescent="0.3">
      <c r="A1671" s="35" t="s">
        <v>1386</v>
      </c>
      <c r="B1671" t="s">
        <v>1355</v>
      </c>
      <c r="C1671" s="106">
        <v>6</v>
      </c>
      <c r="E1671" s="38"/>
      <c r="F1671" s="38"/>
      <c r="G1671" s="38">
        <v>0</v>
      </c>
      <c r="H1671" s="38">
        <v>3484</v>
      </c>
      <c r="I1671" s="108" t="e">
        <v>#DIV/0!</v>
      </c>
    </row>
    <row r="1672" spans="1:9" x14ac:dyDescent="0.3">
      <c r="A1672" s="35" t="s">
        <v>1386</v>
      </c>
      <c r="B1672" t="s">
        <v>1355</v>
      </c>
      <c r="C1672" s="106">
        <v>7</v>
      </c>
      <c r="E1672" s="38"/>
      <c r="F1672" s="38"/>
      <c r="G1672" s="38">
        <v>0</v>
      </c>
      <c r="H1672" s="38">
        <v>3484</v>
      </c>
    </row>
    <row r="1673" spans="1:9" x14ac:dyDescent="0.3">
      <c r="A1673" s="35" t="s">
        <v>1386</v>
      </c>
      <c r="B1673" t="s">
        <v>1355</v>
      </c>
      <c r="C1673" s="106">
        <v>8</v>
      </c>
      <c r="E1673" s="38"/>
      <c r="F1673" s="38"/>
      <c r="G1673" s="38">
        <v>0</v>
      </c>
      <c r="H1673" s="38">
        <v>3484</v>
      </c>
    </row>
    <row r="1674" spans="1:9" x14ac:dyDescent="0.3">
      <c r="A1674" s="35" t="s">
        <v>1386</v>
      </c>
      <c r="B1674" t="s">
        <v>1355</v>
      </c>
      <c r="C1674" s="106">
        <v>9</v>
      </c>
      <c r="E1674" s="38"/>
      <c r="F1674" s="38"/>
      <c r="G1674" s="38">
        <v>0</v>
      </c>
      <c r="H1674" s="38">
        <v>3484</v>
      </c>
    </row>
    <row r="1675" spans="1:9" x14ac:dyDescent="0.3">
      <c r="A1675" s="35" t="s">
        <v>1386</v>
      </c>
      <c r="B1675" t="s">
        <v>1355</v>
      </c>
      <c r="C1675" s="106">
        <v>10</v>
      </c>
      <c r="E1675" s="38"/>
      <c r="F1675" s="38"/>
      <c r="G1675" s="38">
        <v>0</v>
      </c>
      <c r="H1675" s="38">
        <v>3484</v>
      </c>
    </row>
    <row r="1676" spans="1:9" x14ac:dyDescent="0.3">
      <c r="A1676" s="35" t="s">
        <v>1386</v>
      </c>
      <c r="B1676" t="s">
        <v>1355</v>
      </c>
      <c r="C1676" s="106">
        <v>11</v>
      </c>
      <c r="E1676" s="38"/>
      <c r="F1676" s="38"/>
      <c r="G1676" s="38">
        <v>0</v>
      </c>
      <c r="H1676" s="38">
        <v>3484</v>
      </c>
    </row>
    <row r="1677" spans="1:9" x14ac:dyDescent="0.3">
      <c r="A1677" s="35" t="s">
        <v>1386</v>
      </c>
      <c r="B1677" t="s">
        <v>1355</v>
      </c>
      <c r="C1677" s="106">
        <v>12</v>
      </c>
      <c r="E1677" s="38"/>
      <c r="F1677" s="38"/>
      <c r="G1677" s="38">
        <v>0</v>
      </c>
      <c r="H1677" s="38">
        <v>3484</v>
      </c>
    </row>
    <row r="1678" spans="1:9" x14ac:dyDescent="0.3">
      <c r="A1678" s="35" t="s">
        <v>1386</v>
      </c>
      <c r="B1678" t="s">
        <v>1355</v>
      </c>
      <c r="C1678" s="106">
        <v>13</v>
      </c>
      <c r="E1678" s="38"/>
      <c r="F1678" s="38"/>
      <c r="G1678" s="38">
        <v>0</v>
      </c>
      <c r="H1678" s="38">
        <v>3484</v>
      </c>
    </row>
    <row r="1679" spans="1:9" x14ac:dyDescent="0.3">
      <c r="A1679" s="35" t="s">
        <v>1386</v>
      </c>
      <c r="B1679" t="s">
        <v>1355</v>
      </c>
      <c r="C1679" s="106">
        <v>14</v>
      </c>
      <c r="E1679" s="38"/>
      <c r="F1679" s="38"/>
      <c r="G1679" s="38">
        <v>0</v>
      </c>
      <c r="H1679" s="38">
        <v>3484</v>
      </c>
    </row>
    <row r="1680" spans="1:9" x14ac:dyDescent="0.3">
      <c r="A1680" s="35" t="s">
        <v>1386</v>
      </c>
      <c r="B1680" t="s">
        <v>1355</v>
      </c>
      <c r="C1680" s="106">
        <v>15</v>
      </c>
      <c r="E1680" s="38"/>
      <c r="F1680" s="38"/>
      <c r="G1680" s="38">
        <v>0</v>
      </c>
      <c r="H1680" s="38">
        <v>3484</v>
      </c>
    </row>
    <row r="1681" spans="1:9" ht="15" thickBot="1" x14ac:dyDescent="0.35">
      <c r="A1681" s="109" t="s">
        <v>1386</v>
      </c>
      <c r="B1681" s="110" t="s">
        <v>1355</v>
      </c>
      <c r="C1681" s="114">
        <v>16</v>
      </c>
      <c r="D1681" s="110"/>
      <c r="E1681" s="115"/>
      <c r="F1681" s="115"/>
      <c r="G1681" s="115">
        <v>0</v>
      </c>
      <c r="H1681" s="115">
        <v>3484</v>
      </c>
      <c r="I1681" s="110"/>
    </row>
    <row r="1682" spans="1:9" x14ac:dyDescent="0.3">
      <c r="A1682" s="35" t="s">
        <v>1636</v>
      </c>
      <c r="B1682" t="s">
        <v>186</v>
      </c>
      <c r="C1682" s="106">
        <v>1</v>
      </c>
      <c r="D1682" s="56">
        <v>45947</v>
      </c>
      <c r="E1682" s="38">
        <v>4309</v>
      </c>
      <c r="F1682" s="38">
        <v>4104</v>
      </c>
      <c r="G1682" s="38">
        <v>205</v>
      </c>
      <c r="H1682" s="38">
        <v>205</v>
      </c>
      <c r="I1682" s="108">
        <v>4.9951267056530212E-2</v>
      </c>
    </row>
    <row r="1683" spans="1:9" x14ac:dyDescent="0.3">
      <c r="A1683" s="35" t="s">
        <v>1636</v>
      </c>
      <c r="B1683" t="s">
        <v>186</v>
      </c>
      <c r="C1683" s="106">
        <v>2</v>
      </c>
      <c r="D1683" s="56">
        <v>45954</v>
      </c>
      <c r="E1683" s="38">
        <v>4309</v>
      </c>
      <c r="F1683" s="38">
        <v>4104</v>
      </c>
      <c r="G1683" s="38">
        <v>205</v>
      </c>
      <c r="H1683" s="38">
        <v>410</v>
      </c>
      <c r="I1683" s="108">
        <v>4.9951267056530212E-2</v>
      </c>
    </row>
    <row r="1684" spans="1:9" x14ac:dyDescent="0.3">
      <c r="A1684" s="35" t="s">
        <v>1636</v>
      </c>
      <c r="B1684" t="s">
        <v>186</v>
      </c>
      <c r="C1684" s="106">
        <v>3</v>
      </c>
      <c r="D1684" s="56">
        <v>45961</v>
      </c>
      <c r="E1684" s="38">
        <v>4309</v>
      </c>
      <c r="F1684" s="38">
        <v>4104</v>
      </c>
      <c r="G1684" s="38">
        <v>205</v>
      </c>
      <c r="H1684" s="38">
        <v>615</v>
      </c>
      <c r="I1684" s="108">
        <v>4.9951267056530212E-2</v>
      </c>
    </row>
    <row r="1685" spans="1:9" x14ac:dyDescent="0.3">
      <c r="A1685" s="35" t="s">
        <v>1636</v>
      </c>
      <c r="B1685" t="s">
        <v>186</v>
      </c>
      <c r="C1685" s="106">
        <v>4</v>
      </c>
      <c r="E1685" s="38"/>
      <c r="F1685" s="38"/>
      <c r="G1685" s="38">
        <v>0</v>
      </c>
      <c r="H1685" s="38">
        <v>615</v>
      </c>
      <c r="I1685" s="108" t="e">
        <v>#DIV/0!</v>
      </c>
    </row>
    <row r="1686" spans="1:9" x14ac:dyDescent="0.3">
      <c r="A1686" s="35" t="s">
        <v>1636</v>
      </c>
      <c r="B1686" t="s">
        <v>186</v>
      </c>
      <c r="C1686" s="106">
        <v>5</v>
      </c>
      <c r="E1686" s="38"/>
      <c r="F1686" s="38"/>
      <c r="G1686" s="38">
        <v>0</v>
      </c>
      <c r="H1686" s="38">
        <v>615</v>
      </c>
      <c r="I1686" s="108" t="e">
        <v>#DIV/0!</v>
      </c>
    </row>
    <row r="1687" spans="1:9" x14ac:dyDescent="0.3">
      <c r="A1687" s="35" t="s">
        <v>1636</v>
      </c>
      <c r="B1687" t="s">
        <v>186</v>
      </c>
      <c r="C1687" s="106">
        <v>6</v>
      </c>
      <c r="E1687" s="38"/>
      <c r="F1687" s="38"/>
      <c r="G1687" s="38">
        <v>0</v>
      </c>
      <c r="H1687" s="38">
        <v>615</v>
      </c>
      <c r="I1687" s="108" t="e">
        <v>#DIV/0!</v>
      </c>
    </row>
    <row r="1688" spans="1:9" x14ac:dyDescent="0.3">
      <c r="A1688" s="35" t="s">
        <v>1636</v>
      </c>
      <c r="B1688" t="s">
        <v>186</v>
      </c>
      <c r="C1688" s="106">
        <v>7</v>
      </c>
      <c r="E1688" s="38"/>
      <c r="F1688" s="38"/>
      <c r="G1688" s="38">
        <v>0</v>
      </c>
      <c r="H1688" s="38">
        <v>615</v>
      </c>
      <c r="I1688" s="108" t="e">
        <v>#DIV/0!</v>
      </c>
    </row>
    <row r="1689" spans="1:9" x14ac:dyDescent="0.3">
      <c r="A1689" s="35" t="s">
        <v>1636</v>
      </c>
      <c r="B1689" t="s">
        <v>186</v>
      </c>
      <c r="C1689" s="106">
        <v>8</v>
      </c>
      <c r="E1689" s="38"/>
      <c r="F1689" s="38"/>
      <c r="G1689" s="38">
        <v>0</v>
      </c>
      <c r="H1689" s="38">
        <v>615</v>
      </c>
      <c r="I1689" s="108" t="e">
        <v>#DIV/0!</v>
      </c>
    </row>
    <row r="1690" spans="1:9" x14ac:dyDescent="0.3">
      <c r="A1690" s="35" t="s">
        <v>1636</v>
      </c>
      <c r="B1690" t="s">
        <v>186</v>
      </c>
      <c r="C1690" s="106">
        <v>9</v>
      </c>
      <c r="E1690" s="38"/>
      <c r="F1690" s="38"/>
      <c r="G1690" s="38">
        <v>0</v>
      </c>
      <c r="H1690" s="38">
        <v>615</v>
      </c>
      <c r="I1690" s="108" t="e">
        <v>#DIV/0!</v>
      </c>
    </row>
    <row r="1691" spans="1:9" x14ac:dyDescent="0.3">
      <c r="A1691" s="35" t="s">
        <v>1636</v>
      </c>
      <c r="B1691" t="s">
        <v>186</v>
      </c>
      <c r="C1691" s="106">
        <v>10</v>
      </c>
      <c r="E1691" s="38"/>
      <c r="F1691" s="38"/>
      <c r="G1691" s="38">
        <v>0</v>
      </c>
      <c r="H1691" s="38">
        <v>615</v>
      </c>
      <c r="I1691" s="108" t="e">
        <v>#DIV/0!</v>
      </c>
    </row>
    <row r="1692" spans="1:9" x14ac:dyDescent="0.3">
      <c r="A1692" s="35" t="s">
        <v>1636</v>
      </c>
      <c r="B1692" t="s">
        <v>186</v>
      </c>
      <c r="C1692" s="106">
        <v>11</v>
      </c>
      <c r="E1692" s="38"/>
      <c r="F1692" s="38"/>
      <c r="G1692" s="38">
        <v>0</v>
      </c>
      <c r="H1692" s="38">
        <v>615</v>
      </c>
      <c r="I1692" s="108" t="e">
        <v>#DIV/0!</v>
      </c>
    </row>
    <row r="1693" spans="1:9" x14ac:dyDescent="0.3">
      <c r="A1693" s="35" t="s">
        <v>1636</v>
      </c>
      <c r="B1693" t="s">
        <v>186</v>
      </c>
      <c r="C1693" s="106">
        <v>12</v>
      </c>
      <c r="E1693" s="38"/>
      <c r="F1693" s="38"/>
      <c r="G1693" s="38">
        <v>0</v>
      </c>
      <c r="H1693" s="38">
        <v>615</v>
      </c>
      <c r="I1693" s="108" t="e">
        <v>#DIV/0!</v>
      </c>
    </row>
    <row r="1694" spans="1:9" x14ac:dyDescent="0.3">
      <c r="A1694" s="35" t="s">
        <v>1636</v>
      </c>
      <c r="B1694" t="s">
        <v>186</v>
      </c>
      <c r="C1694" s="106">
        <v>13</v>
      </c>
      <c r="E1694" s="38"/>
      <c r="F1694" s="38"/>
      <c r="G1694" s="38">
        <v>0</v>
      </c>
      <c r="H1694" s="38">
        <v>615</v>
      </c>
      <c r="I1694" s="108" t="e">
        <v>#DIV/0!</v>
      </c>
    </row>
    <row r="1695" spans="1:9" x14ac:dyDescent="0.3">
      <c r="A1695" s="35" t="s">
        <v>1636</v>
      </c>
      <c r="B1695" t="s">
        <v>186</v>
      </c>
      <c r="C1695" s="106">
        <v>14</v>
      </c>
      <c r="E1695" s="38"/>
      <c r="F1695" s="38"/>
      <c r="G1695" s="38">
        <v>0</v>
      </c>
      <c r="H1695" s="38">
        <v>615</v>
      </c>
      <c r="I1695" s="108" t="e">
        <v>#DIV/0!</v>
      </c>
    </row>
    <row r="1696" spans="1:9" x14ac:dyDescent="0.3">
      <c r="A1696" s="35" t="s">
        <v>1636</v>
      </c>
      <c r="B1696" t="s">
        <v>186</v>
      </c>
      <c r="C1696" s="106">
        <v>15</v>
      </c>
      <c r="E1696" s="38"/>
      <c r="F1696" s="38"/>
      <c r="G1696" s="38">
        <v>0</v>
      </c>
      <c r="H1696" s="38">
        <v>615</v>
      </c>
      <c r="I1696" s="108" t="e">
        <v>#DIV/0!</v>
      </c>
    </row>
    <row r="1697" spans="1:9" ht="15" thickBot="1" x14ac:dyDescent="0.35">
      <c r="A1697" s="109" t="s">
        <v>1636</v>
      </c>
      <c r="B1697" s="110" t="s">
        <v>186</v>
      </c>
      <c r="C1697" s="114">
        <v>16</v>
      </c>
      <c r="D1697" s="110"/>
      <c r="E1697" s="115"/>
      <c r="F1697" s="115"/>
      <c r="G1697" s="115">
        <v>0</v>
      </c>
      <c r="H1697" s="115">
        <v>615</v>
      </c>
      <c r="I1697" s="121" t="e">
        <v>#DIV/0!</v>
      </c>
    </row>
    <row r="1698" spans="1:9" x14ac:dyDescent="0.3">
      <c r="A1698" s="35" t="s">
        <v>1403</v>
      </c>
      <c r="B1698" t="s">
        <v>1359</v>
      </c>
      <c r="C1698" s="106">
        <v>1</v>
      </c>
      <c r="D1698" s="56">
        <v>45936</v>
      </c>
      <c r="E1698" s="38">
        <v>6079.05</v>
      </c>
      <c r="F1698" s="38">
        <v>5782.05</v>
      </c>
      <c r="G1698" s="38">
        <v>297</v>
      </c>
      <c r="H1698" s="38">
        <v>297</v>
      </c>
      <c r="I1698" s="108">
        <v>5.1365865047863647E-2</v>
      </c>
    </row>
    <row r="1699" spans="1:9" x14ac:dyDescent="0.3">
      <c r="A1699" s="35" t="s">
        <v>1403</v>
      </c>
      <c r="B1699" t="s">
        <v>1359</v>
      </c>
      <c r="C1699" s="106">
        <v>2</v>
      </c>
      <c r="D1699" s="56">
        <v>45943</v>
      </c>
      <c r="E1699" s="38">
        <v>6075</v>
      </c>
      <c r="F1699" s="38">
        <v>5782</v>
      </c>
      <c r="G1699" s="38">
        <v>293</v>
      </c>
      <c r="H1699" s="38">
        <v>590</v>
      </c>
      <c r="I1699" s="108">
        <v>5.0674507090971981E-2</v>
      </c>
    </row>
    <row r="1700" spans="1:9" x14ac:dyDescent="0.3">
      <c r="A1700" s="35" t="s">
        <v>1403</v>
      </c>
      <c r="B1700" t="s">
        <v>1359</v>
      </c>
      <c r="C1700" s="106">
        <v>3</v>
      </c>
      <c r="D1700" s="56">
        <v>45950</v>
      </c>
      <c r="E1700" s="38">
        <v>6071</v>
      </c>
      <c r="F1700" s="38">
        <v>5782</v>
      </c>
      <c r="G1700" s="38">
        <v>289</v>
      </c>
      <c r="H1700" s="38">
        <v>879</v>
      </c>
      <c r="I1700" s="108">
        <v>4.9982704946385334E-2</v>
      </c>
    </row>
    <row r="1701" spans="1:9" x14ac:dyDescent="0.3">
      <c r="A1701" s="35" t="s">
        <v>1403</v>
      </c>
      <c r="B1701" t="s">
        <v>1359</v>
      </c>
      <c r="C1701" s="106">
        <v>4</v>
      </c>
      <c r="D1701" s="56">
        <v>45957</v>
      </c>
      <c r="E1701" s="38">
        <v>6071</v>
      </c>
      <c r="F1701" s="38">
        <v>5782</v>
      </c>
      <c r="G1701" s="38">
        <v>289</v>
      </c>
      <c r="H1701" s="38">
        <v>1168</v>
      </c>
      <c r="I1701" s="108">
        <v>4.9982704946385334E-2</v>
      </c>
    </row>
    <row r="1702" spans="1:9" x14ac:dyDescent="0.3">
      <c r="A1702" s="35" t="s">
        <v>1403</v>
      </c>
      <c r="B1702" t="s">
        <v>1359</v>
      </c>
      <c r="C1702" s="106">
        <v>5</v>
      </c>
      <c r="E1702" s="38"/>
      <c r="F1702" s="38"/>
      <c r="G1702" s="38">
        <v>0</v>
      </c>
      <c r="H1702" s="38">
        <v>1168</v>
      </c>
      <c r="I1702" s="108" t="e">
        <v>#DIV/0!</v>
      </c>
    </row>
    <row r="1703" spans="1:9" x14ac:dyDescent="0.3">
      <c r="A1703" s="35" t="s">
        <v>1403</v>
      </c>
      <c r="B1703" t="s">
        <v>1359</v>
      </c>
      <c r="C1703" s="106">
        <v>6</v>
      </c>
      <c r="E1703" s="38"/>
      <c r="F1703" s="38"/>
      <c r="G1703" s="38">
        <v>0</v>
      </c>
      <c r="H1703" s="38">
        <v>1168</v>
      </c>
      <c r="I1703" s="108" t="e">
        <v>#DIV/0!</v>
      </c>
    </row>
    <row r="1704" spans="1:9" x14ac:dyDescent="0.3">
      <c r="A1704" s="35" t="s">
        <v>1403</v>
      </c>
      <c r="B1704" t="s">
        <v>1359</v>
      </c>
      <c r="C1704" s="106">
        <v>7</v>
      </c>
      <c r="E1704" s="38"/>
      <c r="F1704" s="38"/>
      <c r="G1704" s="38">
        <v>0</v>
      </c>
      <c r="H1704" s="38">
        <v>1168</v>
      </c>
      <c r="I1704" s="108" t="e">
        <v>#DIV/0!</v>
      </c>
    </row>
    <row r="1705" spans="1:9" x14ac:dyDescent="0.3">
      <c r="A1705" s="35" t="s">
        <v>1403</v>
      </c>
      <c r="B1705" t="s">
        <v>1359</v>
      </c>
      <c r="C1705" s="106">
        <v>8</v>
      </c>
      <c r="E1705" s="38"/>
      <c r="F1705" s="38"/>
      <c r="G1705" s="38">
        <v>0</v>
      </c>
      <c r="H1705" s="38">
        <v>1168</v>
      </c>
      <c r="I1705" s="108" t="e">
        <v>#DIV/0!</v>
      </c>
    </row>
    <row r="1706" spans="1:9" x14ac:dyDescent="0.3">
      <c r="A1706" s="35" t="s">
        <v>1403</v>
      </c>
      <c r="B1706" t="s">
        <v>1359</v>
      </c>
      <c r="C1706" s="106">
        <v>9</v>
      </c>
      <c r="E1706" s="38"/>
      <c r="F1706" s="38"/>
      <c r="G1706" s="38">
        <v>0</v>
      </c>
      <c r="H1706" s="38">
        <v>1168</v>
      </c>
    </row>
    <row r="1707" spans="1:9" x14ac:dyDescent="0.3">
      <c r="A1707" s="35" t="s">
        <v>1403</v>
      </c>
      <c r="B1707" t="s">
        <v>1359</v>
      </c>
      <c r="C1707" s="106">
        <v>10</v>
      </c>
      <c r="E1707" s="38"/>
      <c r="F1707" s="38"/>
      <c r="G1707" s="38">
        <v>0</v>
      </c>
      <c r="H1707" s="38">
        <v>1168</v>
      </c>
    </row>
    <row r="1708" spans="1:9" x14ac:dyDescent="0.3">
      <c r="A1708" s="35" t="s">
        <v>1403</v>
      </c>
      <c r="B1708" t="s">
        <v>1359</v>
      </c>
      <c r="C1708" s="106">
        <v>11</v>
      </c>
      <c r="E1708" s="38"/>
      <c r="F1708" s="38"/>
      <c r="G1708" s="38">
        <v>0</v>
      </c>
      <c r="H1708" s="38">
        <v>1168</v>
      </c>
    </row>
    <row r="1709" spans="1:9" x14ac:dyDescent="0.3">
      <c r="A1709" s="35" t="s">
        <v>1403</v>
      </c>
      <c r="B1709" t="s">
        <v>1359</v>
      </c>
      <c r="C1709" s="106">
        <v>12</v>
      </c>
      <c r="E1709" s="38"/>
      <c r="F1709" s="38"/>
      <c r="G1709" s="38">
        <v>0</v>
      </c>
      <c r="H1709" s="38">
        <v>1168</v>
      </c>
    </row>
    <row r="1710" spans="1:9" x14ac:dyDescent="0.3">
      <c r="A1710" s="35" t="s">
        <v>1403</v>
      </c>
      <c r="B1710" t="s">
        <v>1359</v>
      </c>
      <c r="C1710" s="106">
        <v>13</v>
      </c>
      <c r="E1710" s="38"/>
      <c r="F1710" s="38"/>
      <c r="G1710" s="38">
        <v>0</v>
      </c>
      <c r="H1710" s="38">
        <v>1168</v>
      </c>
    </row>
    <row r="1711" spans="1:9" x14ac:dyDescent="0.3">
      <c r="A1711" s="35" t="s">
        <v>1403</v>
      </c>
      <c r="B1711" t="s">
        <v>1359</v>
      </c>
      <c r="C1711" s="106">
        <v>14</v>
      </c>
      <c r="E1711" s="38"/>
      <c r="F1711" s="38"/>
      <c r="G1711" s="38">
        <v>0</v>
      </c>
      <c r="H1711" s="38">
        <v>1168</v>
      </c>
    </row>
    <row r="1712" spans="1:9" x14ac:dyDescent="0.3">
      <c r="A1712" s="35" t="s">
        <v>1403</v>
      </c>
      <c r="B1712" t="s">
        <v>1359</v>
      </c>
      <c r="C1712" s="106">
        <v>15</v>
      </c>
      <c r="E1712" s="38"/>
      <c r="F1712" s="38"/>
      <c r="G1712" s="38">
        <v>0</v>
      </c>
      <c r="H1712" s="38">
        <v>1168</v>
      </c>
    </row>
    <row r="1713" spans="1:9" ht="15" thickBot="1" x14ac:dyDescent="0.35">
      <c r="A1713" s="109" t="s">
        <v>1403</v>
      </c>
      <c r="B1713" s="110" t="s">
        <v>1359</v>
      </c>
      <c r="C1713" s="114">
        <v>16</v>
      </c>
      <c r="D1713" s="110"/>
      <c r="E1713" s="115"/>
      <c r="F1713" s="115"/>
      <c r="G1713" s="115">
        <v>0</v>
      </c>
      <c r="H1713" s="115">
        <v>1168</v>
      </c>
      <c r="I1713" s="110"/>
    </row>
    <row r="1714" spans="1:9" x14ac:dyDescent="0.3">
      <c r="A1714" s="35" t="s">
        <v>1361</v>
      </c>
      <c r="B1714" t="s">
        <v>1356</v>
      </c>
      <c r="C1714" s="106">
        <v>1</v>
      </c>
      <c r="D1714" s="56">
        <v>45933</v>
      </c>
      <c r="E1714" s="38">
        <v>12800</v>
      </c>
      <c r="F1714" s="38">
        <v>12160</v>
      </c>
      <c r="G1714" s="38">
        <v>640</v>
      </c>
      <c r="H1714" s="38">
        <v>640</v>
      </c>
      <c r="I1714" s="108">
        <v>5.2631578947368418E-2</v>
      </c>
    </row>
    <row r="1715" spans="1:9" x14ac:dyDescent="0.3">
      <c r="A1715" s="35" t="s">
        <v>1361</v>
      </c>
      <c r="B1715" t="s">
        <v>1356</v>
      </c>
      <c r="C1715" s="106">
        <v>2</v>
      </c>
      <c r="D1715" s="56">
        <v>45940</v>
      </c>
      <c r="E1715" s="38">
        <v>12800</v>
      </c>
      <c r="F1715" s="38">
        <v>12160</v>
      </c>
      <c r="G1715" s="38">
        <v>640</v>
      </c>
      <c r="H1715" s="38">
        <v>1280</v>
      </c>
      <c r="I1715" s="108">
        <v>5.2631578947368418E-2</v>
      </c>
    </row>
    <row r="1716" spans="1:9" x14ac:dyDescent="0.3">
      <c r="A1716" s="35" t="s">
        <v>1361</v>
      </c>
      <c r="B1716" t="s">
        <v>1356</v>
      </c>
      <c r="C1716" s="106">
        <v>3</v>
      </c>
      <c r="D1716" s="56">
        <v>45947</v>
      </c>
      <c r="E1716" s="38">
        <v>12800</v>
      </c>
      <c r="F1716" s="38">
        <v>12160</v>
      </c>
      <c r="G1716" s="38">
        <v>640</v>
      </c>
      <c r="H1716" s="38">
        <v>1920</v>
      </c>
      <c r="I1716" s="108">
        <v>5.2631578947368418E-2</v>
      </c>
    </row>
    <row r="1717" spans="1:9" x14ac:dyDescent="0.3">
      <c r="A1717" s="35" t="s">
        <v>1361</v>
      </c>
      <c r="B1717" t="s">
        <v>1356</v>
      </c>
      <c r="C1717" s="106">
        <v>4</v>
      </c>
      <c r="D1717" s="56">
        <v>45954</v>
      </c>
      <c r="E1717" s="38">
        <v>12800</v>
      </c>
      <c r="F1717" s="38">
        <v>12160</v>
      </c>
      <c r="G1717" s="38">
        <v>640</v>
      </c>
      <c r="H1717" s="38">
        <v>2560</v>
      </c>
      <c r="I1717" s="108">
        <v>5.2631578947368418E-2</v>
      </c>
    </row>
    <row r="1718" spans="1:9" x14ac:dyDescent="0.3">
      <c r="A1718" s="35" t="s">
        <v>1361</v>
      </c>
      <c r="B1718" t="s">
        <v>1356</v>
      </c>
      <c r="C1718" s="106">
        <v>5</v>
      </c>
      <c r="E1718" s="38"/>
      <c r="F1718" s="38"/>
      <c r="G1718" s="38">
        <v>0</v>
      </c>
      <c r="H1718" s="38">
        <v>2560</v>
      </c>
      <c r="I1718" s="108" t="e">
        <v>#DIV/0!</v>
      </c>
    </row>
    <row r="1719" spans="1:9" x14ac:dyDescent="0.3">
      <c r="A1719" s="35" t="s">
        <v>1361</v>
      </c>
      <c r="B1719" t="s">
        <v>1356</v>
      </c>
      <c r="C1719" s="106">
        <v>6</v>
      </c>
      <c r="E1719" s="38"/>
      <c r="F1719" s="38"/>
      <c r="G1719" s="38">
        <v>0</v>
      </c>
      <c r="H1719" s="38">
        <v>2560</v>
      </c>
      <c r="I1719" s="108" t="e">
        <v>#DIV/0!</v>
      </c>
    </row>
    <row r="1720" spans="1:9" x14ac:dyDescent="0.3">
      <c r="A1720" s="35" t="s">
        <v>1361</v>
      </c>
      <c r="B1720" t="s">
        <v>1356</v>
      </c>
      <c r="C1720" s="106">
        <v>7</v>
      </c>
      <c r="E1720" s="38"/>
      <c r="F1720" s="38"/>
      <c r="G1720" s="38">
        <v>0</v>
      </c>
      <c r="H1720" s="38">
        <v>2560</v>
      </c>
    </row>
    <row r="1721" spans="1:9" x14ac:dyDescent="0.3">
      <c r="A1721" s="35" t="s">
        <v>1361</v>
      </c>
      <c r="B1721" t="s">
        <v>1356</v>
      </c>
      <c r="C1721" s="106">
        <v>8</v>
      </c>
      <c r="E1721" s="38"/>
      <c r="F1721" s="38"/>
      <c r="G1721" s="38">
        <v>0</v>
      </c>
      <c r="H1721" s="38">
        <v>2560</v>
      </c>
    </row>
    <row r="1722" spans="1:9" x14ac:dyDescent="0.3">
      <c r="A1722" s="35" t="s">
        <v>1361</v>
      </c>
      <c r="B1722" t="s">
        <v>1356</v>
      </c>
      <c r="C1722" s="106">
        <v>9</v>
      </c>
      <c r="E1722" s="38"/>
      <c r="F1722" s="38"/>
      <c r="G1722" s="38">
        <v>0</v>
      </c>
      <c r="H1722" s="38">
        <v>2560</v>
      </c>
    </row>
    <row r="1723" spans="1:9" x14ac:dyDescent="0.3">
      <c r="A1723" s="35" t="s">
        <v>1361</v>
      </c>
      <c r="B1723" t="s">
        <v>1356</v>
      </c>
      <c r="C1723" s="106">
        <v>10</v>
      </c>
      <c r="E1723" s="38"/>
      <c r="F1723" s="38"/>
      <c r="G1723" s="38">
        <v>0</v>
      </c>
      <c r="H1723" s="38">
        <v>2560</v>
      </c>
    </row>
    <row r="1724" spans="1:9" x14ac:dyDescent="0.3">
      <c r="A1724" s="35" t="s">
        <v>1361</v>
      </c>
      <c r="B1724" t="s">
        <v>1356</v>
      </c>
      <c r="C1724" s="106">
        <v>11</v>
      </c>
      <c r="E1724" s="38"/>
      <c r="F1724" s="38"/>
      <c r="G1724" s="38">
        <v>0</v>
      </c>
      <c r="H1724" s="38">
        <v>2560</v>
      </c>
    </row>
    <row r="1725" spans="1:9" x14ac:dyDescent="0.3">
      <c r="A1725" s="35" t="s">
        <v>1361</v>
      </c>
      <c r="B1725" t="s">
        <v>1356</v>
      </c>
      <c r="C1725" s="106">
        <v>12</v>
      </c>
      <c r="E1725" s="38"/>
      <c r="F1725" s="38"/>
      <c r="G1725" s="38">
        <v>0</v>
      </c>
      <c r="H1725" s="38">
        <v>2560</v>
      </c>
    </row>
    <row r="1726" spans="1:9" x14ac:dyDescent="0.3">
      <c r="A1726" s="35" t="s">
        <v>1361</v>
      </c>
      <c r="B1726" t="s">
        <v>1356</v>
      </c>
      <c r="C1726" s="106">
        <v>13</v>
      </c>
      <c r="E1726" s="38"/>
      <c r="F1726" s="38"/>
      <c r="G1726" s="38">
        <v>0</v>
      </c>
      <c r="H1726" s="38">
        <v>2560</v>
      </c>
    </row>
    <row r="1727" spans="1:9" x14ac:dyDescent="0.3">
      <c r="A1727" s="35" t="s">
        <v>1361</v>
      </c>
      <c r="B1727" t="s">
        <v>1356</v>
      </c>
      <c r="C1727" s="106">
        <v>14</v>
      </c>
      <c r="E1727" s="38"/>
      <c r="F1727" s="38"/>
      <c r="G1727" s="38">
        <v>0</v>
      </c>
      <c r="H1727" s="38">
        <v>2560</v>
      </c>
    </row>
    <row r="1728" spans="1:9" x14ac:dyDescent="0.3">
      <c r="A1728" s="35" t="s">
        <v>1361</v>
      </c>
      <c r="B1728" t="s">
        <v>1356</v>
      </c>
      <c r="C1728" s="106">
        <v>15</v>
      </c>
      <c r="E1728" s="38"/>
      <c r="F1728" s="38"/>
      <c r="G1728" s="38">
        <v>0</v>
      </c>
      <c r="H1728" s="38">
        <v>2560</v>
      </c>
    </row>
    <row r="1729" spans="1:9" ht="15" thickBot="1" x14ac:dyDescent="0.35">
      <c r="A1729" s="109" t="s">
        <v>1361</v>
      </c>
      <c r="B1729" s="110" t="s">
        <v>1356</v>
      </c>
      <c r="C1729" s="114">
        <v>16</v>
      </c>
      <c r="D1729" s="110"/>
      <c r="E1729" s="115"/>
      <c r="F1729" s="115"/>
      <c r="G1729" s="115">
        <v>0</v>
      </c>
      <c r="H1729" s="115">
        <v>2560</v>
      </c>
      <c r="I1729" s="110"/>
    </row>
    <row r="1730" spans="1:9" x14ac:dyDescent="0.3">
      <c r="A1730" s="35" t="s">
        <v>1423</v>
      </c>
      <c r="B1730" t="s">
        <v>103</v>
      </c>
      <c r="C1730" s="106">
        <v>1</v>
      </c>
      <c r="D1730" s="56">
        <v>45936</v>
      </c>
      <c r="E1730" s="38">
        <v>4665</v>
      </c>
      <c r="F1730" s="38">
        <v>4332.04</v>
      </c>
      <c r="G1730" s="38">
        <v>332.96000000000004</v>
      </c>
      <c r="H1730" s="38">
        <v>332.96000000000004</v>
      </c>
      <c r="I1730" s="108">
        <v>7.6859862789817282E-2</v>
      </c>
    </row>
    <row r="1731" spans="1:9" x14ac:dyDescent="0.3">
      <c r="A1731" s="35" t="s">
        <v>1423</v>
      </c>
      <c r="B1731" t="s">
        <v>103</v>
      </c>
      <c r="C1731" s="106">
        <v>2</v>
      </c>
      <c r="D1731" s="56">
        <v>45943</v>
      </c>
      <c r="E1731" s="38">
        <v>4332</v>
      </c>
      <c r="F1731" s="38">
        <v>4332</v>
      </c>
      <c r="G1731" s="38">
        <v>0</v>
      </c>
      <c r="H1731" s="38">
        <v>332.96000000000004</v>
      </c>
      <c r="I1731" s="108">
        <v>0</v>
      </c>
    </row>
    <row r="1732" spans="1:9" x14ac:dyDescent="0.3">
      <c r="A1732" s="35" t="s">
        <v>1423</v>
      </c>
      <c r="B1732" t="s">
        <v>103</v>
      </c>
      <c r="C1732" s="106">
        <v>3</v>
      </c>
      <c r="D1732" s="56">
        <v>45950</v>
      </c>
      <c r="E1732" s="38">
        <v>4765</v>
      </c>
      <c r="F1732" s="38">
        <v>4333</v>
      </c>
      <c r="G1732" s="38">
        <v>432</v>
      </c>
      <c r="H1732" s="38">
        <v>764.96</v>
      </c>
      <c r="I1732" s="108">
        <v>9.9699976921301642E-2</v>
      </c>
    </row>
    <row r="1733" spans="1:9" x14ac:dyDescent="0.3">
      <c r="A1733" s="35" t="s">
        <v>1423</v>
      </c>
      <c r="B1733" t="s">
        <v>103</v>
      </c>
      <c r="C1733" s="106">
        <v>4</v>
      </c>
      <c r="D1733" s="56">
        <v>45957</v>
      </c>
      <c r="E1733" s="38">
        <v>4765</v>
      </c>
      <c r="F1733" s="38">
        <v>4333</v>
      </c>
      <c r="G1733" s="38">
        <v>432</v>
      </c>
      <c r="H1733" s="38">
        <v>1196.96</v>
      </c>
      <c r="I1733" s="108">
        <v>9.9699976921301642E-2</v>
      </c>
    </row>
    <row r="1734" spans="1:9" x14ac:dyDescent="0.3">
      <c r="A1734" s="35" t="s">
        <v>1423</v>
      </c>
      <c r="B1734" t="s">
        <v>103</v>
      </c>
      <c r="C1734" s="106">
        <v>5</v>
      </c>
      <c r="E1734" s="38"/>
      <c r="F1734" s="38"/>
      <c r="G1734" s="38">
        <v>0</v>
      </c>
      <c r="H1734" s="38">
        <v>1196.96</v>
      </c>
      <c r="I1734" s="108" t="e">
        <v>#DIV/0!</v>
      </c>
    </row>
    <row r="1735" spans="1:9" x14ac:dyDescent="0.3">
      <c r="A1735" s="35" t="s">
        <v>1423</v>
      </c>
      <c r="B1735" t="s">
        <v>103</v>
      </c>
      <c r="C1735" s="106">
        <v>6</v>
      </c>
      <c r="E1735" s="38"/>
      <c r="F1735" s="38"/>
      <c r="G1735" s="38">
        <v>0</v>
      </c>
      <c r="H1735" s="38">
        <v>1196.96</v>
      </c>
      <c r="I1735" s="108" t="e">
        <v>#DIV/0!</v>
      </c>
    </row>
    <row r="1736" spans="1:9" x14ac:dyDescent="0.3">
      <c r="A1736" s="35" t="s">
        <v>1423</v>
      </c>
      <c r="B1736" t="s">
        <v>103</v>
      </c>
      <c r="C1736" s="106">
        <v>7</v>
      </c>
      <c r="E1736" s="38"/>
      <c r="F1736" s="38"/>
      <c r="G1736" s="38">
        <v>0</v>
      </c>
      <c r="H1736" s="38">
        <v>1196.96</v>
      </c>
      <c r="I1736" s="108" t="e">
        <v>#DIV/0!</v>
      </c>
    </row>
    <row r="1737" spans="1:9" x14ac:dyDescent="0.3">
      <c r="A1737" s="35" t="s">
        <v>1423</v>
      </c>
      <c r="B1737" t="s">
        <v>103</v>
      </c>
      <c r="C1737" s="106">
        <v>8</v>
      </c>
      <c r="E1737" s="38"/>
      <c r="F1737" s="38"/>
      <c r="G1737" s="38">
        <v>0</v>
      </c>
      <c r="H1737" s="38">
        <v>1196.96</v>
      </c>
      <c r="I1737" s="108" t="e">
        <v>#DIV/0!</v>
      </c>
    </row>
    <row r="1738" spans="1:9" x14ac:dyDescent="0.3">
      <c r="A1738" s="35" t="s">
        <v>1423</v>
      </c>
      <c r="B1738" t="s">
        <v>103</v>
      </c>
      <c r="C1738" s="106">
        <v>9</v>
      </c>
      <c r="E1738" s="38"/>
      <c r="F1738" s="38"/>
      <c r="G1738" s="38">
        <v>0</v>
      </c>
      <c r="H1738" s="38">
        <v>1196.96</v>
      </c>
      <c r="I1738" s="108" t="e">
        <v>#DIV/0!</v>
      </c>
    </row>
    <row r="1739" spans="1:9" x14ac:dyDescent="0.3">
      <c r="A1739" s="35" t="s">
        <v>1423</v>
      </c>
      <c r="B1739" t="s">
        <v>103</v>
      </c>
      <c r="C1739" s="106">
        <v>10</v>
      </c>
      <c r="E1739" s="38"/>
      <c r="F1739" s="38"/>
      <c r="G1739" s="38">
        <v>0</v>
      </c>
      <c r="H1739" s="38">
        <v>1196.96</v>
      </c>
      <c r="I1739" s="108" t="e">
        <v>#DIV/0!</v>
      </c>
    </row>
    <row r="1740" spans="1:9" x14ac:dyDescent="0.3">
      <c r="A1740" s="35" t="s">
        <v>1423</v>
      </c>
      <c r="B1740" t="s">
        <v>103</v>
      </c>
      <c r="C1740" s="106">
        <v>11</v>
      </c>
      <c r="E1740" s="38"/>
      <c r="F1740" s="38"/>
      <c r="G1740" s="38">
        <v>0</v>
      </c>
      <c r="H1740" s="38">
        <v>1196.96</v>
      </c>
      <c r="I1740" s="108" t="e">
        <v>#DIV/0!</v>
      </c>
    </row>
    <row r="1741" spans="1:9" x14ac:dyDescent="0.3">
      <c r="A1741" s="35" t="s">
        <v>1423</v>
      </c>
      <c r="B1741" t="s">
        <v>103</v>
      </c>
      <c r="C1741" s="106">
        <v>12</v>
      </c>
      <c r="E1741" s="38"/>
      <c r="F1741" s="38"/>
      <c r="G1741" s="38">
        <v>0</v>
      </c>
      <c r="H1741" s="38">
        <v>1196.96</v>
      </c>
      <c r="I1741" s="108" t="e">
        <v>#DIV/0!</v>
      </c>
    </row>
    <row r="1742" spans="1:9" x14ac:dyDescent="0.3">
      <c r="A1742" s="35" t="s">
        <v>1423</v>
      </c>
      <c r="B1742" t="s">
        <v>103</v>
      </c>
      <c r="C1742" s="106">
        <v>13</v>
      </c>
      <c r="E1742" s="38"/>
      <c r="F1742" s="38"/>
      <c r="G1742" s="38">
        <v>0</v>
      </c>
      <c r="H1742" s="38">
        <v>1196.96</v>
      </c>
      <c r="I1742" s="108" t="e">
        <v>#DIV/0!</v>
      </c>
    </row>
    <row r="1743" spans="1:9" x14ac:dyDescent="0.3">
      <c r="A1743" s="35" t="s">
        <v>1423</v>
      </c>
      <c r="B1743" t="s">
        <v>103</v>
      </c>
      <c r="C1743" s="106">
        <v>14</v>
      </c>
      <c r="E1743" s="38"/>
      <c r="F1743" s="38"/>
      <c r="G1743" s="38">
        <v>0</v>
      </c>
      <c r="H1743" s="38">
        <v>1196.96</v>
      </c>
      <c r="I1743" s="108" t="e">
        <v>#DIV/0!</v>
      </c>
    </row>
    <row r="1744" spans="1:9" x14ac:dyDescent="0.3">
      <c r="A1744" s="35" t="s">
        <v>1423</v>
      </c>
      <c r="B1744" t="s">
        <v>103</v>
      </c>
      <c r="C1744" s="106">
        <v>15</v>
      </c>
      <c r="E1744" s="38"/>
      <c r="F1744" s="38"/>
      <c r="G1744" s="38">
        <v>0</v>
      </c>
      <c r="H1744" s="38">
        <v>1196.96</v>
      </c>
      <c r="I1744" s="108" t="e">
        <v>#DIV/0!</v>
      </c>
    </row>
    <row r="1745" spans="1:9" ht="15" thickBot="1" x14ac:dyDescent="0.35">
      <c r="A1745" s="109" t="s">
        <v>1423</v>
      </c>
      <c r="B1745" s="110" t="s">
        <v>103</v>
      </c>
      <c r="C1745" s="114">
        <v>16</v>
      </c>
      <c r="D1745" s="110"/>
      <c r="E1745" s="115"/>
      <c r="F1745" s="115"/>
      <c r="G1745" s="115">
        <v>0</v>
      </c>
      <c r="H1745" s="115">
        <v>1196.96</v>
      </c>
      <c r="I1745" s="110"/>
    </row>
    <row r="1746" spans="1:9" x14ac:dyDescent="0.3">
      <c r="A1746" s="35" t="s">
        <v>1417</v>
      </c>
      <c r="B1746" t="s">
        <v>1375</v>
      </c>
      <c r="C1746" s="106">
        <v>1</v>
      </c>
      <c r="D1746" s="56">
        <v>45937</v>
      </c>
      <c r="E1746" s="38">
        <v>5298</v>
      </c>
      <c r="F1746" s="38">
        <v>4940.04</v>
      </c>
      <c r="G1746" s="38">
        <v>357.96000000000004</v>
      </c>
      <c r="H1746" s="38">
        <v>357.96000000000004</v>
      </c>
      <c r="I1746" s="108">
        <v>7.2460951733184356E-2</v>
      </c>
    </row>
    <row r="1747" spans="1:9" x14ac:dyDescent="0.3">
      <c r="A1747" s="35" t="s">
        <v>1417</v>
      </c>
      <c r="B1747" t="s">
        <v>1375</v>
      </c>
      <c r="C1747" s="106">
        <v>2</v>
      </c>
      <c r="D1747" s="56">
        <v>45946</v>
      </c>
      <c r="E1747" s="38">
        <v>4995</v>
      </c>
      <c r="F1747" s="38">
        <v>4995</v>
      </c>
      <c r="G1747" s="38">
        <v>0</v>
      </c>
      <c r="H1747" s="38">
        <v>357.96000000000004</v>
      </c>
      <c r="I1747" s="108">
        <v>0</v>
      </c>
    </row>
    <row r="1748" spans="1:9" x14ac:dyDescent="0.3">
      <c r="A1748" s="35" t="s">
        <v>1417</v>
      </c>
      <c r="B1748" t="s">
        <v>1375</v>
      </c>
      <c r="C1748" s="106">
        <v>3</v>
      </c>
      <c r="D1748" s="56">
        <v>45951</v>
      </c>
      <c r="E1748" s="38">
        <v>5513</v>
      </c>
      <c r="F1748" s="38">
        <v>4940</v>
      </c>
      <c r="G1748" s="38">
        <v>573</v>
      </c>
      <c r="H1748" s="38">
        <v>930.96</v>
      </c>
      <c r="I1748" s="108">
        <v>0.11599190283400809</v>
      </c>
    </row>
    <row r="1749" spans="1:9" x14ac:dyDescent="0.3">
      <c r="A1749" s="35" t="s">
        <v>1417</v>
      </c>
      <c r="B1749" t="s">
        <v>1375</v>
      </c>
      <c r="C1749" s="106">
        <v>4</v>
      </c>
      <c r="D1749" s="56">
        <v>45956</v>
      </c>
      <c r="E1749" s="38">
        <v>1305</v>
      </c>
      <c r="F1749" s="38">
        <v>1305</v>
      </c>
      <c r="G1749" s="38">
        <v>0</v>
      </c>
      <c r="H1749" s="38">
        <v>930.96</v>
      </c>
      <c r="I1749" s="108">
        <v>0</v>
      </c>
    </row>
    <row r="1750" spans="1:9" x14ac:dyDescent="0.3">
      <c r="A1750" s="35" t="s">
        <v>1417</v>
      </c>
      <c r="B1750" t="s">
        <v>1375</v>
      </c>
      <c r="C1750" s="106">
        <v>5</v>
      </c>
      <c r="E1750" s="38"/>
      <c r="F1750" s="38"/>
      <c r="G1750" s="38">
        <v>0</v>
      </c>
      <c r="H1750" s="38">
        <v>930.96</v>
      </c>
    </row>
    <row r="1751" spans="1:9" x14ac:dyDescent="0.3">
      <c r="A1751" s="35" t="s">
        <v>1417</v>
      </c>
      <c r="B1751" t="s">
        <v>1375</v>
      </c>
      <c r="C1751" s="106">
        <v>6</v>
      </c>
      <c r="E1751" s="38"/>
      <c r="F1751" s="38"/>
      <c r="G1751" s="38">
        <v>0</v>
      </c>
      <c r="H1751" s="38">
        <v>930.96</v>
      </c>
    </row>
    <row r="1752" spans="1:9" x14ac:dyDescent="0.3">
      <c r="A1752" s="35" t="s">
        <v>1417</v>
      </c>
      <c r="B1752" t="s">
        <v>1375</v>
      </c>
      <c r="C1752" s="106">
        <v>7</v>
      </c>
      <c r="E1752" s="38"/>
      <c r="F1752" s="38"/>
      <c r="G1752" s="38">
        <v>0</v>
      </c>
      <c r="H1752" s="38">
        <v>930.96</v>
      </c>
    </row>
    <row r="1753" spans="1:9" x14ac:dyDescent="0.3">
      <c r="A1753" s="35" t="s">
        <v>1417</v>
      </c>
      <c r="B1753" t="s">
        <v>1375</v>
      </c>
      <c r="C1753" s="106">
        <v>8</v>
      </c>
      <c r="E1753" s="38"/>
      <c r="F1753" s="38"/>
      <c r="G1753" s="38">
        <v>0</v>
      </c>
      <c r="H1753" s="38">
        <v>930.96</v>
      </c>
    </row>
    <row r="1754" spans="1:9" x14ac:dyDescent="0.3">
      <c r="A1754" s="35" t="s">
        <v>1417</v>
      </c>
      <c r="B1754" t="s">
        <v>1375</v>
      </c>
      <c r="C1754" s="106">
        <v>9</v>
      </c>
      <c r="E1754" s="38"/>
      <c r="F1754" s="38"/>
      <c r="G1754" s="38">
        <v>0</v>
      </c>
      <c r="H1754" s="38">
        <v>930.96</v>
      </c>
    </row>
    <row r="1755" spans="1:9" x14ac:dyDescent="0.3">
      <c r="A1755" s="35" t="s">
        <v>1417</v>
      </c>
      <c r="B1755" t="s">
        <v>1375</v>
      </c>
      <c r="C1755" s="106">
        <v>10</v>
      </c>
      <c r="E1755" s="38"/>
      <c r="F1755" s="38"/>
      <c r="G1755" s="38">
        <v>0</v>
      </c>
      <c r="H1755" s="38">
        <v>930.96</v>
      </c>
    </row>
    <row r="1756" spans="1:9" x14ac:dyDescent="0.3">
      <c r="A1756" s="35" t="s">
        <v>1417</v>
      </c>
      <c r="B1756" t="s">
        <v>1375</v>
      </c>
      <c r="C1756" s="106">
        <v>11</v>
      </c>
      <c r="E1756" s="38"/>
      <c r="F1756" s="38"/>
      <c r="G1756" s="38">
        <v>0</v>
      </c>
      <c r="H1756" s="38">
        <v>930.96</v>
      </c>
    </row>
    <row r="1757" spans="1:9" x14ac:dyDescent="0.3">
      <c r="A1757" s="35" t="s">
        <v>1417</v>
      </c>
      <c r="B1757" t="s">
        <v>1375</v>
      </c>
      <c r="C1757" s="106">
        <v>12</v>
      </c>
      <c r="E1757" s="38"/>
      <c r="F1757" s="38"/>
      <c r="G1757" s="38">
        <v>0</v>
      </c>
      <c r="H1757" s="38">
        <v>930.96</v>
      </c>
    </row>
    <row r="1758" spans="1:9" x14ac:dyDescent="0.3">
      <c r="A1758" s="35" t="s">
        <v>1417</v>
      </c>
      <c r="B1758" t="s">
        <v>1375</v>
      </c>
      <c r="C1758" s="106">
        <v>13</v>
      </c>
      <c r="E1758" s="38"/>
      <c r="F1758" s="38"/>
      <c r="G1758" s="38">
        <v>0</v>
      </c>
      <c r="H1758" s="38">
        <v>930.96</v>
      </c>
    </row>
    <row r="1759" spans="1:9" x14ac:dyDescent="0.3">
      <c r="A1759" s="35" t="s">
        <v>1417</v>
      </c>
      <c r="B1759" t="s">
        <v>1375</v>
      </c>
      <c r="C1759" s="106">
        <v>14</v>
      </c>
      <c r="E1759" s="38"/>
      <c r="F1759" s="38"/>
      <c r="G1759" s="38">
        <v>0</v>
      </c>
      <c r="H1759" s="38">
        <v>930.96</v>
      </c>
    </row>
    <row r="1760" spans="1:9" x14ac:dyDescent="0.3">
      <c r="A1760" s="35" t="s">
        <v>1417</v>
      </c>
      <c r="B1760" t="s">
        <v>1375</v>
      </c>
      <c r="C1760" s="106">
        <v>15</v>
      </c>
      <c r="E1760" s="38"/>
      <c r="F1760" s="38"/>
      <c r="G1760" s="38">
        <v>0</v>
      </c>
      <c r="H1760" s="38">
        <v>930.96</v>
      </c>
    </row>
    <row r="1761" spans="1:9" ht="15" thickBot="1" x14ac:dyDescent="0.35">
      <c r="A1761" s="109" t="s">
        <v>1417</v>
      </c>
      <c r="B1761" s="110" t="s">
        <v>1375</v>
      </c>
      <c r="C1761" s="114">
        <v>16</v>
      </c>
      <c r="D1761" s="110"/>
      <c r="E1761" s="115"/>
      <c r="F1761" s="115"/>
      <c r="G1761" s="115">
        <v>0</v>
      </c>
      <c r="H1761" s="115">
        <v>930.96</v>
      </c>
      <c r="I1761" s="110"/>
    </row>
    <row r="1762" spans="1:9" x14ac:dyDescent="0.3">
      <c r="A1762" s="35" t="s">
        <v>1435</v>
      </c>
      <c r="B1762" t="s">
        <v>1357</v>
      </c>
      <c r="C1762" s="106">
        <v>1</v>
      </c>
      <c r="D1762" s="56">
        <v>45936</v>
      </c>
      <c r="E1762" s="38">
        <v>7090</v>
      </c>
      <c r="F1762" s="38">
        <v>6786</v>
      </c>
      <c r="G1762" s="38">
        <v>304</v>
      </c>
      <c r="H1762" s="38">
        <v>304</v>
      </c>
      <c r="I1762" s="108">
        <v>4.4798113763631006E-2</v>
      </c>
    </row>
    <row r="1763" spans="1:9" x14ac:dyDescent="0.3">
      <c r="A1763" s="35" t="s">
        <v>1435</v>
      </c>
      <c r="B1763" t="s">
        <v>1357</v>
      </c>
      <c r="C1763" s="106">
        <v>2</v>
      </c>
      <c r="D1763" s="56">
        <v>45943</v>
      </c>
      <c r="E1763" s="38">
        <v>5250</v>
      </c>
      <c r="F1763" s="38">
        <v>4946</v>
      </c>
      <c r="G1763" s="38">
        <v>304</v>
      </c>
      <c r="H1763" s="38">
        <v>608</v>
      </c>
      <c r="I1763" s="108">
        <v>6.1463809138697936E-2</v>
      </c>
    </row>
    <row r="1764" spans="1:9" x14ac:dyDescent="0.3">
      <c r="A1764" s="35" t="s">
        <v>1435</v>
      </c>
      <c r="B1764" t="s">
        <v>1357</v>
      </c>
      <c r="C1764" s="106">
        <v>3</v>
      </c>
      <c r="D1764" s="56">
        <v>45950</v>
      </c>
      <c r="E1764" s="38">
        <v>5250</v>
      </c>
      <c r="F1764" s="38">
        <v>4946</v>
      </c>
      <c r="G1764" s="38">
        <v>304</v>
      </c>
      <c r="H1764" s="38">
        <v>912</v>
      </c>
      <c r="I1764" s="108">
        <v>6.1463809138697936E-2</v>
      </c>
    </row>
    <row r="1765" spans="1:9" x14ac:dyDescent="0.3">
      <c r="A1765" s="35" t="s">
        <v>1435</v>
      </c>
      <c r="B1765" t="s">
        <v>1357</v>
      </c>
      <c r="C1765" s="106">
        <v>4</v>
      </c>
      <c r="D1765" s="56">
        <v>45957</v>
      </c>
      <c r="E1765" s="38">
        <v>5250</v>
      </c>
      <c r="F1765" s="38">
        <v>4946</v>
      </c>
      <c r="G1765" s="38">
        <v>304</v>
      </c>
      <c r="H1765" s="38">
        <v>1216</v>
      </c>
      <c r="I1765" s="108">
        <v>6.1463809138697936E-2</v>
      </c>
    </row>
    <row r="1766" spans="1:9" x14ac:dyDescent="0.3">
      <c r="A1766" s="35" t="s">
        <v>1435</v>
      </c>
      <c r="B1766" t="s">
        <v>1357</v>
      </c>
      <c r="C1766" s="106">
        <v>5</v>
      </c>
      <c r="E1766" s="38"/>
      <c r="F1766" s="38"/>
      <c r="G1766" s="38">
        <v>0</v>
      </c>
      <c r="H1766" s="38">
        <v>1216</v>
      </c>
      <c r="I1766" s="108" t="e">
        <v>#DIV/0!</v>
      </c>
    </row>
    <row r="1767" spans="1:9" x14ac:dyDescent="0.3">
      <c r="A1767" s="35" t="s">
        <v>1435</v>
      </c>
      <c r="B1767" t="s">
        <v>1357</v>
      </c>
      <c r="C1767" s="106">
        <v>6</v>
      </c>
      <c r="E1767" s="38"/>
      <c r="F1767" s="38"/>
      <c r="G1767" s="38">
        <v>0</v>
      </c>
      <c r="H1767" s="38">
        <v>1216</v>
      </c>
      <c r="I1767" s="108" t="e">
        <v>#DIV/0!</v>
      </c>
    </row>
    <row r="1768" spans="1:9" x14ac:dyDescent="0.3">
      <c r="A1768" s="35" t="s">
        <v>1435</v>
      </c>
      <c r="B1768" t="s">
        <v>1357</v>
      </c>
      <c r="C1768" s="106">
        <v>7</v>
      </c>
      <c r="E1768" s="38"/>
      <c r="F1768" s="38"/>
      <c r="G1768" s="38">
        <v>0</v>
      </c>
      <c r="H1768" s="38">
        <v>1216</v>
      </c>
      <c r="I1768" s="108" t="e">
        <v>#DIV/0!</v>
      </c>
    </row>
    <row r="1769" spans="1:9" x14ac:dyDescent="0.3">
      <c r="A1769" s="35" t="s">
        <v>1435</v>
      </c>
      <c r="B1769" t="s">
        <v>1357</v>
      </c>
      <c r="C1769" s="106">
        <v>8</v>
      </c>
      <c r="E1769" s="38"/>
      <c r="F1769" s="38"/>
      <c r="G1769" s="38">
        <v>0</v>
      </c>
      <c r="H1769" s="38">
        <v>1216</v>
      </c>
    </row>
    <row r="1770" spans="1:9" x14ac:dyDescent="0.3">
      <c r="A1770" s="35" t="s">
        <v>1435</v>
      </c>
      <c r="B1770" t="s">
        <v>1357</v>
      </c>
      <c r="C1770" s="106">
        <v>9</v>
      </c>
      <c r="E1770" s="38"/>
      <c r="F1770" s="38"/>
      <c r="G1770" s="38">
        <v>0</v>
      </c>
      <c r="H1770" s="38">
        <v>1216</v>
      </c>
    </row>
    <row r="1771" spans="1:9" x14ac:dyDescent="0.3">
      <c r="A1771" s="35" t="s">
        <v>1435</v>
      </c>
      <c r="B1771" t="s">
        <v>1357</v>
      </c>
      <c r="C1771" s="106">
        <v>10</v>
      </c>
      <c r="E1771" s="38"/>
      <c r="F1771" s="38"/>
      <c r="G1771" s="38">
        <v>0</v>
      </c>
      <c r="H1771" s="38">
        <v>1216</v>
      </c>
    </row>
    <row r="1772" spans="1:9" x14ac:dyDescent="0.3">
      <c r="A1772" s="35" t="s">
        <v>1435</v>
      </c>
      <c r="B1772" t="s">
        <v>1357</v>
      </c>
      <c r="C1772" s="106">
        <v>11</v>
      </c>
      <c r="E1772" s="38"/>
      <c r="F1772" s="38"/>
      <c r="G1772" s="38">
        <v>0</v>
      </c>
      <c r="H1772" s="38">
        <v>1216</v>
      </c>
    </row>
    <row r="1773" spans="1:9" x14ac:dyDescent="0.3">
      <c r="A1773" s="35" t="s">
        <v>1435</v>
      </c>
      <c r="B1773" t="s">
        <v>1357</v>
      </c>
      <c r="C1773" s="106">
        <v>12</v>
      </c>
      <c r="E1773" s="38"/>
      <c r="F1773" s="38"/>
      <c r="G1773" s="38">
        <v>0</v>
      </c>
      <c r="H1773" s="38">
        <v>1216</v>
      </c>
    </row>
    <row r="1774" spans="1:9" x14ac:dyDescent="0.3">
      <c r="A1774" s="35" t="s">
        <v>1435</v>
      </c>
      <c r="B1774" t="s">
        <v>1357</v>
      </c>
      <c r="C1774" s="106">
        <v>13</v>
      </c>
      <c r="E1774" s="38"/>
      <c r="F1774" s="38"/>
      <c r="G1774" s="38">
        <v>0</v>
      </c>
      <c r="H1774" s="38">
        <v>1216</v>
      </c>
    </row>
    <row r="1775" spans="1:9" x14ac:dyDescent="0.3">
      <c r="A1775" s="35" t="s">
        <v>1435</v>
      </c>
      <c r="B1775" t="s">
        <v>1357</v>
      </c>
      <c r="C1775" s="106">
        <v>14</v>
      </c>
      <c r="E1775" s="38"/>
      <c r="F1775" s="38"/>
      <c r="G1775" s="38">
        <v>0</v>
      </c>
      <c r="H1775" s="38">
        <v>1216</v>
      </c>
    </row>
    <row r="1776" spans="1:9" x14ac:dyDescent="0.3">
      <c r="A1776" s="35" t="s">
        <v>1435</v>
      </c>
      <c r="B1776" t="s">
        <v>1357</v>
      </c>
      <c r="C1776" s="106">
        <v>15</v>
      </c>
      <c r="E1776" s="38"/>
      <c r="F1776" s="38"/>
      <c r="G1776" s="38">
        <v>0</v>
      </c>
      <c r="H1776" s="38">
        <v>1216</v>
      </c>
    </row>
    <row r="1777" spans="1:9" ht="15" thickBot="1" x14ac:dyDescent="0.35">
      <c r="A1777" s="109" t="s">
        <v>1435</v>
      </c>
      <c r="B1777" s="110" t="s">
        <v>1357</v>
      </c>
      <c r="C1777" s="114">
        <v>16</v>
      </c>
      <c r="D1777" s="110"/>
      <c r="E1777" s="115"/>
      <c r="F1777" s="115"/>
      <c r="G1777" s="115">
        <v>0</v>
      </c>
      <c r="H1777" s="115">
        <v>1216</v>
      </c>
      <c r="I1777" s="110"/>
    </row>
    <row r="1778" spans="1:9" x14ac:dyDescent="0.3">
      <c r="A1778" s="35" t="s">
        <v>1394</v>
      </c>
      <c r="B1778" t="s">
        <v>1212</v>
      </c>
      <c r="C1778" s="106">
        <v>1</v>
      </c>
      <c r="D1778" s="56">
        <v>45937</v>
      </c>
      <c r="E1778" s="38">
        <v>3396</v>
      </c>
      <c r="F1778" s="38">
        <v>3192</v>
      </c>
      <c r="G1778" s="38">
        <v>204</v>
      </c>
      <c r="H1778" s="38">
        <v>204</v>
      </c>
      <c r="I1778" s="108">
        <v>6.3909774436090222E-2</v>
      </c>
    </row>
    <row r="1779" spans="1:9" x14ac:dyDescent="0.3">
      <c r="A1779" s="35" t="s">
        <v>1394</v>
      </c>
      <c r="B1779" t="s">
        <v>1212</v>
      </c>
      <c r="C1779" s="106">
        <v>2</v>
      </c>
      <c r="D1779" s="56">
        <v>45943</v>
      </c>
      <c r="E1779" s="38">
        <v>3396</v>
      </c>
      <c r="F1779" s="38">
        <v>3192</v>
      </c>
      <c r="G1779" s="38">
        <v>204</v>
      </c>
      <c r="H1779" s="38">
        <v>408</v>
      </c>
      <c r="I1779" s="108">
        <v>6.3909774436090222E-2</v>
      </c>
    </row>
    <row r="1780" spans="1:9" x14ac:dyDescent="0.3">
      <c r="A1780" s="35" t="s">
        <v>1394</v>
      </c>
      <c r="B1780" t="s">
        <v>1212</v>
      </c>
      <c r="C1780" s="106">
        <v>3</v>
      </c>
      <c r="D1780" s="56">
        <v>45950</v>
      </c>
      <c r="E1780" s="38">
        <v>3396</v>
      </c>
      <c r="F1780" s="38">
        <v>3192</v>
      </c>
      <c r="G1780" s="38">
        <v>204</v>
      </c>
      <c r="H1780" s="38">
        <v>612</v>
      </c>
      <c r="I1780" s="108">
        <v>6.3909774436090222E-2</v>
      </c>
    </row>
    <row r="1781" spans="1:9" x14ac:dyDescent="0.3">
      <c r="A1781" s="35" t="s">
        <v>1394</v>
      </c>
      <c r="B1781" t="s">
        <v>1212</v>
      </c>
      <c r="C1781" s="106">
        <v>4</v>
      </c>
      <c r="D1781" s="56">
        <v>45957</v>
      </c>
      <c r="E1781" s="38">
        <v>3396</v>
      </c>
      <c r="F1781" s="38">
        <v>3192</v>
      </c>
      <c r="G1781" s="38">
        <v>204</v>
      </c>
      <c r="H1781" s="38">
        <v>816</v>
      </c>
      <c r="I1781" s="108">
        <v>6.3909774436090222E-2</v>
      </c>
    </row>
    <row r="1782" spans="1:9" x14ac:dyDescent="0.3">
      <c r="A1782" s="35" t="s">
        <v>1394</v>
      </c>
      <c r="B1782" t="s">
        <v>1212</v>
      </c>
      <c r="C1782" s="106">
        <v>5</v>
      </c>
      <c r="E1782" s="38"/>
      <c r="F1782" s="38"/>
      <c r="G1782" s="38">
        <v>0</v>
      </c>
      <c r="H1782" s="38">
        <v>816</v>
      </c>
      <c r="I1782" s="108" t="e">
        <v>#DIV/0!</v>
      </c>
    </row>
    <row r="1783" spans="1:9" x14ac:dyDescent="0.3">
      <c r="A1783" s="35" t="s">
        <v>1394</v>
      </c>
      <c r="B1783" t="s">
        <v>1212</v>
      </c>
      <c r="C1783" s="106">
        <v>6</v>
      </c>
      <c r="E1783" s="38"/>
      <c r="F1783" s="38"/>
      <c r="G1783" s="38">
        <v>0</v>
      </c>
      <c r="H1783" s="38">
        <v>816</v>
      </c>
      <c r="I1783" s="108" t="e">
        <v>#DIV/0!</v>
      </c>
    </row>
    <row r="1784" spans="1:9" x14ac:dyDescent="0.3">
      <c r="A1784" s="35" t="s">
        <v>1394</v>
      </c>
      <c r="B1784" t="s">
        <v>1212</v>
      </c>
      <c r="C1784" s="106">
        <v>7</v>
      </c>
      <c r="E1784" s="38"/>
      <c r="F1784" s="38"/>
      <c r="G1784" s="38">
        <v>0</v>
      </c>
      <c r="H1784" s="38">
        <v>816</v>
      </c>
      <c r="I1784" s="108" t="e">
        <v>#DIV/0!</v>
      </c>
    </row>
    <row r="1785" spans="1:9" x14ac:dyDescent="0.3">
      <c r="A1785" s="35" t="s">
        <v>1394</v>
      </c>
      <c r="B1785" t="s">
        <v>1212</v>
      </c>
      <c r="C1785" s="106">
        <v>8</v>
      </c>
      <c r="E1785" s="38"/>
      <c r="F1785" s="38"/>
      <c r="G1785" s="38">
        <v>0</v>
      </c>
      <c r="H1785" s="38">
        <v>816</v>
      </c>
      <c r="I1785" s="108" t="e">
        <v>#DIV/0!</v>
      </c>
    </row>
    <row r="1786" spans="1:9" x14ac:dyDescent="0.3">
      <c r="A1786" s="35" t="s">
        <v>1394</v>
      </c>
      <c r="B1786" t="s">
        <v>1212</v>
      </c>
      <c r="C1786" s="106">
        <v>9</v>
      </c>
      <c r="E1786" s="38"/>
      <c r="F1786" s="38"/>
      <c r="G1786" s="38">
        <v>0</v>
      </c>
      <c r="H1786" s="38">
        <v>816</v>
      </c>
      <c r="I1786" s="108" t="e">
        <v>#DIV/0!</v>
      </c>
    </row>
    <row r="1787" spans="1:9" x14ac:dyDescent="0.3">
      <c r="A1787" s="35" t="s">
        <v>1394</v>
      </c>
      <c r="B1787" t="s">
        <v>1212</v>
      </c>
      <c r="C1787" s="106">
        <v>10</v>
      </c>
      <c r="E1787" s="38"/>
      <c r="F1787" s="38"/>
      <c r="G1787" s="38">
        <v>0</v>
      </c>
      <c r="H1787" s="38">
        <v>816</v>
      </c>
    </row>
    <row r="1788" spans="1:9" x14ac:dyDescent="0.3">
      <c r="A1788" s="35" t="s">
        <v>1394</v>
      </c>
      <c r="B1788" t="s">
        <v>1212</v>
      </c>
      <c r="C1788" s="106">
        <v>11</v>
      </c>
      <c r="E1788" s="38"/>
      <c r="F1788" s="38"/>
      <c r="G1788" s="38">
        <v>0</v>
      </c>
      <c r="H1788" s="38">
        <v>816</v>
      </c>
    </row>
    <row r="1789" spans="1:9" x14ac:dyDescent="0.3">
      <c r="A1789" s="35" t="s">
        <v>1394</v>
      </c>
      <c r="B1789" t="s">
        <v>1212</v>
      </c>
      <c r="C1789" s="106">
        <v>12</v>
      </c>
      <c r="E1789" s="38"/>
      <c r="F1789" s="38"/>
      <c r="G1789" s="38">
        <v>0</v>
      </c>
      <c r="H1789" s="38">
        <v>816</v>
      </c>
    </row>
    <row r="1790" spans="1:9" x14ac:dyDescent="0.3">
      <c r="A1790" s="35" t="s">
        <v>1394</v>
      </c>
      <c r="B1790" t="s">
        <v>1212</v>
      </c>
      <c r="C1790" s="106">
        <v>13</v>
      </c>
      <c r="E1790" s="38"/>
      <c r="F1790" s="38"/>
      <c r="G1790" s="38">
        <v>0</v>
      </c>
      <c r="H1790" s="38">
        <v>816</v>
      </c>
    </row>
    <row r="1791" spans="1:9" x14ac:dyDescent="0.3">
      <c r="A1791" s="35" t="s">
        <v>1394</v>
      </c>
      <c r="B1791" t="s">
        <v>1212</v>
      </c>
      <c r="C1791" s="106">
        <v>14</v>
      </c>
      <c r="E1791" s="38"/>
      <c r="F1791" s="38"/>
      <c r="G1791" s="38">
        <v>0</v>
      </c>
      <c r="H1791" s="38">
        <v>816</v>
      </c>
    </row>
    <row r="1792" spans="1:9" x14ac:dyDescent="0.3">
      <c r="A1792" s="35" t="s">
        <v>1394</v>
      </c>
      <c r="B1792" t="s">
        <v>1212</v>
      </c>
      <c r="C1792" s="106">
        <v>15</v>
      </c>
      <c r="G1792" s="38">
        <v>0</v>
      </c>
      <c r="H1792" s="38">
        <v>816</v>
      </c>
    </row>
    <row r="1793" spans="1:9" ht="15" thickBot="1" x14ac:dyDescent="0.35">
      <c r="A1793" s="109" t="s">
        <v>1394</v>
      </c>
      <c r="B1793" s="110" t="s">
        <v>1212</v>
      </c>
      <c r="C1793" s="114">
        <v>16</v>
      </c>
      <c r="D1793" s="110"/>
      <c r="E1793" s="110"/>
      <c r="F1793" s="110"/>
      <c r="G1793" s="115">
        <v>0</v>
      </c>
      <c r="H1793" s="115">
        <v>816</v>
      </c>
      <c r="I1793" s="110"/>
    </row>
    <row r="1794" spans="1:9" x14ac:dyDescent="0.3">
      <c r="A1794" s="35" t="s">
        <v>1429</v>
      </c>
      <c r="B1794" t="s">
        <v>1377</v>
      </c>
      <c r="C1794" s="106">
        <v>1</v>
      </c>
      <c r="D1794" s="56">
        <v>45936</v>
      </c>
      <c r="E1794">
        <v>17974</v>
      </c>
      <c r="F1794">
        <v>16341</v>
      </c>
      <c r="G1794" s="38">
        <v>1633</v>
      </c>
      <c r="H1794" s="38">
        <v>1633</v>
      </c>
      <c r="I1794" s="108">
        <v>9.9932684658221652E-2</v>
      </c>
    </row>
    <row r="1795" spans="1:9" x14ac:dyDescent="0.3">
      <c r="A1795" s="35" t="s">
        <v>1429</v>
      </c>
      <c r="B1795" t="s">
        <v>1377</v>
      </c>
      <c r="C1795" s="106">
        <v>2</v>
      </c>
      <c r="D1795" s="56">
        <v>45943</v>
      </c>
      <c r="E1795">
        <v>17974</v>
      </c>
      <c r="F1795">
        <v>16340</v>
      </c>
      <c r="G1795" s="38">
        <v>1634</v>
      </c>
      <c r="H1795" s="38">
        <v>3267</v>
      </c>
      <c r="I1795" s="108">
        <v>0.1</v>
      </c>
    </row>
    <row r="1796" spans="1:9" x14ac:dyDescent="0.3">
      <c r="A1796" s="35" t="s">
        <v>1429</v>
      </c>
      <c r="B1796" t="s">
        <v>1377</v>
      </c>
      <c r="C1796" s="106">
        <v>3</v>
      </c>
      <c r="D1796" s="56">
        <v>45950</v>
      </c>
      <c r="E1796">
        <v>17974</v>
      </c>
      <c r="F1796">
        <v>16340</v>
      </c>
      <c r="G1796" s="38">
        <v>1634</v>
      </c>
      <c r="H1796" s="38">
        <v>4901</v>
      </c>
      <c r="I1796" s="108">
        <v>0.1</v>
      </c>
    </row>
    <row r="1797" spans="1:9" x14ac:dyDescent="0.3">
      <c r="A1797" s="35" t="s">
        <v>1429</v>
      </c>
      <c r="B1797" t="s">
        <v>1377</v>
      </c>
      <c r="C1797" s="106">
        <v>4</v>
      </c>
      <c r="D1797" s="56">
        <v>45957</v>
      </c>
      <c r="E1797">
        <v>17974</v>
      </c>
      <c r="F1797">
        <v>16340</v>
      </c>
      <c r="G1797" s="38">
        <v>1634</v>
      </c>
      <c r="H1797" s="38">
        <v>6535</v>
      </c>
      <c r="I1797" s="108">
        <v>0.1</v>
      </c>
    </row>
    <row r="1798" spans="1:9" x14ac:dyDescent="0.3">
      <c r="A1798" s="35" t="s">
        <v>1429</v>
      </c>
      <c r="B1798" t="s">
        <v>1377</v>
      </c>
      <c r="C1798" s="106">
        <v>5</v>
      </c>
      <c r="G1798" s="38">
        <v>0</v>
      </c>
      <c r="H1798" s="38">
        <v>6535</v>
      </c>
      <c r="I1798" s="108" t="e">
        <v>#DIV/0!</v>
      </c>
    </row>
    <row r="1799" spans="1:9" x14ac:dyDescent="0.3">
      <c r="A1799" s="35" t="s">
        <v>1429</v>
      </c>
      <c r="B1799" t="s">
        <v>1377</v>
      </c>
      <c r="C1799" s="106">
        <v>6</v>
      </c>
      <c r="G1799" s="38">
        <v>0</v>
      </c>
      <c r="H1799" s="38">
        <v>6535</v>
      </c>
      <c r="I1799" s="108" t="e">
        <v>#DIV/0!</v>
      </c>
    </row>
    <row r="1800" spans="1:9" x14ac:dyDescent="0.3">
      <c r="A1800" s="35" t="s">
        <v>1429</v>
      </c>
      <c r="B1800" t="s">
        <v>1377</v>
      </c>
      <c r="C1800" s="106">
        <v>7</v>
      </c>
      <c r="G1800" s="38">
        <v>0</v>
      </c>
      <c r="H1800" s="38">
        <v>6535</v>
      </c>
      <c r="I1800" s="108" t="e">
        <v>#DIV/0!</v>
      </c>
    </row>
    <row r="1801" spans="1:9" x14ac:dyDescent="0.3">
      <c r="A1801" s="35" t="s">
        <v>1429</v>
      </c>
      <c r="B1801" t="s">
        <v>1377</v>
      </c>
      <c r="C1801" s="106">
        <v>8</v>
      </c>
      <c r="G1801" s="38">
        <v>0</v>
      </c>
      <c r="H1801" s="38">
        <v>6535</v>
      </c>
      <c r="I1801" s="108" t="e">
        <v>#DIV/0!</v>
      </c>
    </row>
    <row r="1802" spans="1:9" x14ac:dyDescent="0.3">
      <c r="A1802" s="35" t="s">
        <v>1429</v>
      </c>
      <c r="B1802" t="s">
        <v>1377</v>
      </c>
      <c r="C1802" s="106">
        <v>9</v>
      </c>
      <c r="G1802" s="38">
        <v>0</v>
      </c>
      <c r="H1802" s="38">
        <v>6535</v>
      </c>
      <c r="I1802" s="108" t="e">
        <v>#DIV/0!</v>
      </c>
    </row>
    <row r="1803" spans="1:9" x14ac:dyDescent="0.3">
      <c r="A1803" s="35" t="s">
        <v>1429</v>
      </c>
      <c r="B1803" t="s">
        <v>1377</v>
      </c>
      <c r="C1803" s="106">
        <v>10</v>
      </c>
      <c r="G1803" s="38">
        <v>0</v>
      </c>
      <c r="H1803" s="38">
        <v>6535</v>
      </c>
      <c r="I1803" s="108" t="e">
        <v>#DIV/0!</v>
      </c>
    </row>
    <row r="1804" spans="1:9" x14ac:dyDescent="0.3">
      <c r="A1804" s="35" t="s">
        <v>1429</v>
      </c>
      <c r="B1804" t="s">
        <v>1377</v>
      </c>
      <c r="C1804" s="106">
        <v>11</v>
      </c>
      <c r="G1804" s="38">
        <v>0</v>
      </c>
      <c r="H1804" s="38">
        <v>6535</v>
      </c>
      <c r="I1804" s="108" t="e">
        <v>#DIV/0!</v>
      </c>
    </row>
    <row r="1805" spans="1:9" x14ac:dyDescent="0.3">
      <c r="A1805" s="35" t="s">
        <v>1429</v>
      </c>
      <c r="B1805" t="s">
        <v>1377</v>
      </c>
      <c r="C1805" s="106">
        <v>12</v>
      </c>
      <c r="G1805" s="38">
        <v>0</v>
      </c>
      <c r="H1805" s="38">
        <v>6535</v>
      </c>
      <c r="I1805" s="108" t="e">
        <v>#DIV/0!</v>
      </c>
    </row>
    <row r="1806" spans="1:9" x14ac:dyDescent="0.3">
      <c r="A1806" s="35" t="s">
        <v>1429</v>
      </c>
      <c r="B1806" t="s">
        <v>1377</v>
      </c>
      <c r="C1806" s="106">
        <v>13</v>
      </c>
      <c r="G1806" s="38">
        <v>0</v>
      </c>
      <c r="H1806" s="38">
        <v>6535</v>
      </c>
      <c r="I1806" s="108" t="e">
        <v>#DIV/0!</v>
      </c>
    </row>
    <row r="1807" spans="1:9" x14ac:dyDescent="0.3">
      <c r="A1807" s="35" t="s">
        <v>1429</v>
      </c>
      <c r="B1807" t="s">
        <v>1377</v>
      </c>
      <c r="C1807" s="106">
        <v>14</v>
      </c>
      <c r="G1807" s="38">
        <v>0</v>
      </c>
      <c r="H1807" s="38">
        <v>6535</v>
      </c>
      <c r="I1807" s="108" t="e">
        <v>#DIV/0!</v>
      </c>
    </row>
    <row r="1808" spans="1:9" x14ac:dyDescent="0.3">
      <c r="A1808" s="35" t="s">
        <v>1429</v>
      </c>
      <c r="B1808" t="s">
        <v>1377</v>
      </c>
      <c r="C1808" s="106">
        <v>15</v>
      </c>
      <c r="G1808" s="38">
        <v>0</v>
      </c>
      <c r="H1808" s="38">
        <v>6535</v>
      </c>
      <c r="I1808" s="108" t="e">
        <v>#DIV/0!</v>
      </c>
    </row>
    <row r="1809" spans="1:9" ht="15" thickBot="1" x14ac:dyDescent="0.35">
      <c r="A1809" s="109" t="s">
        <v>1429</v>
      </c>
      <c r="B1809" s="110" t="s">
        <v>1377</v>
      </c>
      <c r="C1809" s="114">
        <v>16</v>
      </c>
      <c r="D1809" s="110"/>
      <c r="E1809" s="110"/>
      <c r="F1809" s="110"/>
      <c r="G1809" s="115">
        <v>0</v>
      </c>
      <c r="H1809" s="115">
        <v>6535</v>
      </c>
      <c r="I1809" s="110"/>
    </row>
    <row r="1810" spans="1:9" x14ac:dyDescent="0.3">
      <c r="A1810" s="35" t="s">
        <v>1449</v>
      </c>
      <c r="B1810" t="s">
        <v>1383</v>
      </c>
      <c r="C1810" s="106">
        <v>1</v>
      </c>
      <c r="D1810" s="56">
        <v>45937</v>
      </c>
      <c r="E1810">
        <v>3192</v>
      </c>
      <c r="F1810">
        <v>3040</v>
      </c>
      <c r="G1810" s="38">
        <v>152</v>
      </c>
      <c r="H1810" s="38">
        <v>152</v>
      </c>
      <c r="I1810" s="108">
        <v>0.05</v>
      </c>
    </row>
    <row r="1811" spans="1:9" x14ac:dyDescent="0.3">
      <c r="A1811" s="35" t="s">
        <v>1449</v>
      </c>
      <c r="B1811" t="s">
        <v>1383</v>
      </c>
      <c r="C1811" s="106">
        <v>2</v>
      </c>
      <c r="D1811" s="56">
        <v>45944</v>
      </c>
      <c r="E1811">
        <v>3194</v>
      </c>
      <c r="F1811">
        <v>3040</v>
      </c>
      <c r="G1811" s="38">
        <v>154</v>
      </c>
      <c r="H1811" s="38">
        <v>306</v>
      </c>
      <c r="I1811" s="108">
        <v>5.0657894736842103E-2</v>
      </c>
    </row>
    <row r="1812" spans="1:9" x14ac:dyDescent="0.3">
      <c r="A1812" s="35" t="s">
        <v>1449</v>
      </c>
      <c r="B1812" t="s">
        <v>1383</v>
      </c>
      <c r="C1812" s="106">
        <v>3</v>
      </c>
      <c r="D1812" s="56">
        <v>45951</v>
      </c>
      <c r="E1812">
        <v>3194</v>
      </c>
      <c r="F1812" s="125">
        <v>3040</v>
      </c>
      <c r="G1812" s="38">
        <v>154</v>
      </c>
      <c r="H1812" s="38">
        <v>460</v>
      </c>
      <c r="I1812" s="108">
        <v>5.0657894736842103E-2</v>
      </c>
    </row>
    <row r="1813" spans="1:9" x14ac:dyDescent="0.3">
      <c r="A1813" s="35" t="s">
        <v>1449</v>
      </c>
      <c r="B1813" t="s">
        <v>1383</v>
      </c>
      <c r="C1813" s="106">
        <v>4</v>
      </c>
      <c r="D1813" s="56">
        <v>45958</v>
      </c>
      <c r="E1813">
        <v>3194</v>
      </c>
      <c r="F1813">
        <v>3040</v>
      </c>
      <c r="G1813" s="38">
        <v>154</v>
      </c>
      <c r="H1813" s="38">
        <v>614</v>
      </c>
      <c r="I1813" s="108">
        <v>5.0657894736842103E-2</v>
      </c>
    </row>
    <row r="1814" spans="1:9" x14ac:dyDescent="0.3">
      <c r="A1814" s="35" t="s">
        <v>1449</v>
      </c>
      <c r="B1814" t="s">
        <v>1383</v>
      </c>
      <c r="C1814" s="106">
        <v>5</v>
      </c>
      <c r="G1814" s="38">
        <v>0</v>
      </c>
      <c r="H1814" s="38">
        <v>614</v>
      </c>
      <c r="I1814" s="108" t="e">
        <v>#DIV/0!</v>
      </c>
    </row>
    <row r="1815" spans="1:9" x14ac:dyDescent="0.3">
      <c r="A1815" s="35" t="s">
        <v>1449</v>
      </c>
      <c r="B1815" t="s">
        <v>1383</v>
      </c>
      <c r="C1815" s="106">
        <v>6</v>
      </c>
      <c r="G1815" s="38">
        <v>0</v>
      </c>
      <c r="H1815" s="38">
        <v>614</v>
      </c>
      <c r="I1815" s="108" t="e">
        <v>#DIV/0!</v>
      </c>
    </row>
    <row r="1816" spans="1:9" x14ac:dyDescent="0.3">
      <c r="A1816" s="35" t="s">
        <v>1449</v>
      </c>
      <c r="B1816" t="s">
        <v>1383</v>
      </c>
      <c r="C1816" s="106">
        <v>7</v>
      </c>
      <c r="G1816" s="38">
        <v>0</v>
      </c>
      <c r="H1816" s="38">
        <v>614</v>
      </c>
      <c r="I1816" s="108" t="e">
        <v>#DIV/0!</v>
      </c>
    </row>
    <row r="1817" spans="1:9" x14ac:dyDescent="0.3">
      <c r="A1817" s="35" t="s">
        <v>1449</v>
      </c>
      <c r="B1817" t="s">
        <v>1383</v>
      </c>
      <c r="C1817" s="106">
        <v>8</v>
      </c>
      <c r="G1817" s="38">
        <v>0</v>
      </c>
      <c r="H1817" s="38">
        <v>614</v>
      </c>
      <c r="I1817" s="108" t="e">
        <v>#DIV/0!</v>
      </c>
    </row>
    <row r="1818" spans="1:9" x14ac:dyDescent="0.3">
      <c r="A1818" s="35" t="s">
        <v>1449</v>
      </c>
      <c r="B1818" t="s">
        <v>1383</v>
      </c>
      <c r="C1818" s="106">
        <v>9</v>
      </c>
      <c r="G1818" s="38">
        <v>0</v>
      </c>
      <c r="H1818" s="38">
        <v>614</v>
      </c>
      <c r="I1818" s="108" t="e">
        <v>#DIV/0!</v>
      </c>
    </row>
    <row r="1819" spans="1:9" x14ac:dyDescent="0.3">
      <c r="A1819" s="35" t="s">
        <v>1449</v>
      </c>
      <c r="B1819" t="s">
        <v>1383</v>
      </c>
      <c r="C1819" s="106">
        <v>10</v>
      </c>
      <c r="G1819" s="38">
        <v>0</v>
      </c>
      <c r="H1819" s="38">
        <v>614</v>
      </c>
      <c r="I1819" s="108" t="e">
        <v>#DIV/0!</v>
      </c>
    </row>
    <row r="1820" spans="1:9" x14ac:dyDescent="0.3">
      <c r="A1820" s="35" t="s">
        <v>1449</v>
      </c>
      <c r="B1820" t="s">
        <v>1383</v>
      </c>
      <c r="C1820" s="106">
        <v>11</v>
      </c>
      <c r="G1820" s="38">
        <v>0</v>
      </c>
      <c r="H1820" s="38">
        <v>614</v>
      </c>
      <c r="I1820" s="108" t="e">
        <v>#DIV/0!</v>
      </c>
    </row>
    <row r="1821" spans="1:9" x14ac:dyDescent="0.3">
      <c r="A1821" s="35" t="s">
        <v>1449</v>
      </c>
      <c r="B1821" t="s">
        <v>1383</v>
      </c>
      <c r="C1821" s="106">
        <v>12</v>
      </c>
      <c r="G1821" s="38">
        <v>0</v>
      </c>
      <c r="H1821" s="38">
        <v>614</v>
      </c>
      <c r="I1821" s="108" t="e">
        <v>#DIV/0!</v>
      </c>
    </row>
    <row r="1822" spans="1:9" x14ac:dyDescent="0.3">
      <c r="A1822" s="35" t="s">
        <v>1449</v>
      </c>
      <c r="B1822" t="s">
        <v>1383</v>
      </c>
      <c r="C1822" s="106">
        <v>13</v>
      </c>
      <c r="G1822" s="38">
        <v>0</v>
      </c>
      <c r="H1822" s="38">
        <v>614</v>
      </c>
      <c r="I1822" s="108" t="e">
        <v>#DIV/0!</v>
      </c>
    </row>
    <row r="1823" spans="1:9" x14ac:dyDescent="0.3">
      <c r="A1823" s="35" t="s">
        <v>1449</v>
      </c>
      <c r="B1823" t="s">
        <v>1383</v>
      </c>
      <c r="C1823" s="106">
        <v>14</v>
      </c>
      <c r="G1823" s="38">
        <v>0</v>
      </c>
      <c r="H1823" s="38">
        <v>614</v>
      </c>
      <c r="I1823" s="108" t="e">
        <v>#DIV/0!</v>
      </c>
    </row>
    <row r="1824" spans="1:9" x14ac:dyDescent="0.3">
      <c r="A1824" s="35" t="s">
        <v>1449</v>
      </c>
      <c r="B1824" t="s">
        <v>1383</v>
      </c>
      <c r="C1824" s="106">
        <v>15</v>
      </c>
      <c r="G1824" s="38">
        <v>0</v>
      </c>
      <c r="H1824" s="38">
        <v>614</v>
      </c>
      <c r="I1824" s="108" t="e">
        <v>#DIV/0!</v>
      </c>
    </row>
    <row r="1825" spans="1:9" ht="15" thickBot="1" x14ac:dyDescent="0.35">
      <c r="A1825" s="109" t="s">
        <v>1449</v>
      </c>
      <c r="B1825" s="110" t="s">
        <v>1383</v>
      </c>
      <c r="C1825" s="114">
        <v>16</v>
      </c>
      <c r="D1825" s="110"/>
      <c r="E1825" s="110"/>
      <c r="F1825" s="110"/>
      <c r="G1825" s="115">
        <v>0</v>
      </c>
      <c r="H1825" s="115">
        <v>614</v>
      </c>
      <c r="I1825" s="110"/>
    </row>
    <row r="1826" spans="1:9" x14ac:dyDescent="0.3">
      <c r="A1826" s="35" t="s">
        <v>1476</v>
      </c>
      <c r="B1826" t="s">
        <v>1103</v>
      </c>
      <c r="C1826" s="106">
        <v>1</v>
      </c>
      <c r="D1826" s="56">
        <v>45938</v>
      </c>
      <c r="E1826">
        <v>5586</v>
      </c>
      <c r="F1826">
        <v>5325</v>
      </c>
      <c r="G1826" s="38">
        <v>261</v>
      </c>
      <c r="H1826" s="38">
        <v>261</v>
      </c>
      <c r="I1826" s="108">
        <v>4.9014084507042255E-2</v>
      </c>
    </row>
    <row r="1827" spans="1:9" x14ac:dyDescent="0.3">
      <c r="A1827" s="35" t="s">
        <v>1476</v>
      </c>
      <c r="B1827" t="s">
        <v>1103</v>
      </c>
      <c r="C1827" s="106">
        <v>2</v>
      </c>
      <c r="D1827" s="56">
        <v>45945</v>
      </c>
      <c r="E1827">
        <v>5586</v>
      </c>
      <c r="F1827">
        <v>5325</v>
      </c>
      <c r="G1827" s="38">
        <v>261</v>
      </c>
      <c r="H1827" s="38">
        <v>522</v>
      </c>
      <c r="I1827" s="108">
        <v>4.9014084507042255E-2</v>
      </c>
    </row>
    <row r="1828" spans="1:9" x14ac:dyDescent="0.3">
      <c r="A1828" s="35" t="s">
        <v>1476</v>
      </c>
      <c r="B1828" t="s">
        <v>1103</v>
      </c>
      <c r="C1828" s="106">
        <v>3</v>
      </c>
      <c r="D1828" s="56">
        <v>45952</v>
      </c>
      <c r="E1828">
        <v>5586</v>
      </c>
      <c r="F1828">
        <v>5326</v>
      </c>
      <c r="G1828" s="38">
        <v>260</v>
      </c>
      <c r="H1828" s="38">
        <v>782</v>
      </c>
      <c r="I1828" s="108">
        <v>4.8817123544874205E-2</v>
      </c>
    </row>
    <row r="1829" spans="1:9" x14ac:dyDescent="0.3">
      <c r="A1829" s="35" t="s">
        <v>1476</v>
      </c>
      <c r="B1829" t="s">
        <v>1103</v>
      </c>
      <c r="C1829" s="106">
        <v>4</v>
      </c>
      <c r="D1829" s="56">
        <v>45959</v>
      </c>
      <c r="E1829">
        <v>5586</v>
      </c>
      <c r="F1829">
        <v>5325</v>
      </c>
      <c r="G1829" s="38">
        <v>261</v>
      </c>
      <c r="H1829" s="38">
        <v>1043</v>
      </c>
      <c r="I1829" s="108">
        <v>4.9014084507042255E-2</v>
      </c>
    </row>
    <row r="1830" spans="1:9" x14ac:dyDescent="0.3">
      <c r="A1830" s="35" t="s">
        <v>1476</v>
      </c>
      <c r="B1830" t="s">
        <v>1103</v>
      </c>
      <c r="C1830" s="106">
        <v>5</v>
      </c>
      <c r="G1830" s="38">
        <v>0</v>
      </c>
      <c r="H1830" s="38">
        <v>1043</v>
      </c>
    </row>
    <row r="1831" spans="1:9" x14ac:dyDescent="0.3">
      <c r="A1831" s="35" t="s">
        <v>1476</v>
      </c>
      <c r="B1831" t="s">
        <v>1103</v>
      </c>
      <c r="C1831" s="106">
        <v>6</v>
      </c>
      <c r="G1831" s="38">
        <v>0</v>
      </c>
      <c r="H1831" s="38">
        <v>1043</v>
      </c>
    </row>
    <row r="1832" spans="1:9" x14ac:dyDescent="0.3">
      <c r="A1832" s="35" t="s">
        <v>1476</v>
      </c>
      <c r="B1832" t="s">
        <v>1103</v>
      </c>
      <c r="C1832" s="106">
        <v>7</v>
      </c>
      <c r="G1832" s="38">
        <v>0</v>
      </c>
      <c r="H1832" s="38">
        <v>1043</v>
      </c>
    </row>
    <row r="1833" spans="1:9" x14ac:dyDescent="0.3">
      <c r="A1833" s="35" t="s">
        <v>1476</v>
      </c>
      <c r="B1833" t="s">
        <v>1103</v>
      </c>
      <c r="C1833" s="106">
        <v>8</v>
      </c>
      <c r="G1833" s="38">
        <v>0</v>
      </c>
      <c r="H1833" s="38">
        <v>1043</v>
      </c>
    </row>
    <row r="1834" spans="1:9" x14ac:dyDescent="0.3">
      <c r="A1834" s="35" t="s">
        <v>1476</v>
      </c>
      <c r="B1834" t="s">
        <v>1103</v>
      </c>
      <c r="C1834" s="106">
        <v>9</v>
      </c>
      <c r="G1834" s="38">
        <v>0</v>
      </c>
      <c r="H1834" s="38">
        <v>1043</v>
      </c>
    </row>
    <row r="1835" spans="1:9" x14ac:dyDescent="0.3">
      <c r="A1835" s="35" t="s">
        <v>1476</v>
      </c>
      <c r="B1835" t="s">
        <v>1103</v>
      </c>
      <c r="C1835" s="106">
        <v>10</v>
      </c>
      <c r="G1835" s="38">
        <v>0</v>
      </c>
      <c r="H1835" s="38">
        <v>1043</v>
      </c>
    </row>
    <row r="1836" spans="1:9" x14ac:dyDescent="0.3">
      <c r="A1836" s="35" t="s">
        <v>1476</v>
      </c>
      <c r="B1836" t="s">
        <v>1103</v>
      </c>
      <c r="C1836" s="106">
        <v>11</v>
      </c>
      <c r="G1836" s="38">
        <v>0</v>
      </c>
      <c r="H1836" s="38">
        <v>1043</v>
      </c>
    </row>
    <row r="1837" spans="1:9" x14ac:dyDescent="0.3">
      <c r="A1837" s="35" t="s">
        <v>1476</v>
      </c>
      <c r="B1837" t="s">
        <v>1103</v>
      </c>
      <c r="C1837" s="106">
        <v>12</v>
      </c>
      <c r="G1837" s="38">
        <v>0</v>
      </c>
      <c r="H1837" s="38">
        <v>1043</v>
      </c>
    </row>
    <row r="1838" spans="1:9" x14ac:dyDescent="0.3">
      <c r="A1838" s="35" t="s">
        <v>1476</v>
      </c>
      <c r="B1838" t="s">
        <v>1103</v>
      </c>
      <c r="C1838" s="106">
        <v>13</v>
      </c>
      <c r="G1838" s="38">
        <v>0</v>
      </c>
      <c r="H1838" s="38">
        <v>1043</v>
      </c>
    </row>
    <row r="1839" spans="1:9" x14ac:dyDescent="0.3">
      <c r="A1839" s="35" t="s">
        <v>1476</v>
      </c>
      <c r="B1839" t="s">
        <v>1103</v>
      </c>
      <c r="C1839" s="106">
        <v>14</v>
      </c>
      <c r="G1839" s="38">
        <v>0</v>
      </c>
      <c r="H1839" s="38">
        <v>1043</v>
      </c>
    </row>
    <row r="1840" spans="1:9" x14ac:dyDescent="0.3">
      <c r="A1840" s="35" t="s">
        <v>1476</v>
      </c>
      <c r="B1840" t="s">
        <v>1103</v>
      </c>
      <c r="C1840" s="106">
        <v>15</v>
      </c>
      <c r="G1840" s="38">
        <v>0</v>
      </c>
      <c r="H1840" s="38">
        <v>1043</v>
      </c>
    </row>
    <row r="1841" spans="1:9" ht="15" thickBot="1" x14ac:dyDescent="0.35">
      <c r="A1841" s="109" t="s">
        <v>1476</v>
      </c>
      <c r="B1841" s="110" t="s">
        <v>1103</v>
      </c>
      <c r="C1841" s="114">
        <v>16</v>
      </c>
      <c r="D1841" s="110"/>
      <c r="E1841" s="110"/>
      <c r="F1841" s="110"/>
      <c r="G1841" s="115">
        <v>0</v>
      </c>
      <c r="H1841" s="115">
        <v>1043</v>
      </c>
      <c r="I1841" s="110"/>
    </row>
    <row r="1842" spans="1:9" x14ac:dyDescent="0.3">
      <c r="A1842" s="35" t="s">
        <v>1459</v>
      </c>
      <c r="B1842" t="s">
        <v>686</v>
      </c>
      <c r="C1842" s="106">
        <v>1</v>
      </c>
      <c r="D1842" s="56">
        <v>45937</v>
      </c>
      <c r="E1842">
        <v>7342</v>
      </c>
      <c r="F1842">
        <v>6993</v>
      </c>
      <c r="G1842" s="38">
        <v>349</v>
      </c>
      <c r="H1842" s="38">
        <v>349</v>
      </c>
      <c r="I1842" s="108">
        <v>4.9907049907049909E-2</v>
      </c>
    </row>
    <row r="1843" spans="1:9" x14ac:dyDescent="0.3">
      <c r="A1843" s="35" t="s">
        <v>1459</v>
      </c>
      <c r="B1843" t="s">
        <v>686</v>
      </c>
      <c r="C1843" s="106">
        <v>2</v>
      </c>
      <c r="D1843" s="56">
        <v>45944</v>
      </c>
      <c r="E1843">
        <v>7348</v>
      </c>
      <c r="F1843">
        <v>6998</v>
      </c>
      <c r="G1843" s="38">
        <v>350</v>
      </c>
      <c r="H1843" s="38">
        <v>699</v>
      </c>
      <c r="I1843" s="108">
        <v>5.0014289797084881E-2</v>
      </c>
    </row>
    <row r="1844" spans="1:9" x14ac:dyDescent="0.3">
      <c r="A1844" s="35" t="s">
        <v>1459</v>
      </c>
      <c r="B1844" t="s">
        <v>686</v>
      </c>
      <c r="C1844" s="106">
        <v>3</v>
      </c>
      <c r="D1844" s="56">
        <v>45951</v>
      </c>
      <c r="E1844">
        <v>7348</v>
      </c>
      <c r="F1844">
        <v>6998</v>
      </c>
      <c r="G1844" s="38">
        <v>350</v>
      </c>
      <c r="H1844" s="38">
        <v>1049</v>
      </c>
      <c r="I1844" s="108">
        <v>5.0014289797084881E-2</v>
      </c>
    </row>
    <row r="1845" spans="1:9" x14ac:dyDescent="0.3">
      <c r="A1845" s="35" t="s">
        <v>1459</v>
      </c>
      <c r="B1845" t="s">
        <v>686</v>
      </c>
      <c r="C1845" s="106">
        <v>4</v>
      </c>
      <c r="D1845" s="56">
        <v>45958</v>
      </c>
      <c r="E1845">
        <v>7348</v>
      </c>
      <c r="F1845">
        <v>6998</v>
      </c>
      <c r="G1845" s="38">
        <v>350</v>
      </c>
      <c r="H1845" s="38">
        <v>1399</v>
      </c>
    </row>
    <row r="1846" spans="1:9" x14ac:dyDescent="0.3">
      <c r="A1846" s="35" t="s">
        <v>1459</v>
      </c>
      <c r="B1846" t="s">
        <v>686</v>
      </c>
      <c r="C1846" s="106">
        <v>5</v>
      </c>
      <c r="G1846" s="38">
        <v>0</v>
      </c>
      <c r="H1846" s="38">
        <v>1399</v>
      </c>
    </row>
    <row r="1847" spans="1:9" x14ac:dyDescent="0.3">
      <c r="A1847" s="35" t="s">
        <v>1459</v>
      </c>
      <c r="B1847" t="s">
        <v>686</v>
      </c>
      <c r="C1847" s="106">
        <v>6</v>
      </c>
      <c r="G1847" s="38">
        <v>0</v>
      </c>
      <c r="H1847" s="38">
        <v>1399</v>
      </c>
    </row>
    <row r="1848" spans="1:9" x14ac:dyDescent="0.3">
      <c r="A1848" s="35" t="s">
        <v>1459</v>
      </c>
      <c r="B1848" t="s">
        <v>686</v>
      </c>
      <c r="C1848" s="106">
        <v>7</v>
      </c>
      <c r="G1848" s="38">
        <v>0</v>
      </c>
      <c r="H1848" s="38">
        <v>1399</v>
      </c>
    </row>
    <row r="1849" spans="1:9" x14ac:dyDescent="0.3">
      <c r="A1849" s="35" t="s">
        <v>1459</v>
      </c>
      <c r="B1849" t="s">
        <v>686</v>
      </c>
      <c r="C1849" s="106">
        <v>8</v>
      </c>
      <c r="G1849" s="38">
        <v>0</v>
      </c>
      <c r="H1849" s="38">
        <v>1399</v>
      </c>
    </row>
    <row r="1850" spans="1:9" x14ac:dyDescent="0.3">
      <c r="A1850" s="35" t="s">
        <v>1459</v>
      </c>
      <c r="B1850" t="s">
        <v>686</v>
      </c>
      <c r="C1850" s="106">
        <v>9</v>
      </c>
      <c r="G1850" s="38">
        <v>0</v>
      </c>
      <c r="H1850" s="38">
        <v>1399</v>
      </c>
    </row>
    <row r="1851" spans="1:9" x14ac:dyDescent="0.3">
      <c r="A1851" s="35" t="s">
        <v>1459</v>
      </c>
      <c r="B1851" t="s">
        <v>686</v>
      </c>
      <c r="C1851" s="106">
        <v>10</v>
      </c>
      <c r="G1851" s="38">
        <v>0</v>
      </c>
      <c r="H1851" s="38">
        <v>1399</v>
      </c>
    </row>
    <row r="1852" spans="1:9" x14ac:dyDescent="0.3">
      <c r="A1852" s="35" t="s">
        <v>1459</v>
      </c>
      <c r="B1852" t="s">
        <v>686</v>
      </c>
      <c r="C1852" s="106">
        <v>11</v>
      </c>
      <c r="G1852" s="38">
        <v>0</v>
      </c>
      <c r="H1852" s="38">
        <v>1399</v>
      </c>
    </row>
    <row r="1853" spans="1:9" x14ac:dyDescent="0.3">
      <c r="A1853" s="35" t="s">
        <v>1459</v>
      </c>
      <c r="B1853" t="s">
        <v>686</v>
      </c>
      <c r="C1853" s="106">
        <v>12</v>
      </c>
      <c r="G1853" s="38">
        <v>0</v>
      </c>
      <c r="H1853" s="38">
        <v>1399</v>
      </c>
    </row>
    <row r="1854" spans="1:9" x14ac:dyDescent="0.3">
      <c r="A1854" s="35" t="s">
        <v>1459</v>
      </c>
      <c r="B1854" t="s">
        <v>686</v>
      </c>
      <c r="C1854" s="106">
        <v>13</v>
      </c>
      <c r="G1854" s="38">
        <v>0</v>
      </c>
      <c r="H1854" s="38">
        <v>1399</v>
      </c>
    </row>
    <row r="1855" spans="1:9" x14ac:dyDescent="0.3">
      <c r="A1855" s="35" t="s">
        <v>1459</v>
      </c>
      <c r="B1855" t="s">
        <v>686</v>
      </c>
      <c r="C1855" s="106">
        <v>14</v>
      </c>
      <c r="G1855" s="38">
        <v>0</v>
      </c>
      <c r="H1855" s="38">
        <v>1399</v>
      </c>
    </row>
    <row r="1856" spans="1:9" x14ac:dyDescent="0.3">
      <c r="A1856" s="35" t="s">
        <v>1459</v>
      </c>
      <c r="B1856" t="s">
        <v>686</v>
      </c>
      <c r="C1856" s="106">
        <v>15</v>
      </c>
      <c r="G1856" s="38">
        <v>0</v>
      </c>
      <c r="H1856" s="38">
        <v>1399</v>
      </c>
    </row>
    <row r="1857" spans="1:9" ht="15" thickBot="1" x14ac:dyDescent="0.35">
      <c r="A1857" s="109" t="s">
        <v>1459</v>
      </c>
      <c r="B1857" s="110" t="s">
        <v>686</v>
      </c>
      <c r="C1857" s="114">
        <v>16</v>
      </c>
      <c r="D1857" s="110"/>
      <c r="E1857" s="110"/>
      <c r="F1857" s="110"/>
      <c r="G1857" s="115">
        <v>0</v>
      </c>
      <c r="H1857" s="115">
        <v>1399</v>
      </c>
      <c r="I1857" s="110"/>
    </row>
    <row r="1858" spans="1:9" x14ac:dyDescent="0.3">
      <c r="A1858" s="35" t="s">
        <v>1475</v>
      </c>
      <c r="B1858" t="s">
        <v>1378</v>
      </c>
      <c r="C1858" s="106">
        <v>1</v>
      </c>
      <c r="D1858" s="56">
        <v>45938</v>
      </c>
      <c r="E1858">
        <v>6940</v>
      </c>
      <c r="F1858">
        <v>4712</v>
      </c>
      <c r="G1858" s="38">
        <v>2228</v>
      </c>
      <c r="H1858" s="38">
        <v>2228</v>
      </c>
      <c r="I1858" s="108">
        <v>0.47283531409168084</v>
      </c>
    </row>
    <row r="1859" spans="1:9" x14ac:dyDescent="0.3">
      <c r="A1859" s="35" t="s">
        <v>1475</v>
      </c>
      <c r="B1859" t="s">
        <v>1378</v>
      </c>
      <c r="C1859" s="106">
        <v>2</v>
      </c>
      <c r="D1859" s="56">
        <v>45945</v>
      </c>
      <c r="E1859">
        <v>7040</v>
      </c>
      <c r="F1859">
        <v>4712</v>
      </c>
      <c r="G1859" s="38">
        <v>2328</v>
      </c>
      <c r="H1859" s="38">
        <v>4556</v>
      </c>
      <c r="I1859" s="108">
        <v>0.49405772495755518</v>
      </c>
    </row>
    <row r="1860" spans="1:9" x14ac:dyDescent="0.3">
      <c r="A1860" s="35" t="s">
        <v>1475</v>
      </c>
      <c r="B1860" t="s">
        <v>1378</v>
      </c>
      <c r="C1860" s="106">
        <v>3</v>
      </c>
      <c r="D1860" s="56">
        <v>45951</v>
      </c>
      <c r="E1860">
        <v>7040</v>
      </c>
      <c r="F1860">
        <v>4712</v>
      </c>
      <c r="G1860" s="38">
        <v>2328</v>
      </c>
      <c r="H1860" s="38">
        <v>6884</v>
      </c>
      <c r="I1860" s="108">
        <v>0.49405772495755518</v>
      </c>
    </row>
    <row r="1861" spans="1:9" x14ac:dyDescent="0.3">
      <c r="A1861" s="35" t="s">
        <v>1475</v>
      </c>
      <c r="B1861" t="s">
        <v>1378</v>
      </c>
      <c r="C1861" s="106">
        <v>4</v>
      </c>
      <c r="D1861" s="56">
        <v>45959</v>
      </c>
      <c r="E1861">
        <v>7040</v>
      </c>
      <c r="F1861">
        <v>4712</v>
      </c>
      <c r="G1861" s="38">
        <v>2328</v>
      </c>
      <c r="H1861" s="38">
        <v>9212</v>
      </c>
      <c r="I1861" s="108">
        <v>0.49405772495755518</v>
      </c>
    </row>
    <row r="1862" spans="1:9" x14ac:dyDescent="0.3">
      <c r="A1862" s="35" t="s">
        <v>1475</v>
      </c>
      <c r="B1862" t="s">
        <v>1378</v>
      </c>
      <c r="C1862" s="106">
        <v>5</v>
      </c>
      <c r="G1862" s="38">
        <v>0</v>
      </c>
      <c r="H1862" s="38">
        <v>9212</v>
      </c>
      <c r="I1862" s="108" t="e">
        <v>#DIV/0!</v>
      </c>
    </row>
    <row r="1863" spans="1:9" x14ac:dyDescent="0.3">
      <c r="A1863" s="35" t="s">
        <v>1475</v>
      </c>
      <c r="B1863" t="s">
        <v>1378</v>
      </c>
      <c r="C1863" s="106">
        <v>6</v>
      </c>
      <c r="G1863" s="38">
        <v>0</v>
      </c>
      <c r="H1863" s="38">
        <v>9212</v>
      </c>
      <c r="I1863" s="108" t="e">
        <v>#DIV/0!</v>
      </c>
    </row>
    <row r="1864" spans="1:9" x14ac:dyDescent="0.3">
      <c r="A1864" s="35" t="s">
        <v>1475</v>
      </c>
      <c r="B1864" t="s">
        <v>1378</v>
      </c>
      <c r="C1864" s="106">
        <v>7</v>
      </c>
      <c r="G1864" s="38">
        <v>0</v>
      </c>
      <c r="H1864" s="38">
        <v>9212</v>
      </c>
    </row>
    <row r="1865" spans="1:9" x14ac:dyDescent="0.3">
      <c r="A1865" s="35" t="s">
        <v>1475</v>
      </c>
      <c r="B1865" t="s">
        <v>1378</v>
      </c>
      <c r="C1865" s="106">
        <v>8</v>
      </c>
      <c r="G1865" s="38">
        <v>0</v>
      </c>
      <c r="H1865" s="38">
        <v>9212</v>
      </c>
    </row>
    <row r="1866" spans="1:9" x14ac:dyDescent="0.3">
      <c r="A1866" s="35" t="s">
        <v>1475</v>
      </c>
      <c r="B1866" t="s">
        <v>1378</v>
      </c>
      <c r="C1866" s="106">
        <v>9</v>
      </c>
      <c r="G1866" s="38">
        <v>0</v>
      </c>
      <c r="H1866" s="38">
        <v>9212</v>
      </c>
    </row>
    <row r="1867" spans="1:9" x14ac:dyDescent="0.3">
      <c r="A1867" s="35" t="s">
        <v>1475</v>
      </c>
      <c r="B1867" t="s">
        <v>1378</v>
      </c>
      <c r="C1867" s="106">
        <v>10</v>
      </c>
      <c r="G1867" s="38">
        <v>0</v>
      </c>
      <c r="H1867" s="38">
        <v>9212</v>
      </c>
    </row>
    <row r="1868" spans="1:9" x14ac:dyDescent="0.3">
      <c r="A1868" s="35" t="s">
        <v>1475</v>
      </c>
      <c r="B1868" t="s">
        <v>1378</v>
      </c>
      <c r="C1868" s="106">
        <v>11</v>
      </c>
      <c r="G1868" s="38">
        <v>0</v>
      </c>
      <c r="H1868" s="38">
        <v>9212</v>
      </c>
    </row>
    <row r="1869" spans="1:9" x14ac:dyDescent="0.3">
      <c r="A1869" s="35" t="s">
        <v>1475</v>
      </c>
      <c r="B1869" t="s">
        <v>1378</v>
      </c>
      <c r="C1869" s="106">
        <v>12</v>
      </c>
      <c r="G1869" s="38">
        <v>0</v>
      </c>
      <c r="H1869" s="38">
        <v>9212</v>
      </c>
    </row>
    <row r="1870" spans="1:9" x14ac:dyDescent="0.3">
      <c r="A1870" s="35" t="s">
        <v>1475</v>
      </c>
      <c r="B1870" t="s">
        <v>1378</v>
      </c>
      <c r="C1870" s="106">
        <v>13</v>
      </c>
      <c r="G1870" s="38">
        <v>0</v>
      </c>
      <c r="H1870" s="38">
        <v>9212</v>
      </c>
    </row>
    <row r="1871" spans="1:9" x14ac:dyDescent="0.3">
      <c r="A1871" s="35" t="s">
        <v>1475</v>
      </c>
      <c r="B1871" t="s">
        <v>1378</v>
      </c>
      <c r="C1871" s="106">
        <v>14</v>
      </c>
      <c r="G1871" s="38">
        <v>0</v>
      </c>
      <c r="H1871" s="38">
        <v>9212</v>
      </c>
    </row>
    <row r="1872" spans="1:9" x14ac:dyDescent="0.3">
      <c r="A1872" s="35" t="s">
        <v>1475</v>
      </c>
      <c r="B1872" t="s">
        <v>1378</v>
      </c>
      <c r="C1872" s="106">
        <v>15</v>
      </c>
      <c r="G1872" s="38">
        <v>0</v>
      </c>
      <c r="H1872" s="38">
        <v>9212</v>
      </c>
    </row>
    <row r="1873" spans="1:9" ht="15" thickBot="1" x14ac:dyDescent="0.35">
      <c r="A1873" s="109" t="s">
        <v>1475</v>
      </c>
      <c r="B1873" s="110" t="s">
        <v>1378</v>
      </c>
      <c r="C1873" s="114">
        <v>16</v>
      </c>
      <c r="D1873" s="110"/>
      <c r="E1873" s="110"/>
      <c r="F1873" s="110"/>
      <c r="G1873" s="115">
        <v>0</v>
      </c>
      <c r="H1873" s="115">
        <v>9212</v>
      </c>
      <c r="I1873" s="110"/>
    </row>
    <row r="1874" spans="1:9" x14ac:dyDescent="0.3">
      <c r="A1874" s="35" t="s">
        <v>1468</v>
      </c>
      <c r="B1874" t="s">
        <v>1384</v>
      </c>
      <c r="C1874" s="106">
        <v>1</v>
      </c>
      <c r="D1874" s="56">
        <v>45937</v>
      </c>
      <c r="E1874">
        <v>4708</v>
      </c>
      <c r="F1874">
        <v>4484</v>
      </c>
      <c r="G1874" s="38">
        <v>224</v>
      </c>
      <c r="H1874" s="38">
        <v>224</v>
      </c>
      <c r="I1874" s="108">
        <v>4.9955396966993755E-2</v>
      </c>
    </row>
    <row r="1875" spans="1:9" x14ac:dyDescent="0.3">
      <c r="A1875" s="35" t="s">
        <v>1468</v>
      </c>
      <c r="B1875" t="s">
        <v>1384</v>
      </c>
      <c r="C1875" s="106">
        <v>2</v>
      </c>
      <c r="D1875" s="56">
        <v>45944</v>
      </c>
      <c r="E1875">
        <v>4720</v>
      </c>
      <c r="F1875">
        <v>4484</v>
      </c>
      <c r="G1875" s="38">
        <v>236</v>
      </c>
      <c r="H1875" s="38">
        <v>460</v>
      </c>
      <c r="I1875" s="108">
        <v>5.2631578947368418E-2</v>
      </c>
    </row>
    <row r="1876" spans="1:9" x14ac:dyDescent="0.3">
      <c r="A1876" s="35" t="s">
        <v>1468</v>
      </c>
      <c r="B1876" t="s">
        <v>1384</v>
      </c>
      <c r="C1876" s="106">
        <v>3</v>
      </c>
      <c r="D1876" s="56">
        <v>45951</v>
      </c>
      <c r="E1876">
        <v>4710</v>
      </c>
      <c r="F1876">
        <v>4484</v>
      </c>
      <c r="G1876" s="38">
        <v>226</v>
      </c>
      <c r="H1876" s="38">
        <v>686</v>
      </c>
      <c r="I1876" s="108">
        <v>5.0401427297056198E-2</v>
      </c>
    </row>
    <row r="1877" spans="1:9" x14ac:dyDescent="0.3">
      <c r="A1877" s="35" t="s">
        <v>1468</v>
      </c>
      <c r="B1877" t="s">
        <v>1384</v>
      </c>
      <c r="C1877" s="106">
        <v>4</v>
      </c>
      <c r="D1877" s="56">
        <v>45958</v>
      </c>
      <c r="E1877">
        <v>4710</v>
      </c>
      <c r="F1877">
        <v>4484</v>
      </c>
      <c r="G1877" s="38">
        <v>226</v>
      </c>
      <c r="H1877" s="38">
        <v>912</v>
      </c>
      <c r="I1877" s="108">
        <v>5.0401427297056198E-2</v>
      </c>
    </row>
    <row r="1878" spans="1:9" x14ac:dyDescent="0.3">
      <c r="A1878" s="35" t="s">
        <v>1468</v>
      </c>
      <c r="B1878" t="s">
        <v>1384</v>
      </c>
      <c r="C1878" s="106">
        <v>5</v>
      </c>
      <c r="G1878" s="38">
        <v>0</v>
      </c>
      <c r="H1878" s="38">
        <v>912</v>
      </c>
      <c r="I1878" s="108" t="e">
        <v>#DIV/0!</v>
      </c>
    </row>
    <row r="1879" spans="1:9" x14ac:dyDescent="0.3">
      <c r="A1879" s="35" t="s">
        <v>1468</v>
      </c>
      <c r="B1879" t="s">
        <v>1384</v>
      </c>
      <c r="C1879" s="106">
        <v>6</v>
      </c>
      <c r="G1879" s="38">
        <v>0</v>
      </c>
      <c r="H1879" s="38">
        <v>912</v>
      </c>
      <c r="I1879" s="108" t="e">
        <v>#DIV/0!</v>
      </c>
    </row>
    <row r="1880" spans="1:9" x14ac:dyDescent="0.3">
      <c r="A1880" s="35" t="s">
        <v>1468</v>
      </c>
      <c r="B1880" t="s">
        <v>1384</v>
      </c>
      <c r="C1880" s="106">
        <v>7</v>
      </c>
      <c r="G1880" s="38">
        <v>0</v>
      </c>
      <c r="H1880" s="38">
        <v>912</v>
      </c>
      <c r="I1880" s="108" t="e">
        <v>#DIV/0!</v>
      </c>
    </row>
    <row r="1881" spans="1:9" x14ac:dyDescent="0.3">
      <c r="A1881" s="35" t="s">
        <v>1468</v>
      </c>
      <c r="B1881" t="s">
        <v>1384</v>
      </c>
      <c r="C1881" s="106">
        <v>8</v>
      </c>
      <c r="G1881" s="38">
        <v>0</v>
      </c>
      <c r="H1881" s="38">
        <v>912</v>
      </c>
      <c r="I1881" s="108" t="e">
        <v>#DIV/0!</v>
      </c>
    </row>
    <row r="1882" spans="1:9" x14ac:dyDescent="0.3">
      <c r="A1882" s="35" t="s">
        <v>1468</v>
      </c>
      <c r="B1882" t="s">
        <v>1384</v>
      </c>
      <c r="C1882" s="106">
        <v>9</v>
      </c>
      <c r="G1882" s="38">
        <v>0</v>
      </c>
      <c r="H1882" s="38">
        <v>912</v>
      </c>
      <c r="I1882" s="108" t="e">
        <v>#DIV/0!</v>
      </c>
    </row>
    <row r="1883" spans="1:9" x14ac:dyDescent="0.3">
      <c r="A1883" s="35" t="s">
        <v>1468</v>
      </c>
      <c r="B1883" t="s">
        <v>1384</v>
      </c>
      <c r="C1883" s="106">
        <v>10</v>
      </c>
      <c r="G1883" s="38">
        <v>0</v>
      </c>
      <c r="H1883" s="38">
        <v>912</v>
      </c>
      <c r="I1883" s="108" t="e">
        <v>#DIV/0!</v>
      </c>
    </row>
    <row r="1884" spans="1:9" x14ac:dyDescent="0.3">
      <c r="A1884" s="35" t="s">
        <v>1468</v>
      </c>
      <c r="B1884" t="s">
        <v>1384</v>
      </c>
      <c r="C1884" s="106">
        <v>11</v>
      </c>
      <c r="G1884" s="38">
        <v>0</v>
      </c>
      <c r="H1884" s="38">
        <v>912</v>
      </c>
      <c r="I1884" s="108" t="e">
        <v>#DIV/0!</v>
      </c>
    </row>
    <row r="1885" spans="1:9" x14ac:dyDescent="0.3">
      <c r="A1885" s="35" t="s">
        <v>1468</v>
      </c>
      <c r="B1885" t="s">
        <v>1384</v>
      </c>
      <c r="C1885" s="106">
        <v>12</v>
      </c>
      <c r="G1885" s="38">
        <v>0</v>
      </c>
      <c r="H1885" s="38">
        <v>912</v>
      </c>
      <c r="I1885" s="108" t="e">
        <v>#DIV/0!</v>
      </c>
    </row>
    <row r="1886" spans="1:9" x14ac:dyDescent="0.3">
      <c r="A1886" s="35" t="s">
        <v>1468</v>
      </c>
      <c r="B1886" t="s">
        <v>1384</v>
      </c>
      <c r="C1886" s="106">
        <v>13</v>
      </c>
      <c r="G1886" s="38">
        <v>0</v>
      </c>
      <c r="H1886" s="38">
        <v>912</v>
      </c>
      <c r="I1886" s="108" t="e">
        <v>#DIV/0!</v>
      </c>
    </row>
    <row r="1887" spans="1:9" x14ac:dyDescent="0.3">
      <c r="A1887" s="35" t="s">
        <v>1468</v>
      </c>
      <c r="B1887" t="s">
        <v>1384</v>
      </c>
      <c r="C1887" s="106">
        <v>14</v>
      </c>
      <c r="G1887" s="38">
        <v>0</v>
      </c>
      <c r="H1887" s="38">
        <v>912</v>
      </c>
      <c r="I1887" s="108" t="e">
        <v>#DIV/0!</v>
      </c>
    </row>
    <row r="1888" spans="1:9" x14ac:dyDescent="0.3">
      <c r="A1888" s="35" t="s">
        <v>1468</v>
      </c>
      <c r="B1888" t="s">
        <v>1384</v>
      </c>
      <c r="C1888" s="106">
        <v>15</v>
      </c>
      <c r="G1888" s="38">
        <v>0</v>
      </c>
      <c r="H1888" s="38">
        <v>912</v>
      </c>
      <c r="I1888" s="108" t="e">
        <v>#DIV/0!</v>
      </c>
    </row>
    <row r="1889" spans="1:9" ht="15" thickBot="1" x14ac:dyDescent="0.35">
      <c r="A1889" s="109" t="s">
        <v>1468</v>
      </c>
      <c r="B1889" s="110" t="s">
        <v>1384</v>
      </c>
      <c r="C1889" s="114">
        <v>16</v>
      </c>
      <c r="D1889" s="110"/>
      <c r="E1889" s="110"/>
      <c r="F1889" s="110"/>
      <c r="G1889" s="115">
        <v>0</v>
      </c>
      <c r="H1889" s="115">
        <v>912</v>
      </c>
      <c r="I1889" s="110"/>
    </row>
    <row r="1890" spans="1:9" x14ac:dyDescent="0.3">
      <c r="A1890" s="35" t="s">
        <v>1477</v>
      </c>
      <c r="B1890" t="s">
        <v>1382</v>
      </c>
      <c r="C1890" s="106">
        <v>1</v>
      </c>
      <c r="D1890" s="56">
        <v>45938</v>
      </c>
      <c r="E1890">
        <v>5359</v>
      </c>
      <c r="F1890">
        <v>5093</v>
      </c>
      <c r="G1890" s="38">
        <v>266</v>
      </c>
      <c r="H1890" s="38">
        <v>266</v>
      </c>
      <c r="I1890" s="108">
        <v>5.2228548988808167E-2</v>
      </c>
    </row>
    <row r="1891" spans="1:9" x14ac:dyDescent="0.3">
      <c r="A1891" s="35" t="s">
        <v>1477</v>
      </c>
      <c r="B1891" t="s">
        <v>1382</v>
      </c>
      <c r="C1891" s="106">
        <v>2</v>
      </c>
      <c r="D1891" s="56">
        <v>45945</v>
      </c>
      <c r="E1891">
        <v>5361</v>
      </c>
      <c r="F1891">
        <v>5098</v>
      </c>
      <c r="G1891" s="38">
        <v>263</v>
      </c>
      <c r="H1891" s="38">
        <v>529</v>
      </c>
      <c r="I1891" s="108">
        <v>5.1588858375833657E-2</v>
      </c>
    </row>
    <row r="1892" spans="1:9" x14ac:dyDescent="0.3">
      <c r="A1892" s="35" t="s">
        <v>1477</v>
      </c>
      <c r="B1892" t="s">
        <v>1382</v>
      </c>
      <c r="C1892" s="106">
        <v>3</v>
      </c>
      <c r="D1892" s="56">
        <v>45952</v>
      </c>
      <c r="E1892">
        <v>5361</v>
      </c>
      <c r="F1892">
        <v>5098</v>
      </c>
      <c r="G1892" s="38">
        <v>263</v>
      </c>
      <c r="H1892" s="38">
        <v>792</v>
      </c>
      <c r="I1892" s="108">
        <v>5.1588858375833657E-2</v>
      </c>
    </row>
    <row r="1893" spans="1:9" x14ac:dyDescent="0.3">
      <c r="A1893" s="35" t="s">
        <v>1477</v>
      </c>
      <c r="B1893" t="s">
        <v>1382</v>
      </c>
      <c r="C1893" s="106">
        <v>4</v>
      </c>
      <c r="D1893" s="56">
        <v>45959</v>
      </c>
      <c r="E1893">
        <v>5361</v>
      </c>
      <c r="F1893">
        <v>5098</v>
      </c>
      <c r="G1893" s="38">
        <v>263</v>
      </c>
      <c r="H1893" s="38">
        <v>1055</v>
      </c>
      <c r="I1893" s="108">
        <v>5.1588858375833657E-2</v>
      </c>
    </row>
    <row r="1894" spans="1:9" x14ac:dyDescent="0.3">
      <c r="A1894" s="35" t="s">
        <v>1477</v>
      </c>
      <c r="B1894" t="s">
        <v>1382</v>
      </c>
      <c r="C1894" s="106">
        <v>5</v>
      </c>
      <c r="G1894" s="38">
        <v>0</v>
      </c>
      <c r="H1894" s="38">
        <v>1055</v>
      </c>
      <c r="I1894" s="108" t="e">
        <v>#DIV/0!</v>
      </c>
    </row>
    <row r="1895" spans="1:9" x14ac:dyDescent="0.3">
      <c r="A1895" s="35" t="s">
        <v>1477</v>
      </c>
      <c r="B1895" t="s">
        <v>1382</v>
      </c>
      <c r="C1895" s="106">
        <v>6</v>
      </c>
      <c r="G1895" s="38">
        <v>0</v>
      </c>
      <c r="H1895" s="38">
        <v>1055</v>
      </c>
      <c r="I1895" s="108" t="e">
        <v>#DIV/0!</v>
      </c>
    </row>
    <row r="1896" spans="1:9" x14ac:dyDescent="0.3">
      <c r="A1896" s="35" t="s">
        <v>1477</v>
      </c>
      <c r="B1896" t="s">
        <v>1382</v>
      </c>
      <c r="C1896" s="106">
        <v>7</v>
      </c>
      <c r="G1896" s="38">
        <v>0</v>
      </c>
      <c r="H1896" s="38">
        <v>1055</v>
      </c>
      <c r="I1896" s="108" t="e">
        <v>#DIV/0!</v>
      </c>
    </row>
    <row r="1897" spans="1:9" x14ac:dyDescent="0.3">
      <c r="A1897" s="35" t="s">
        <v>1477</v>
      </c>
      <c r="B1897" t="s">
        <v>1382</v>
      </c>
      <c r="C1897" s="106">
        <v>8</v>
      </c>
      <c r="G1897" s="38">
        <v>0</v>
      </c>
      <c r="H1897" s="38">
        <v>1055</v>
      </c>
      <c r="I1897" s="108" t="e">
        <v>#DIV/0!</v>
      </c>
    </row>
    <row r="1898" spans="1:9" x14ac:dyDescent="0.3">
      <c r="A1898" s="35" t="s">
        <v>1477</v>
      </c>
      <c r="B1898" t="s">
        <v>1382</v>
      </c>
      <c r="C1898" s="106">
        <v>9</v>
      </c>
      <c r="G1898" s="38">
        <v>0</v>
      </c>
      <c r="H1898" s="38">
        <v>1055</v>
      </c>
      <c r="I1898" s="108" t="e">
        <v>#DIV/0!</v>
      </c>
    </row>
    <row r="1899" spans="1:9" x14ac:dyDescent="0.3">
      <c r="A1899" s="35" t="s">
        <v>1477</v>
      </c>
      <c r="B1899" t="s">
        <v>1382</v>
      </c>
      <c r="C1899" s="106">
        <v>10</v>
      </c>
      <c r="G1899" s="38">
        <v>0</v>
      </c>
      <c r="H1899" s="38">
        <v>1055</v>
      </c>
      <c r="I1899" s="108" t="e">
        <v>#DIV/0!</v>
      </c>
    </row>
    <row r="1900" spans="1:9" x14ac:dyDescent="0.3">
      <c r="A1900" s="35" t="s">
        <v>1477</v>
      </c>
      <c r="B1900" t="s">
        <v>1382</v>
      </c>
      <c r="C1900" s="106">
        <v>11</v>
      </c>
      <c r="G1900" s="38">
        <v>0</v>
      </c>
      <c r="H1900" s="38">
        <v>1055</v>
      </c>
      <c r="I1900" s="108" t="e">
        <v>#DIV/0!</v>
      </c>
    </row>
    <row r="1901" spans="1:9" x14ac:dyDescent="0.3">
      <c r="A1901" s="35" t="s">
        <v>1477</v>
      </c>
      <c r="B1901" t="s">
        <v>1382</v>
      </c>
      <c r="C1901" s="106">
        <v>12</v>
      </c>
      <c r="G1901" s="38">
        <v>0</v>
      </c>
      <c r="H1901" s="38">
        <v>1055</v>
      </c>
      <c r="I1901" s="108" t="e">
        <v>#DIV/0!</v>
      </c>
    </row>
    <row r="1902" spans="1:9" x14ac:dyDescent="0.3">
      <c r="A1902" s="35" t="s">
        <v>1477</v>
      </c>
      <c r="B1902" t="s">
        <v>1382</v>
      </c>
      <c r="C1902" s="106">
        <v>13</v>
      </c>
      <c r="G1902" s="38">
        <v>0</v>
      </c>
      <c r="H1902" s="38">
        <v>1055</v>
      </c>
      <c r="I1902" s="108" t="e">
        <v>#DIV/0!</v>
      </c>
    </row>
    <row r="1903" spans="1:9" x14ac:dyDescent="0.3">
      <c r="A1903" s="35" t="s">
        <v>1477</v>
      </c>
      <c r="B1903" t="s">
        <v>1382</v>
      </c>
      <c r="C1903" s="106">
        <v>14</v>
      </c>
      <c r="G1903" s="38">
        <v>0</v>
      </c>
      <c r="H1903" s="38">
        <v>1055</v>
      </c>
      <c r="I1903" s="108" t="e">
        <v>#DIV/0!</v>
      </c>
    </row>
    <row r="1904" spans="1:9" x14ac:dyDescent="0.3">
      <c r="A1904" s="35" t="s">
        <v>1477</v>
      </c>
      <c r="B1904" t="s">
        <v>1382</v>
      </c>
      <c r="C1904" s="106">
        <v>15</v>
      </c>
      <c r="G1904" s="38">
        <v>0</v>
      </c>
      <c r="H1904" s="38">
        <v>1055</v>
      </c>
      <c r="I1904" s="108" t="e">
        <v>#DIV/0!</v>
      </c>
    </row>
    <row r="1905" spans="1:9" ht="15" thickBot="1" x14ac:dyDescent="0.35">
      <c r="A1905" s="109" t="s">
        <v>1477</v>
      </c>
      <c r="B1905" s="110" t="s">
        <v>1382</v>
      </c>
      <c r="C1905" s="114">
        <v>16</v>
      </c>
      <c r="D1905" s="110"/>
      <c r="E1905" s="110"/>
      <c r="F1905" s="110"/>
      <c r="G1905" s="115">
        <v>0</v>
      </c>
      <c r="H1905" s="115">
        <v>1055</v>
      </c>
      <c r="I1905" s="110"/>
    </row>
    <row r="1906" spans="1:9" x14ac:dyDescent="0.3">
      <c r="A1906" s="35" t="s">
        <v>1518</v>
      </c>
      <c r="B1906" t="s">
        <v>1519</v>
      </c>
      <c r="C1906" s="106">
        <v>1</v>
      </c>
      <c r="D1906" s="56">
        <v>45939</v>
      </c>
      <c r="E1906">
        <v>11202</v>
      </c>
      <c r="F1906">
        <v>10184</v>
      </c>
      <c r="G1906" s="38">
        <v>1018</v>
      </c>
      <c r="H1906" s="38">
        <v>1018</v>
      </c>
      <c r="I1906" s="108">
        <v>9.9960722702278085E-2</v>
      </c>
    </row>
    <row r="1907" spans="1:9" x14ac:dyDescent="0.3">
      <c r="A1907" s="35" t="s">
        <v>1518</v>
      </c>
      <c r="B1907" t="s">
        <v>1519</v>
      </c>
      <c r="C1907" s="106">
        <v>2</v>
      </c>
      <c r="D1907" s="56">
        <v>45946</v>
      </c>
      <c r="E1907">
        <v>11202</v>
      </c>
      <c r="F1907">
        <v>10185</v>
      </c>
      <c r="G1907" s="38">
        <v>1017</v>
      </c>
      <c r="H1907" s="38">
        <v>2035</v>
      </c>
      <c r="I1907" s="108">
        <v>9.9852724594992642E-2</v>
      </c>
    </row>
    <row r="1908" spans="1:9" x14ac:dyDescent="0.3">
      <c r="A1908" s="35" t="s">
        <v>1518</v>
      </c>
      <c r="B1908" t="s">
        <v>1519</v>
      </c>
      <c r="C1908" s="106">
        <v>3</v>
      </c>
      <c r="D1908" s="56">
        <v>45953</v>
      </c>
      <c r="E1908">
        <v>11202</v>
      </c>
      <c r="F1908">
        <v>10184</v>
      </c>
      <c r="G1908" s="38">
        <v>1018</v>
      </c>
      <c r="H1908" s="38">
        <v>3053</v>
      </c>
      <c r="I1908" s="108">
        <v>9.9960722702278085E-2</v>
      </c>
    </row>
    <row r="1909" spans="1:9" x14ac:dyDescent="0.3">
      <c r="A1909" s="35" t="s">
        <v>1518</v>
      </c>
      <c r="B1909" t="s">
        <v>1519</v>
      </c>
      <c r="C1909" s="106">
        <v>4</v>
      </c>
      <c r="D1909" s="56">
        <v>45960</v>
      </c>
      <c r="E1909">
        <v>11202</v>
      </c>
      <c r="F1909">
        <v>10184</v>
      </c>
      <c r="G1909" s="38">
        <v>1018</v>
      </c>
      <c r="H1909" s="38">
        <v>4071</v>
      </c>
      <c r="I1909" s="108">
        <v>9.9960722702278085E-2</v>
      </c>
    </row>
    <row r="1910" spans="1:9" x14ac:dyDescent="0.3">
      <c r="A1910" s="35" t="s">
        <v>1518</v>
      </c>
      <c r="B1910" t="s">
        <v>1519</v>
      </c>
      <c r="C1910" s="106">
        <v>5</v>
      </c>
      <c r="G1910" s="38">
        <v>0</v>
      </c>
      <c r="H1910" s="38">
        <v>4071</v>
      </c>
      <c r="I1910" s="108" t="e">
        <v>#DIV/0!</v>
      </c>
    </row>
    <row r="1911" spans="1:9" x14ac:dyDescent="0.3">
      <c r="A1911" s="35" t="s">
        <v>1518</v>
      </c>
      <c r="B1911" t="s">
        <v>1519</v>
      </c>
      <c r="C1911" s="106">
        <v>6</v>
      </c>
      <c r="G1911" s="38">
        <v>0</v>
      </c>
      <c r="H1911" s="38">
        <v>4071</v>
      </c>
      <c r="I1911" s="108" t="e">
        <v>#DIV/0!</v>
      </c>
    </row>
    <row r="1912" spans="1:9" x14ac:dyDescent="0.3">
      <c r="A1912" s="35" t="s">
        <v>1518</v>
      </c>
      <c r="B1912" t="s">
        <v>1519</v>
      </c>
      <c r="C1912" s="106">
        <v>7</v>
      </c>
      <c r="G1912" s="38">
        <v>0</v>
      </c>
      <c r="H1912" s="38">
        <v>4071</v>
      </c>
      <c r="I1912" s="108" t="e">
        <v>#DIV/0!</v>
      </c>
    </row>
    <row r="1913" spans="1:9" x14ac:dyDescent="0.3">
      <c r="A1913" s="35" t="s">
        <v>1518</v>
      </c>
      <c r="B1913" t="s">
        <v>1519</v>
      </c>
      <c r="C1913" s="106">
        <v>8</v>
      </c>
      <c r="G1913" s="38">
        <v>0</v>
      </c>
      <c r="H1913" s="38">
        <v>4071</v>
      </c>
      <c r="I1913" s="108" t="e">
        <v>#DIV/0!</v>
      </c>
    </row>
    <row r="1914" spans="1:9" x14ac:dyDescent="0.3">
      <c r="A1914" s="35" t="s">
        <v>1518</v>
      </c>
      <c r="B1914" t="s">
        <v>1519</v>
      </c>
      <c r="C1914" s="106">
        <v>9</v>
      </c>
      <c r="G1914" s="38">
        <v>0</v>
      </c>
      <c r="H1914" s="38">
        <v>4071</v>
      </c>
      <c r="I1914" s="108" t="e">
        <v>#DIV/0!</v>
      </c>
    </row>
    <row r="1915" spans="1:9" x14ac:dyDescent="0.3">
      <c r="A1915" s="35" t="s">
        <v>1518</v>
      </c>
      <c r="B1915" t="s">
        <v>1519</v>
      </c>
      <c r="C1915" s="106">
        <v>10</v>
      </c>
      <c r="G1915" s="38">
        <v>0</v>
      </c>
      <c r="H1915" s="38">
        <v>4071</v>
      </c>
      <c r="I1915" s="108" t="e">
        <v>#DIV/0!</v>
      </c>
    </row>
    <row r="1916" spans="1:9" x14ac:dyDescent="0.3">
      <c r="A1916" s="35" t="s">
        <v>1518</v>
      </c>
      <c r="B1916" t="s">
        <v>1519</v>
      </c>
      <c r="C1916" s="106">
        <v>11</v>
      </c>
      <c r="G1916" s="38">
        <v>0</v>
      </c>
      <c r="H1916" s="38">
        <v>4071</v>
      </c>
      <c r="I1916" s="108" t="e">
        <v>#DIV/0!</v>
      </c>
    </row>
    <row r="1917" spans="1:9" x14ac:dyDescent="0.3">
      <c r="A1917" s="35" t="s">
        <v>1518</v>
      </c>
      <c r="B1917" t="s">
        <v>1519</v>
      </c>
      <c r="C1917" s="106">
        <v>12</v>
      </c>
      <c r="G1917" s="38">
        <v>0</v>
      </c>
      <c r="H1917" s="38">
        <v>4071</v>
      </c>
      <c r="I1917" s="108" t="e">
        <v>#DIV/0!</v>
      </c>
    </row>
    <row r="1918" spans="1:9" x14ac:dyDescent="0.3">
      <c r="A1918" s="35" t="s">
        <v>1518</v>
      </c>
      <c r="B1918" t="s">
        <v>1519</v>
      </c>
      <c r="C1918" s="106">
        <v>13</v>
      </c>
      <c r="G1918" s="38">
        <v>0</v>
      </c>
      <c r="H1918" s="38">
        <v>4071</v>
      </c>
      <c r="I1918" s="108" t="e">
        <v>#DIV/0!</v>
      </c>
    </row>
    <row r="1919" spans="1:9" x14ac:dyDescent="0.3">
      <c r="A1919" s="35" t="s">
        <v>1518</v>
      </c>
      <c r="B1919" t="s">
        <v>1519</v>
      </c>
      <c r="C1919" s="106">
        <v>14</v>
      </c>
      <c r="G1919" s="38">
        <v>0</v>
      </c>
      <c r="H1919" s="38">
        <v>4071</v>
      </c>
      <c r="I1919" s="108" t="e">
        <v>#DIV/0!</v>
      </c>
    </row>
    <row r="1920" spans="1:9" x14ac:dyDescent="0.3">
      <c r="A1920" s="35" t="s">
        <v>1518</v>
      </c>
      <c r="B1920" t="s">
        <v>1519</v>
      </c>
      <c r="C1920" s="106">
        <v>15</v>
      </c>
      <c r="G1920" s="38">
        <v>0</v>
      </c>
      <c r="H1920" s="38">
        <v>4071</v>
      </c>
      <c r="I1920" s="108" t="e">
        <v>#DIV/0!</v>
      </c>
    </row>
    <row r="1921" spans="1:9" ht="15" thickBot="1" x14ac:dyDescent="0.35">
      <c r="A1921" s="109" t="s">
        <v>1518</v>
      </c>
      <c r="B1921" s="110" t="s">
        <v>1519</v>
      </c>
      <c r="C1921" s="114">
        <v>16</v>
      </c>
      <c r="D1921" s="110"/>
      <c r="E1921" s="110"/>
      <c r="F1921" s="110"/>
      <c r="G1921" s="115">
        <v>0</v>
      </c>
      <c r="H1921" s="115">
        <v>4071</v>
      </c>
      <c r="I1921" s="110"/>
    </row>
    <row r="1922" spans="1:9" x14ac:dyDescent="0.3">
      <c r="A1922" s="35" t="s">
        <v>1478</v>
      </c>
      <c r="B1922" t="s">
        <v>1445</v>
      </c>
      <c r="C1922" s="106">
        <v>1</v>
      </c>
      <c r="D1922" s="56">
        <v>45938</v>
      </c>
      <c r="E1922">
        <v>6767</v>
      </c>
      <c r="F1922">
        <v>6308.06</v>
      </c>
      <c r="G1922" s="38">
        <v>458.9399999999996</v>
      </c>
      <c r="H1922" s="38">
        <v>458.9399999999996</v>
      </c>
      <c r="I1922" s="108">
        <v>7.2754539430506304E-2</v>
      </c>
    </row>
    <row r="1923" spans="1:9" x14ac:dyDescent="0.3">
      <c r="A1923" s="35" t="s">
        <v>1478</v>
      </c>
      <c r="B1923" t="s">
        <v>1445</v>
      </c>
      <c r="C1923" s="106">
        <v>2</v>
      </c>
      <c r="D1923" s="56">
        <v>45945</v>
      </c>
      <c r="E1923">
        <v>6767</v>
      </c>
      <c r="F1923">
        <v>6308.06</v>
      </c>
      <c r="G1923" s="38">
        <v>458.9399999999996</v>
      </c>
      <c r="H1923" s="38">
        <v>917.8799999999992</v>
      </c>
      <c r="I1923" s="108">
        <v>7.2754539430506304E-2</v>
      </c>
    </row>
    <row r="1924" spans="1:9" x14ac:dyDescent="0.3">
      <c r="A1924" s="35" t="s">
        <v>1478</v>
      </c>
      <c r="B1924" t="s">
        <v>1445</v>
      </c>
      <c r="C1924" s="106">
        <v>3</v>
      </c>
      <c r="D1924" s="56">
        <v>45952</v>
      </c>
      <c r="E1924">
        <v>6767</v>
      </c>
      <c r="F1924">
        <v>6308.06</v>
      </c>
      <c r="G1924" s="38">
        <v>458.9399999999996</v>
      </c>
      <c r="H1924" s="38">
        <v>1376.8199999999988</v>
      </c>
      <c r="I1924" s="108">
        <v>7.2754539430506304E-2</v>
      </c>
    </row>
    <row r="1925" spans="1:9" x14ac:dyDescent="0.3">
      <c r="A1925" s="35" t="s">
        <v>1478</v>
      </c>
      <c r="B1925" t="s">
        <v>1445</v>
      </c>
      <c r="C1925" s="106">
        <v>4</v>
      </c>
      <c r="D1925" s="56">
        <v>45959</v>
      </c>
      <c r="E1925">
        <v>6767</v>
      </c>
      <c r="F1925">
        <v>6308.06</v>
      </c>
      <c r="G1925" s="38">
        <v>458.9399999999996</v>
      </c>
      <c r="H1925" s="38">
        <v>1835.7599999999984</v>
      </c>
      <c r="I1925" s="108">
        <v>7.2754539430506304E-2</v>
      </c>
    </row>
    <row r="1926" spans="1:9" x14ac:dyDescent="0.3">
      <c r="A1926" s="35" t="s">
        <v>1478</v>
      </c>
      <c r="B1926" t="s">
        <v>1445</v>
      </c>
      <c r="C1926" s="106">
        <v>5</v>
      </c>
      <c r="G1926" s="38">
        <v>0</v>
      </c>
      <c r="H1926" s="38">
        <v>1835.7599999999984</v>
      </c>
      <c r="I1926" s="108" t="e">
        <v>#DIV/0!</v>
      </c>
    </row>
    <row r="1927" spans="1:9" x14ac:dyDescent="0.3">
      <c r="A1927" s="35" t="s">
        <v>1478</v>
      </c>
      <c r="B1927" t="s">
        <v>1445</v>
      </c>
      <c r="C1927" s="106">
        <v>6</v>
      </c>
      <c r="G1927" s="38">
        <v>0</v>
      </c>
      <c r="H1927" s="38">
        <v>1835.7599999999984</v>
      </c>
      <c r="I1927" s="108" t="e">
        <v>#DIV/0!</v>
      </c>
    </row>
    <row r="1928" spans="1:9" x14ac:dyDescent="0.3">
      <c r="A1928" s="35" t="s">
        <v>1478</v>
      </c>
      <c r="B1928" t="s">
        <v>1445</v>
      </c>
      <c r="C1928" s="106">
        <v>7</v>
      </c>
      <c r="G1928" s="38">
        <v>0</v>
      </c>
      <c r="H1928" s="38">
        <v>1835.7599999999984</v>
      </c>
      <c r="I1928" s="108" t="e">
        <v>#DIV/0!</v>
      </c>
    </row>
    <row r="1929" spans="1:9" x14ac:dyDescent="0.3">
      <c r="A1929" s="35" t="s">
        <v>1478</v>
      </c>
      <c r="B1929" t="s">
        <v>1445</v>
      </c>
      <c r="C1929" s="106">
        <v>8</v>
      </c>
      <c r="G1929" s="38">
        <v>0</v>
      </c>
      <c r="H1929" s="38">
        <v>1835.7599999999984</v>
      </c>
      <c r="I1929" s="108" t="e">
        <v>#DIV/0!</v>
      </c>
    </row>
    <row r="1930" spans="1:9" x14ac:dyDescent="0.3">
      <c r="A1930" s="35" t="s">
        <v>1478</v>
      </c>
      <c r="B1930" t="s">
        <v>1445</v>
      </c>
      <c r="C1930" s="106">
        <v>9</v>
      </c>
      <c r="G1930" s="38">
        <v>0</v>
      </c>
      <c r="H1930" s="38">
        <v>1835.7599999999984</v>
      </c>
    </row>
    <row r="1931" spans="1:9" x14ac:dyDescent="0.3">
      <c r="A1931" s="35" t="s">
        <v>1478</v>
      </c>
      <c r="B1931" t="s">
        <v>1445</v>
      </c>
      <c r="C1931" s="106">
        <v>10</v>
      </c>
      <c r="G1931" s="38">
        <v>0</v>
      </c>
      <c r="H1931" s="38">
        <v>1835.7599999999984</v>
      </c>
    </row>
    <row r="1932" spans="1:9" x14ac:dyDescent="0.3">
      <c r="A1932" s="35" t="s">
        <v>1478</v>
      </c>
      <c r="B1932" t="s">
        <v>1445</v>
      </c>
      <c r="C1932" s="106">
        <v>11</v>
      </c>
      <c r="G1932" s="38">
        <v>0</v>
      </c>
      <c r="H1932" s="38">
        <v>1835.7599999999984</v>
      </c>
    </row>
    <row r="1933" spans="1:9" x14ac:dyDescent="0.3">
      <c r="A1933" s="35" t="s">
        <v>1478</v>
      </c>
      <c r="B1933" t="s">
        <v>1445</v>
      </c>
      <c r="C1933" s="106">
        <v>12</v>
      </c>
      <c r="G1933" s="38">
        <v>0</v>
      </c>
      <c r="H1933" s="38">
        <v>1835.7599999999984</v>
      </c>
    </row>
    <row r="1934" spans="1:9" x14ac:dyDescent="0.3">
      <c r="A1934" s="35" t="s">
        <v>1478</v>
      </c>
      <c r="B1934" t="s">
        <v>1445</v>
      </c>
      <c r="C1934" s="106">
        <v>13</v>
      </c>
      <c r="G1934" s="38">
        <v>0</v>
      </c>
      <c r="H1934" s="38">
        <v>1835.7599999999984</v>
      </c>
    </row>
    <row r="1935" spans="1:9" x14ac:dyDescent="0.3">
      <c r="A1935" s="35" t="s">
        <v>1478</v>
      </c>
      <c r="B1935" t="s">
        <v>1445</v>
      </c>
      <c r="C1935" s="106">
        <v>14</v>
      </c>
      <c r="G1935" s="38">
        <v>0</v>
      </c>
      <c r="H1935" s="38">
        <v>1835.7599999999984</v>
      </c>
    </row>
    <row r="1936" spans="1:9" x14ac:dyDescent="0.3">
      <c r="A1936" s="35" t="s">
        <v>1478</v>
      </c>
      <c r="B1936" t="s">
        <v>1445</v>
      </c>
      <c r="C1936" s="106">
        <v>15</v>
      </c>
      <c r="G1936" s="38">
        <v>0</v>
      </c>
      <c r="H1936" s="38">
        <v>1835.7599999999984</v>
      </c>
    </row>
    <row r="1937" spans="1:9" ht="15" thickBot="1" x14ac:dyDescent="0.35">
      <c r="A1937" s="109" t="s">
        <v>1478</v>
      </c>
      <c r="B1937" s="110" t="s">
        <v>1445</v>
      </c>
      <c r="C1937" s="114">
        <v>16</v>
      </c>
      <c r="D1937" s="110"/>
      <c r="E1937" s="110"/>
      <c r="F1937" s="110"/>
      <c r="G1937" s="115">
        <v>0</v>
      </c>
      <c r="H1937" s="115">
        <v>1835.7599999999984</v>
      </c>
      <c r="I1937" s="110"/>
    </row>
    <row r="1938" spans="1:9" x14ac:dyDescent="0.3">
      <c r="A1938" s="35" t="s">
        <v>1532</v>
      </c>
      <c r="B1938" t="s">
        <v>1376</v>
      </c>
      <c r="C1938" s="106">
        <v>1</v>
      </c>
      <c r="D1938" s="56">
        <v>45943</v>
      </c>
      <c r="E1938">
        <v>8740</v>
      </c>
      <c r="F1938">
        <v>8293</v>
      </c>
      <c r="G1938" s="38">
        <v>447</v>
      </c>
      <c r="H1938" s="38">
        <v>447</v>
      </c>
      <c r="I1938" s="108">
        <v>5.390088026046063E-2</v>
      </c>
    </row>
    <row r="1939" spans="1:9" x14ac:dyDescent="0.3">
      <c r="A1939" s="35" t="s">
        <v>1532</v>
      </c>
      <c r="B1939" t="s">
        <v>1376</v>
      </c>
      <c r="C1939" s="106">
        <v>2</v>
      </c>
      <c r="D1939" s="56">
        <v>45950</v>
      </c>
      <c r="E1939">
        <v>8742</v>
      </c>
      <c r="F1939">
        <v>8294</v>
      </c>
      <c r="G1939" s="38">
        <v>448</v>
      </c>
      <c r="H1939" s="38">
        <v>895</v>
      </c>
      <c r="I1939" s="108">
        <v>5.4014950566674706E-2</v>
      </c>
    </row>
    <row r="1940" spans="1:9" x14ac:dyDescent="0.3">
      <c r="A1940" s="35" t="s">
        <v>1532</v>
      </c>
      <c r="B1940" t="s">
        <v>1376</v>
      </c>
      <c r="C1940" s="106">
        <v>3</v>
      </c>
      <c r="D1940" s="56">
        <v>45957</v>
      </c>
      <c r="E1940">
        <v>8710</v>
      </c>
      <c r="F1940">
        <v>8293</v>
      </c>
      <c r="G1940" s="38">
        <v>417</v>
      </c>
      <c r="H1940" s="38">
        <v>1312</v>
      </c>
      <c r="I1940" s="108">
        <v>5.0283371518147837E-2</v>
      </c>
    </row>
    <row r="1941" spans="1:9" x14ac:dyDescent="0.3">
      <c r="A1941" s="35" t="s">
        <v>1532</v>
      </c>
      <c r="B1941" t="s">
        <v>1376</v>
      </c>
      <c r="C1941" s="106">
        <v>4</v>
      </c>
      <c r="G1941" s="38">
        <v>0</v>
      </c>
      <c r="H1941" s="38">
        <v>1312</v>
      </c>
      <c r="I1941" s="108" t="e">
        <v>#DIV/0!</v>
      </c>
    </row>
    <row r="1942" spans="1:9" x14ac:dyDescent="0.3">
      <c r="A1942" s="35" t="s">
        <v>1532</v>
      </c>
      <c r="B1942" t="s">
        <v>1376</v>
      </c>
      <c r="C1942" s="106">
        <v>5</v>
      </c>
      <c r="G1942" s="38">
        <v>0</v>
      </c>
      <c r="H1942" s="38">
        <v>1312</v>
      </c>
      <c r="I1942" s="108" t="e">
        <v>#DIV/0!</v>
      </c>
    </row>
    <row r="1943" spans="1:9" x14ac:dyDescent="0.3">
      <c r="A1943" s="35" t="s">
        <v>1532</v>
      </c>
      <c r="B1943" t="s">
        <v>1376</v>
      </c>
      <c r="C1943" s="106">
        <v>6</v>
      </c>
      <c r="G1943" s="38">
        <v>0</v>
      </c>
      <c r="H1943" s="38">
        <v>1312</v>
      </c>
    </row>
    <row r="1944" spans="1:9" x14ac:dyDescent="0.3">
      <c r="A1944" s="35" t="s">
        <v>1532</v>
      </c>
      <c r="B1944" t="s">
        <v>1376</v>
      </c>
      <c r="C1944" s="106">
        <v>7</v>
      </c>
      <c r="G1944" s="38">
        <v>0</v>
      </c>
      <c r="H1944" s="38">
        <v>1312</v>
      </c>
    </row>
    <row r="1945" spans="1:9" x14ac:dyDescent="0.3">
      <c r="A1945" s="35" t="s">
        <v>1532</v>
      </c>
      <c r="B1945" t="s">
        <v>1376</v>
      </c>
      <c r="C1945" s="106">
        <v>8</v>
      </c>
      <c r="G1945" s="38">
        <v>0</v>
      </c>
      <c r="H1945" s="38">
        <v>1312</v>
      </c>
    </row>
    <row r="1946" spans="1:9" x14ac:dyDescent="0.3">
      <c r="A1946" s="35" t="s">
        <v>1532</v>
      </c>
      <c r="B1946" t="s">
        <v>1376</v>
      </c>
      <c r="C1946" s="106">
        <v>9</v>
      </c>
      <c r="G1946" s="38">
        <v>0</v>
      </c>
      <c r="H1946" s="38">
        <v>1312</v>
      </c>
    </row>
    <row r="1947" spans="1:9" x14ac:dyDescent="0.3">
      <c r="A1947" s="35" t="s">
        <v>1532</v>
      </c>
      <c r="B1947" t="s">
        <v>1376</v>
      </c>
      <c r="C1947" s="106">
        <v>10</v>
      </c>
      <c r="G1947" s="38">
        <v>0</v>
      </c>
      <c r="H1947" s="38">
        <v>1312</v>
      </c>
    </row>
    <row r="1948" spans="1:9" x14ac:dyDescent="0.3">
      <c r="A1948" s="35" t="s">
        <v>1532</v>
      </c>
      <c r="B1948" t="s">
        <v>1376</v>
      </c>
      <c r="C1948" s="106">
        <v>11</v>
      </c>
      <c r="G1948" s="38">
        <v>0</v>
      </c>
      <c r="H1948" s="38">
        <v>1312</v>
      </c>
    </row>
    <row r="1949" spans="1:9" x14ac:dyDescent="0.3">
      <c r="A1949" s="35" t="s">
        <v>1532</v>
      </c>
      <c r="B1949" t="s">
        <v>1376</v>
      </c>
      <c r="C1949" s="106">
        <v>12</v>
      </c>
      <c r="G1949" s="38">
        <v>0</v>
      </c>
      <c r="H1949" s="38">
        <v>1312</v>
      </c>
    </row>
    <row r="1950" spans="1:9" x14ac:dyDescent="0.3">
      <c r="A1950" s="35" t="s">
        <v>1532</v>
      </c>
      <c r="B1950" t="s">
        <v>1376</v>
      </c>
      <c r="C1950" s="106">
        <v>13</v>
      </c>
      <c r="G1950" s="38">
        <v>0</v>
      </c>
      <c r="H1950" s="38">
        <v>1312</v>
      </c>
    </row>
    <row r="1951" spans="1:9" x14ac:dyDescent="0.3">
      <c r="A1951" s="35" t="s">
        <v>1532</v>
      </c>
      <c r="B1951" t="s">
        <v>1376</v>
      </c>
      <c r="C1951" s="106">
        <v>14</v>
      </c>
      <c r="G1951" s="38">
        <v>0</v>
      </c>
      <c r="H1951" s="38">
        <v>1312</v>
      </c>
    </row>
    <row r="1952" spans="1:9" x14ac:dyDescent="0.3">
      <c r="A1952" s="35" t="s">
        <v>1532</v>
      </c>
      <c r="B1952" t="s">
        <v>1376</v>
      </c>
      <c r="C1952" s="106">
        <v>15</v>
      </c>
      <c r="G1952" s="38">
        <v>0</v>
      </c>
      <c r="H1952" s="38">
        <v>1312</v>
      </c>
    </row>
    <row r="1953" spans="1:9" ht="15" thickBot="1" x14ac:dyDescent="0.35">
      <c r="A1953" s="109" t="s">
        <v>1532</v>
      </c>
      <c r="B1953" s="110" t="s">
        <v>1376</v>
      </c>
      <c r="C1953" s="114">
        <v>16</v>
      </c>
      <c r="D1953" s="110"/>
      <c r="E1953" s="110"/>
      <c r="F1953" s="110"/>
      <c r="G1953" s="115">
        <v>0</v>
      </c>
      <c r="H1953" s="115">
        <v>1312</v>
      </c>
      <c r="I1953" s="110"/>
    </row>
    <row r="1954" spans="1:9" x14ac:dyDescent="0.3">
      <c r="A1954" s="35" t="s">
        <v>1530</v>
      </c>
      <c r="B1954" t="s">
        <v>575</v>
      </c>
      <c r="C1954" s="106">
        <v>1</v>
      </c>
      <c r="D1954" s="56">
        <v>45940</v>
      </c>
      <c r="E1954">
        <v>9698</v>
      </c>
      <c r="F1954">
        <v>8816</v>
      </c>
      <c r="G1954" s="38">
        <v>882</v>
      </c>
      <c r="H1954" s="38">
        <v>882</v>
      </c>
      <c r="I1954" s="108">
        <v>0.10004537205081669</v>
      </c>
    </row>
    <row r="1955" spans="1:9" x14ac:dyDescent="0.3">
      <c r="A1955" s="35" t="s">
        <v>1530</v>
      </c>
      <c r="B1955" t="s">
        <v>575</v>
      </c>
      <c r="C1955" s="106">
        <v>2</v>
      </c>
      <c r="D1955" s="56">
        <v>45947</v>
      </c>
      <c r="E1955">
        <v>9698</v>
      </c>
      <c r="F1955">
        <v>8816</v>
      </c>
      <c r="G1955" s="38">
        <v>882</v>
      </c>
      <c r="H1955" s="38">
        <v>1764</v>
      </c>
      <c r="I1955" s="108">
        <v>0.10004537205081669</v>
      </c>
    </row>
    <row r="1956" spans="1:9" x14ac:dyDescent="0.3">
      <c r="A1956" s="35" t="s">
        <v>1530</v>
      </c>
      <c r="B1956" t="s">
        <v>575</v>
      </c>
      <c r="C1956" s="106">
        <v>3</v>
      </c>
      <c r="D1956" s="56">
        <v>45954</v>
      </c>
      <c r="E1956">
        <v>9698</v>
      </c>
      <c r="F1956">
        <v>8816</v>
      </c>
      <c r="G1956" s="38">
        <v>882</v>
      </c>
      <c r="H1956" s="38">
        <v>2646</v>
      </c>
      <c r="I1956" s="108">
        <v>0.10004537205081669</v>
      </c>
    </row>
    <row r="1957" spans="1:9" x14ac:dyDescent="0.3">
      <c r="A1957" s="35" t="s">
        <v>1530</v>
      </c>
      <c r="B1957" t="s">
        <v>575</v>
      </c>
      <c r="C1957" s="106">
        <v>4</v>
      </c>
      <c r="G1957" s="38">
        <v>0</v>
      </c>
      <c r="H1957" s="38">
        <v>2646</v>
      </c>
      <c r="I1957" s="108" t="e">
        <v>#DIV/0!</v>
      </c>
    </row>
    <row r="1958" spans="1:9" x14ac:dyDescent="0.3">
      <c r="A1958" s="35" t="s">
        <v>1530</v>
      </c>
      <c r="B1958" t="s">
        <v>575</v>
      </c>
      <c r="C1958" s="106">
        <v>5</v>
      </c>
      <c r="G1958" s="38">
        <v>0</v>
      </c>
      <c r="H1958" s="38">
        <v>2646</v>
      </c>
      <c r="I1958" s="108" t="e">
        <v>#DIV/0!</v>
      </c>
    </row>
    <row r="1959" spans="1:9" x14ac:dyDescent="0.3">
      <c r="A1959" s="35" t="s">
        <v>1530</v>
      </c>
      <c r="B1959" t="s">
        <v>575</v>
      </c>
      <c r="C1959" s="106">
        <v>6</v>
      </c>
      <c r="G1959" s="38">
        <v>0</v>
      </c>
      <c r="H1959" s="38">
        <v>2646</v>
      </c>
      <c r="I1959" s="108" t="e">
        <v>#DIV/0!</v>
      </c>
    </row>
    <row r="1960" spans="1:9" x14ac:dyDescent="0.3">
      <c r="A1960" s="35" t="s">
        <v>1530</v>
      </c>
      <c r="B1960" t="s">
        <v>575</v>
      </c>
      <c r="C1960" s="106">
        <v>7</v>
      </c>
      <c r="G1960" s="38">
        <v>0</v>
      </c>
      <c r="H1960" s="38">
        <v>2646</v>
      </c>
      <c r="I1960" s="108" t="e">
        <v>#DIV/0!</v>
      </c>
    </row>
    <row r="1961" spans="1:9" x14ac:dyDescent="0.3">
      <c r="A1961" s="35" t="s">
        <v>1530</v>
      </c>
      <c r="B1961" t="s">
        <v>575</v>
      </c>
      <c r="C1961" s="106">
        <v>8</v>
      </c>
      <c r="G1961" s="38">
        <v>0</v>
      </c>
      <c r="H1961" s="38">
        <v>2646</v>
      </c>
      <c r="I1961" s="108" t="e">
        <v>#DIV/0!</v>
      </c>
    </row>
    <row r="1962" spans="1:9" x14ac:dyDescent="0.3">
      <c r="A1962" s="35" t="s">
        <v>1530</v>
      </c>
      <c r="B1962" t="s">
        <v>575</v>
      </c>
      <c r="C1962" s="106">
        <v>9</v>
      </c>
      <c r="G1962" s="38">
        <v>0</v>
      </c>
      <c r="H1962" s="38">
        <v>2646</v>
      </c>
      <c r="I1962" s="108" t="e">
        <v>#DIV/0!</v>
      </c>
    </row>
    <row r="1963" spans="1:9" x14ac:dyDescent="0.3">
      <c r="A1963" s="35" t="s">
        <v>1530</v>
      </c>
      <c r="B1963" t="s">
        <v>575</v>
      </c>
      <c r="C1963" s="106">
        <v>10</v>
      </c>
      <c r="G1963" s="38">
        <v>0</v>
      </c>
      <c r="H1963" s="38">
        <v>2646</v>
      </c>
      <c r="I1963" s="108" t="e">
        <v>#DIV/0!</v>
      </c>
    </row>
    <row r="1964" spans="1:9" x14ac:dyDescent="0.3">
      <c r="A1964" s="35" t="s">
        <v>1530</v>
      </c>
      <c r="B1964" t="s">
        <v>575</v>
      </c>
      <c r="C1964" s="106">
        <v>11</v>
      </c>
      <c r="G1964" s="38">
        <v>0</v>
      </c>
      <c r="H1964" s="38">
        <v>2646</v>
      </c>
      <c r="I1964" s="108" t="e">
        <v>#DIV/0!</v>
      </c>
    </row>
    <row r="1965" spans="1:9" x14ac:dyDescent="0.3">
      <c r="A1965" s="35" t="s">
        <v>1530</v>
      </c>
      <c r="B1965" t="s">
        <v>575</v>
      </c>
      <c r="C1965" s="106">
        <v>12</v>
      </c>
      <c r="G1965" s="38">
        <v>0</v>
      </c>
      <c r="H1965" s="38">
        <v>2646</v>
      </c>
      <c r="I1965" s="108" t="e">
        <v>#DIV/0!</v>
      </c>
    </row>
    <row r="1966" spans="1:9" x14ac:dyDescent="0.3">
      <c r="A1966" s="35" t="s">
        <v>1530</v>
      </c>
      <c r="B1966" t="s">
        <v>575</v>
      </c>
      <c r="C1966" s="106">
        <v>13</v>
      </c>
      <c r="G1966" s="38">
        <v>0</v>
      </c>
      <c r="H1966" s="38">
        <v>2646</v>
      </c>
      <c r="I1966" s="108" t="e">
        <v>#DIV/0!</v>
      </c>
    </row>
    <row r="1967" spans="1:9" x14ac:dyDescent="0.3">
      <c r="A1967" s="35" t="s">
        <v>1530</v>
      </c>
      <c r="B1967" t="s">
        <v>575</v>
      </c>
      <c r="C1967" s="106">
        <v>14</v>
      </c>
      <c r="G1967" s="38">
        <v>0</v>
      </c>
      <c r="H1967" s="38">
        <v>2646</v>
      </c>
      <c r="I1967" s="108" t="e">
        <v>#DIV/0!</v>
      </c>
    </row>
    <row r="1968" spans="1:9" x14ac:dyDescent="0.3">
      <c r="A1968" s="35" t="s">
        <v>1530</v>
      </c>
      <c r="B1968" t="s">
        <v>575</v>
      </c>
      <c r="C1968" s="106">
        <v>15</v>
      </c>
      <c r="G1968" s="38">
        <v>0</v>
      </c>
      <c r="H1968" s="38">
        <v>2646</v>
      </c>
      <c r="I1968" s="108" t="e">
        <v>#DIV/0!</v>
      </c>
    </row>
    <row r="1969" spans="1:9" ht="15" thickBot="1" x14ac:dyDescent="0.35">
      <c r="A1969" s="109" t="s">
        <v>1530</v>
      </c>
      <c r="B1969" s="110" t="s">
        <v>575</v>
      </c>
      <c r="C1969" s="114">
        <v>16</v>
      </c>
      <c r="D1969" s="110"/>
      <c r="E1969" s="110"/>
      <c r="F1969" s="110"/>
      <c r="G1969" s="115">
        <v>0</v>
      </c>
      <c r="H1969" s="115">
        <v>2646</v>
      </c>
      <c r="I1969" s="110"/>
    </row>
    <row r="1970" spans="1:9" x14ac:dyDescent="0.3">
      <c r="A1970" s="35" t="s">
        <v>1533</v>
      </c>
      <c r="B1970" t="s">
        <v>1516</v>
      </c>
      <c r="C1970" s="106">
        <v>1</v>
      </c>
      <c r="D1970" s="56">
        <v>45940</v>
      </c>
      <c r="E1970">
        <v>9088</v>
      </c>
      <c r="F1970">
        <v>8588</v>
      </c>
      <c r="G1970" s="38">
        <v>500</v>
      </c>
      <c r="H1970" s="38">
        <v>500</v>
      </c>
      <c r="I1970" s="108">
        <v>5.8220773171867725E-2</v>
      </c>
    </row>
    <row r="1971" spans="1:9" x14ac:dyDescent="0.3">
      <c r="A1971" s="35" t="s">
        <v>1533</v>
      </c>
      <c r="B1971" t="s">
        <v>1516</v>
      </c>
      <c r="C1971" s="106">
        <v>2</v>
      </c>
      <c r="D1971" s="56">
        <v>45947</v>
      </c>
      <c r="E1971">
        <v>9127</v>
      </c>
      <c r="F1971">
        <v>8588</v>
      </c>
      <c r="G1971" s="38">
        <v>539</v>
      </c>
      <c r="H1971" s="38">
        <v>1039</v>
      </c>
      <c r="I1971" s="108">
        <v>6.2761993479273401E-2</v>
      </c>
    </row>
    <row r="1972" spans="1:9" x14ac:dyDescent="0.3">
      <c r="A1972" s="35" t="s">
        <v>1533</v>
      </c>
      <c r="B1972" t="s">
        <v>1516</v>
      </c>
      <c r="C1972" s="106">
        <v>3</v>
      </c>
      <c r="D1972" s="56">
        <v>45954</v>
      </c>
      <c r="E1972">
        <v>9364</v>
      </c>
      <c r="F1972">
        <v>8588</v>
      </c>
      <c r="G1972" s="38">
        <v>776</v>
      </c>
      <c r="H1972" s="38">
        <v>1815</v>
      </c>
      <c r="I1972" s="108">
        <v>9.0358639962738699E-2</v>
      </c>
    </row>
    <row r="1973" spans="1:9" x14ac:dyDescent="0.3">
      <c r="A1973" s="35" t="s">
        <v>1533</v>
      </c>
      <c r="B1973" t="s">
        <v>1516</v>
      </c>
      <c r="C1973" s="106">
        <v>4</v>
      </c>
      <c r="D1973" s="56">
        <v>45961</v>
      </c>
      <c r="E1973">
        <v>9088</v>
      </c>
      <c r="F1973">
        <v>8595</v>
      </c>
      <c r="G1973" s="38">
        <v>493</v>
      </c>
      <c r="H1973" s="38">
        <v>2308</v>
      </c>
      <c r="I1973" s="108">
        <v>5.7358929610238509E-2</v>
      </c>
    </row>
    <row r="1974" spans="1:9" x14ac:dyDescent="0.3">
      <c r="A1974" s="35" t="s">
        <v>1533</v>
      </c>
      <c r="B1974" t="s">
        <v>1516</v>
      </c>
      <c r="C1974" s="106">
        <v>5</v>
      </c>
      <c r="G1974" s="38">
        <v>0</v>
      </c>
      <c r="H1974" s="38">
        <v>2308</v>
      </c>
      <c r="I1974" s="108" t="e">
        <v>#DIV/0!</v>
      </c>
    </row>
    <row r="1975" spans="1:9" x14ac:dyDescent="0.3">
      <c r="A1975" s="35" t="s">
        <v>1533</v>
      </c>
      <c r="B1975" t="s">
        <v>1516</v>
      </c>
      <c r="C1975" s="106">
        <v>6</v>
      </c>
      <c r="G1975" s="38">
        <v>0</v>
      </c>
      <c r="H1975" s="38">
        <v>2308</v>
      </c>
      <c r="I1975" s="108" t="e">
        <v>#DIV/0!</v>
      </c>
    </row>
    <row r="1976" spans="1:9" x14ac:dyDescent="0.3">
      <c r="A1976" s="35" t="s">
        <v>1533</v>
      </c>
      <c r="B1976" t="s">
        <v>1516</v>
      </c>
      <c r="C1976" s="106">
        <v>7</v>
      </c>
      <c r="G1976" s="38">
        <v>0</v>
      </c>
      <c r="H1976" s="38">
        <v>2308</v>
      </c>
      <c r="I1976" s="108" t="e">
        <v>#DIV/0!</v>
      </c>
    </row>
    <row r="1977" spans="1:9" x14ac:dyDescent="0.3">
      <c r="A1977" s="35" t="s">
        <v>1533</v>
      </c>
      <c r="B1977" t="s">
        <v>1516</v>
      </c>
      <c r="C1977" s="106">
        <v>8</v>
      </c>
      <c r="G1977" s="38">
        <v>0</v>
      </c>
      <c r="H1977" s="38">
        <v>2308</v>
      </c>
      <c r="I1977" s="108" t="e">
        <v>#DIV/0!</v>
      </c>
    </row>
    <row r="1978" spans="1:9" x14ac:dyDescent="0.3">
      <c r="A1978" s="35" t="s">
        <v>1533</v>
      </c>
      <c r="B1978" t="s">
        <v>1516</v>
      </c>
      <c r="C1978" s="106">
        <v>9</v>
      </c>
      <c r="G1978" s="38">
        <v>0</v>
      </c>
      <c r="H1978" s="38">
        <v>2308</v>
      </c>
      <c r="I1978" s="108" t="e">
        <v>#DIV/0!</v>
      </c>
    </row>
    <row r="1979" spans="1:9" x14ac:dyDescent="0.3">
      <c r="A1979" s="35" t="s">
        <v>1533</v>
      </c>
      <c r="B1979" t="s">
        <v>1516</v>
      </c>
      <c r="C1979" s="106">
        <v>10</v>
      </c>
      <c r="G1979" s="38">
        <v>0</v>
      </c>
      <c r="H1979" s="38">
        <v>2308</v>
      </c>
      <c r="I1979" s="108" t="e">
        <v>#DIV/0!</v>
      </c>
    </row>
    <row r="1980" spans="1:9" x14ac:dyDescent="0.3">
      <c r="A1980" s="35" t="s">
        <v>1533</v>
      </c>
      <c r="B1980" t="s">
        <v>1516</v>
      </c>
      <c r="C1980" s="106">
        <v>11</v>
      </c>
      <c r="G1980" s="38">
        <v>0</v>
      </c>
      <c r="H1980" s="38">
        <v>2308</v>
      </c>
      <c r="I1980" s="108" t="e">
        <v>#DIV/0!</v>
      </c>
    </row>
    <row r="1981" spans="1:9" x14ac:dyDescent="0.3">
      <c r="A1981" s="35" t="s">
        <v>1533</v>
      </c>
      <c r="B1981" t="s">
        <v>1516</v>
      </c>
      <c r="C1981" s="106">
        <v>12</v>
      </c>
      <c r="G1981" s="38">
        <v>0</v>
      </c>
      <c r="H1981" s="38">
        <v>2308</v>
      </c>
      <c r="I1981" s="108" t="e">
        <v>#DIV/0!</v>
      </c>
    </row>
    <row r="1982" spans="1:9" x14ac:dyDescent="0.3">
      <c r="A1982" s="35" t="s">
        <v>1533</v>
      </c>
      <c r="B1982" t="s">
        <v>1516</v>
      </c>
      <c r="C1982" s="106">
        <v>13</v>
      </c>
      <c r="G1982" s="38">
        <v>0</v>
      </c>
      <c r="H1982" s="38">
        <v>2308</v>
      </c>
      <c r="I1982" s="108" t="e">
        <v>#DIV/0!</v>
      </c>
    </row>
    <row r="1983" spans="1:9" x14ac:dyDescent="0.3">
      <c r="A1983" s="35" t="s">
        <v>1533</v>
      </c>
      <c r="B1983" t="s">
        <v>1516</v>
      </c>
      <c r="C1983" s="106">
        <v>14</v>
      </c>
      <c r="G1983" s="38">
        <v>0</v>
      </c>
      <c r="H1983" s="38">
        <v>2308</v>
      </c>
      <c r="I1983" s="108" t="e">
        <v>#DIV/0!</v>
      </c>
    </row>
    <row r="1984" spans="1:9" x14ac:dyDescent="0.3">
      <c r="A1984" s="35" t="s">
        <v>1533</v>
      </c>
      <c r="B1984" t="s">
        <v>1516</v>
      </c>
      <c r="C1984" s="106">
        <v>15</v>
      </c>
      <c r="G1984" s="38">
        <v>0</v>
      </c>
      <c r="H1984" s="38">
        <v>2308</v>
      </c>
      <c r="I1984" s="108" t="e">
        <v>#DIV/0!</v>
      </c>
    </row>
    <row r="1985" spans="1:9" ht="15" thickBot="1" x14ac:dyDescent="0.35">
      <c r="A1985" s="109" t="s">
        <v>1533</v>
      </c>
      <c r="B1985" s="110" t="s">
        <v>1516</v>
      </c>
      <c r="C1985" s="114">
        <v>16</v>
      </c>
      <c r="D1985" s="110"/>
      <c r="E1985" s="110"/>
      <c r="F1985" s="110"/>
      <c r="G1985" s="115">
        <v>0</v>
      </c>
      <c r="H1985" s="115">
        <v>2308</v>
      </c>
      <c r="I1985" s="110"/>
    </row>
    <row r="1986" spans="1:9" x14ac:dyDescent="0.3">
      <c r="A1986" s="35" t="s">
        <v>1531</v>
      </c>
      <c r="B1986" t="s">
        <v>1515</v>
      </c>
      <c r="C1986" s="106">
        <v>1</v>
      </c>
      <c r="D1986" s="56">
        <v>45943</v>
      </c>
      <c r="E1986">
        <v>8544</v>
      </c>
      <c r="F1986">
        <v>8137</v>
      </c>
      <c r="G1986" s="38">
        <v>407</v>
      </c>
      <c r="H1986" s="38">
        <v>407</v>
      </c>
      <c r="I1986" s="108">
        <v>5.0018434312400148E-2</v>
      </c>
    </row>
    <row r="1987" spans="1:9" x14ac:dyDescent="0.3">
      <c r="A1987" s="35" t="s">
        <v>1531</v>
      </c>
      <c r="B1987" t="s">
        <v>1515</v>
      </c>
      <c r="C1987" s="106">
        <v>2</v>
      </c>
      <c r="D1987" s="56">
        <v>45950</v>
      </c>
      <c r="E1987">
        <v>8579</v>
      </c>
      <c r="F1987">
        <v>8137</v>
      </c>
      <c r="G1987" s="38">
        <v>442</v>
      </c>
      <c r="H1987" s="38">
        <v>849</v>
      </c>
      <c r="I1987" s="108">
        <v>5.4319773872434557E-2</v>
      </c>
    </row>
    <row r="1988" spans="1:9" x14ac:dyDescent="0.3">
      <c r="A1988" s="35" t="s">
        <v>1531</v>
      </c>
      <c r="B1988" t="s">
        <v>1515</v>
      </c>
      <c r="C1988" s="106">
        <v>3</v>
      </c>
      <c r="D1988" s="56">
        <v>45957</v>
      </c>
      <c r="E1988">
        <v>8544</v>
      </c>
      <c r="F1988">
        <v>8137</v>
      </c>
      <c r="G1988" s="38">
        <v>407</v>
      </c>
      <c r="H1988" s="38">
        <v>1256</v>
      </c>
      <c r="I1988" s="108">
        <v>5.0018434312400148E-2</v>
      </c>
    </row>
    <row r="1989" spans="1:9" x14ac:dyDescent="0.3">
      <c r="A1989" s="35" t="s">
        <v>1531</v>
      </c>
      <c r="B1989" t="s">
        <v>1515</v>
      </c>
      <c r="C1989" s="106">
        <v>4</v>
      </c>
      <c r="G1989" s="38">
        <v>0</v>
      </c>
      <c r="H1989" s="38">
        <v>1256</v>
      </c>
      <c r="I1989" s="108" t="e">
        <v>#DIV/0!</v>
      </c>
    </row>
    <row r="1990" spans="1:9" x14ac:dyDescent="0.3">
      <c r="A1990" s="35" t="s">
        <v>1531</v>
      </c>
      <c r="B1990" t="s">
        <v>1515</v>
      </c>
      <c r="C1990" s="106">
        <v>5</v>
      </c>
      <c r="G1990" s="38">
        <v>0</v>
      </c>
      <c r="H1990" s="38">
        <v>1256</v>
      </c>
      <c r="I1990" s="108" t="e">
        <v>#DIV/0!</v>
      </c>
    </row>
    <row r="1991" spans="1:9" x14ac:dyDescent="0.3">
      <c r="A1991" s="35" t="s">
        <v>1531</v>
      </c>
      <c r="B1991" t="s">
        <v>1515</v>
      </c>
      <c r="C1991" s="106">
        <v>6</v>
      </c>
      <c r="G1991" s="38">
        <v>0</v>
      </c>
      <c r="H1991" s="38">
        <v>1256</v>
      </c>
      <c r="I1991" s="108" t="e">
        <v>#DIV/0!</v>
      </c>
    </row>
    <row r="1992" spans="1:9" x14ac:dyDescent="0.3">
      <c r="A1992" s="35" t="s">
        <v>1531</v>
      </c>
      <c r="B1992" t="s">
        <v>1515</v>
      </c>
      <c r="C1992" s="106">
        <v>7</v>
      </c>
      <c r="G1992" s="38">
        <v>0</v>
      </c>
      <c r="H1992" s="38">
        <v>1256</v>
      </c>
      <c r="I1992" s="108" t="e">
        <v>#DIV/0!</v>
      </c>
    </row>
    <row r="1993" spans="1:9" x14ac:dyDescent="0.3">
      <c r="A1993" s="35" t="s">
        <v>1531</v>
      </c>
      <c r="B1993" t="s">
        <v>1515</v>
      </c>
      <c r="C1993" s="106">
        <v>8</v>
      </c>
      <c r="G1993" s="38">
        <v>0</v>
      </c>
      <c r="H1993" s="38">
        <v>1256</v>
      </c>
      <c r="I1993" s="108" t="e">
        <v>#DIV/0!</v>
      </c>
    </row>
    <row r="1994" spans="1:9" x14ac:dyDescent="0.3">
      <c r="A1994" s="35" t="s">
        <v>1531</v>
      </c>
      <c r="B1994" t="s">
        <v>1515</v>
      </c>
      <c r="C1994" s="106">
        <v>9</v>
      </c>
      <c r="G1994" s="38">
        <v>0</v>
      </c>
      <c r="H1994" s="38">
        <v>1256</v>
      </c>
    </row>
    <row r="1995" spans="1:9" x14ac:dyDescent="0.3">
      <c r="A1995" s="35" t="s">
        <v>1531</v>
      </c>
      <c r="B1995" t="s">
        <v>1515</v>
      </c>
      <c r="C1995" s="106">
        <v>10</v>
      </c>
      <c r="G1995" s="38">
        <v>0</v>
      </c>
      <c r="H1995" s="38">
        <v>1256</v>
      </c>
    </row>
    <row r="1996" spans="1:9" x14ac:dyDescent="0.3">
      <c r="A1996" s="35" t="s">
        <v>1531</v>
      </c>
      <c r="B1996" t="s">
        <v>1515</v>
      </c>
      <c r="C1996" s="106">
        <v>11</v>
      </c>
      <c r="G1996" s="38">
        <v>0</v>
      </c>
      <c r="H1996" s="38">
        <v>1256</v>
      </c>
    </row>
    <row r="1997" spans="1:9" x14ac:dyDescent="0.3">
      <c r="A1997" s="35" t="s">
        <v>1531</v>
      </c>
      <c r="B1997" t="s">
        <v>1515</v>
      </c>
      <c r="C1997" s="106">
        <v>12</v>
      </c>
      <c r="G1997" s="38">
        <v>0</v>
      </c>
      <c r="H1997" s="38">
        <v>1256</v>
      </c>
    </row>
    <row r="1998" spans="1:9" x14ac:dyDescent="0.3">
      <c r="A1998" s="35" t="s">
        <v>1531</v>
      </c>
      <c r="B1998" t="s">
        <v>1515</v>
      </c>
      <c r="C1998" s="106">
        <v>13</v>
      </c>
      <c r="G1998" s="38">
        <v>0</v>
      </c>
      <c r="H1998" s="38">
        <v>1256</v>
      </c>
    </row>
    <row r="1999" spans="1:9" x14ac:dyDescent="0.3">
      <c r="A1999" s="35" t="s">
        <v>1531</v>
      </c>
      <c r="B1999" t="s">
        <v>1515</v>
      </c>
      <c r="C1999" s="106">
        <v>14</v>
      </c>
      <c r="G1999" s="38">
        <v>0</v>
      </c>
      <c r="H1999" s="38">
        <v>1256</v>
      </c>
    </row>
    <row r="2000" spans="1:9" x14ac:dyDescent="0.3">
      <c r="A2000" s="35" t="s">
        <v>1531</v>
      </c>
      <c r="B2000" t="s">
        <v>1515</v>
      </c>
      <c r="C2000" s="106">
        <v>15</v>
      </c>
      <c r="G2000" s="38">
        <v>0</v>
      </c>
      <c r="H2000" s="38">
        <v>1256</v>
      </c>
    </row>
    <row r="2001" spans="1:9" ht="15" thickBot="1" x14ac:dyDescent="0.35">
      <c r="A2001" s="109" t="s">
        <v>1531</v>
      </c>
      <c r="B2001" s="110" t="s">
        <v>1515</v>
      </c>
      <c r="C2001" s="114">
        <v>16</v>
      </c>
      <c r="D2001" s="110"/>
      <c r="E2001" s="110"/>
      <c r="F2001" s="110"/>
      <c r="G2001" s="115">
        <v>0</v>
      </c>
      <c r="H2001" s="115">
        <v>1256</v>
      </c>
      <c r="I2001" s="110"/>
    </row>
    <row r="2002" spans="1:9" x14ac:dyDescent="0.3">
      <c r="A2002" s="35" t="s">
        <v>1565</v>
      </c>
      <c r="B2002" t="s">
        <v>1528</v>
      </c>
      <c r="C2002" s="106">
        <v>1</v>
      </c>
      <c r="D2002" s="56">
        <v>45944</v>
      </c>
      <c r="E2002">
        <v>6000</v>
      </c>
      <c r="F2002">
        <v>5700</v>
      </c>
      <c r="G2002" s="38">
        <v>300</v>
      </c>
      <c r="H2002" s="38">
        <v>300</v>
      </c>
      <c r="I2002" s="108">
        <v>5.2631578947368418E-2</v>
      </c>
    </row>
    <row r="2003" spans="1:9" x14ac:dyDescent="0.3">
      <c r="A2003" s="35" t="s">
        <v>1565</v>
      </c>
      <c r="B2003" t="s">
        <v>1528</v>
      </c>
      <c r="C2003" s="106">
        <v>2</v>
      </c>
      <c r="D2003" s="56">
        <v>45951</v>
      </c>
      <c r="E2003">
        <v>6000</v>
      </c>
      <c r="F2003">
        <v>5700</v>
      </c>
      <c r="G2003" s="38">
        <v>300</v>
      </c>
      <c r="H2003" s="38">
        <v>600</v>
      </c>
      <c r="I2003" s="108">
        <v>5.2631578947368418E-2</v>
      </c>
    </row>
    <row r="2004" spans="1:9" x14ac:dyDescent="0.3">
      <c r="A2004" s="35" t="s">
        <v>1565</v>
      </c>
      <c r="B2004" t="s">
        <v>1528</v>
      </c>
      <c r="C2004" s="106">
        <v>3</v>
      </c>
      <c r="D2004" s="56">
        <v>45958</v>
      </c>
      <c r="E2004">
        <v>6000</v>
      </c>
      <c r="F2004">
        <v>5700</v>
      </c>
      <c r="G2004" s="38">
        <v>300</v>
      </c>
      <c r="H2004" s="38">
        <v>900</v>
      </c>
      <c r="I2004" s="108">
        <v>5.2631578947368418E-2</v>
      </c>
    </row>
    <row r="2005" spans="1:9" x14ac:dyDescent="0.3">
      <c r="A2005" s="35" t="s">
        <v>1565</v>
      </c>
      <c r="B2005" t="s">
        <v>1528</v>
      </c>
      <c r="C2005" s="106">
        <v>4</v>
      </c>
      <c r="G2005" s="38">
        <v>0</v>
      </c>
      <c r="H2005" s="38">
        <v>900</v>
      </c>
      <c r="I2005" s="108" t="e">
        <v>#DIV/0!</v>
      </c>
    </row>
    <row r="2006" spans="1:9" x14ac:dyDescent="0.3">
      <c r="A2006" s="35" t="s">
        <v>1565</v>
      </c>
      <c r="B2006" t="s">
        <v>1528</v>
      </c>
      <c r="C2006" s="106">
        <v>5</v>
      </c>
      <c r="G2006" s="38">
        <v>0</v>
      </c>
      <c r="H2006" s="38">
        <v>900</v>
      </c>
    </row>
    <row r="2007" spans="1:9" x14ac:dyDescent="0.3">
      <c r="A2007" s="35" t="s">
        <v>1565</v>
      </c>
      <c r="B2007" t="s">
        <v>1528</v>
      </c>
      <c r="C2007" s="106">
        <v>6</v>
      </c>
      <c r="G2007" s="38">
        <v>0</v>
      </c>
      <c r="H2007" s="38">
        <v>900</v>
      </c>
    </row>
    <row r="2008" spans="1:9" x14ac:dyDescent="0.3">
      <c r="A2008" s="35" t="s">
        <v>1565</v>
      </c>
      <c r="B2008" t="s">
        <v>1528</v>
      </c>
      <c r="C2008" s="106">
        <v>7</v>
      </c>
      <c r="G2008" s="38">
        <v>0</v>
      </c>
      <c r="H2008" s="38">
        <v>900</v>
      </c>
    </row>
    <row r="2009" spans="1:9" x14ac:dyDescent="0.3">
      <c r="A2009" s="35" t="s">
        <v>1565</v>
      </c>
      <c r="B2009" t="s">
        <v>1528</v>
      </c>
      <c r="C2009" s="106">
        <v>8</v>
      </c>
      <c r="G2009" s="38">
        <v>0</v>
      </c>
      <c r="H2009" s="38">
        <v>900</v>
      </c>
    </row>
    <row r="2010" spans="1:9" x14ac:dyDescent="0.3">
      <c r="A2010" s="35" t="s">
        <v>1565</v>
      </c>
      <c r="B2010" t="s">
        <v>1528</v>
      </c>
      <c r="C2010" s="106">
        <v>9</v>
      </c>
      <c r="G2010" s="38">
        <v>0</v>
      </c>
      <c r="H2010" s="38">
        <v>900</v>
      </c>
    </row>
    <row r="2011" spans="1:9" x14ac:dyDescent="0.3">
      <c r="A2011" s="35" t="s">
        <v>1565</v>
      </c>
      <c r="B2011" t="s">
        <v>1528</v>
      </c>
      <c r="C2011" s="106">
        <v>10</v>
      </c>
      <c r="G2011" s="38">
        <v>0</v>
      </c>
      <c r="H2011" s="38">
        <v>900</v>
      </c>
    </row>
    <row r="2012" spans="1:9" x14ac:dyDescent="0.3">
      <c r="A2012" s="35" t="s">
        <v>1565</v>
      </c>
      <c r="B2012" t="s">
        <v>1528</v>
      </c>
      <c r="C2012" s="106">
        <v>11</v>
      </c>
      <c r="G2012" s="38">
        <v>0</v>
      </c>
      <c r="H2012" s="38">
        <v>900</v>
      </c>
    </row>
    <row r="2013" spans="1:9" x14ac:dyDescent="0.3">
      <c r="A2013" s="35" t="s">
        <v>1565</v>
      </c>
      <c r="B2013" t="s">
        <v>1528</v>
      </c>
      <c r="C2013" s="106">
        <v>12</v>
      </c>
      <c r="G2013" s="38">
        <v>0</v>
      </c>
      <c r="H2013" s="38">
        <v>900</v>
      </c>
    </row>
    <row r="2014" spans="1:9" x14ac:dyDescent="0.3">
      <c r="A2014" s="35" t="s">
        <v>1565</v>
      </c>
      <c r="B2014" t="s">
        <v>1528</v>
      </c>
      <c r="C2014" s="106">
        <v>13</v>
      </c>
      <c r="G2014" s="38">
        <v>0</v>
      </c>
      <c r="H2014" s="38">
        <v>900</v>
      </c>
    </row>
    <row r="2015" spans="1:9" x14ac:dyDescent="0.3">
      <c r="A2015" s="35" t="s">
        <v>1565</v>
      </c>
      <c r="B2015" t="s">
        <v>1528</v>
      </c>
      <c r="C2015" s="106">
        <v>14</v>
      </c>
      <c r="G2015" s="38">
        <v>0</v>
      </c>
      <c r="H2015" s="38">
        <v>900</v>
      </c>
    </row>
    <row r="2016" spans="1:9" x14ac:dyDescent="0.3">
      <c r="A2016" s="35" t="s">
        <v>1565</v>
      </c>
      <c r="B2016" t="s">
        <v>1528</v>
      </c>
      <c r="C2016" s="106">
        <v>15</v>
      </c>
      <c r="G2016" s="38">
        <v>0</v>
      </c>
      <c r="H2016" s="38">
        <v>900</v>
      </c>
    </row>
    <row r="2017" spans="1:9" ht="15" thickBot="1" x14ac:dyDescent="0.35">
      <c r="A2017" s="109" t="s">
        <v>1565</v>
      </c>
      <c r="B2017" s="110" t="s">
        <v>1528</v>
      </c>
      <c r="C2017" s="114">
        <v>16</v>
      </c>
      <c r="D2017" s="110"/>
      <c r="E2017" s="110"/>
      <c r="F2017" s="110"/>
      <c r="G2017" s="115">
        <v>0</v>
      </c>
      <c r="H2017" s="115">
        <v>900</v>
      </c>
      <c r="I2017" s="110"/>
    </row>
    <row r="2018" spans="1:9" x14ac:dyDescent="0.3">
      <c r="A2018" s="35" t="s">
        <v>1571</v>
      </c>
      <c r="B2018" t="s">
        <v>1517</v>
      </c>
      <c r="C2018" s="106">
        <v>1</v>
      </c>
      <c r="D2018" s="56">
        <v>45944</v>
      </c>
      <c r="E2018">
        <v>11980</v>
      </c>
      <c r="F2018">
        <v>11410</v>
      </c>
      <c r="G2018" s="38">
        <v>570</v>
      </c>
      <c r="H2018" s="38">
        <v>570</v>
      </c>
      <c r="I2018" s="108">
        <v>4.9956178790534621E-2</v>
      </c>
    </row>
    <row r="2019" spans="1:9" x14ac:dyDescent="0.3">
      <c r="A2019" s="35" t="s">
        <v>1571</v>
      </c>
      <c r="B2019" t="s">
        <v>1517</v>
      </c>
      <c r="C2019" s="106">
        <v>2</v>
      </c>
      <c r="D2019" s="56">
        <v>45951</v>
      </c>
      <c r="E2019">
        <v>11980</v>
      </c>
      <c r="F2019">
        <v>11410</v>
      </c>
      <c r="G2019" s="38">
        <v>570</v>
      </c>
      <c r="H2019" s="38">
        <v>1140</v>
      </c>
      <c r="I2019" s="108">
        <v>4.9956178790534621E-2</v>
      </c>
    </row>
    <row r="2020" spans="1:9" x14ac:dyDescent="0.3">
      <c r="A2020" s="35" t="s">
        <v>1571</v>
      </c>
      <c r="B2020" t="s">
        <v>1517</v>
      </c>
      <c r="C2020" s="106">
        <v>3</v>
      </c>
      <c r="D2020" s="56">
        <v>45958</v>
      </c>
      <c r="E2020">
        <v>11980</v>
      </c>
      <c r="F2020">
        <v>11410</v>
      </c>
      <c r="G2020" s="38">
        <v>570</v>
      </c>
      <c r="H2020" s="38">
        <v>1710</v>
      </c>
      <c r="I2020" s="108">
        <v>4.9956178790534621E-2</v>
      </c>
    </row>
    <row r="2021" spans="1:9" x14ac:dyDescent="0.3">
      <c r="A2021" s="35" t="s">
        <v>1571</v>
      </c>
      <c r="B2021" t="s">
        <v>1517</v>
      </c>
      <c r="C2021" s="106">
        <v>4</v>
      </c>
      <c r="G2021" s="38">
        <v>0</v>
      </c>
      <c r="H2021" s="38">
        <v>1710</v>
      </c>
      <c r="I2021" s="108" t="e">
        <v>#DIV/0!</v>
      </c>
    </row>
    <row r="2022" spans="1:9" x14ac:dyDescent="0.3">
      <c r="A2022" s="35" t="s">
        <v>1571</v>
      </c>
      <c r="B2022" t="s">
        <v>1517</v>
      </c>
      <c r="C2022" s="106">
        <v>5</v>
      </c>
      <c r="G2022" s="38">
        <v>0</v>
      </c>
      <c r="H2022" s="38">
        <v>1710</v>
      </c>
      <c r="I2022" s="108" t="e">
        <v>#DIV/0!</v>
      </c>
    </row>
    <row r="2023" spans="1:9" x14ac:dyDescent="0.3">
      <c r="A2023" s="35" t="s">
        <v>1571</v>
      </c>
      <c r="B2023" t="s">
        <v>1517</v>
      </c>
      <c r="C2023" s="106">
        <v>6</v>
      </c>
      <c r="G2023" s="38">
        <v>0</v>
      </c>
      <c r="H2023" s="38">
        <v>1710</v>
      </c>
      <c r="I2023" s="108" t="e">
        <v>#DIV/0!</v>
      </c>
    </row>
    <row r="2024" spans="1:9" x14ac:dyDescent="0.3">
      <c r="A2024" s="35" t="s">
        <v>1571</v>
      </c>
      <c r="B2024" t="s">
        <v>1517</v>
      </c>
      <c r="C2024" s="106">
        <v>7</v>
      </c>
      <c r="G2024" s="38">
        <v>0</v>
      </c>
      <c r="H2024" s="38">
        <v>1710</v>
      </c>
      <c r="I2024" s="108" t="e">
        <v>#DIV/0!</v>
      </c>
    </row>
    <row r="2025" spans="1:9" x14ac:dyDescent="0.3">
      <c r="A2025" s="35" t="s">
        <v>1571</v>
      </c>
      <c r="B2025" t="s">
        <v>1517</v>
      </c>
      <c r="C2025" s="106">
        <v>8</v>
      </c>
      <c r="G2025" s="38">
        <v>0</v>
      </c>
      <c r="H2025" s="38">
        <v>1710</v>
      </c>
      <c r="I2025" s="108" t="e">
        <v>#DIV/0!</v>
      </c>
    </row>
    <row r="2026" spans="1:9" x14ac:dyDescent="0.3">
      <c r="A2026" s="35" t="s">
        <v>1571</v>
      </c>
      <c r="B2026" t="s">
        <v>1517</v>
      </c>
      <c r="C2026" s="106">
        <v>9</v>
      </c>
      <c r="G2026" s="38">
        <v>0</v>
      </c>
      <c r="H2026" s="38">
        <v>1710</v>
      </c>
      <c r="I2026" s="108" t="e">
        <v>#DIV/0!</v>
      </c>
    </row>
    <row r="2027" spans="1:9" x14ac:dyDescent="0.3">
      <c r="A2027" s="35" t="s">
        <v>1571</v>
      </c>
      <c r="B2027" t="s">
        <v>1517</v>
      </c>
      <c r="C2027" s="106">
        <v>10</v>
      </c>
      <c r="G2027" s="38">
        <v>0</v>
      </c>
      <c r="H2027" s="38">
        <v>1710</v>
      </c>
      <c r="I2027" s="108" t="e">
        <v>#DIV/0!</v>
      </c>
    </row>
    <row r="2028" spans="1:9" x14ac:dyDescent="0.3">
      <c r="A2028" s="35" t="s">
        <v>1571</v>
      </c>
      <c r="B2028" t="s">
        <v>1517</v>
      </c>
      <c r="C2028" s="106">
        <v>11</v>
      </c>
      <c r="G2028" s="38">
        <v>0</v>
      </c>
      <c r="H2028" s="38">
        <v>1710</v>
      </c>
      <c r="I2028" s="108" t="e">
        <v>#DIV/0!</v>
      </c>
    </row>
    <row r="2029" spans="1:9" x14ac:dyDescent="0.3">
      <c r="A2029" s="35" t="s">
        <v>1571</v>
      </c>
      <c r="B2029" t="s">
        <v>1517</v>
      </c>
      <c r="C2029" s="106">
        <v>12</v>
      </c>
      <c r="G2029" s="38">
        <v>0</v>
      </c>
      <c r="H2029" s="38">
        <v>1710</v>
      </c>
      <c r="I2029" s="108" t="e">
        <v>#DIV/0!</v>
      </c>
    </row>
    <row r="2030" spans="1:9" x14ac:dyDescent="0.3">
      <c r="A2030" s="35" t="s">
        <v>1571</v>
      </c>
      <c r="B2030" t="s">
        <v>1517</v>
      </c>
      <c r="C2030" s="106">
        <v>13</v>
      </c>
      <c r="G2030" s="38">
        <v>0</v>
      </c>
      <c r="H2030" s="38">
        <v>1710</v>
      </c>
      <c r="I2030" s="108" t="e">
        <v>#DIV/0!</v>
      </c>
    </row>
    <row r="2031" spans="1:9" x14ac:dyDescent="0.3">
      <c r="A2031" s="35" t="s">
        <v>1571</v>
      </c>
      <c r="B2031" t="s">
        <v>1517</v>
      </c>
      <c r="C2031" s="106">
        <v>14</v>
      </c>
      <c r="G2031" s="38">
        <v>0</v>
      </c>
      <c r="H2031" s="38">
        <v>1710</v>
      </c>
      <c r="I2031" s="108" t="e">
        <v>#DIV/0!</v>
      </c>
    </row>
    <row r="2032" spans="1:9" x14ac:dyDescent="0.3">
      <c r="A2032" s="35" t="s">
        <v>1571</v>
      </c>
      <c r="B2032" t="s">
        <v>1517</v>
      </c>
      <c r="C2032" s="106">
        <v>15</v>
      </c>
      <c r="G2032" s="38">
        <v>0</v>
      </c>
      <c r="H2032" s="38">
        <v>1710</v>
      </c>
      <c r="I2032" s="108" t="e">
        <v>#DIV/0!</v>
      </c>
    </row>
    <row r="2033" spans="1:9" ht="15" thickBot="1" x14ac:dyDescent="0.35">
      <c r="A2033" s="109" t="s">
        <v>1571</v>
      </c>
      <c r="B2033" s="110" t="s">
        <v>1517</v>
      </c>
      <c r="C2033" s="114">
        <v>16</v>
      </c>
      <c r="D2033" s="110"/>
      <c r="E2033" s="110"/>
      <c r="F2033" s="110"/>
      <c r="G2033" s="115">
        <v>0</v>
      </c>
      <c r="H2033" s="115">
        <v>1710</v>
      </c>
      <c r="I2033" s="110"/>
    </row>
    <row r="2034" spans="1:9" x14ac:dyDescent="0.3">
      <c r="A2034" s="35" t="s">
        <v>1591</v>
      </c>
      <c r="B2034" t="s">
        <v>1354</v>
      </c>
      <c r="C2034" s="106">
        <v>1</v>
      </c>
      <c r="D2034" s="56">
        <v>45945</v>
      </c>
      <c r="E2034">
        <v>4789</v>
      </c>
      <c r="F2034">
        <v>4560</v>
      </c>
      <c r="G2034" s="38">
        <v>229</v>
      </c>
      <c r="H2034" s="38">
        <v>229</v>
      </c>
      <c r="I2034" s="108">
        <v>5.0219298245614039E-2</v>
      </c>
    </row>
    <row r="2035" spans="1:9" x14ac:dyDescent="0.3">
      <c r="A2035" s="35" t="s">
        <v>1591</v>
      </c>
      <c r="B2035" t="s">
        <v>1354</v>
      </c>
      <c r="C2035" s="106">
        <v>2</v>
      </c>
      <c r="D2035" s="56">
        <v>45952</v>
      </c>
      <c r="E2035">
        <v>4789</v>
      </c>
      <c r="F2035">
        <v>4560</v>
      </c>
      <c r="G2035" s="38">
        <v>229</v>
      </c>
      <c r="H2035" s="38">
        <v>458</v>
      </c>
      <c r="I2035" s="108">
        <v>5.0219298245614039E-2</v>
      </c>
    </row>
    <row r="2036" spans="1:9" x14ac:dyDescent="0.3">
      <c r="A2036" s="35" t="s">
        <v>1591</v>
      </c>
      <c r="B2036" t="s">
        <v>1354</v>
      </c>
      <c r="C2036" s="106">
        <v>3</v>
      </c>
      <c r="D2036" s="56">
        <v>45959</v>
      </c>
      <c r="E2036">
        <v>4789</v>
      </c>
      <c r="F2036">
        <v>4561</v>
      </c>
      <c r="G2036" s="38">
        <v>228</v>
      </c>
      <c r="H2036" s="38">
        <v>686</v>
      </c>
      <c r="I2036" s="108">
        <v>4.9989037491778118E-2</v>
      </c>
    </row>
    <row r="2037" spans="1:9" x14ac:dyDescent="0.3">
      <c r="A2037" s="35" t="s">
        <v>1591</v>
      </c>
      <c r="B2037" t="s">
        <v>1354</v>
      </c>
      <c r="C2037" s="106">
        <v>4</v>
      </c>
      <c r="G2037" s="38">
        <v>0</v>
      </c>
      <c r="H2037" s="38">
        <v>686</v>
      </c>
      <c r="I2037" s="108" t="e">
        <v>#DIV/0!</v>
      </c>
    </row>
    <row r="2038" spans="1:9" x14ac:dyDescent="0.3">
      <c r="A2038" s="35" t="s">
        <v>1591</v>
      </c>
      <c r="B2038" t="s">
        <v>1354</v>
      </c>
      <c r="C2038" s="106">
        <v>5</v>
      </c>
      <c r="G2038" s="38">
        <v>0</v>
      </c>
      <c r="H2038" s="38">
        <v>686</v>
      </c>
      <c r="I2038" s="108" t="e">
        <v>#DIV/0!</v>
      </c>
    </row>
    <row r="2039" spans="1:9" x14ac:dyDescent="0.3">
      <c r="A2039" s="35" t="s">
        <v>1591</v>
      </c>
      <c r="B2039" t="s">
        <v>1354</v>
      </c>
      <c r="C2039" s="106">
        <v>6</v>
      </c>
      <c r="G2039" s="38">
        <v>0</v>
      </c>
      <c r="H2039" s="38">
        <v>686</v>
      </c>
      <c r="I2039" s="108" t="e">
        <v>#DIV/0!</v>
      </c>
    </row>
    <row r="2040" spans="1:9" x14ac:dyDescent="0.3">
      <c r="A2040" s="35" t="s">
        <v>1591</v>
      </c>
      <c r="B2040" t="s">
        <v>1354</v>
      </c>
      <c r="C2040" s="106">
        <v>7</v>
      </c>
      <c r="G2040" s="38">
        <v>0</v>
      </c>
      <c r="H2040" s="38">
        <v>686</v>
      </c>
      <c r="I2040" s="108" t="e">
        <v>#DIV/0!</v>
      </c>
    </row>
    <row r="2041" spans="1:9" x14ac:dyDescent="0.3">
      <c r="A2041" s="35" t="s">
        <v>1591</v>
      </c>
      <c r="B2041" t="s">
        <v>1354</v>
      </c>
      <c r="C2041" s="106">
        <v>8</v>
      </c>
      <c r="G2041" s="38">
        <v>0</v>
      </c>
      <c r="H2041" s="38">
        <v>686</v>
      </c>
      <c r="I2041" s="108" t="e">
        <v>#DIV/0!</v>
      </c>
    </row>
    <row r="2042" spans="1:9" x14ac:dyDescent="0.3">
      <c r="A2042" s="35" t="s">
        <v>1591</v>
      </c>
      <c r="B2042" t="s">
        <v>1354</v>
      </c>
      <c r="C2042" s="106">
        <v>9</v>
      </c>
      <c r="G2042" s="38">
        <v>0</v>
      </c>
      <c r="H2042" s="38">
        <v>686</v>
      </c>
      <c r="I2042" s="108" t="e">
        <v>#DIV/0!</v>
      </c>
    </row>
    <row r="2043" spans="1:9" x14ac:dyDescent="0.3">
      <c r="A2043" s="35" t="s">
        <v>1591</v>
      </c>
      <c r="B2043" t="s">
        <v>1354</v>
      </c>
      <c r="C2043" s="106">
        <v>10</v>
      </c>
      <c r="G2043" s="38">
        <v>0</v>
      </c>
      <c r="H2043" s="38">
        <v>686</v>
      </c>
    </row>
    <row r="2044" spans="1:9" x14ac:dyDescent="0.3">
      <c r="A2044" s="35" t="s">
        <v>1591</v>
      </c>
      <c r="B2044" t="s">
        <v>1354</v>
      </c>
      <c r="C2044" s="106">
        <v>11</v>
      </c>
      <c r="G2044" s="38">
        <v>0</v>
      </c>
      <c r="H2044" s="38">
        <v>686</v>
      </c>
    </row>
    <row r="2045" spans="1:9" x14ac:dyDescent="0.3">
      <c r="A2045" s="35" t="s">
        <v>1591</v>
      </c>
      <c r="B2045" t="s">
        <v>1354</v>
      </c>
      <c r="C2045" s="106">
        <v>12</v>
      </c>
      <c r="G2045" s="38">
        <v>0</v>
      </c>
      <c r="H2045" s="38">
        <v>686</v>
      </c>
    </row>
    <row r="2046" spans="1:9" x14ac:dyDescent="0.3">
      <c r="A2046" s="35" t="s">
        <v>1591</v>
      </c>
      <c r="B2046" t="s">
        <v>1354</v>
      </c>
      <c r="C2046" s="106">
        <v>13</v>
      </c>
      <c r="G2046" s="38">
        <v>0</v>
      </c>
      <c r="H2046" s="38">
        <v>686</v>
      </c>
    </row>
    <row r="2047" spans="1:9" x14ac:dyDescent="0.3">
      <c r="A2047" s="35" t="s">
        <v>1591</v>
      </c>
      <c r="B2047" t="s">
        <v>1354</v>
      </c>
      <c r="C2047" s="106">
        <v>14</v>
      </c>
      <c r="G2047" s="38">
        <v>0</v>
      </c>
      <c r="H2047" s="38">
        <v>686</v>
      </c>
    </row>
    <row r="2048" spans="1:9" x14ac:dyDescent="0.3">
      <c r="A2048" s="35" t="s">
        <v>1591</v>
      </c>
      <c r="B2048" t="s">
        <v>1354</v>
      </c>
      <c r="C2048" s="106">
        <v>15</v>
      </c>
      <c r="G2048" s="38">
        <v>0</v>
      </c>
      <c r="H2048" s="38">
        <v>686</v>
      </c>
    </row>
    <row r="2049" spans="1:9" ht="15" thickBot="1" x14ac:dyDescent="0.35">
      <c r="A2049" s="109" t="s">
        <v>1591</v>
      </c>
      <c r="B2049" s="110" t="s">
        <v>1354</v>
      </c>
      <c r="C2049" s="114">
        <v>16</v>
      </c>
      <c r="D2049" s="110"/>
      <c r="E2049" s="110"/>
      <c r="F2049" s="110"/>
      <c r="G2049" s="115">
        <v>0</v>
      </c>
      <c r="H2049" s="115">
        <v>686</v>
      </c>
      <c r="I2049" s="110"/>
    </row>
    <row r="2050" spans="1:9" x14ac:dyDescent="0.3">
      <c r="A2050" s="35" t="s">
        <v>1593</v>
      </c>
      <c r="B2050" t="s">
        <v>1594</v>
      </c>
      <c r="C2050" s="106">
        <v>1</v>
      </c>
      <c r="D2050" s="56">
        <v>45944</v>
      </c>
      <c r="E2050">
        <v>3957</v>
      </c>
      <c r="F2050">
        <v>3801</v>
      </c>
      <c r="G2050" s="38">
        <v>156</v>
      </c>
      <c r="H2050" s="38">
        <v>156</v>
      </c>
      <c r="I2050" s="108">
        <v>4.1041831097079713E-2</v>
      </c>
    </row>
    <row r="2051" spans="1:9" x14ac:dyDescent="0.3">
      <c r="A2051" s="35" t="s">
        <v>1593</v>
      </c>
      <c r="B2051" t="s">
        <v>1594</v>
      </c>
      <c r="C2051" s="106">
        <v>2</v>
      </c>
      <c r="D2051" s="56">
        <v>45958</v>
      </c>
      <c r="E2051">
        <v>3975</v>
      </c>
      <c r="F2051">
        <v>3801</v>
      </c>
      <c r="G2051" s="38">
        <v>174</v>
      </c>
      <c r="H2051" s="38">
        <v>330</v>
      </c>
      <c r="I2051" s="108">
        <v>4.5777426992896608E-2</v>
      </c>
    </row>
    <row r="2052" spans="1:9" x14ac:dyDescent="0.3">
      <c r="A2052" s="35" t="s">
        <v>1593</v>
      </c>
      <c r="B2052" t="s">
        <v>1594</v>
      </c>
      <c r="C2052" s="106">
        <v>3</v>
      </c>
      <c r="G2052" s="38">
        <v>0</v>
      </c>
      <c r="H2052" s="38">
        <v>330</v>
      </c>
      <c r="I2052" s="108" t="e">
        <v>#DIV/0!</v>
      </c>
    </row>
    <row r="2053" spans="1:9" x14ac:dyDescent="0.3">
      <c r="A2053" s="35" t="s">
        <v>1593</v>
      </c>
      <c r="B2053" t="s">
        <v>1594</v>
      </c>
      <c r="C2053" s="106">
        <v>4</v>
      </c>
      <c r="G2053" s="38">
        <v>0</v>
      </c>
      <c r="H2053" s="38">
        <v>330</v>
      </c>
      <c r="I2053" s="108" t="e">
        <v>#DIV/0!</v>
      </c>
    </row>
    <row r="2054" spans="1:9" x14ac:dyDescent="0.3">
      <c r="A2054" s="35" t="s">
        <v>1593</v>
      </c>
      <c r="B2054" t="s">
        <v>1594</v>
      </c>
      <c r="C2054" s="106">
        <v>5</v>
      </c>
      <c r="G2054" s="38">
        <v>0</v>
      </c>
      <c r="H2054" s="38">
        <v>330</v>
      </c>
      <c r="I2054" s="108" t="e">
        <v>#DIV/0!</v>
      </c>
    </row>
    <row r="2055" spans="1:9" x14ac:dyDescent="0.3">
      <c r="A2055" s="35" t="s">
        <v>1593</v>
      </c>
      <c r="B2055" t="s">
        <v>1594</v>
      </c>
      <c r="C2055" s="106">
        <v>6</v>
      </c>
      <c r="G2055" s="38">
        <v>0</v>
      </c>
      <c r="H2055" s="38">
        <v>330</v>
      </c>
      <c r="I2055" s="108" t="e">
        <v>#DIV/0!</v>
      </c>
    </row>
    <row r="2056" spans="1:9" x14ac:dyDescent="0.3">
      <c r="A2056" s="35" t="s">
        <v>1593</v>
      </c>
      <c r="B2056" t="s">
        <v>1594</v>
      </c>
      <c r="C2056" s="106">
        <v>7</v>
      </c>
      <c r="G2056" s="38">
        <v>0</v>
      </c>
      <c r="H2056" s="38">
        <v>330</v>
      </c>
      <c r="I2056" s="108" t="e">
        <v>#DIV/0!</v>
      </c>
    </row>
    <row r="2057" spans="1:9" x14ac:dyDescent="0.3">
      <c r="A2057" s="35" t="s">
        <v>1593</v>
      </c>
      <c r="B2057" t="s">
        <v>1594</v>
      </c>
      <c r="C2057" s="106">
        <v>8</v>
      </c>
      <c r="G2057" s="38">
        <v>0</v>
      </c>
      <c r="H2057" s="38">
        <v>330</v>
      </c>
      <c r="I2057" s="108" t="e">
        <v>#DIV/0!</v>
      </c>
    </row>
    <row r="2058" spans="1:9" x14ac:dyDescent="0.3">
      <c r="A2058" s="35" t="s">
        <v>1593</v>
      </c>
      <c r="B2058" t="s">
        <v>1594</v>
      </c>
      <c r="C2058" s="106">
        <v>9</v>
      </c>
      <c r="G2058" s="38">
        <v>0</v>
      </c>
      <c r="H2058" s="38">
        <v>330</v>
      </c>
      <c r="I2058" s="108" t="e">
        <v>#DIV/0!</v>
      </c>
    </row>
    <row r="2059" spans="1:9" x14ac:dyDescent="0.3">
      <c r="A2059" s="35" t="s">
        <v>1593</v>
      </c>
      <c r="B2059" t="s">
        <v>1594</v>
      </c>
      <c r="C2059" s="106">
        <v>10</v>
      </c>
      <c r="G2059" s="38">
        <v>0</v>
      </c>
      <c r="H2059" s="38">
        <v>330</v>
      </c>
      <c r="I2059" s="108" t="e">
        <v>#DIV/0!</v>
      </c>
    </row>
    <row r="2060" spans="1:9" x14ac:dyDescent="0.3">
      <c r="A2060" s="35" t="s">
        <v>1593</v>
      </c>
      <c r="B2060" t="s">
        <v>1594</v>
      </c>
      <c r="C2060" s="106">
        <v>11</v>
      </c>
      <c r="G2060" s="38">
        <v>0</v>
      </c>
      <c r="H2060" s="38">
        <v>330</v>
      </c>
      <c r="I2060" s="108" t="e">
        <v>#DIV/0!</v>
      </c>
    </row>
    <row r="2061" spans="1:9" x14ac:dyDescent="0.3">
      <c r="A2061" s="35" t="s">
        <v>1593</v>
      </c>
      <c r="B2061" t="s">
        <v>1594</v>
      </c>
      <c r="C2061" s="106">
        <v>12</v>
      </c>
      <c r="G2061" s="38">
        <v>0</v>
      </c>
      <c r="H2061" s="38">
        <v>330</v>
      </c>
      <c r="I2061" s="108" t="e">
        <v>#DIV/0!</v>
      </c>
    </row>
    <row r="2062" spans="1:9" x14ac:dyDescent="0.3">
      <c r="A2062" s="35" t="s">
        <v>1593</v>
      </c>
      <c r="B2062" t="s">
        <v>1594</v>
      </c>
      <c r="C2062" s="106">
        <v>13</v>
      </c>
      <c r="G2062" s="38">
        <v>0</v>
      </c>
      <c r="H2062" s="38">
        <v>330</v>
      </c>
      <c r="I2062" s="108" t="e">
        <v>#DIV/0!</v>
      </c>
    </row>
    <row r="2063" spans="1:9" x14ac:dyDescent="0.3">
      <c r="A2063" s="35" t="s">
        <v>1593</v>
      </c>
      <c r="B2063" t="s">
        <v>1594</v>
      </c>
      <c r="C2063" s="106">
        <v>14</v>
      </c>
      <c r="G2063" s="38">
        <v>0</v>
      </c>
      <c r="H2063" s="38">
        <v>330</v>
      </c>
      <c r="I2063" s="108" t="e">
        <v>#DIV/0!</v>
      </c>
    </row>
    <row r="2064" spans="1:9" x14ac:dyDescent="0.3">
      <c r="A2064" s="35" t="s">
        <v>1593</v>
      </c>
      <c r="B2064" t="s">
        <v>1594</v>
      </c>
      <c r="C2064" s="106">
        <v>15</v>
      </c>
      <c r="G2064" s="38">
        <v>0</v>
      </c>
      <c r="H2064" s="38">
        <v>330</v>
      </c>
      <c r="I2064" s="108" t="e">
        <v>#DIV/0!</v>
      </c>
    </row>
    <row r="2065" spans="1:9" ht="15" thickBot="1" x14ac:dyDescent="0.35">
      <c r="A2065" s="109" t="s">
        <v>1593</v>
      </c>
      <c r="B2065" s="110" t="s">
        <v>1594</v>
      </c>
      <c r="C2065" s="114">
        <v>16</v>
      </c>
      <c r="D2065" s="110"/>
      <c r="E2065" s="110"/>
      <c r="F2065" s="110"/>
      <c r="G2065" s="115">
        <v>0</v>
      </c>
      <c r="H2065" s="115">
        <v>330</v>
      </c>
      <c r="I2065" s="110"/>
    </row>
    <row r="2066" spans="1:9" x14ac:dyDescent="0.3">
      <c r="A2066" s="35" t="s">
        <v>1575</v>
      </c>
      <c r="B2066" t="s">
        <v>1564</v>
      </c>
      <c r="C2066" s="106">
        <v>1</v>
      </c>
      <c r="D2066" s="56">
        <v>45945</v>
      </c>
      <c r="E2066">
        <v>5600</v>
      </c>
      <c r="F2066">
        <v>5320</v>
      </c>
      <c r="G2066" s="38">
        <v>280</v>
      </c>
      <c r="H2066" s="38">
        <v>610</v>
      </c>
      <c r="I2066" s="108">
        <v>5.2631578947368418E-2</v>
      </c>
    </row>
    <row r="2067" spans="1:9" x14ac:dyDescent="0.3">
      <c r="A2067" s="35" t="s">
        <v>1575</v>
      </c>
      <c r="B2067" t="s">
        <v>1564</v>
      </c>
      <c r="C2067" s="106">
        <v>2</v>
      </c>
      <c r="D2067" s="56">
        <v>45952</v>
      </c>
      <c r="E2067">
        <v>5600</v>
      </c>
      <c r="F2067">
        <v>5320</v>
      </c>
      <c r="G2067" s="38">
        <v>280</v>
      </c>
      <c r="H2067" s="38">
        <v>890</v>
      </c>
      <c r="I2067" s="108">
        <v>5.2631578947368418E-2</v>
      </c>
    </row>
    <row r="2068" spans="1:9" x14ac:dyDescent="0.3">
      <c r="A2068" s="35" t="s">
        <v>1575</v>
      </c>
      <c r="B2068" t="s">
        <v>1564</v>
      </c>
      <c r="C2068" s="106">
        <v>3</v>
      </c>
      <c r="D2068" s="56">
        <v>45959</v>
      </c>
      <c r="E2068">
        <v>5600</v>
      </c>
      <c r="F2068">
        <v>5321</v>
      </c>
      <c r="G2068" s="38">
        <v>279</v>
      </c>
      <c r="H2068" s="38">
        <v>1169</v>
      </c>
      <c r="I2068" s="108">
        <v>5.2433753053937229E-2</v>
      </c>
    </row>
    <row r="2069" spans="1:9" x14ac:dyDescent="0.3">
      <c r="A2069" s="35" t="s">
        <v>1575</v>
      </c>
      <c r="B2069" t="s">
        <v>1564</v>
      </c>
      <c r="C2069" s="106">
        <v>4</v>
      </c>
      <c r="D2069" s="56"/>
      <c r="G2069" s="38">
        <v>0</v>
      </c>
      <c r="H2069" s="38">
        <v>1169</v>
      </c>
      <c r="I2069" s="108" t="e">
        <v>#DIV/0!</v>
      </c>
    </row>
    <row r="2070" spans="1:9" x14ac:dyDescent="0.3">
      <c r="A2070" s="35" t="s">
        <v>1575</v>
      </c>
      <c r="B2070" t="s">
        <v>1564</v>
      </c>
      <c r="C2070" s="106">
        <v>5</v>
      </c>
      <c r="G2070" s="38">
        <v>0</v>
      </c>
      <c r="H2070" s="38">
        <v>1169</v>
      </c>
      <c r="I2070" s="108" t="e">
        <v>#DIV/0!</v>
      </c>
    </row>
    <row r="2071" spans="1:9" x14ac:dyDescent="0.3">
      <c r="A2071" s="35" t="s">
        <v>1575</v>
      </c>
      <c r="B2071" t="s">
        <v>1564</v>
      </c>
      <c r="C2071" s="106">
        <v>6</v>
      </c>
      <c r="G2071" s="38">
        <v>0</v>
      </c>
      <c r="H2071" s="38">
        <v>1169</v>
      </c>
      <c r="I2071" s="108" t="e">
        <v>#DIV/0!</v>
      </c>
    </row>
    <row r="2072" spans="1:9" x14ac:dyDescent="0.3">
      <c r="A2072" s="35" t="s">
        <v>1575</v>
      </c>
      <c r="B2072" t="s">
        <v>1564</v>
      </c>
      <c r="C2072" s="106">
        <v>7</v>
      </c>
      <c r="G2072" s="38">
        <v>0</v>
      </c>
      <c r="H2072" s="38">
        <v>1169</v>
      </c>
      <c r="I2072" s="108" t="e">
        <v>#DIV/0!</v>
      </c>
    </row>
    <row r="2073" spans="1:9" x14ac:dyDescent="0.3">
      <c r="A2073" s="35" t="s">
        <v>1575</v>
      </c>
      <c r="B2073" t="s">
        <v>1564</v>
      </c>
      <c r="C2073" s="106">
        <v>8</v>
      </c>
      <c r="G2073" s="38">
        <v>0</v>
      </c>
      <c r="H2073" s="38">
        <v>1169</v>
      </c>
      <c r="I2073" s="108" t="e">
        <v>#DIV/0!</v>
      </c>
    </row>
    <row r="2074" spans="1:9" x14ac:dyDescent="0.3">
      <c r="A2074" s="35" t="s">
        <v>1575</v>
      </c>
      <c r="B2074" t="s">
        <v>1564</v>
      </c>
      <c r="C2074" s="106">
        <v>9</v>
      </c>
      <c r="G2074" s="38">
        <v>0</v>
      </c>
      <c r="H2074" s="38">
        <v>1169</v>
      </c>
      <c r="I2074" s="108" t="e">
        <v>#DIV/0!</v>
      </c>
    </row>
    <row r="2075" spans="1:9" x14ac:dyDescent="0.3">
      <c r="A2075" s="35" t="s">
        <v>1575</v>
      </c>
      <c r="B2075" t="s">
        <v>1564</v>
      </c>
      <c r="C2075" s="106">
        <v>10</v>
      </c>
      <c r="G2075" s="38">
        <v>0</v>
      </c>
      <c r="H2075" s="38">
        <v>1169</v>
      </c>
      <c r="I2075" s="108" t="e">
        <v>#DIV/0!</v>
      </c>
    </row>
    <row r="2076" spans="1:9" x14ac:dyDescent="0.3">
      <c r="A2076" s="35" t="s">
        <v>1575</v>
      </c>
      <c r="B2076" t="s">
        <v>1564</v>
      </c>
      <c r="C2076" s="106">
        <v>11</v>
      </c>
      <c r="G2076" s="38">
        <v>0</v>
      </c>
      <c r="H2076" s="38">
        <v>1169</v>
      </c>
    </row>
    <row r="2077" spans="1:9" x14ac:dyDescent="0.3">
      <c r="A2077" s="35" t="s">
        <v>1575</v>
      </c>
      <c r="B2077" t="s">
        <v>1564</v>
      </c>
      <c r="C2077" s="106">
        <v>12</v>
      </c>
      <c r="G2077" s="38">
        <v>0</v>
      </c>
      <c r="H2077" s="38">
        <v>1169</v>
      </c>
    </row>
    <row r="2078" spans="1:9" x14ac:dyDescent="0.3">
      <c r="A2078" s="35" t="s">
        <v>1575</v>
      </c>
      <c r="B2078" t="s">
        <v>1564</v>
      </c>
      <c r="C2078" s="106">
        <v>13</v>
      </c>
      <c r="G2078" s="38">
        <v>0</v>
      </c>
      <c r="H2078" s="38">
        <v>1169</v>
      </c>
    </row>
    <row r="2079" spans="1:9" x14ac:dyDescent="0.3">
      <c r="A2079" s="35" t="s">
        <v>1575</v>
      </c>
      <c r="B2079" t="s">
        <v>1564</v>
      </c>
      <c r="C2079" s="106">
        <v>14</v>
      </c>
      <c r="G2079" s="38">
        <v>0</v>
      </c>
      <c r="H2079" s="38">
        <v>1169</v>
      </c>
    </row>
    <row r="2080" spans="1:9" x14ac:dyDescent="0.3">
      <c r="A2080" s="35" t="s">
        <v>1575</v>
      </c>
      <c r="B2080" t="s">
        <v>1564</v>
      </c>
      <c r="C2080" s="106">
        <v>15</v>
      </c>
      <c r="G2080" s="38">
        <v>0</v>
      </c>
      <c r="H2080" s="38">
        <v>1169</v>
      </c>
    </row>
    <row r="2081" spans="1:9" ht="15" thickBot="1" x14ac:dyDescent="0.35">
      <c r="A2081" s="109" t="s">
        <v>1575</v>
      </c>
      <c r="B2081" s="110" t="s">
        <v>1564</v>
      </c>
      <c r="C2081" s="114">
        <v>16</v>
      </c>
      <c r="D2081" s="110"/>
      <c r="E2081" s="110"/>
      <c r="F2081" s="110"/>
      <c r="G2081" s="115">
        <v>0</v>
      </c>
      <c r="H2081" s="115">
        <v>1169</v>
      </c>
      <c r="I2081" s="110"/>
    </row>
    <row r="2082" spans="1:9" x14ac:dyDescent="0.3">
      <c r="A2082" s="35" t="s">
        <v>1602</v>
      </c>
      <c r="B2082" t="s">
        <v>295</v>
      </c>
      <c r="C2082" s="106">
        <v>1</v>
      </c>
      <c r="D2082" s="56">
        <v>45946</v>
      </c>
      <c r="E2082">
        <v>10528</v>
      </c>
      <c r="F2082">
        <v>8976</v>
      </c>
      <c r="G2082" s="38">
        <v>1552</v>
      </c>
      <c r="H2082" s="38">
        <v>1552</v>
      </c>
      <c r="I2082" s="108">
        <v>0.17290552584670232</v>
      </c>
    </row>
    <row r="2083" spans="1:9" x14ac:dyDescent="0.3">
      <c r="A2083" s="35" t="s">
        <v>1602</v>
      </c>
      <c r="B2083" t="s">
        <v>295</v>
      </c>
      <c r="C2083" s="106">
        <v>2</v>
      </c>
      <c r="D2083" s="56">
        <v>45953</v>
      </c>
      <c r="E2083">
        <v>10435</v>
      </c>
      <c r="F2083">
        <v>8976</v>
      </c>
      <c r="G2083" s="38">
        <v>1459</v>
      </c>
      <c r="H2083" s="38">
        <v>3011</v>
      </c>
      <c r="I2083" s="108">
        <v>0.16254456327985739</v>
      </c>
    </row>
    <row r="2084" spans="1:9" x14ac:dyDescent="0.3">
      <c r="A2084" s="35" t="s">
        <v>1602</v>
      </c>
      <c r="B2084" t="s">
        <v>295</v>
      </c>
      <c r="C2084" s="106">
        <v>3</v>
      </c>
      <c r="D2084" s="56">
        <v>45959</v>
      </c>
      <c r="E2084">
        <v>10565</v>
      </c>
      <c r="F2084">
        <v>8976</v>
      </c>
      <c r="G2084" s="38">
        <v>1589</v>
      </c>
      <c r="H2084" s="38">
        <v>4600</v>
      </c>
      <c r="I2084" s="108">
        <v>0.17702762923351159</v>
      </c>
    </row>
    <row r="2085" spans="1:9" x14ac:dyDescent="0.3">
      <c r="A2085" s="35" t="s">
        <v>1602</v>
      </c>
      <c r="B2085" t="s">
        <v>295</v>
      </c>
      <c r="C2085" s="106">
        <v>4</v>
      </c>
      <c r="G2085" s="38">
        <v>0</v>
      </c>
      <c r="H2085" s="38">
        <v>4600</v>
      </c>
      <c r="I2085" s="108" t="e">
        <v>#DIV/0!</v>
      </c>
    </row>
    <row r="2086" spans="1:9" x14ac:dyDescent="0.3">
      <c r="A2086" s="35" t="s">
        <v>1602</v>
      </c>
      <c r="B2086" t="s">
        <v>295</v>
      </c>
      <c r="C2086" s="106">
        <v>5</v>
      </c>
      <c r="G2086" s="38">
        <v>0</v>
      </c>
      <c r="H2086" s="38">
        <v>4600</v>
      </c>
      <c r="I2086" s="108" t="e">
        <v>#DIV/0!</v>
      </c>
    </row>
    <row r="2087" spans="1:9" x14ac:dyDescent="0.3">
      <c r="A2087" s="35" t="s">
        <v>1602</v>
      </c>
      <c r="B2087" t="s">
        <v>295</v>
      </c>
      <c r="C2087" s="106">
        <v>6</v>
      </c>
      <c r="G2087" s="38">
        <v>0</v>
      </c>
      <c r="H2087" s="38">
        <v>4600</v>
      </c>
      <c r="I2087" s="108" t="e">
        <v>#DIV/0!</v>
      </c>
    </row>
    <row r="2088" spans="1:9" x14ac:dyDescent="0.3">
      <c r="A2088" s="35" t="s">
        <v>1602</v>
      </c>
      <c r="B2088" t="s">
        <v>295</v>
      </c>
      <c r="C2088" s="106">
        <v>7</v>
      </c>
      <c r="G2088" s="38">
        <v>0</v>
      </c>
      <c r="H2088" s="38">
        <v>4600</v>
      </c>
      <c r="I2088" s="108" t="e">
        <v>#DIV/0!</v>
      </c>
    </row>
    <row r="2089" spans="1:9" x14ac:dyDescent="0.3">
      <c r="A2089" s="35" t="s">
        <v>1602</v>
      </c>
      <c r="B2089" t="s">
        <v>295</v>
      </c>
      <c r="C2089" s="106">
        <v>8</v>
      </c>
      <c r="G2089" s="38">
        <v>0</v>
      </c>
      <c r="H2089" s="38">
        <v>4600</v>
      </c>
      <c r="I2089" s="108" t="e">
        <v>#DIV/0!</v>
      </c>
    </row>
    <row r="2090" spans="1:9" x14ac:dyDescent="0.3">
      <c r="A2090" s="35" t="s">
        <v>1602</v>
      </c>
      <c r="B2090" t="s">
        <v>295</v>
      </c>
      <c r="C2090" s="106">
        <v>9</v>
      </c>
      <c r="G2090" s="38">
        <v>0</v>
      </c>
      <c r="H2090" s="38">
        <v>4600</v>
      </c>
      <c r="I2090" s="108" t="e">
        <v>#DIV/0!</v>
      </c>
    </row>
    <row r="2091" spans="1:9" x14ac:dyDescent="0.3">
      <c r="A2091" s="35" t="s">
        <v>1602</v>
      </c>
      <c r="B2091" t="s">
        <v>295</v>
      </c>
      <c r="C2091" s="106">
        <v>10</v>
      </c>
      <c r="G2091" s="38">
        <v>0</v>
      </c>
      <c r="H2091" s="38">
        <v>4600</v>
      </c>
      <c r="I2091" s="108" t="e">
        <v>#DIV/0!</v>
      </c>
    </row>
    <row r="2092" spans="1:9" x14ac:dyDescent="0.3">
      <c r="A2092" s="35" t="s">
        <v>1602</v>
      </c>
      <c r="B2092" t="s">
        <v>295</v>
      </c>
      <c r="C2092" s="106">
        <v>11</v>
      </c>
      <c r="G2092" s="38">
        <v>0</v>
      </c>
      <c r="H2092" s="38">
        <v>4600</v>
      </c>
      <c r="I2092" s="108" t="e">
        <v>#DIV/0!</v>
      </c>
    </row>
    <row r="2093" spans="1:9" x14ac:dyDescent="0.3">
      <c r="A2093" s="35" t="s">
        <v>1602</v>
      </c>
      <c r="B2093" t="s">
        <v>295</v>
      </c>
      <c r="C2093" s="106">
        <v>12</v>
      </c>
      <c r="G2093" s="38">
        <v>0</v>
      </c>
      <c r="H2093" s="38">
        <v>4600</v>
      </c>
      <c r="I2093" s="108" t="e">
        <v>#DIV/0!</v>
      </c>
    </row>
    <row r="2094" spans="1:9" x14ac:dyDescent="0.3">
      <c r="A2094" s="35" t="s">
        <v>1602</v>
      </c>
      <c r="B2094" t="s">
        <v>295</v>
      </c>
      <c r="C2094" s="106">
        <v>13</v>
      </c>
      <c r="G2094" s="38">
        <v>0</v>
      </c>
      <c r="H2094" s="38">
        <v>4600</v>
      </c>
      <c r="I2094" s="108" t="e">
        <v>#DIV/0!</v>
      </c>
    </row>
    <row r="2095" spans="1:9" x14ac:dyDescent="0.3">
      <c r="A2095" s="35" t="s">
        <v>1602</v>
      </c>
      <c r="B2095" t="s">
        <v>295</v>
      </c>
      <c r="C2095" s="106">
        <v>14</v>
      </c>
      <c r="G2095" s="38">
        <v>0</v>
      </c>
      <c r="H2095" s="38">
        <v>4600</v>
      </c>
      <c r="I2095" s="108" t="e">
        <v>#DIV/0!</v>
      </c>
    </row>
    <row r="2096" spans="1:9" x14ac:dyDescent="0.3">
      <c r="A2096" s="35" t="s">
        <v>1602</v>
      </c>
      <c r="B2096" t="s">
        <v>295</v>
      </c>
      <c r="C2096" s="106">
        <v>15</v>
      </c>
      <c r="G2096" s="38">
        <v>0</v>
      </c>
      <c r="H2096" s="38">
        <v>4600</v>
      </c>
      <c r="I2096" s="108" t="e">
        <v>#DIV/0!</v>
      </c>
    </row>
    <row r="2097" spans="1:9" ht="15" thickBot="1" x14ac:dyDescent="0.35">
      <c r="A2097" s="109" t="s">
        <v>1602</v>
      </c>
      <c r="B2097" s="110" t="s">
        <v>295</v>
      </c>
      <c r="C2097" s="114">
        <v>16</v>
      </c>
      <c r="D2097" s="110"/>
      <c r="E2097" s="110"/>
      <c r="F2097" s="110"/>
      <c r="G2097" s="115">
        <v>0</v>
      </c>
      <c r="H2097" s="115">
        <v>4600</v>
      </c>
      <c r="I2097" s="121" t="e">
        <v>#DIV/0!</v>
      </c>
    </row>
    <row r="2098" spans="1:9" x14ac:dyDescent="0.3">
      <c r="A2098" s="35" t="s">
        <v>1686</v>
      </c>
      <c r="B2098" t="s">
        <v>1600</v>
      </c>
      <c r="C2098" s="106">
        <v>1</v>
      </c>
      <c r="D2098" s="56">
        <v>45951</v>
      </c>
      <c r="E2098">
        <v>5183</v>
      </c>
      <c r="F2098">
        <v>4717</v>
      </c>
      <c r="G2098" s="38">
        <v>466</v>
      </c>
      <c r="H2098" s="38">
        <v>466</v>
      </c>
      <c r="I2098" s="108">
        <v>9.8791604833580668E-2</v>
      </c>
    </row>
    <row r="2099" spans="1:9" x14ac:dyDescent="0.3">
      <c r="A2099" s="35" t="s">
        <v>1686</v>
      </c>
      <c r="B2099" t="s">
        <v>1600</v>
      </c>
      <c r="C2099" s="106">
        <v>2</v>
      </c>
      <c r="D2099" s="56">
        <v>45958</v>
      </c>
      <c r="E2099">
        <v>5183</v>
      </c>
      <c r="F2099">
        <v>4712</v>
      </c>
      <c r="G2099" s="38">
        <v>471</v>
      </c>
      <c r="H2099" s="38">
        <v>937</v>
      </c>
      <c r="I2099" s="108">
        <v>9.9957555178268251E-2</v>
      </c>
    </row>
    <row r="2100" spans="1:9" x14ac:dyDescent="0.3">
      <c r="A2100" s="35" t="s">
        <v>1686</v>
      </c>
      <c r="B2100" t="s">
        <v>1600</v>
      </c>
      <c r="C2100" s="106">
        <v>3</v>
      </c>
      <c r="G2100" s="38">
        <v>0</v>
      </c>
      <c r="H2100" s="38">
        <v>937</v>
      </c>
      <c r="I2100" s="108" t="e">
        <v>#DIV/0!</v>
      </c>
    </row>
    <row r="2101" spans="1:9" x14ac:dyDescent="0.3">
      <c r="A2101" s="35" t="s">
        <v>1686</v>
      </c>
      <c r="B2101" t="s">
        <v>1600</v>
      </c>
      <c r="C2101" s="106">
        <v>4</v>
      </c>
      <c r="G2101" s="38">
        <v>0</v>
      </c>
      <c r="H2101" s="38">
        <v>937</v>
      </c>
      <c r="I2101" s="108" t="e">
        <v>#DIV/0!</v>
      </c>
    </row>
    <row r="2102" spans="1:9" x14ac:dyDescent="0.3">
      <c r="A2102" s="35" t="s">
        <v>1686</v>
      </c>
      <c r="B2102" t="s">
        <v>1600</v>
      </c>
      <c r="C2102" s="106">
        <v>5</v>
      </c>
      <c r="G2102" s="38">
        <v>0</v>
      </c>
      <c r="H2102" s="38">
        <v>937</v>
      </c>
      <c r="I2102" s="108" t="e">
        <v>#DIV/0!</v>
      </c>
    </row>
    <row r="2103" spans="1:9" x14ac:dyDescent="0.3">
      <c r="A2103" s="35" t="s">
        <v>1686</v>
      </c>
      <c r="B2103" t="s">
        <v>1600</v>
      </c>
      <c r="C2103" s="106">
        <v>6</v>
      </c>
      <c r="G2103" s="38">
        <v>0</v>
      </c>
      <c r="H2103" s="38">
        <v>937</v>
      </c>
      <c r="I2103" s="108" t="e">
        <v>#DIV/0!</v>
      </c>
    </row>
    <row r="2104" spans="1:9" x14ac:dyDescent="0.3">
      <c r="A2104" s="35" t="s">
        <v>1686</v>
      </c>
      <c r="B2104" t="s">
        <v>1600</v>
      </c>
      <c r="C2104" s="106">
        <v>7</v>
      </c>
      <c r="G2104" s="38">
        <v>0</v>
      </c>
      <c r="H2104" s="38">
        <v>937</v>
      </c>
      <c r="I2104" s="108" t="e">
        <v>#DIV/0!</v>
      </c>
    </row>
    <row r="2105" spans="1:9" x14ac:dyDescent="0.3">
      <c r="A2105" s="35" t="s">
        <v>1686</v>
      </c>
      <c r="B2105" t="s">
        <v>1600</v>
      </c>
      <c r="C2105" s="106">
        <v>8</v>
      </c>
      <c r="G2105" s="38">
        <v>0</v>
      </c>
      <c r="H2105" s="38">
        <v>937</v>
      </c>
      <c r="I2105" s="108" t="e">
        <v>#DIV/0!</v>
      </c>
    </row>
    <row r="2106" spans="1:9" x14ac:dyDescent="0.3">
      <c r="A2106" s="35" t="s">
        <v>1686</v>
      </c>
      <c r="B2106" t="s">
        <v>1600</v>
      </c>
      <c r="C2106" s="106">
        <v>9</v>
      </c>
      <c r="G2106" s="38">
        <v>0</v>
      </c>
      <c r="H2106" s="38">
        <v>937</v>
      </c>
      <c r="I2106" s="108" t="e">
        <v>#DIV/0!</v>
      </c>
    </row>
    <row r="2107" spans="1:9" x14ac:dyDescent="0.3">
      <c r="A2107" s="35" t="s">
        <v>1686</v>
      </c>
      <c r="B2107" t="s">
        <v>1600</v>
      </c>
      <c r="C2107" s="106">
        <v>10</v>
      </c>
      <c r="G2107" s="38">
        <v>0</v>
      </c>
      <c r="H2107" s="38">
        <v>937</v>
      </c>
      <c r="I2107" s="108" t="e">
        <v>#DIV/0!</v>
      </c>
    </row>
    <row r="2108" spans="1:9" x14ac:dyDescent="0.3">
      <c r="A2108" s="35" t="s">
        <v>1686</v>
      </c>
      <c r="B2108" t="s">
        <v>1600</v>
      </c>
      <c r="C2108" s="106">
        <v>11</v>
      </c>
      <c r="G2108" s="38">
        <v>0</v>
      </c>
      <c r="H2108" s="38">
        <v>937</v>
      </c>
      <c r="I2108" s="108" t="e">
        <v>#DIV/0!</v>
      </c>
    </row>
    <row r="2109" spans="1:9" x14ac:dyDescent="0.3">
      <c r="A2109" s="35" t="s">
        <v>1686</v>
      </c>
      <c r="B2109" t="s">
        <v>1600</v>
      </c>
      <c r="C2109" s="106">
        <v>12</v>
      </c>
      <c r="G2109" s="38">
        <v>0</v>
      </c>
      <c r="H2109" s="38">
        <v>937</v>
      </c>
      <c r="I2109" s="108" t="e">
        <v>#DIV/0!</v>
      </c>
    </row>
    <row r="2110" spans="1:9" x14ac:dyDescent="0.3">
      <c r="A2110" s="35" t="s">
        <v>1686</v>
      </c>
      <c r="B2110" t="s">
        <v>1600</v>
      </c>
      <c r="C2110" s="106">
        <v>13</v>
      </c>
      <c r="G2110" s="38">
        <v>0</v>
      </c>
      <c r="H2110" s="38">
        <v>937</v>
      </c>
      <c r="I2110" s="108" t="e">
        <v>#DIV/0!</v>
      </c>
    </row>
    <row r="2111" spans="1:9" x14ac:dyDescent="0.3">
      <c r="A2111" s="35" t="s">
        <v>1686</v>
      </c>
      <c r="B2111" t="s">
        <v>1600</v>
      </c>
      <c r="C2111" s="106">
        <v>14</v>
      </c>
      <c r="G2111" s="38">
        <v>0</v>
      </c>
      <c r="H2111" s="38">
        <v>937</v>
      </c>
      <c r="I2111" s="108" t="e">
        <v>#DIV/0!</v>
      </c>
    </row>
    <row r="2112" spans="1:9" x14ac:dyDescent="0.3">
      <c r="A2112" s="35" t="s">
        <v>1686</v>
      </c>
      <c r="B2112" t="s">
        <v>1600</v>
      </c>
      <c r="C2112" s="106">
        <v>15</v>
      </c>
      <c r="G2112" s="38">
        <v>0</v>
      </c>
      <c r="H2112" s="38">
        <v>937</v>
      </c>
      <c r="I2112" s="108" t="e">
        <v>#DIV/0!</v>
      </c>
    </row>
    <row r="2113" spans="1:9" ht="15" thickBot="1" x14ac:dyDescent="0.35">
      <c r="A2113" s="109" t="s">
        <v>1686</v>
      </c>
      <c r="B2113" s="110" t="s">
        <v>1600</v>
      </c>
      <c r="C2113" s="114">
        <v>16</v>
      </c>
      <c r="D2113" s="110"/>
      <c r="E2113" s="110"/>
      <c r="F2113" s="110"/>
      <c r="G2113" s="115">
        <v>0</v>
      </c>
      <c r="H2113" s="115">
        <v>937</v>
      </c>
      <c r="I2113" s="121" t="e">
        <v>#DIV/0!</v>
      </c>
    </row>
    <row r="2114" spans="1:9" x14ac:dyDescent="0.3">
      <c r="A2114" s="35" t="s">
        <v>1635</v>
      </c>
      <c r="B2114" t="s">
        <v>1599</v>
      </c>
      <c r="C2114" s="106">
        <v>1</v>
      </c>
      <c r="D2114" s="56">
        <v>45947</v>
      </c>
      <c r="E2114">
        <v>4192</v>
      </c>
      <c r="F2114">
        <v>3952</v>
      </c>
      <c r="G2114" s="38">
        <v>240</v>
      </c>
      <c r="H2114" s="38">
        <v>240</v>
      </c>
      <c r="I2114" s="108">
        <v>6.0728744939271252E-2</v>
      </c>
    </row>
    <row r="2115" spans="1:9" x14ac:dyDescent="0.3">
      <c r="A2115" s="35" t="s">
        <v>1635</v>
      </c>
      <c r="B2115" t="s">
        <v>1599</v>
      </c>
      <c r="C2115" s="106">
        <v>2</v>
      </c>
      <c r="D2115" s="56">
        <v>45954</v>
      </c>
      <c r="E2115">
        <v>4192</v>
      </c>
      <c r="F2115">
        <v>3952</v>
      </c>
      <c r="G2115" s="38">
        <v>240</v>
      </c>
      <c r="H2115" s="38">
        <v>480</v>
      </c>
      <c r="I2115" s="108">
        <v>6.0728744939271252E-2</v>
      </c>
    </row>
    <row r="2116" spans="1:9" x14ac:dyDescent="0.3">
      <c r="A2116" s="35" t="s">
        <v>1635</v>
      </c>
      <c r="B2116" t="s">
        <v>1599</v>
      </c>
      <c r="C2116" s="106">
        <v>3</v>
      </c>
      <c r="G2116" s="38">
        <v>0</v>
      </c>
      <c r="H2116" s="38">
        <v>480</v>
      </c>
      <c r="I2116" s="108" t="e">
        <v>#DIV/0!</v>
      </c>
    </row>
    <row r="2117" spans="1:9" x14ac:dyDescent="0.3">
      <c r="A2117" s="35" t="s">
        <v>1635</v>
      </c>
      <c r="B2117" t="s">
        <v>1599</v>
      </c>
      <c r="C2117" s="106">
        <v>4</v>
      </c>
      <c r="G2117" s="38">
        <v>0</v>
      </c>
      <c r="H2117" s="38">
        <v>480</v>
      </c>
      <c r="I2117" s="108" t="e">
        <v>#DIV/0!</v>
      </c>
    </row>
    <row r="2118" spans="1:9" x14ac:dyDescent="0.3">
      <c r="A2118" s="35" t="s">
        <v>1635</v>
      </c>
      <c r="B2118" t="s">
        <v>1599</v>
      </c>
      <c r="C2118" s="106">
        <v>5</v>
      </c>
      <c r="G2118" s="38">
        <v>0</v>
      </c>
      <c r="H2118" s="38">
        <v>480</v>
      </c>
      <c r="I2118" s="108" t="e">
        <v>#DIV/0!</v>
      </c>
    </row>
    <row r="2119" spans="1:9" x14ac:dyDescent="0.3">
      <c r="A2119" s="35" t="s">
        <v>1635</v>
      </c>
      <c r="B2119" t="s">
        <v>1599</v>
      </c>
      <c r="C2119" s="106">
        <v>6</v>
      </c>
      <c r="G2119" s="38">
        <v>0</v>
      </c>
      <c r="H2119" s="38">
        <v>480</v>
      </c>
      <c r="I2119" s="108" t="e">
        <v>#DIV/0!</v>
      </c>
    </row>
    <row r="2120" spans="1:9" x14ac:dyDescent="0.3">
      <c r="A2120" s="35" t="s">
        <v>1635</v>
      </c>
      <c r="B2120" t="s">
        <v>1599</v>
      </c>
      <c r="C2120" s="106">
        <v>7</v>
      </c>
      <c r="G2120" s="38">
        <v>0</v>
      </c>
      <c r="H2120" s="38">
        <v>480</v>
      </c>
      <c r="I2120" s="108" t="e">
        <v>#DIV/0!</v>
      </c>
    </row>
    <row r="2121" spans="1:9" x14ac:dyDescent="0.3">
      <c r="A2121" s="35" t="s">
        <v>1635</v>
      </c>
      <c r="B2121" t="s">
        <v>1599</v>
      </c>
      <c r="C2121" s="106">
        <v>8</v>
      </c>
      <c r="G2121" s="38">
        <v>0</v>
      </c>
      <c r="H2121" s="38">
        <v>480</v>
      </c>
      <c r="I2121" s="108" t="e">
        <v>#DIV/0!</v>
      </c>
    </row>
    <row r="2122" spans="1:9" x14ac:dyDescent="0.3">
      <c r="A2122" s="35" t="s">
        <v>1635</v>
      </c>
      <c r="B2122" t="s">
        <v>1599</v>
      </c>
      <c r="C2122" s="106">
        <v>9</v>
      </c>
      <c r="G2122" s="38">
        <v>0</v>
      </c>
      <c r="H2122" s="38">
        <v>480</v>
      </c>
      <c r="I2122" s="108" t="e">
        <v>#DIV/0!</v>
      </c>
    </row>
    <row r="2123" spans="1:9" x14ac:dyDescent="0.3">
      <c r="A2123" s="35" t="s">
        <v>1635</v>
      </c>
      <c r="B2123" t="s">
        <v>1599</v>
      </c>
      <c r="C2123" s="106">
        <v>10</v>
      </c>
      <c r="G2123" s="38">
        <v>0</v>
      </c>
      <c r="H2123" s="38">
        <v>480</v>
      </c>
      <c r="I2123" s="108" t="e">
        <v>#DIV/0!</v>
      </c>
    </row>
    <row r="2124" spans="1:9" x14ac:dyDescent="0.3">
      <c r="A2124" s="35" t="s">
        <v>1635</v>
      </c>
      <c r="B2124" t="s">
        <v>1599</v>
      </c>
      <c r="C2124" s="106">
        <v>11</v>
      </c>
      <c r="G2124" s="38">
        <v>0</v>
      </c>
      <c r="H2124" s="38">
        <v>480</v>
      </c>
      <c r="I2124" s="108" t="e">
        <v>#DIV/0!</v>
      </c>
    </row>
    <row r="2125" spans="1:9" x14ac:dyDescent="0.3">
      <c r="A2125" s="35" t="s">
        <v>1635</v>
      </c>
      <c r="B2125" t="s">
        <v>1599</v>
      </c>
      <c r="C2125" s="106">
        <v>12</v>
      </c>
      <c r="G2125" s="38">
        <v>0</v>
      </c>
      <c r="H2125" s="38">
        <v>480</v>
      </c>
      <c r="I2125" s="108" t="e">
        <v>#DIV/0!</v>
      </c>
    </row>
    <row r="2126" spans="1:9" x14ac:dyDescent="0.3">
      <c r="A2126" s="35" t="s">
        <v>1635</v>
      </c>
      <c r="B2126" t="s">
        <v>1599</v>
      </c>
      <c r="C2126" s="106">
        <v>13</v>
      </c>
      <c r="G2126" s="38">
        <v>0</v>
      </c>
      <c r="H2126" s="38">
        <v>480</v>
      </c>
      <c r="I2126" s="108" t="e">
        <v>#DIV/0!</v>
      </c>
    </row>
    <row r="2127" spans="1:9" x14ac:dyDescent="0.3">
      <c r="A2127" s="35" t="s">
        <v>1635</v>
      </c>
      <c r="B2127" t="s">
        <v>1599</v>
      </c>
      <c r="C2127" s="106">
        <v>14</v>
      </c>
      <c r="G2127" s="38">
        <v>0</v>
      </c>
      <c r="H2127" s="38">
        <v>480</v>
      </c>
      <c r="I2127" s="108" t="e">
        <v>#DIV/0!</v>
      </c>
    </row>
    <row r="2128" spans="1:9" x14ac:dyDescent="0.3">
      <c r="A2128" s="35" t="s">
        <v>1635</v>
      </c>
      <c r="B2128" t="s">
        <v>1599</v>
      </c>
      <c r="C2128" s="106">
        <v>15</v>
      </c>
      <c r="G2128" s="38">
        <v>0</v>
      </c>
      <c r="H2128" s="38">
        <v>480</v>
      </c>
      <c r="I2128" s="108" t="e">
        <v>#DIV/0!</v>
      </c>
    </row>
    <row r="2129" spans="1:9" ht="15" thickBot="1" x14ac:dyDescent="0.35">
      <c r="A2129" s="109" t="s">
        <v>1635</v>
      </c>
      <c r="B2129" s="110" t="s">
        <v>1599</v>
      </c>
      <c r="C2129" s="114">
        <v>16</v>
      </c>
      <c r="D2129" s="110"/>
      <c r="E2129" s="110"/>
      <c r="F2129" s="110"/>
      <c r="G2129" s="115">
        <v>0</v>
      </c>
      <c r="H2129" s="115">
        <v>480</v>
      </c>
      <c r="I2129" s="121" t="e">
        <v>#DIV/0!</v>
      </c>
    </row>
    <row r="2130" spans="1:9" x14ac:dyDescent="0.3">
      <c r="A2130" s="35" t="s">
        <v>1634</v>
      </c>
      <c r="B2130" t="s">
        <v>1563</v>
      </c>
      <c r="C2130" s="106">
        <v>1</v>
      </c>
      <c r="D2130" s="56">
        <v>45947</v>
      </c>
      <c r="E2130">
        <v>4849.04</v>
      </c>
      <c r="F2130">
        <v>4809</v>
      </c>
      <c r="G2130" s="38">
        <v>40.039999999999964</v>
      </c>
      <c r="H2130" s="38">
        <v>40.039999999999964</v>
      </c>
      <c r="I2130" s="108">
        <v>8.3260553129548692E-3</v>
      </c>
    </row>
    <row r="2131" spans="1:9" x14ac:dyDescent="0.3">
      <c r="A2131" s="35" t="s">
        <v>1634</v>
      </c>
      <c r="B2131" t="s">
        <v>1563</v>
      </c>
      <c r="C2131" s="106">
        <v>2</v>
      </c>
      <c r="D2131" s="56">
        <v>45954</v>
      </c>
      <c r="E2131">
        <v>4857</v>
      </c>
      <c r="F2131">
        <v>4809</v>
      </c>
      <c r="G2131" s="38">
        <v>48</v>
      </c>
      <c r="H2131" s="38">
        <v>88.039999999999964</v>
      </c>
      <c r="I2131" s="108">
        <v>9.9812850904553961E-3</v>
      </c>
    </row>
    <row r="2132" spans="1:9" x14ac:dyDescent="0.3">
      <c r="A2132" s="35" t="s">
        <v>1634</v>
      </c>
      <c r="B2132" t="s">
        <v>1563</v>
      </c>
      <c r="C2132" s="106">
        <v>3</v>
      </c>
      <c r="G2132" s="38">
        <v>0</v>
      </c>
      <c r="H2132" s="38">
        <v>88.039999999999964</v>
      </c>
      <c r="I2132" s="108" t="e">
        <v>#DIV/0!</v>
      </c>
    </row>
    <row r="2133" spans="1:9" x14ac:dyDescent="0.3">
      <c r="A2133" s="35" t="s">
        <v>1634</v>
      </c>
      <c r="B2133" t="s">
        <v>1563</v>
      </c>
      <c r="C2133" s="106">
        <v>4</v>
      </c>
      <c r="G2133" s="38">
        <v>0</v>
      </c>
      <c r="H2133" s="38">
        <v>88.039999999999964</v>
      </c>
      <c r="I2133" s="108" t="e">
        <v>#DIV/0!</v>
      </c>
    </row>
    <row r="2134" spans="1:9" x14ac:dyDescent="0.3">
      <c r="A2134" s="35" t="s">
        <v>1634</v>
      </c>
      <c r="B2134" t="s">
        <v>1563</v>
      </c>
      <c r="C2134" s="106">
        <v>5</v>
      </c>
      <c r="G2134" s="38">
        <v>0</v>
      </c>
      <c r="H2134" s="38">
        <v>88.039999999999964</v>
      </c>
      <c r="I2134" s="108" t="e">
        <v>#DIV/0!</v>
      </c>
    </row>
    <row r="2135" spans="1:9" x14ac:dyDescent="0.3">
      <c r="A2135" s="35" t="s">
        <v>1634</v>
      </c>
      <c r="B2135" t="s">
        <v>1563</v>
      </c>
      <c r="C2135" s="106">
        <v>6</v>
      </c>
      <c r="G2135" s="38">
        <v>0</v>
      </c>
      <c r="H2135" s="38">
        <v>88.039999999999964</v>
      </c>
      <c r="I2135" s="108" t="e">
        <v>#DIV/0!</v>
      </c>
    </row>
    <row r="2136" spans="1:9" x14ac:dyDescent="0.3">
      <c r="A2136" s="35" t="s">
        <v>1634</v>
      </c>
      <c r="B2136" t="s">
        <v>1563</v>
      </c>
      <c r="C2136" s="106">
        <v>7</v>
      </c>
      <c r="G2136" s="38">
        <v>0</v>
      </c>
      <c r="H2136" s="38">
        <v>88.039999999999964</v>
      </c>
      <c r="I2136" s="108" t="e">
        <v>#DIV/0!</v>
      </c>
    </row>
    <row r="2137" spans="1:9" x14ac:dyDescent="0.3">
      <c r="A2137" s="35" t="s">
        <v>1634</v>
      </c>
      <c r="B2137" t="s">
        <v>1563</v>
      </c>
      <c r="C2137" s="106">
        <v>8</v>
      </c>
      <c r="G2137" s="38">
        <v>0</v>
      </c>
      <c r="H2137" s="38">
        <v>88.039999999999964</v>
      </c>
      <c r="I2137" s="108" t="e">
        <v>#DIV/0!</v>
      </c>
    </row>
    <row r="2138" spans="1:9" x14ac:dyDescent="0.3">
      <c r="A2138" s="35" t="s">
        <v>1634</v>
      </c>
      <c r="B2138" t="s">
        <v>1563</v>
      </c>
      <c r="C2138" s="106">
        <v>9</v>
      </c>
      <c r="G2138" s="38">
        <v>0</v>
      </c>
      <c r="H2138" s="38">
        <v>88.039999999999964</v>
      </c>
      <c r="I2138" s="108" t="e">
        <v>#DIV/0!</v>
      </c>
    </row>
    <row r="2139" spans="1:9" x14ac:dyDescent="0.3">
      <c r="A2139" s="35" t="s">
        <v>1634</v>
      </c>
      <c r="B2139" t="s">
        <v>1563</v>
      </c>
      <c r="C2139" s="106">
        <v>10</v>
      </c>
      <c r="G2139" s="38">
        <v>0</v>
      </c>
      <c r="H2139" s="38">
        <v>88.039999999999964</v>
      </c>
      <c r="I2139" s="108" t="e">
        <v>#DIV/0!</v>
      </c>
    </row>
    <row r="2140" spans="1:9" x14ac:dyDescent="0.3">
      <c r="A2140" s="35" t="s">
        <v>1634</v>
      </c>
      <c r="B2140" t="s">
        <v>1563</v>
      </c>
      <c r="C2140" s="106">
        <v>11</v>
      </c>
      <c r="G2140" s="38">
        <v>0</v>
      </c>
      <c r="H2140" s="38">
        <v>88.039999999999964</v>
      </c>
      <c r="I2140" s="108" t="e">
        <v>#DIV/0!</v>
      </c>
    </row>
    <row r="2141" spans="1:9" x14ac:dyDescent="0.3">
      <c r="A2141" s="35" t="s">
        <v>1634</v>
      </c>
      <c r="B2141" t="s">
        <v>1563</v>
      </c>
      <c r="C2141" s="106">
        <v>12</v>
      </c>
      <c r="G2141" s="38">
        <v>0</v>
      </c>
      <c r="H2141" s="38">
        <v>88.039999999999964</v>
      </c>
      <c r="I2141" s="108" t="e">
        <v>#DIV/0!</v>
      </c>
    </row>
    <row r="2142" spans="1:9" x14ac:dyDescent="0.3">
      <c r="A2142" s="35" t="s">
        <v>1634</v>
      </c>
      <c r="B2142" t="s">
        <v>1563</v>
      </c>
      <c r="C2142" s="106">
        <v>13</v>
      </c>
      <c r="G2142" s="38">
        <v>0</v>
      </c>
      <c r="H2142" s="38">
        <v>88.039999999999964</v>
      </c>
      <c r="I2142" s="108" t="e">
        <v>#DIV/0!</v>
      </c>
    </row>
    <row r="2143" spans="1:9" x14ac:dyDescent="0.3">
      <c r="A2143" s="35" t="s">
        <v>1634</v>
      </c>
      <c r="B2143" t="s">
        <v>1563</v>
      </c>
      <c r="C2143" s="106">
        <v>14</v>
      </c>
      <c r="G2143" s="38">
        <v>0</v>
      </c>
      <c r="H2143" s="38">
        <v>88.039999999999964</v>
      </c>
      <c r="I2143" s="108" t="e">
        <v>#DIV/0!</v>
      </c>
    </row>
    <row r="2144" spans="1:9" x14ac:dyDescent="0.3">
      <c r="A2144" s="35" t="s">
        <v>1634</v>
      </c>
      <c r="B2144" t="s">
        <v>1563</v>
      </c>
      <c r="C2144" s="106">
        <v>15</v>
      </c>
      <c r="G2144" s="38">
        <v>0</v>
      </c>
      <c r="H2144" s="38">
        <v>88.039999999999964</v>
      </c>
      <c r="I2144" s="108" t="e">
        <v>#DIV/0!</v>
      </c>
    </row>
    <row r="2145" spans="1:9" ht="15" thickBot="1" x14ac:dyDescent="0.35">
      <c r="A2145" s="109" t="s">
        <v>1634</v>
      </c>
      <c r="B2145" s="110" t="s">
        <v>1563</v>
      </c>
      <c r="C2145" s="114">
        <v>16</v>
      </c>
      <c r="D2145" s="110"/>
      <c r="E2145" s="110"/>
      <c r="F2145" s="110"/>
      <c r="G2145" s="115">
        <v>0</v>
      </c>
      <c r="H2145" s="115">
        <v>88.039999999999964</v>
      </c>
      <c r="I2145" s="121" t="e">
        <v>#DIV/0!</v>
      </c>
    </row>
    <row r="2146" spans="1:9" x14ac:dyDescent="0.3">
      <c r="A2146" s="35" t="s">
        <v>1638</v>
      </c>
      <c r="B2146" t="s">
        <v>1598</v>
      </c>
      <c r="C2146" s="106">
        <v>1</v>
      </c>
      <c r="D2146" s="56">
        <v>45947</v>
      </c>
      <c r="E2146">
        <v>12640</v>
      </c>
      <c r="F2146">
        <v>12008</v>
      </c>
      <c r="G2146" s="38">
        <v>632</v>
      </c>
      <c r="H2146" s="38">
        <v>632</v>
      </c>
      <c r="I2146" s="108">
        <v>5.2631578947368418E-2</v>
      </c>
    </row>
    <row r="2147" spans="1:9" x14ac:dyDescent="0.3">
      <c r="A2147" s="35" t="s">
        <v>1638</v>
      </c>
      <c r="B2147" t="s">
        <v>1598</v>
      </c>
      <c r="C2147" s="106">
        <v>2</v>
      </c>
      <c r="D2147" s="56">
        <v>45954</v>
      </c>
      <c r="E2147">
        <v>12640</v>
      </c>
      <c r="F2147">
        <v>12008</v>
      </c>
      <c r="G2147" s="38">
        <v>632</v>
      </c>
      <c r="H2147" s="38">
        <v>1264</v>
      </c>
      <c r="I2147" s="108">
        <v>5.2631578947368418E-2</v>
      </c>
    </row>
    <row r="2148" spans="1:9" x14ac:dyDescent="0.3">
      <c r="A2148" s="35" t="s">
        <v>1638</v>
      </c>
      <c r="B2148" t="s">
        <v>1598</v>
      </c>
      <c r="C2148" s="106">
        <v>3</v>
      </c>
      <c r="G2148" s="38">
        <v>0</v>
      </c>
      <c r="H2148" s="38">
        <v>1264</v>
      </c>
      <c r="I2148" s="108" t="e">
        <v>#DIV/0!</v>
      </c>
    </row>
    <row r="2149" spans="1:9" x14ac:dyDescent="0.3">
      <c r="A2149" s="35" t="s">
        <v>1638</v>
      </c>
      <c r="B2149" t="s">
        <v>1598</v>
      </c>
      <c r="C2149" s="106">
        <v>4</v>
      </c>
      <c r="G2149" s="38">
        <v>0</v>
      </c>
      <c r="H2149" s="38">
        <v>1264</v>
      </c>
      <c r="I2149" s="108" t="e">
        <v>#DIV/0!</v>
      </c>
    </row>
    <row r="2150" spans="1:9" x14ac:dyDescent="0.3">
      <c r="A2150" s="35" t="s">
        <v>1638</v>
      </c>
      <c r="B2150" t="s">
        <v>1598</v>
      </c>
      <c r="C2150" s="106">
        <v>5</v>
      </c>
      <c r="G2150" s="38">
        <v>0</v>
      </c>
      <c r="H2150" s="38">
        <v>1264</v>
      </c>
      <c r="I2150" s="108" t="e">
        <v>#DIV/0!</v>
      </c>
    </row>
    <row r="2151" spans="1:9" x14ac:dyDescent="0.3">
      <c r="A2151" s="35" t="s">
        <v>1638</v>
      </c>
      <c r="B2151" t="s">
        <v>1598</v>
      </c>
      <c r="C2151" s="106">
        <v>6</v>
      </c>
      <c r="G2151" s="38">
        <v>0</v>
      </c>
      <c r="H2151" s="38">
        <v>1264</v>
      </c>
      <c r="I2151" s="108" t="e">
        <v>#DIV/0!</v>
      </c>
    </row>
    <row r="2152" spans="1:9" x14ac:dyDescent="0.3">
      <c r="A2152" s="35" t="s">
        <v>1638</v>
      </c>
      <c r="B2152" t="s">
        <v>1598</v>
      </c>
      <c r="C2152" s="106">
        <v>7</v>
      </c>
      <c r="G2152" s="38">
        <v>0</v>
      </c>
      <c r="H2152" s="38">
        <v>1264</v>
      </c>
      <c r="I2152" s="108" t="e">
        <v>#DIV/0!</v>
      </c>
    </row>
    <row r="2153" spans="1:9" x14ac:dyDescent="0.3">
      <c r="A2153" s="35" t="s">
        <v>1638</v>
      </c>
      <c r="B2153" t="s">
        <v>1598</v>
      </c>
      <c r="C2153" s="106">
        <v>8</v>
      </c>
      <c r="G2153" s="38">
        <v>0</v>
      </c>
      <c r="H2153" s="38">
        <v>1264</v>
      </c>
      <c r="I2153" s="108" t="e">
        <v>#DIV/0!</v>
      </c>
    </row>
    <row r="2154" spans="1:9" x14ac:dyDescent="0.3">
      <c r="A2154" s="35" t="s">
        <v>1638</v>
      </c>
      <c r="B2154" t="s">
        <v>1598</v>
      </c>
      <c r="C2154" s="106">
        <v>9</v>
      </c>
      <c r="G2154" s="38">
        <v>0</v>
      </c>
      <c r="H2154" s="38">
        <v>1264</v>
      </c>
      <c r="I2154" s="108" t="e">
        <v>#DIV/0!</v>
      </c>
    </row>
    <row r="2155" spans="1:9" x14ac:dyDescent="0.3">
      <c r="A2155" s="35" t="s">
        <v>1638</v>
      </c>
      <c r="B2155" t="s">
        <v>1598</v>
      </c>
      <c r="C2155" s="106">
        <v>10</v>
      </c>
      <c r="G2155" s="38">
        <v>0</v>
      </c>
      <c r="H2155" s="38">
        <v>1264</v>
      </c>
      <c r="I2155" s="108" t="e">
        <v>#DIV/0!</v>
      </c>
    </row>
    <row r="2156" spans="1:9" x14ac:dyDescent="0.3">
      <c r="A2156" s="35" t="s">
        <v>1638</v>
      </c>
      <c r="B2156" t="s">
        <v>1598</v>
      </c>
      <c r="C2156" s="106">
        <v>11</v>
      </c>
      <c r="G2156" s="38">
        <v>0</v>
      </c>
      <c r="H2156" s="38">
        <v>1264</v>
      </c>
      <c r="I2156" s="108" t="e">
        <v>#DIV/0!</v>
      </c>
    </row>
    <row r="2157" spans="1:9" x14ac:dyDescent="0.3">
      <c r="A2157" s="35" t="s">
        <v>1638</v>
      </c>
      <c r="B2157" t="s">
        <v>1598</v>
      </c>
      <c r="C2157" s="106">
        <v>12</v>
      </c>
      <c r="G2157" s="38">
        <v>0</v>
      </c>
      <c r="H2157" s="38">
        <v>1264</v>
      </c>
      <c r="I2157" s="108" t="e">
        <v>#DIV/0!</v>
      </c>
    </row>
    <row r="2158" spans="1:9" x14ac:dyDescent="0.3">
      <c r="A2158" s="35" t="s">
        <v>1638</v>
      </c>
      <c r="B2158" t="s">
        <v>1598</v>
      </c>
      <c r="C2158" s="106">
        <v>13</v>
      </c>
      <c r="G2158" s="38">
        <v>0</v>
      </c>
      <c r="H2158" s="38">
        <v>1264</v>
      </c>
      <c r="I2158" s="108" t="e">
        <v>#DIV/0!</v>
      </c>
    </row>
    <row r="2159" spans="1:9" x14ac:dyDescent="0.3">
      <c r="A2159" s="35" t="s">
        <v>1638</v>
      </c>
      <c r="B2159" t="s">
        <v>1598</v>
      </c>
      <c r="C2159" s="106">
        <v>14</v>
      </c>
      <c r="G2159" s="38">
        <v>0</v>
      </c>
      <c r="H2159" s="38">
        <v>1264</v>
      </c>
      <c r="I2159" s="108" t="e">
        <v>#DIV/0!</v>
      </c>
    </row>
    <row r="2160" spans="1:9" x14ac:dyDescent="0.3">
      <c r="A2160" s="35" t="s">
        <v>1638</v>
      </c>
      <c r="B2160" t="s">
        <v>1598</v>
      </c>
      <c r="C2160" s="106">
        <v>15</v>
      </c>
      <c r="G2160" s="38">
        <v>0</v>
      </c>
      <c r="H2160" s="38">
        <v>1264</v>
      </c>
      <c r="I2160" s="108" t="e">
        <v>#DIV/0!</v>
      </c>
    </row>
    <row r="2161" spans="1:9" ht="15" thickBot="1" x14ac:dyDescent="0.35">
      <c r="A2161" s="109" t="s">
        <v>1638</v>
      </c>
      <c r="B2161" s="110" t="s">
        <v>1598</v>
      </c>
      <c r="C2161" s="114">
        <v>16</v>
      </c>
      <c r="D2161" s="110"/>
      <c r="E2161" s="110"/>
      <c r="F2161" s="110"/>
      <c r="G2161" s="115">
        <v>0</v>
      </c>
      <c r="H2161" s="115">
        <v>1264</v>
      </c>
      <c r="I2161" s="121" t="e">
        <v>#DIV/0!</v>
      </c>
    </row>
    <row r="2162" spans="1:9" x14ac:dyDescent="0.3">
      <c r="A2162" s="35" t="s">
        <v>1666</v>
      </c>
      <c r="B2162" t="s">
        <v>1597</v>
      </c>
      <c r="C2162" s="106">
        <v>1</v>
      </c>
      <c r="D2162" s="56">
        <v>45945</v>
      </c>
      <c r="E2162">
        <v>12222</v>
      </c>
      <c r="F2162">
        <v>11400.1</v>
      </c>
      <c r="G2162" s="38">
        <v>821.89999999999964</v>
      </c>
      <c r="H2162" s="38">
        <v>821.89999999999964</v>
      </c>
      <c r="I2162" s="108">
        <v>7.209585880825603E-2</v>
      </c>
    </row>
    <row r="2163" spans="1:9" x14ac:dyDescent="0.3">
      <c r="A2163" s="35" t="s">
        <v>1666</v>
      </c>
      <c r="B2163" t="s">
        <v>1597</v>
      </c>
      <c r="C2163" s="106">
        <v>2</v>
      </c>
      <c r="D2163" s="56">
        <v>45957</v>
      </c>
      <c r="E2163">
        <v>12222</v>
      </c>
      <c r="F2163">
        <v>11400.1</v>
      </c>
      <c r="G2163" s="38">
        <v>821.89999999999964</v>
      </c>
      <c r="H2163" s="38">
        <v>1643.7999999999993</v>
      </c>
      <c r="I2163" s="108">
        <v>7.209585880825603E-2</v>
      </c>
    </row>
    <row r="2164" spans="1:9" x14ac:dyDescent="0.3">
      <c r="A2164" s="35" t="s">
        <v>1666</v>
      </c>
      <c r="B2164" t="s">
        <v>1597</v>
      </c>
      <c r="C2164" s="106">
        <v>3</v>
      </c>
      <c r="G2164" s="38">
        <v>0</v>
      </c>
      <c r="H2164" s="38">
        <v>1643.7999999999993</v>
      </c>
      <c r="I2164" s="108" t="e">
        <v>#DIV/0!</v>
      </c>
    </row>
    <row r="2165" spans="1:9" x14ac:dyDescent="0.3">
      <c r="A2165" s="35" t="s">
        <v>1666</v>
      </c>
      <c r="B2165" t="s">
        <v>1597</v>
      </c>
      <c r="C2165" s="106">
        <v>4</v>
      </c>
      <c r="G2165" s="38">
        <v>0</v>
      </c>
      <c r="H2165" s="38">
        <v>1643.7999999999993</v>
      </c>
      <c r="I2165" s="108" t="e">
        <v>#DIV/0!</v>
      </c>
    </row>
    <row r="2166" spans="1:9" x14ac:dyDescent="0.3">
      <c r="A2166" s="35" t="s">
        <v>1666</v>
      </c>
      <c r="B2166" t="s">
        <v>1597</v>
      </c>
      <c r="C2166" s="106">
        <v>5</v>
      </c>
      <c r="G2166" s="38">
        <v>0</v>
      </c>
      <c r="H2166" s="38">
        <v>1643.7999999999993</v>
      </c>
      <c r="I2166" s="108" t="e">
        <v>#DIV/0!</v>
      </c>
    </row>
    <row r="2167" spans="1:9" x14ac:dyDescent="0.3">
      <c r="A2167" s="35" t="s">
        <v>1666</v>
      </c>
      <c r="B2167" t="s">
        <v>1597</v>
      </c>
      <c r="C2167" s="106">
        <v>6</v>
      </c>
      <c r="G2167" s="38">
        <v>0</v>
      </c>
      <c r="H2167" s="38">
        <v>1643.7999999999993</v>
      </c>
      <c r="I2167" s="108" t="e">
        <v>#DIV/0!</v>
      </c>
    </row>
    <row r="2168" spans="1:9" x14ac:dyDescent="0.3">
      <c r="A2168" s="35" t="s">
        <v>1666</v>
      </c>
      <c r="B2168" t="s">
        <v>1597</v>
      </c>
      <c r="C2168" s="106">
        <v>7</v>
      </c>
      <c r="G2168" s="38">
        <v>0</v>
      </c>
      <c r="H2168" s="38">
        <v>1643.7999999999993</v>
      </c>
      <c r="I2168" s="108" t="e">
        <v>#DIV/0!</v>
      </c>
    </row>
    <row r="2169" spans="1:9" x14ac:dyDescent="0.3">
      <c r="A2169" s="35" t="s">
        <v>1666</v>
      </c>
      <c r="B2169" t="s">
        <v>1597</v>
      </c>
      <c r="C2169" s="106">
        <v>8</v>
      </c>
      <c r="G2169" s="38">
        <v>0</v>
      </c>
      <c r="H2169" s="38">
        <v>1643.7999999999993</v>
      </c>
      <c r="I2169" s="108" t="e">
        <v>#DIV/0!</v>
      </c>
    </row>
    <row r="2170" spans="1:9" x14ac:dyDescent="0.3">
      <c r="A2170" s="35" t="s">
        <v>1666</v>
      </c>
      <c r="B2170" t="s">
        <v>1597</v>
      </c>
      <c r="C2170" s="106">
        <v>9</v>
      </c>
      <c r="G2170" s="38">
        <v>0</v>
      </c>
      <c r="H2170" s="38">
        <v>1643.7999999999993</v>
      </c>
      <c r="I2170" s="108" t="e">
        <v>#DIV/0!</v>
      </c>
    </row>
    <row r="2171" spans="1:9" x14ac:dyDescent="0.3">
      <c r="A2171" s="35" t="s">
        <v>1666</v>
      </c>
      <c r="B2171" t="s">
        <v>1597</v>
      </c>
      <c r="C2171" s="106">
        <v>10</v>
      </c>
      <c r="G2171" s="38">
        <v>0</v>
      </c>
      <c r="H2171" s="38">
        <v>1643.7999999999993</v>
      </c>
      <c r="I2171" s="108" t="e">
        <v>#DIV/0!</v>
      </c>
    </row>
    <row r="2172" spans="1:9" x14ac:dyDescent="0.3">
      <c r="A2172" s="35" t="s">
        <v>1666</v>
      </c>
      <c r="B2172" t="s">
        <v>1597</v>
      </c>
      <c r="C2172" s="106">
        <v>11</v>
      </c>
      <c r="G2172" s="38">
        <v>0</v>
      </c>
      <c r="H2172" s="38">
        <v>1643.7999999999993</v>
      </c>
      <c r="I2172" s="108" t="e">
        <v>#DIV/0!</v>
      </c>
    </row>
    <row r="2173" spans="1:9" x14ac:dyDescent="0.3">
      <c r="A2173" s="35" t="s">
        <v>1666</v>
      </c>
      <c r="B2173" t="s">
        <v>1597</v>
      </c>
      <c r="C2173" s="106">
        <v>12</v>
      </c>
      <c r="G2173" s="38">
        <v>0</v>
      </c>
      <c r="H2173" s="38">
        <v>1643.7999999999993</v>
      </c>
      <c r="I2173" s="108" t="e">
        <v>#DIV/0!</v>
      </c>
    </row>
    <row r="2174" spans="1:9" x14ac:dyDescent="0.3">
      <c r="A2174" s="35" t="s">
        <v>1666</v>
      </c>
      <c r="B2174" t="s">
        <v>1597</v>
      </c>
      <c r="C2174" s="106">
        <v>13</v>
      </c>
      <c r="G2174" s="38">
        <v>0</v>
      </c>
      <c r="H2174" s="38">
        <v>1643.7999999999993</v>
      </c>
      <c r="I2174" s="108" t="e">
        <v>#DIV/0!</v>
      </c>
    </row>
    <row r="2175" spans="1:9" x14ac:dyDescent="0.3">
      <c r="A2175" s="35" t="s">
        <v>1666</v>
      </c>
      <c r="B2175" t="s">
        <v>1597</v>
      </c>
      <c r="C2175" s="106">
        <v>14</v>
      </c>
      <c r="G2175" s="38">
        <v>0</v>
      </c>
      <c r="H2175" s="38">
        <v>1643.7999999999993</v>
      </c>
      <c r="I2175" s="108" t="e">
        <v>#DIV/0!</v>
      </c>
    </row>
    <row r="2176" spans="1:9" x14ac:dyDescent="0.3">
      <c r="A2176" s="35" t="s">
        <v>1666</v>
      </c>
      <c r="B2176" t="s">
        <v>1597</v>
      </c>
      <c r="C2176" s="106">
        <v>15</v>
      </c>
      <c r="G2176" s="38">
        <v>0</v>
      </c>
      <c r="H2176" s="38">
        <v>1643.7999999999993</v>
      </c>
      <c r="I2176" s="108" t="e">
        <v>#DIV/0!</v>
      </c>
    </row>
    <row r="2177" spans="1:9" ht="15" thickBot="1" x14ac:dyDescent="0.35">
      <c r="A2177" s="109" t="s">
        <v>1666</v>
      </c>
      <c r="B2177" s="110" t="s">
        <v>1597</v>
      </c>
      <c r="C2177" s="114">
        <v>16</v>
      </c>
      <c r="D2177" s="110"/>
      <c r="E2177" s="110"/>
      <c r="F2177" s="110"/>
      <c r="G2177" s="115">
        <v>0</v>
      </c>
      <c r="H2177" s="115">
        <v>1643.7999999999993</v>
      </c>
      <c r="I2177" s="121" t="e">
        <v>#DIV/0!</v>
      </c>
    </row>
    <row r="2178" spans="1:9" x14ac:dyDescent="0.3">
      <c r="A2178" s="35" t="s">
        <v>1687</v>
      </c>
      <c r="B2178" t="s">
        <v>1596</v>
      </c>
      <c r="C2178" s="106">
        <v>1</v>
      </c>
      <c r="D2178" s="56">
        <v>45678</v>
      </c>
      <c r="E2178">
        <v>5466</v>
      </c>
      <c r="F2178">
        <v>5173</v>
      </c>
      <c r="G2178" s="38">
        <v>293</v>
      </c>
      <c r="H2178" s="38">
        <v>293</v>
      </c>
      <c r="I2178" s="108">
        <v>5.6640247438623621E-2</v>
      </c>
    </row>
    <row r="2179" spans="1:9" x14ac:dyDescent="0.3">
      <c r="A2179" s="35" t="s">
        <v>1687</v>
      </c>
      <c r="B2179" t="s">
        <v>1596</v>
      </c>
      <c r="C2179" s="106">
        <v>2</v>
      </c>
      <c r="D2179" s="56">
        <v>45958</v>
      </c>
      <c r="E2179">
        <v>5467</v>
      </c>
      <c r="F2179">
        <v>5173</v>
      </c>
      <c r="G2179" s="38">
        <v>294</v>
      </c>
      <c r="H2179" s="38">
        <v>587</v>
      </c>
      <c r="I2179" s="108">
        <v>5.6833558863328824E-2</v>
      </c>
    </row>
    <row r="2180" spans="1:9" x14ac:dyDescent="0.3">
      <c r="A2180" s="35" t="s">
        <v>1687</v>
      </c>
      <c r="B2180" t="s">
        <v>1596</v>
      </c>
      <c r="C2180" s="106">
        <v>3</v>
      </c>
      <c r="G2180" s="38">
        <v>0</v>
      </c>
      <c r="H2180" s="38">
        <v>587</v>
      </c>
      <c r="I2180" s="108" t="e">
        <v>#DIV/0!</v>
      </c>
    </row>
    <row r="2181" spans="1:9" x14ac:dyDescent="0.3">
      <c r="A2181" s="35" t="s">
        <v>1687</v>
      </c>
      <c r="B2181" t="s">
        <v>1596</v>
      </c>
      <c r="C2181" s="106">
        <v>4</v>
      </c>
      <c r="G2181" s="38">
        <v>0</v>
      </c>
      <c r="H2181" s="38">
        <v>587</v>
      </c>
      <c r="I2181" s="108" t="e">
        <v>#DIV/0!</v>
      </c>
    </row>
    <row r="2182" spans="1:9" x14ac:dyDescent="0.3">
      <c r="A2182" s="35" t="s">
        <v>1687</v>
      </c>
      <c r="B2182" t="s">
        <v>1596</v>
      </c>
      <c r="C2182" s="106">
        <v>5</v>
      </c>
      <c r="G2182" s="38">
        <v>0</v>
      </c>
      <c r="H2182" s="38">
        <v>587</v>
      </c>
      <c r="I2182" s="108" t="e">
        <v>#DIV/0!</v>
      </c>
    </row>
    <row r="2183" spans="1:9" x14ac:dyDescent="0.3">
      <c r="A2183" s="35" t="s">
        <v>1687</v>
      </c>
      <c r="B2183" t="s">
        <v>1596</v>
      </c>
      <c r="C2183" s="106">
        <v>6</v>
      </c>
      <c r="G2183" s="38">
        <v>0</v>
      </c>
      <c r="H2183" s="38">
        <v>587</v>
      </c>
      <c r="I2183" s="108" t="e">
        <v>#DIV/0!</v>
      </c>
    </row>
    <row r="2184" spans="1:9" x14ac:dyDescent="0.3">
      <c r="A2184" s="35" t="s">
        <v>1687</v>
      </c>
      <c r="B2184" t="s">
        <v>1596</v>
      </c>
      <c r="C2184" s="106">
        <v>7</v>
      </c>
      <c r="G2184" s="38">
        <v>0</v>
      </c>
      <c r="H2184" s="38">
        <v>587</v>
      </c>
      <c r="I2184" s="108" t="e">
        <v>#DIV/0!</v>
      </c>
    </row>
    <row r="2185" spans="1:9" x14ac:dyDescent="0.3">
      <c r="A2185" s="35" t="s">
        <v>1687</v>
      </c>
      <c r="B2185" t="s">
        <v>1596</v>
      </c>
      <c r="C2185" s="106">
        <v>8</v>
      </c>
      <c r="G2185" s="38">
        <v>0</v>
      </c>
      <c r="H2185" s="38">
        <v>587</v>
      </c>
      <c r="I2185" s="108" t="e">
        <v>#DIV/0!</v>
      </c>
    </row>
    <row r="2186" spans="1:9" x14ac:dyDescent="0.3">
      <c r="A2186" s="35" t="s">
        <v>1687</v>
      </c>
      <c r="B2186" t="s">
        <v>1596</v>
      </c>
      <c r="C2186" s="106">
        <v>9</v>
      </c>
      <c r="G2186" s="38">
        <v>0</v>
      </c>
      <c r="H2186" s="38">
        <v>587</v>
      </c>
      <c r="I2186" s="108" t="e">
        <v>#DIV/0!</v>
      </c>
    </row>
    <row r="2187" spans="1:9" x14ac:dyDescent="0.3">
      <c r="A2187" s="35" t="s">
        <v>1687</v>
      </c>
      <c r="B2187" t="s">
        <v>1596</v>
      </c>
      <c r="C2187" s="106">
        <v>10</v>
      </c>
      <c r="G2187" s="38">
        <v>0</v>
      </c>
      <c r="H2187" s="38">
        <v>587</v>
      </c>
      <c r="I2187" s="108" t="e">
        <v>#DIV/0!</v>
      </c>
    </row>
    <row r="2188" spans="1:9" x14ac:dyDescent="0.3">
      <c r="A2188" s="35" t="s">
        <v>1687</v>
      </c>
      <c r="B2188" t="s">
        <v>1596</v>
      </c>
      <c r="C2188" s="106">
        <v>11</v>
      </c>
      <c r="G2188" s="38">
        <v>0</v>
      </c>
      <c r="H2188" s="38">
        <v>587</v>
      </c>
      <c r="I2188" s="108" t="e">
        <v>#DIV/0!</v>
      </c>
    </row>
    <row r="2189" spans="1:9" x14ac:dyDescent="0.3">
      <c r="A2189" s="35" t="s">
        <v>1687</v>
      </c>
      <c r="B2189" t="s">
        <v>1596</v>
      </c>
      <c r="C2189" s="106">
        <v>12</v>
      </c>
      <c r="G2189" s="38">
        <v>0</v>
      </c>
      <c r="H2189" s="38">
        <v>587</v>
      </c>
      <c r="I2189" s="108" t="e">
        <v>#DIV/0!</v>
      </c>
    </row>
    <row r="2190" spans="1:9" x14ac:dyDescent="0.3">
      <c r="A2190" s="35" t="s">
        <v>1687</v>
      </c>
      <c r="B2190" t="s">
        <v>1596</v>
      </c>
      <c r="C2190" s="106">
        <v>13</v>
      </c>
      <c r="G2190" s="38">
        <v>0</v>
      </c>
      <c r="H2190" s="38">
        <v>587</v>
      </c>
      <c r="I2190" s="108" t="e">
        <v>#DIV/0!</v>
      </c>
    </row>
    <row r="2191" spans="1:9" x14ac:dyDescent="0.3">
      <c r="A2191" s="35" t="s">
        <v>1687</v>
      </c>
      <c r="B2191" t="s">
        <v>1596</v>
      </c>
      <c r="C2191" s="106">
        <v>14</v>
      </c>
      <c r="G2191" s="38">
        <v>0</v>
      </c>
      <c r="H2191" s="38">
        <v>587</v>
      </c>
      <c r="I2191" s="108" t="e">
        <v>#DIV/0!</v>
      </c>
    </row>
    <row r="2192" spans="1:9" x14ac:dyDescent="0.3">
      <c r="A2192" s="35" t="s">
        <v>1687</v>
      </c>
      <c r="B2192" t="s">
        <v>1596</v>
      </c>
      <c r="C2192" s="106">
        <v>15</v>
      </c>
      <c r="G2192" s="38">
        <v>0</v>
      </c>
      <c r="H2192" s="38">
        <v>587</v>
      </c>
      <c r="I2192" s="108" t="e">
        <v>#DIV/0!</v>
      </c>
    </row>
    <row r="2193" spans="1:9" ht="15" thickBot="1" x14ac:dyDescent="0.35">
      <c r="A2193" s="109" t="s">
        <v>1687</v>
      </c>
      <c r="B2193" s="110" t="s">
        <v>1596</v>
      </c>
      <c r="C2193" s="114">
        <v>16</v>
      </c>
      <c r="D2193" s="110"/>
      <c r="E2193" s="110"/>
      <c r="F2193" s="110"/>
      <c r="G2193" s="115">
        <v>0</v>
      </c>
      <c r="H2193" s="115">
        <v>587</v>
      </c>
      <c r="I2193" s="121" t="e">
        <v>#DIV/0!</v>
      </c>
    </row>
    <row r="2194" spans="1:9" x14ac:dyDescent="0.3">
      <c r="A2194" s="35" t="s">
        <v>1780</v>
      </c>
      <c r="B2194" t="s">
        <v>1633</v>
      </c>
      <c r="C2194" s="106">
        <v>1</v>
      </c>
      <c r="D2194" s="56">
        <v>45953</v>
      </c>
      <c r="E2194">
        <v>4849</v>
      </c>
      <c r="F2194">
        <v>4408.05</v>
      </c>
      <c r="G2194" s="38">
        <v>440.94999999999982</v>
      </c>
      <c r="H2194" s="38">
        <v>440.94999999999982</v>
      </c>
      <c r="I2194" s="108">
        <v>0.10003289436372087</v>
      </c>
    </row>
    <row r="2195" spans="1:9" x14ac:dyDescent="0.3">
      <c r="A2195" s="35" t="s">
        <v>1780</v>
      </c>
      <c r="B2195" t="s">
        <v>1633</v>
      </c>
      <c r="C2195" s="106">
        <v>2</v>
      </c>
      <c r="D2195" s="56">
        <v>45960</v>
      </c>
      <c r="E2195">
        <v>4849</v>
      </c>
      <c r="F2195">
        <v>4408.05</v>
      </c>
      <c r="G2195" s="38">
        <v>440.94999999999982</v>
      </c>
      <c r="H2195" s="38">
        <v>881.89999999999964</v>
      </c>
      <c r="I2195" s="108">
        <v>0.10003289436372087</v>
      </c>
    </row>
    <row r="2196" spans="1:9" x14ac:dyDescent="0.3">
      <c r="A2196" s="35" t="s">
        <v>1780</v>
      </c>
      <c r="B2196" t="s">
        <v>1633</v>
      </c>
      <c r="C2196" s="106">
        <v>3</v>
      </c>
      <c r="G2196" s="38">
        <v>0</v>
      </c>
      <c r="H2196" s="38">
        <v>881.89999999999964</v>
      </c>
      <c r="I2196" s="108" t="e">
        <v>#DIV/0!</v>
      </c>
    </row>
    <row r="2197" spans="1:9" x14ac:dyDescent="0.3">
      <c r="A2197" s="35" t="s">
        <v>1780</v>
      </c>
      <c r="B2197" t="s">
        <v>1633</v>
      </c>
      <c r="C2197" s="106">
        <v>4</v>
      </c>
      <c r="G2197" s="38">
        <v>0</v>
      </c>
      <c r="H2197" s="38">
        <v>881.89999999999964</v>
      </c>
      <c r="I2197" s="108" t="e">
        <v>#DIV/0!</v>
      </c>
    </row>
    <row r="2198" spans="1:9" x14ac:dyDescent="0.3">
      <c r="A2198" s="35" t="s">
        <v>1780</v>
      </c>
      <c r="B2198" t="s">
        <v>1633</v>
      </c>
      <c r="C2198" s="106">
        <v>5</v>
      </c>
      <c r="G2198" s="38">
        <v>0</v>
      </c>
      <c r="H2198" s="38">
        <v>881.89999999999964</v>
      </c>
      <c r="I2198" s="108" t="e">
        <v>#DIV/0!</v>
      </c>
    </row>
    <row r="2199" spans="1:9" x14ac:dyDescent="0.3">
      <c r="A2199" s="35" t="s">
        <v>1780</v>
      </c>
      <c r="B2199" t="s">
        <v>1633</v>
      </c>
      <c r="C2199" s="106">
        <v>6</v>
      </c>
      <c r="G2199" s="38">
        <v>0</v>
      </c>
      <c r="H2199" s="38">
        <v>881.89999999999964</v>
      </c>
      <c r="I2199" s="108" t="e">
        <v>#DIV/0!</v>
      </c>
    </row>
    <row r="2200" spans="1:9" x14ac:dyDescent="0.3">
      <c r="A2200" s="35" t="s">
        <v>1780</v>
      </c>
      <c r="B2200" t="s">
        <v>1633</v>
      </c>
      <c r="C2200" s="106">
        <v>7</v>
      </c>
      <c r="G2200" s="38">
        <v>0</v>
      </c>
      <c r="H2200" s="38">
        <v>881.89999999999964</v>
      </c>
      <c r="I2200" s="108" t="e">
        <v>#DIV/0!</v>
      </c>
    </row>
    <row r="2201" spans="1:9" x14ac:dyDescent="0.3">
      <c r="A2201" s="35" t="s">
        <v>1780</v>
      </c>
      <c r="B2201" t="s">
        <v>1633</v>
      </c>
      <c r="C2201" s="106">
        <v>8</v>
      </c>
      <c r="G2201" s="38">
        <v>0</v>
      </c>
      <c r="H2201" s="38">
        <v>881.89999999999964</v>
      </c>
      <c r="I2201" s="108" t="e">
        <v>#DIV/0!</v>
      </c>
    </row>
    <row r="2202" spans="1:9" x14ac:dyDescent="0.3">
      <c r="A2202" s="35" t="s">
        <v>1780</v>
      </c>
      <c r="B2202" t="s">
        <v>1633</v>
      </c>
      <c r="C2202" s="106">
        <v>9</v>
      </c>
      <c r="G2202" s="38">
        <v>0</v>
      </c>
      <c r="H2202" s="38">
        <v>881.89999999999964</v>
      </c>
      <c r="I2202" s="108" t="e">
        <v>#DIV/0!</v>
      </c>
    </row>
    <row r="2203" spans="1:9" x14ac:dyDescent="0.3">
      <c r="A2203" s="35" t="s">
        <v>1780</v>
      </c>
      <c r="B2203" t="s">
        <v>1633</v>
      </c>
      <c r="C2203" s="106">
        <v>10</v>
      </c>
      <c r="G2203" s="38">
        <v>0</v>
      </c>
      <c r="H2203" s="38">
        <v>881.89999999999964</v>
      </c>
      <c r="I2203" s="108" t="e">
        <v>#DIV/0!</v>
      </c>
    </row>
    <row r="2204" spans="1:9" x14ac:dyDescent="0.3">
      <c r="A2204" s="35" t="s">
        <v>1780</v>
      </c>
      <c r="B2204" t="s">
        <v>1633</v>
      </c>
      <c r="C2204" s="106">
        <v>11</v>
      </c>
      <c r="G2204" s="38">
        <v>0</v>
      </c>
      <c r="H2204" s="38">
        <v>881.89999999999964</v>
      </c>
      <c r="I2204" s="108" t="e">
        <v>#DIV/0!</v>
      </c>
    </row>
    <row r="2205" spans="1:9" x14ac:dyDescent="0.3">
      <c r="A2205" s="35" t="s">
        <v>1780</v>
      </c>
      <c r="B2205" t="s">
        <v>1633</v>
      </c>
      <c r="C2205" s="106">
        <v>12</v>
      </c>
      <c r="G2205" s="38">
        <v>0</v>
      </c>
      <c r="H2205" s="38">
        <v>881.89999999999964</v>
      </c>
      <c r="I2205" s="108" t="e">
        <v>#DIV/0!</v>
      </c>
    </row>
    <row r="2206" spans="1:9" x14ac:dyDescent="0.3">
      <c r="A2206" s="35" t="s">
        <v>1780</v>
      </c>
      <c r="B2206" t="s">
        <v>1633</v>
      </c>
      <c r="C2206" s="106">
        <v>13</v>
      </c>
      <c r="G2206" s="38">
        <v>0</v>
      </c>
      <c r="H2206" s="38">
        <v>881.89999999999964</v>
      </c>
      <c r="I2206" s="108" t="e">
        <v>#DIV/0!</v>
      </c>
    </row>
    <row r="2207" spans="1:9" x14ac:dyDescent="0.3">
      <c r="A2207" s="35" t="s">
        <v>1780</v>
      </c>
      <c r="B2207" t="s">
        <v>1633</v>
      </c>
      <c r="C2207" s="106">
        <v>14</v>
      </c>
      <c r="G2207" s="38">
        <v>0</v>
      </c>
      <c r="H2207" s="38">
        <v>881.89999999999964</v>
      </c>
      <c r="I2207" s="108" t="e">
        <v>#DIV/0!</v>
      </c>
    </row>
    <row r="2208" spans="1:9" x14ac:dyDescent="0.3">
      <c r="A2208" s="35" t="s">
        <v>1780</v>
      </c>
      <c r="B2208" t="s">
        <v>1633</v>
      </c>
      <c r="C2208" s="106">
        <v>15</v>
      </c>
      <c r="G2208" s="38">
        <v>0</v>
      </c>
      <c r="H2208" s="38">
        <v>881.89999999999964</v>
      </c>
      <c r="I2208" s="108" t="e">
        <v>#DIV/0!</v>
      </c>
    </row>
    <row r="2209" spans="1:9" ht="15" thickBot="1" x14ac:dyDescent="0.35">
      <c r="A2209" s="109" t="s">
        <v>1780</v>
      </c>
      <c r="B2209" s="110" t="s">
        <v>1633</v>
      </c>
      <c r="C2209" s="114">
        <v>16</v>
      </c>
      <c r="D2209" s="110"/>
      <c r="E2209" s="110"/>
      <c r="F2209" s="110"/>
      <c r="G2209" s="115">
        <v>0</v>
      </c>
      <c r="H2209" s="115">
        <v>881.89999999999964</v>
      </c>
      <c r="I2209" s="121" t="e">
        <v>#DIV/0!</v>
      </c>
    </row>
    <row r="2210" spans="1:9" x14ac:dyDescent="0.3">
      <c r="A2210" s="35" t="s">
        <v>1796</v>
      </c>
      <c r="B2210" t="s">
        <v>572</v>
      </c>
      <c r="C2210" s="106">
        <v>1</v>
      </c>
      <c r="D2210" s="56">
        <v>45953</v>
      </c>
      <c r="E2210">
        <v>3512</v>
      </c>
      <c r="F2210">
        <v>3192</v>
      </c>
      <c r="G2210" s="38">
        <v>320</v>
      </c>
      <c r="H2210" s="38">
        <v>320</v>
      </c>
      <c r="I2210" s="108">
        <v>0.10025062656641603</v>
      </c>
    </row>
    <row r="2211" spans="1:9" x14ac:dyDescent="0.3">
      <c r="A2211" s="35" t="s">
        <v>1796</v>
      </c>
      <c r="B2211" t="s">
        <v>572</v>
      </c>
      <c r="C2211" s="106">
        <v>2</v>
      </c>
      <c r="D2211" s="56">
        <v>45960</v>
      </c>
      <c r="E2211">
        <v>3512</v>
      </c>
      <c r="F2211">
        <v>3192</v>
      </c>
      <c r="G2211" s="38">
        <v>320</v>
      </c>
      <c r="H2211" s="38">
        <v>640</v>
      </c>
      <c r="I2211" s="108">
        <v>0.10025062656641603</v>
      </c>
    </row>
    <row r="2212" spans="1:9" x14ac:dyDescent="0.3">
      <c r="A2212" s="35" t="s">
        <v>1796</v>
      </c>
      <c r="B2212" t="s">
        <v>572</v>
      </c>
      <c r="C2212" s="106">
        <v>3</v>
      </c>
      <c r="G2212" s="38">
        <v>0</v>
      </c>
      <c r="H2212" s="38">
        <v>640</v>
      </c>
      <c r="I2212" s="108" t="e">
        <v>#DIV/0!</v>
      </c>
    </row>
    <row r="2213" spans="1:9" x14ac:dyDescent="0.3">
      <c r="A2213" s="35" t="s">
        <v>1796</v>
      </c>
      <c r="B2213" t="s">
        <v>572</v>
      </c>
      <c r="C2213" s="106">
        <v>4</v>
      </c>
      <c r="G2213" s="38">
        <v>0</v>
      </c>
      <c r="H2213" s="38">
        <v>640</v>
      </c>
      <c r="I2213" s="108" t="e">
        <v>#DIV/0!</v>
      </c>
    </row>
    <row r="2214" spans="1:9" x14ac:dyDescent="0.3">
      <c r="A2214" s="35" t="s">
        <v>1796</v>
      </c>
      <c r="B2214" t="s">
        <v>572</v>
      </c>
      <c r="C2214" s="106">
        <v>5</v>
      </c>
      <c r="G2214" s="38">
        <v>0</v>
      </c>
      <c r="H2214" s="38">
        <v>640</v>
      </c>
      <c r="I2214" s="108" t="e">
        <v>#DIV/0!</v>
      </c>
    </row>
    <row r="2215" spans="1:9" x14ac:dyDescent="0.3">
      <c r="A2215" s="35" t="s">
        <v>1796</v>
      </c>
      <c r="B2215" t="s">
        <v>572</v>
      </c>
      <c r="C2215" s="106">
        <v>6</v>
      </c>
      <c r="G2215" s="38">
        <v>0</v>
      </c>
      <c r="H2215" s="38">
        <v>640</v>
      </c>
      <c r="I2215" s="108" t="e">
        <v>#DIV/0!</v>
      </c>
    </row>
    <row r="2216" spans="1:9" x14ac:dyDescent="0.3">
      <c r="A2216" s="35" t="s">
        <v>1796</v>
      </c>
      <c r="B2216" t="s">
        <v>572</v>
      </c>
      <c r="C2216" s="106">
        <v>7</v>
      </c>
      <c r="G2216" s="38">
        <v>0</v>
      </c>
      <c r="H2216" s="38">
        <v>640</v>
      </c>
      <c r="I2216" s="108" t="e">
        <v>#DIV/0!</v>
      </c>
    </row>
    <row r="2217" spans="1:9" x14ac:dyDescent="0.3">
      <c r="A2217" s="35" t="s">
        <v>1796</v>
      </c>
      <c r="B2217" t="s">
        <v>572</v>
      </c>
      <c r="C2217" s="106">
        <v>8</v>
      </c>
      <c r="G2217" s="38">
        <v>0</v>
      </c>
      <c r="H2217" s="38">
        <v>640</v>
      </c>
      <c r="I2217" s="108" t="e">
        <v>#DIV/0!</v>
      </c>
    </row>
    <row r="2218" spans="1:9" x14ac:dyDescent="0.3">
      <c r="A2218" s="35" t="s">
        <v>1796</v>
      </c>
      <c r="B2218" t="s">
        <v>572</v>
      </c>
      <c r="C2218" s="106">
        <v>9</v>
      </c>
      <c r="G2218" s="38">
        <v>0</v>
      </c>
      <c r="H2218" s="38">
        <v>640</v>
      </c>
      <c r="I2218" s="108" t="e">
        <v>#DIV/0!</v>
      </c>
    </row>
    <row r="2219" spans="1:9" x14ac:dyDescent="0.3">
      <c r="A2219" s="35" t="s">
        <v>1796</v>
      </c>
      <c r="B2219" t="s">
        <v>572</v>
      </c>
      <c r="C2219" s="106">
        <v>10</v>
      </c>
      <c r="G2219" s="38">
        <v>0</v>
      </c>
      <c r="H2219" s="38">
        <v>640</v>
      </c>
      <c r="I2219" s="108" t="e">
        <v>#DIV/0!</v>
      </c>
    </row>
    <row r="2220" spans="1:9" x14ac:dyDescent="0.3">
      <c r="A2220" s="35" t="s">
        <v>1796</v>
      </c>
      <c r="B2220" t="s">
        <v>572</v>
      </c>
      <c r="C2220" s="106">
        <v>11</v>
      </c>
      <c r="G2220" s="38">
        <v>0</v>
      </c>
      <c r="H2220" s="38">
        <v>640</v>
      </c>
      <c r="I2220" s="108" t="e">
        <v>#DIV/0!</v>
      </c>
    </row>
    <row r="2221" spans="1:9" x14ac:dyDescent="0.3">
      <c r="A2221" s="35" t="s">
        <v>1796</v>
      </c>
      <c r="B2221" t="s">
        <v>572</v>
      </c>
      <c r="C2221" s="106">
        <v>12</v>
      </c>
      <c r="G2221" s="38">
        <v>0</v>
      </c>
      <c r="H2221" s="38">
        <v>640</v>
      </c>
      <c r="I2221" s="108" t="e">
        <v>#DIV/0!</v>
      </c>
    </row>
    <row r="2222" spans="1:9" x14ac:dyDescent="0.3">
      <c r="A2222" s="35" t="s">
        <v>1796</v>
      </c>
      <c r="B2222" t="s">
        <v>572</v>
      </c>
      <c r="C2222" s="106">
        <v>13</v>
      </c>
      <c r="G2222" s="38">
        <v>0</v>
      </c>
      <c r="H2222" s="38">
        <v>640</v>
      </c>
      <c r="I2222" s="108" t="e">
        <v>#DIV/0!</v>
      </c>
    </row>
    <row r="2223" spans="1:9" x14ac:dyDescent="0.3">
      <c r="A2223" s="35" t="s">
        <v>1796</v>
      </c>
      <c r="B2223" t="s">
        <v>572</v>
      </c>
      <c r="C2223" s="106">
        <v>14</v>
      </c>
      <c r="G2223" s="38">
        <v>0</v>
      </c>
      <c r="H2223" s="38">
        <v>640</v>
      </c>
      <c r="I2223" s="108" t="e">
        <v>#DIV/0!</v>
      </c>
    </row>
    <row r="2224" spans="1:9" x14ac:dyDescent="0.3">
      <c r="A2224" s="35" t="s">
        <v>1796</v>
      </c>
      <c r="B2224" t="s">
        <v>572</v>
      </c>
      <c r="C2224" s="106">
        <v>15</v>
      </c>
      <c r="G2224" s="38">
        <v>0</v>
      </c>
      <c r="H2224" s="38">
        <v>640</v>
      </c>
      <c r="I2224" s="108" t="e">
        <v>#DIV/0!</v>
      </c>
    </row>
    <row r="2225" spans="1:9" ht="15" thickBot="1" x14ac:dyDescent="0.35">
      <c r="A2225" s="109" t="s">
        <v>1796</v>
      </c>
      <c r="B2225" s="110" t="s">
        <v>572</v>
      </c>
      <c r="C2225" s="114">
        <v>16</v>
      </c>
      <c r="D2225" s="110"/>
      <c r="E2225" s="110"/>
      <c r="F2225" s="110"/>
      <c r="G2225" s="115">
        <v>0</v>
      </c>
      <c r="H2225" s="115">
        <v>640</v>
      </c>
      <c r="I2225" s="121" t="e">
        <v>#DIV/0!</v>
      </c>
    </row>
    <row r="2226" spans="1:9" x14ac:dyDescent="0.3">
      <c r="A2226" s="35" t="s">
        <v>1690</v>
      </c>
      <c r="B2226" t="s">
        <v>1661</v>
      </c>
      <c r="C2226" s="106">
        <v>1</v>
      </c>
      <c r="D2226" s="56">
        <v>45951</v>
      </c>
      <c r="E2226">
        <v>10000</v>
      </c>
      <c r="F2226">
        <v>9500</v>
      </c>
      <c r="G2226" s="38">
        <v>500</v>
      </c>
      <c r="H2226" s="38">
        <v>500</v>
      </c>
      <c r="I2226" s="108">
        <v>5.2631578947368418E-2</v>
      </c>
    </row>
    <row r="2227" spans="1:9" x14ac:dyDescent="0.3">
      <c r="A2227" s="35" t="s">
        <v>1690</v>
      </c>
      <c r="B2227" t="s">
        <v>1661</v>
      </c>
      <c r="C2227" s="106">
        <v>2</v>
      </c>
      <c r="D2227" s="56">
        <v>45958</v>
      </c>
      <c r="E2227">
        <v>10000</v>
      </c>
      <c r="F2227">
        <v>9500</v>
      </c>
      <c r="G2227" s="38">
        <v>500</v>
      </c>
      <c r="H2227" s="38">
        <v>1000</v>
      </c>
      <c r="I2227" s="108">
        <v>5.2631578947368418E-2</v>
      </c>
    </row>
    <row r="2228" spans="1:9" x14ac:dyDescent="0.3">
      <c r="A2228" s="35" t="s">
        <v>1690</v>
      </c>
      <c r="B2228" t="s">
        <v>1661</v>
      </c>
      <c r="C2228" s="106">
        <v>3</v>
      </c>
      <c r="G2228" s="38">
        <v>0</v>
      </c>
      <c r="H2228" s="38">
        <v>1000</v>
      </c>
      <c r="I2228" s="108" t="e">
        <v>#DIV/0!</v>
      </c>
    </row>
    <row r="2229" spans="1:9" x14ac:dyDescent="0.3">
      <c r="A2229" s="35" t="s">
        <v>1690</v>
      </c>
      <c r="B2229" t="s">
        <v>1661</v>
      </c>
      <c r="C2229" s="106">
        <v>4</v>
      </c>
      <c r="G2229" s="38">
        <v>0</v>
      </c>
      <c r="H2229" s="38">
        <v>1000</v>
      </c>
      <c r="I2229" s="108" t="e">
        <v>#DIV/0!</v>
      </c>
    </row>
    <row r="2230" spans="1:9" x14ac:dyDescent="0.3">
      <c r="A2230" s="35" t="s">
        <v>1690</v>
      </c>
      <c r="B2230" t="s">
        <v>1661</v>
      </c>
      <c r="C2230" s="106">
        <v>5</v>
      </c>
      <c r="G2230" s="38">
        <v>0</v>
      </c>
      <c r="H2230" s="38">
        <v>1000</v>
      </c>
      <c r="I2230" s="108" t="e">
        <v>#DIV/0!</v>
      </c>
    </row>
    <row r="2231" spans="1:9" x14ac:dyDescent="0.3">
      <c r="A2231" s="35" t="s">
        <v>1690</v>
      </c>
      <c r="B2231" t="s">
        <v>1661</v>
      </c>
      <c r="C2231" s="106">
        <v>6</v>
      </c>
      <c r="G2231" s="38">
        <v>0</v>
      </c>
      <c r="H2231" s="38">
        <v>1000</v>
      </c>
      <c r="I2231" s="108" t="e">
        <v>#DIV/0!</v>
      </c>
    </row>
    <row r="2232" spans="1:9" x14ac:dyDescent="0.3">
      <c r="A2232" s="35" t="s">
        <v>1690</v>
      </c>
      <c r="B2232" t="s">
        <v>1661</v>
      </c>
      <c r="C2232" s="106">
        <v>7</v>
      </c>
      <c r="G2232" s="38">
        <v>0</v>
      </c>
      <c r="H2232" s="38">
        <v>1000</v>
      </c>
      <c r="I2232" s="108" t="e">
        <v>#DIV/0!</v>
      </c>
    </row>
    <row r="2233" spans="1:9" x14ac:dyDescent="0.3">
      <c r="A2233" s="35" t="s">
        <v>1690</v>
      </c>
      <c r="B2233" t="s">
        <v>1661</v>
      </c>
      <c r="C2233" s="106">
        <v>8</v>
      </c>
      <c r="G2233" s="38">
        <v>0</v>
      </c>
      <c r="H2233" s="38">
        <v>1000</v>
      </c>
      <c r="I2233" s="108" t="e">
        <v>#DIV/0!</v>
      </c>
    </row>
    <row r="2234" spans="1:9" x14ac:dyDescent="0.3">
      <c r="A2234" s="35" t="s">
        <v>1690</v>
      </c>
      <c r="B2234" t="s">
        <v>1661</v>
      </c>
      <c r="C2234" s="106">
        <v>9</v>
      </c>
      <c r="G2234" s="38">
        <v>0</v>
      </c>
      <c r="H2234" s="38">
        <v>1000</v>
      </c>
      <c r="I2234" s="108" t="e">
        <v>#DIV/0!</v>
      </c>
    </row>
    <row r="2235" spans="1:9" x14ac:dyDescent="0.3">
      <c r="A2235" s="35" t="s">
        <v>1690</v>
      </c>
      <c r="B2235" t="s">
        <v>1661</v>
      </c>
      <c r="C2235" s="106">
        <v>10</v>
      </c>
      <c r="G2235" s="38">
        <v>0</v>
      </c>
      <c r="H2235" s="38">
        <v>1000</v>
      </c>
      <c r="I2235" s="108" t="e">
        <v>#DIV/0!</v>
      </c>
    </row>
    <row r="2236" spans="1:9" x14ac:dyDescent="0.3">
      <c r="A2236" s="35" t="s">
        <v>1690</v>
      </c>
      <c r="B2236" t="s">
        <v>1661</v>
      </c>
      <c r="C2236" s="106">
        <v>11</v>
      </c>
      <c r="G2236" s="38">
        <v>0</v>
      </c>
      <c r="H2236" s="38">
        <v>1000</v>
      </c>
      <c r="I2236" s="108" t="e">
        <v>#DIV/0!</v>
      </c>
    </row>
    <row r="2237" spans="1:9" x14ac:dyDescent="0.3">
      <c r="A2237" s="35" t="s">
        <v>1690</v>
      </c>
      <c r="B2237" t="s">
        <v>1661</v>
      </c>
      <c r="C2237" s="106">
        <v>12</v>
      </c>
      <c r="G2237" s="38">
        <v>0</v>
      </c>
      <c r="H2237" s="38">
        <v>1000</v>
      </c>
      <c r="I2237" s="108" t="e">
        <v>#DIV/0!</v>
      </c>
    </row>
    <row r="2238" spans="1:9" x14ac:dyDescent="0.3">
      <c r="A2238" s="35" t="s">
        <v>1690</v>
      </c>
      <c r="B2238" t="s">
        <v>1661</v>
      </c>
      <c r="C2238" s="106">
        <v>13</v>
      </c>
      <c r="G2238" s="38">
        <v>0</v>
      </c>
      <c r="H2238" s="38">
        <v>1000</v>
      </c>
      <c r="I2238" s="108" t="e">
        <v>#DIV/0!</v>
      </c>
    </row>
    <row r="2239" spans="1:9" x14ac:dyDescent="0.3">
      <c r="A2239" s="35" t="s">
        <v>1690</v>
      </c>
      <c r="B2239" t="s">
        <v>1661</v>
      </c>
      <c r="C2239" s="106">
        <v>14</v>
      </c>
      <c r="G2239" s="38">
        <v>0</v>
      </c>
      <c r="H2239" s="38">
        <v>1000</v>
      </c>
      <c r="I2239" s="108" t="e">
        <v>#DIV/0!</v>
      </c>
    </row>
    <row r="2240" spans="1:9" x14ac:dyDescent="0.3">
      <c r="A2240" s="35" t="s">
        <v>1690</v>
      </c>
      <c r="B2240" t="s">
        <v>1661</v>
      </c>
      <c r="C2240" s="106">
        <v>15</v>
      </c>
      <c r="G2240" s="38">
        <v>0</v>
      </c>
      <c r="H2240" s="38">
        <v>1000</v>
      </c>
      <c r="I2240" s="108" t="e">
        <v>#DIV/0!</v>
      </c>
    </row>
    <row r="2241" spans="1:9" ht="15" thickBot="1" x14ac:dyDescent="0.35">
      <c r="A2241" s="109" t="s">
        <v>1690</v>
      </c>
      <c r="B2241" s="110" t="s">
        <v>1661</v>
      </c>
      <c r="C2241" s="114">
        <v>16</v>
      </c>
      <c r="D2241" s="110"/>
      <c r="E2241" s="110"/>
      <c r="F2241" s="110"/>
      <c r="G2241" s="115">
        <v>0</v>
      </c>
      <c r="H2241" s="115">
        <v>1000</v>
      </c>
      <c r="I2241" s="121" t="e">
        <v>#DIV/0!</v>
      </c>
    </row>
    <row r="2242" spans="1:9" x14ac:dyDescent="0.3">
      <c r="A2242" s="35" t="s">
        <v>1684</v>
      </c>
      <c r="B2242" t="s">
        <v>1662</v>
      </c>
      <c r="C2242" s="106">
        <v>1</v>
      </c>
      <c r="D2242" s="56">
        <v>45951</v>
      </c>
      <c r="E2242">
        <v>7273</v>
      </c>
      <c r="F2242">
        <v>6612.01</v>
      </c>
      <c r="G2242" s="38">
        <v>660.98999999999978</v>
      </c>
      <c r="H2242" s="38">
        <v>660.98999999999978</v>
      </c>
      <c r="I2242" s="108">
        <v>9.9968088372522093E-2</v>
      </c>
    </row>
    <row r="2243" spans="1:9" x14ac:dyDescent="0.3">
      <c r="A2243" s="35" t="s">
        <v>1684</v>
      </c>
      <c r="B2243" t="s">
        <v>1662</v>
      </c>
      <c r="C2243" s="106">
        <v>2</v>
      </c>
      <c r="D2243" s="56">
        <v>45958</v>
      </c>
      <c r="E2243">
        <v>6613</v>
      </c>
      <c r="F2243">
        <v>6613</v>
      </c>
      <c r="G2243" s="38">
        <v>0</v>
      </c>
      <c r="H2243" s="38">
        <v>660.98999999999978</v>
      </c>
      <c r="I2243" s="108">
        <v>0</v>
      </c>
    </row>
    <row r="2244" spans="1:9" x14ac:dyDescent="0.3">
      <c r="A2244" s="35" t="s">
        <v>1684</v>
      </c>
      <c r="B2244" t="s">
        <v>1662</v>
      </c>
      <c r="C2244" s="106">
        <v>3</v>
      </c>
      <c r="G2244" s="38">
        <v>0</v>
      </c>
      <c r="H2244" s="38">
        <v>660.98999999999978</v>
      </c>
      <c r="I2244" s="108" t="e">
        <v>#DIV/0!</v>
      </c>
    </row>
    <row r="2245" spans="1:9" x14ac:dyDescent="0.3">
      <c r="A2245" s="35" t="s">
        <v>1684</v>
      </c>
      <c r="B2245" t="s">
        <v>1662</v>
      </c>
      <c r="C2245" s="106">
        <v>4</v>
      </c>
      <c r="G2245" s="38">
        <v>0</v>
      </c>
      <c r="H2245" s="38">
        <v>660.98999999999978</v>
      </c>
      <c r="I2245" s="108" t="e">
        <v>#DIV/0!</v>
      </c>
    </row>
    <row r="2246" spans="1:9" x14ac:dyDescent="0.3">
      <c r="A2246" s="35" t="s">
        <v>1684</v>
      </c>
      <c r="B2246" t="s">
        <v>1662</v>
      </c>
      <c r="C2246" s="106">
        <v>5</v>
      </c>
      <c r="G2246" s="38">
        <v>0</v>
      </c>
      <c r="H2246" s="38">
        <v>660.98999999999978</v>
      </c>
      <c r="I2246" s="108" t="e">
        <v>#DIV/0!</v>
      </c>
    </row>
    <row r="2247" spans="1:9" x14ac:dyDescent="0.3">
      <c r="A2247" s="35" t="s">
        <v>1684</v>
      </c>
      <c r="B2247" t="s">
        <v>1662</v>
      </c>
      <c r="C2247" s="106">
        <v>6</v>
      </c>
      <c r="G2247" s="38">
        <v>0</v>
      </c>
      <c r="H2247" s="38">
        <v>660.98999999999978</v>
      </c>
      <c r="I2247" s="108" t="e">
        <v>#DIV/0!</v>
      </c>
    </row>
    <row r="2248" spans="1:9" x14ac:dyDescent="0.3">
      <c r="A2248" s="35" t="s">
        <v>1684</v>
      </c>
      <c r="B2248" t="s">
        <v>1662</v>
      </c>
      <c r="C2248" s="106">
        <v>7</v>
      </c>
      <c r="G2248" s="38">
        <v>0</v>
      </c>
      <c r="H2248" s="38">
        <v>660.98999999999978</v>
      </c>
      <c r="I2248" s="108" t="e">
        <v>#DIV/0!</v>
      </c>
    </row>
    <row r="2249" spans="1:9" x14ac:dyDescent="0.3">
      <c r="A2249" s="35" t="s">
        <v>1684</v>
      </c>
      <c r="B2249" t="s">
        <v>1662</v>
      </c>
      <c r="C2249" s="106">
        <v>8</v>
      </c>
      <c r="G2249" s="38">
        <v>0</v>
      </c>
      <c r="H2249" s="38">
        <v>660.98999999999978</v>
      </c>
      <c r="I2249" s="108" t="e">
        <v>#DIV/0!</v>
      </c>
    </row>
    <row r="2250" spans="1:9" x14ac:dyDescent="0.3">
      <c r="A2250" s="35" t="s">
        <v>1684</v>
      </c>
      <c r="B2250" t="s">
        <v>1662</v>
      </c>
      <c r="C2250" s="106">
        <v>9</v>
      </c>
      <c r="G2250" s="38">
        <v>0</v>
      </c>
      <c r="H2250" s="38">
        <v>660.98999999999978</v>
      </c>
      <c r="I2250" s="108" t="e">
        <v>#DIV/0!</v>
      </c>
    </row>
    <row r="2251" spans="1:9" x14ac:dyDescent="0.3">
      <c r="A2251" s="35" t="s">
        <v>1684</v>
      </c>
      <c r="B2251" t="s">
        <v>1662</v>
      </c>
      <c r="C2251" s="106">
        <v>10</v>
      </c>
      <c r="G2251" s="38">
        <v>0</v>
      </c>
      <c r="H2251" s="38">
        <v>660.98999999999978</v>
      </c>
      <c r="I2251" s="108" t="e">
        <v>#DIV/0!</v>
      </c>
    </row>
    <row r="2252" spans="1:9" x14ac:dyDescent="0.3">
      <c r="A2252" s="35" t="s">
        <v>1684</v>
      </c>
      <c r="B2252" t="s">
        <v>1662</v>
      </c>
      <c r="C2252" s="106">
        <v>11</v>
      </c>
      <c r="G2252" s="38">
        <v>0</v>
      </c>
      <c r="H2252" s="38">
        <v>660.98999999999978</v>
      </c>
      <c r="I2252" s="108" t="e">
        <v>#DIV/0!</v>
      </c>
    </row>
    <row r="2253" spans="1:9" x14ac:dyDescent="0.3">
      <c r="A2253" s="35" t="s">
        <v>1684</v>
      </c>
      <c r="B2253" t="s">
        <v>1662</v>
      </c>
      <c r="C2253" s="106">
        <v>12</v>
      </c>
      <c r="G2253" s="38">
        <v>0</v>
      </c>
      <c r="H2253" s="38">
        <v>660.98999999999978</v>
      </c>
      <c r="I2253" s="108" t="e">
        <v>#DIV/0!</v>
      </c>
    </row>
    <row r="2254" spans="1:9" x14ac:dyDescent="0.3">
      <c r="A2254" s="35" t="s">
        <v>1684</v>
      </c>
      <c r="B2254" t="s">
        <v>1662</v>
      </c>
      <c r="C2254" s="106">
        <v>13</v>
      </c>
      <c r="G2254" s="38">
        <v>0</v>
      </c>
      <c r="H2254" s="38">
        <v>660.98999999999978</v>
      </c>
      <c r="I2254" s="108" t="e">
        <v>#DIV/0!</v>
      </c>
    </row>
    <row r="2255" spans="1:9" x14ac:dyDescent="0.3">
      <c r="A2255" s="35" t="s">
        <v>1684</v>
      </c>
      <c r="B2255" t="s">
        <v>1662</v>
      </c>
      <c r="C2255" s="106">
        <v>14</v>
      </c>
      <c r="G2255" s="38">
        <v>0</v>
      </c>
      <c r="H2255" s="38">
        <v>660.98999999999978</v>
      </c>
      <c r="I2255" s="108" t="e">
        <v>#DIV/0!</v>
      </c>
    </row>
    <row r="2256" spans="1:9" x14ac:dyDescent="0.3">
      <c r="A2256" s="35" t="s">
        <v>1684</v>
      </c>
      <c r="B2256" t="s">
        <v>1662</v>
      </c>
      <c r="C2256" s="106">
        <v>15</v>
      </c>
      <c r="G2256" s="38">
        <v>0</v>
      </c>
      <c r="H2256" s="38">
        <v>660.98999999999978</v>
      </c>
      <c r="I2256" s="108" t="e">
        <v>#DIV/0!</v>
      </c>
    </row>
    <row r="2257" spans="1:9" ht="15" thickBot="1" x14ac:dyDescent="0.35">
      <c r="A2257" s="109" t="s">
        <v>1684</v>
      </c>
      <c r="B2257" s="110" t="s">
        <v>1662</v>
      </c>
      <c r="C2257" s="114">
        <v>16</v>
      </c>
      <c r="D2257" s="110"/>
      <c r="E2257" s="110"/>
      <c r="F2257" s="110"/>
      <c r="G2257" s="115">
        <v>0</v>
      </c>
      <c r="H2257" s="115">
        <v>660.98999999999978</v>
      </c>
      <c r="I2257" s="121" t="e">
        <v>#DIV/0!</v>
      </c>
    </row>
    <row r="2258" spans="1:9" x14ac:dyDescent="0.3">
      <c r="A2258" s="35" t="s">
        <v>1822</v>
      </c>
      <c r="B2258" t="s">
        <v>1663</v>
      </c>
      <c r="C2258" s="106">
        <v>1</v>
      </c>
      <c r="D2258" s="56">
        <v>45954</v>
      </c>
      <c r="E2258">
        <v>4766</v>
      </c>
      <c r="F2258">
        <v>4260</v>
      </c>
      <c r="G2258" s="38">
        <v>506</v>
      </c>
      <c r="H2258" s="38">
        <v>506</v>
      </c>
      <c r="I2258" s="108">
        <v>0.11877934272300469</v>
      </c>
    </row>
    <row r="2259" spans="1:9" x14ac:dyDescent="0.3">
      <c r="A2259" s="35" t="s">
        <v>1822</v>
      </c>
      <c r="B2259" t="s">
        <v>1663</v>
      </c>
      <c r="C2259" s="106">
        <v>2</v>
      </c>
      <c r="G2259" s="38">
        <v>0</v>
      </c>
      <c r="H2259" s="38">
        <v>506</v>
      </c>
      <c r="I2259" s="108" t="e">
        <v>#DIV/0!</v>
      </c>
    </row>
    <row r="2260" spans="1:9" x14ac:dyDescent="0.3">
      <c r="A2260" s="35" t="s">
        <v>1822</v>
      </c>
      <c r="B2260" t="s">
        <v>1663</v>
      </c>
      <c r="C2260" s="106">
        <v>3</v>
      </c>
      <c r="G2260" s="38">
        <v>0</v>
      </c>
      <c r="H2260" s="38">
        <v>506</v>
      </c>
      <c r="I2260" s="108" t="e">
        <v>#DIV/0!</v>
      </c>
    </row>
    <row r="2261" spans="1:9" x14ac:dyDescent="0.3">
      <c r="A2261" s="35" t="s">
        <v>1822</v>
      </c>
      <c r="B2261" t="s">
        <v>1663</v>
      </c>
      <c r="C2261" s="106">
        <v>4</v>
      </c>
      <c r="G2261" s="38">
        <v>0</v>
      </c>
      <c r="H2261" s="38">
        <v>506</v>
      </c>
      <c r="I2261" s="108" t="e">
        <v>#DIV/0!</v>
      </c>
    </row>
    <row r="2262" spans="1:9" x14ac:dyDescent="0.3">
      <c r="A2262" s="35" t="s">
        <v>1822</v>
      </c>
      <c r="B2262" t="s">
        <v>1663</v>
      </c>
      <c r="C2262" s="106">
        <v>5</v>
      </c>
      <c r="G2262" s="38">
        <v>0</v>
      </c>
      <c r="H2262" s="38">
        <v>506</v>
      </c>
      <c r="I2262" s="108" t="e">
        <v>#DIV/0!</v>
      </c>
    </row>
    <row r="2263" spans="1:9" x14ac:dyDescent="0.3">
      <c r="A2263" s="35" t="s">
        <v>1822</v>
      </c>
      <c r="B2263" t="s">
        <v>1663</v>
      </c>
      <c r="C2263" s="106">
        <v>6</v>
      </c>
      <c r="G2263" s="38">
        <v>0</v>
      </c>
      <c r="H2263" s="38">
        <v>506</v>
      </c>
      <c r="I2263" s="108" t="e">
        <v>#DIV/0!</v>
      </c>
    </row>
    <row r="2264" spans="1:9" x14ac:dyDescent="0.3">
      <c r="A2264" s="35" t="s">
        <v>1822</v>
      </c>
      <c r="B2264" t="s">
        <v>1663</v>
      </c>
      <c r="C2264" s="106">
        <v>7</v>
      </c>
      <c r="G2264" s="38">
        <v>0</v>
      </c>
      <c r="H2264" s="38">
        <v>506</v>
      </c>
      <c r="I2264" s="108" t="e">
        <v>#DIV/0!</v>
      </c>
    </row>
    <row r="2265" spans="1:9" x14ac:dyDescent="0.3">
      <c r="A2265" s="35" t="s">
        <v>1822</v>
      </c>
      <c r="B2265" t="s">
        <v>1663</v>
      </c>
      <c r="C2265" s="106">
        <v>8</v>
      </c>
      <c r="G2265" s="38">
        <v>0</v>
      </c>
      <c r="H2265" s="38">
        <v>506</v>
      </c>
      <c r="I2265" s="108" t="e">
        <v>#DIV/0!</v>
      </c>
    </row>
    <row r="2266" spans="1:9" x14ac:dyDescent="0.3">
      <c r="A2266" s="35" t="s">
        <v>1822</v>
      </c>
      <c r="B2266" t="s">
        <v>1663</v>
      </c>
      <c r="C2266" s="106">
        <v>9</v>
      </c>
      <c r="G2266" s="38">
        <v>0</v>
      </c>
      <c r="H2266" s="38">
        <v>506</v>
      </c>
      <c r="I2266" s="108" t="e">
        <v>#DIV/0!</v>
      </c>
    </row>
    <row r="2267" spans="1:9" x14ac:dyDescent="0.3">
      <c r="A2267" s="35" t="s">
        <v>1822</v>
      </c>
      <c r="B2267" t="s">
        <v>1663</v>
      </c>
      <c r="C2267" s="106">
        <v>10</v>
      </c>
      <c r="G2267" s="38">
        <v>0</v>
      </c>
      <c r="H2267" s="38">
        <v>506</v>
      </c>
      <c r="I2267" s="108" t="e">
        <v>#DIV/0!</v>
      </c>
    </row>
    <row r="2268" spans="1:9" x14ac:dyDescent="0.3">
      <c r="A2268" s="35" t="s">
        <v>1822</v>
      </c>
      <c r="B2268" t="s">
        <v>1663</v>
      </c>
      <c r="C2268" s="106">
        <v>11</v>
      </c>
      <c r="G2268" s="38">
        <v>0</v>
      </c>
      <c r="H2268" s="38">
        <v>506</v>
      </c>
      <c r="I2268" s="108" t="e">
        <v>#DIV/0!</v>
      </c>
    </row>
    <row r="2269" spans="1:9" x14ac:dyDescent="0.3">
      <c r="A2269" s="35" t="s">
        <v>1822</v>
      </c>
      <c r="B2269" t="s">
        <v>1663</v>
      </c>
      <c r="C2269" s="106">
        <v>12</v>
      </c>
      <c r="G2269" s="38">
        <v>0</v>
      </c>
      <c r="H2269" s="38">
        <v>506</v>
      </c>
      <c r="I2269" s="108" t="e">
        <v>#DIV/0!</v>
      </c>
    </row>
    <row r="2270" spans="1:9" x14ac:dyDescent="0.3">
      <c r="A2270" s="35" t="s">
        <v>1822</v>
      </c>
      <c r="B2270" t="s">
        <v>1663</v>
      </c>
      <c r="C2270" s="106">
        <v>13</v>
      </c>
      <c r="G2270" s="38">
        <v>0</v>
      </c>
      <c r="H2270" s="38">
        <v>506</v>
      </c>
      <c r="I2270" s="108" t="e">
        <v>#DIV/0!</v>
      </c>
    </row>
    <row r="2271" spans="1:9" x14ac:dyDescent="0.3">
      <c r="A2271" s="35" t="s">
        <v>1822</v>
      </c>
      <c r="B2271" t="s">
        <v>1663</v>
      </c>
      <c r="C2271" s="106">
        <v>14</v>
      </c>
      <c r="G2271" s="38">
        <v>0</v>
      </c>
      <c r="H2271" s="38">
        <v>506</v>
      </c>
      <c r="I2271" s="108" t="e">
        <v>#DIV/0!</v>
      </c>
    </row>
    <row r="2272" spans="1:9" x14ac:dyDescent="0.3">
      <c r="A2272" s="35" t="s">
        <v>1822</v>
      </c>
      <c r="B2272" t="s">
        <v>1663</v>
      </c>
      <c r="C2272" s="106">
        <v>15</v>
      </c>
      <c r="G2272" s="38">
        <v>0</v>
      </c>
      <c r="H2272" s="38">
        <v>506</v>
      </c>
      <c r="I2272" s="108" t="e">
        <v>#DIV/0!</v>
      </c>
    </row>
    <row r="2273" spans="1:9" ht="15" thickBot="1" x14ac:dyDescent="0.35">
      <c r="A2273" s="109" t="s">
        <v>1822</v>
      </c>
      <c r="B2273" s="110" t="s">
        <v>1663</v>
      </c>
      <c r="C2273" s="114">
        <v>16</v>
      </c>
      <c r="D2273" s="110"/>
      <c r="E2273" s="110"/>
      <c r="F2273" s="110"/>
      <c r="G2273" s="115">
        <v>0</v>
      </c>
      <c r="H2273" s="115">
        <v>506</v>
      </c>
      <c r="I2273" s="121" t="e">
        <v>#DIV/0!</v>
      </c>
    </row>
    <row r="2274" spans="1:9" x14ac:dyDescent="0.3">
      <c r="A2274" s="35" t="s">
        <v>1689</v>
      </c>
      <c r="B2274" t="s">
        <v>572</v>
      </c>
      <c r="C2274" s="106">
        <v>1</v>
      </c>
      <c r="D2274" s="56">
        <v>45951</v>
      </c>
      <c r="E2274">
        <v>5306</v>
      </c>
      <c r="F2274">
        <v>4940.04</v>
      </c>
      <c r="G2274" s="38">
        <v>365.96000000000004</v>
      </c>
      <c r="H2274" s="38">
        <v>365.96000000000004</v>
      </c>
      <c r="I2274" s="108">
        <v>7.4080371818851673E-2</v>
      </c>
    </row>
    <row r="2275" spans="1:9" x14ac:dyDescent="0.3">
      <c r="A2275" s="35" t="s">
        <v>1689</v>
      </c>
      <c r="B2275" t="s">
        <v>572</v>
      </c>
      <c r="C2275" s="106">
        <v>2</v>
      </c>
      <c r="D2275" s="56">
        <v>45958</v>
      </c>
      <c r="E2275">
        <v>5306</v>
      </c>
      <c r="F2275">
        <v>4940.04</v>
      </c>
      <c r="G2275" s="38">
        <v>365.96000000000004</v>
      </c>
      <c r="H2275" s="38">
        <v>731.92000000000007</v>
      </c>
      <c r="I2275" s="108">
        <v>7.4080371818851673E-2</v>
      </c>
    </row>
    <row r="2276" spans="1:9" x14ac:dyDescent="0.3">
      <c r="A2276" s="35" t="s">
        <v>1689</v>
      </c>
      <c r="B2276" t="s">
        <v>572</v>
      </c>
      <c r="C2276" s="106">
        <v>3</v>
      </c>
      <c r="G2276" s="38">
        <v>0</v>
      </c>
      <c r="H2276" s="38">
        <v>731.92000000000007</v>
      </c>
      <c r="I2276" s="108" t="e">
        <v>#DIV/0!</v>
      </c>
    </row>
    <row r="2277" spans="1:9" x14ac:dyDescent="0.3">
      <c r="A2277" s="35" t="s">
        <v>1689</v>
      </c>
      <c r="B2277" t="s">
        <v>572</v>
      </c>
      <c r="C2277" s="106">
        <v>4</v>
      </c>
      <c r="G2277" s="38">
        <v>0</v>
      </c>
      <c r="H2277" s="38">
        <v>731.92000000000007</v>
      </c>
      <c r="I2277" s="108" t="e">
        <v>#DIV/0!</v>
      </c>
    </row>
    <row r="2278" spans="1:9" x14ac:dyDescent="0.3">
      <c r="A2278" s="35" t="s">
        <v>1689</v>
      </c>
      <c r="B2278" t="s">
        <v>572</v>
      </c>
      <c r="C2278" s="106">
        <v>5</v>
      </c>
      <c r="G2278" s="38">
        <v>0</v>
      </c>
      <c r="H2278" s="38">
        <v>731.92000000000007</v>
      </c>
      <c r="I2278" s="108" t="e">
        <v>#DIV/0!</v>
      </c>
    </row>
    <row r="2279" spans="1:9" x14ac:dyDescent="0.3">
      <c r="A2279" s="35" t="s">
        <v>1689</v>
      </c>
      <c r="B2279" t="s">
        <v>572</v>
      </c>
      <c r="C2279" s="106">
        <v>6</v>
      </c>
      <c r="G2279" s="38">
        <v>0</v>
      </c>
      <c r="H2279" s="38">
        <v>731.92000000000007</v>
      </c>
      <c r="I2279" s="108" t="e">
        <v>#DIV/0!</v>
      </c>
    </row>
    <row r="2280" spans="1:9" x14ac:dyDescent="0.3">
      <c r="A2280" s="35" t="s">
        <v>1689</v>
      </c>
      <c r="B2280" t="s">
        <v>572</v>
      </c>
      <c r="C2280" s="106">
        <v>7</v>
      </c>
      <c r="G2280" s="38">
        <v>0</v>
      </c>
      <c r="H2280" s="38">
        <v>731.92000000000007</v>
      </c>
      <c r="I2280" s="108" t="e">
        <v>#DIV/0!</v>
      </c>
    </row>
    <row r="2281" spans="1:9" x14ac:dyDescent="0.3">
      <c r="A2281" s="35" t="s">
        <v>1689</v>
      </c>
      <c r="B2281" t="s">
        <v>572</v>
      </c>
      <c r="C2281" s="106">
        <v>8</v>
      </c>
      <c r="G2281" s="38">
        <v>0</v>
      </c>
      <c r="H2281" s="38">
        <v>731.92000000000007</v>
      </c>
      <c r="I2281" s="108" t="e">
        <v>#DIV/0!</v>
      </c>
    </row>
    <row r="2282" spans="1:9" x14ac:dyDescent="0.3">
      <c r="A2282" s="35" t="s">
        <v>1689</v>
      </c>
      <c r="B2282" t="s">
        <v>572</v>
      </c>
      <c r="C2282" s="106">
        <v>9</v>
      </c>
      <c r="G2282" s="38">
        <v>0</v>
      </c>
      <c r="H2282" s="38">
        <v>731.92000000000007</v>
      </c>
      <c r="I2282" s="108" t="e">
        <v>#DIV/0!</v>
      </c>
    </row>
    <row r="2283" spans="1:9" x14ac:dyDescent="0.3">
      <c r="A2283" s="35" t="s">
        <v>1689</v>
      </c>
      <c r="B2283" t="s">
        <v>572</v>
      </c>
      <c r="C2283" s="106">
        <v>10</v>
      </c>
      <c r="G2283" s="38">
        <v>0</v>
      </c>
      <c r="H2283" s="38">
        <v>731.92000000000007</v>
      </c>
      <c r="I2283" s="108" t="e">
        <v>#DIV/0!</v>
      </c>
    </row>
    <row r="2284" spans="1:9" x14ac:dyDescent="0.3">
      <c r="A2284" s="35" t="s">
        <v>1689</v>
      </c>
      <c r="B2284" t="s">
        <v>572</v>
      </c>
      <c r="C2284" s="106">
        <v>11</v>
      </c>
      <c r="G2284" s="38">
        <v>0</v>
      </c>
      <c r="H2284" s="38">
        <v>731.92000000000007</v>
      </c>
      <c r="I2284" s="108" t="e">
        <v>#DIV/0!</v>
      </c>
    </row>
    <row r="2285" spans="1:9" x14ac:dyDescent="0.3">
      <c r="A2285" s="35" t="s">
        <v>1689</v>
      </c>
      <c r="B2285" t="s">
        <v>572</v>
      </c>
      <c r="C2285" s="106">
        <v>12</v>
      </c>
      <c r="G2285" s="38">
        <v>0</v>
      </c>
      <c r="H2285" s="38">
        <v>731.92000000000007</v>
      </c>
      <c r="I2285" s="108" t="e">
        <v>#DIV/0!</v>
      </c>
    </row>
    <row r="2286" spans="1:9" x14ac:dyDescent="0.3">
      <c r="A2286" s="35" t="s">
        <v>1689</v>
      </c>
      <c r="B2286" t="s">
        <v>572</v>
      </c>
      <c r="C2286" s="106">
        <v>13</v>
      </c>
      <c r="G2286" s="38">
        <v>0</v>
      </c>
      <c r="H2286" s="38">
        <v>731.92000000000007</v>
      </c>
      <c r="I2286" s="108" t="e">
        <v>#DIV/0!</v>
      </c>
    </row>
    <row r="2287" spans="1:9" x14ac:dyDescent="0.3">
      <c r="A2287" s="35" t="s">
        <v>1689</v>
      </c>
      <c r="B2287" t="s">
        <v>572</v>
      </c>
      <c r="C2287" s="106">
        <v>14</v>
      </c>
      <c r="G2287" s="38">
        <v>0</v>
      </c>
      <c r="H2287" s="38">
        <v>731.92000000000007</v>
      </c>
      <c r="I2287" s="108" t="e">
        <v>#DIV/0!</v>
      </c>
    </row>
    <row r="2288" spans="1:9" x14ac:dyDescent="0.3">
      <c r="A2288" s="35" t="s">
        <v>1689</v>
      </c>
      <c r="B2288" t="s">
        <v>572</v>
      </c>
      <c r="C2288" s="106">
        <v>15</v>
      </c>
      <c r="G2288" s="38">
        <v>0</v>
      </c>
      <c r="H2288" s="38">
        <v>731.92000000000007</v>
      </c>
      <c r="I2288" s="108" t="e">
        <v>#DIV/0!</v>
      </c>
    </row>
    <row r="2289" spans="1:9" ht="15" thickBot="1" x14ac:dyDescent="0.35">
      <c r="A2289" s="109" t="s">
        <v>1689</v>
      </c>
      <c r="B2289" s="110" t="s">
        <v>572</v>
      </c>
      <c r="C2289" s="114">
        <v>16</v>
      </c>
      <c r="D2289" s="110"/>
      <c r="E2289" s="110"/>
      <c r="F2289" s="110"/>
      <c r="G2289" s="115">
        <v>0</v>
      </c>
      <c r="H2289" s="115">
        <v>731.92000000000007</v>
      </c>
      <c r="I2289" s="121" t="e">
        <v>#DIV/0!</v>
      </c>
    </row>
    <row r="2290" spans="1:9" x14ac:dyDescent="0.3">
      <c r="A2290" s="35" t="s">
        <v>1688</v>
      </c>
      <c r="B2290" t="s">
        <v>1601</v>
      </c>
      <c r="C2290" s="106">
        <v>1</v>
      </c>
      <c r="D2290" s="56">
        <v>45951</v>
      </c>
      <c r="E2290">
        <v>4338</v>
      </c>
      <c r="F2290">
        <v>4110</v>
      </c>
      <c r="G2290" s="38">
        <v>228</v>
      </c>
      <c r="H2290" s="38">
        <v>228</v>
      </c>
      <c r="I2290" s="108">
        <v>5.5474452554744529E-2</v>
      </c>
    </row>
    <row r="2291" spans="1:9" x14ac:dyDescent="0.3">
      <c r="A2291" s="35" t="s">
        <v>1688</v>
      </c>
      <c r="B2291" t="s">
        <v>1601</v>
      </c>
      <c r="C2291" s="106">
        <v>2</v>
      </c>
      <c r="D2291" s="56">
        <v>45958</v>
      </c>
      <c r="E2291">
        <v>4338</v>
      </c>
      <c r="F2291">
        <v>4110</v>
      </c>
      <c r="G2291" s="38">
        <v>228</v>
      </c>
      <c r="H2291" s="38">
        <v>456</v>
      </c>
      <c r="I2291" s="108">
        <v>5.5474452554744529E-2</v>
      </c>
    </row>
    <row r="2292" spans="1:9" x14ac:dyDescent="0.3">
      <c r="A2292" s="35" t="s">
        <v>1688</v>
      </c>
      <c r="B2292" t="s">
        <v>1601</v>
      </c>
      <c r="C2292" s="106">
        <v>3</v>
      </c>
      <c r="G2292" s="38">
        <v>0</v>
      </c>
      <c r="H2292" s="38">
        <v>456</v>
      </c>
      <c r="I2292" s="108" t="e">
        <v>#DIV/0!</v>
      </c>
    </row>
    <row r="2293" spans="1:9" x14ac:dyDescent="0.3">
      <c r="A2293" s="35" t="s">
        <v>1688</v>
      </c>
      <c r="B2293" t="s">
        <v>1601</v>
      </c>
      <c r="C2293" s="106">
        <v>4</v>
      </c>
      <c r="G2293" s="38">
        <v>0</v>
      </c>
      <c r="H2293" s="38">
        <v>456</v>
      </c>
      <c r="I2293" s="108" t="e">
        <v>#DIV/0!</v>
      </c>
    </row>
    <row r="2294" spans="1:9" x14ac:dyDescent="0.3">
      <c r="A2294" s="35" t="s">
        <v>1688</v>
      </c>
      <c r="B2294" t="s">
        <v>1601</v>
      </c>
      <c r="C2294" s="106">
        <v>5</v>
      </c>
      <c r="G2294" s="38">
        <v>0</v>
      </c>
      <c r="H2294" s="38">
        <v>456</v>
      </c>
      <c r="I2294" s="108" t="e">
        <v>#DIV/0!</v>
      </c>
    </row>
    <row r="2295" spans="1:9" x14ac:dyDescent="0.3">
      <c r="A2295" s="35" t="s">
        <v>1688</v>
      </c>
      <c r="B2295" t="s">
        <v>1601</v>
      </c>
      <c r="C2295" s="106">
        <v>6</v>
      </c>
      <c r="G2295" s="38">
        <v>0</v>
      </c>
      <c r="H2295" s="38">
        <v>456</v>
      </c>
      <c r="I2295" s="108" t="e">
        <v>#DIV/0!</v>
      </c>
    </row>
    <row r="2296" spans="1:9" x14ac:dyDescent="0.3">
      <c r="A2296" s="35" t="s">
        <v>1688</v>
      </c>
      <c r="B2296" t="s">
        <v>1601</v>
      </c>
      <c r="C2296" s="106">
        <v>7</v>
      </c>
      <c r="G2296" s="38">
        <v>0</v>
      </c>
      <c r="H2296" s="38">
        <v>456</v>
      </c>
      <c r="I2296" s="108" t="e">
        <v>#DIV/0!</v>
      </c>
    </row>
    <row r="2297" spans="1:9" x14ac:dyDescent="0.3">
      <c r="A2297" s="35" t="s">
        <v>1688</v>
      </c>
      <c r="B2297" t="s">
        <v>1601</v>
      </c>
      <c r="C2297" s="106">
        <v>8</v>
      </c>
      <c r="G2297" s="38">
        <v>0</v>
      </c>
      <c r="H2297" s="38">
        <v>456</v>
      </c>
      <c r="I2297" s="108" t="e">
        <v>#DIV/0!</v>
      </c>
    </row>
    <row r="2298" spans="1:9" x14ac:dyDescent="0.3">
      <c r="A2298" s="35" t="s">
        <v>1688</v>
      </c>
      <c r="B2298" t="s">
        <v>1601</v>
      </c>
      <c r="C2298" s="106">
        <v>9</v>
      </c>
      <c r="G2298" s="38">
        <v>0</v>
      </c>
      <c r="H2298" s="38">
        <v>456</v>
      </c>
      <c r="I2298" s="108" t="e">
        <v>#DIV/0!</v>
      </c>
    </row>
    <row r="2299" spans="1:9" x14ac:dyDescent="0.3">
      <c r="A2299" s="35" t="s">
        <v>1688</v>
      </c>
      <c r="B2299" t="s">
        <v>1601</v>
      </c>
      <c r="C2299" s="106">
        <v>10</v>
      </c>
      <c r="G2299" s="38">
        <v>0</v>
      </c>
      <c r="H2299" s="38">
        <v>456</v>
      </c>
      <c r="I2299" s="108" t="e">
        <v>#DIV/0!</v>
      </c>
    </row>
    <row r="2300" spans="1:9" x14ac:dyDescent="0.3">
      <c r="A2300" s="35" t="s">
        <v>1688</v>
      </c>
      <c r="B2300" t="s">
        <v>1601</v>
      </c>
      <c r="C2300" s="106">
        <v>11</v>
      </c>
      <c r="G2300" s="38">
        <v>0</v>
      </c>
      <c r="H2300" s="38">
        <v>456</v>
      </c>
      <c r="I2300" s="108" t="e">
        <v>#DIV/0!</v>
      </c>
    </row>
    <row r="2301" spans="1:9" x14ac:dyDescent="0.3">
      <c r="A2301" s="35" t="s">
        <v>1688</v>
      </c>
      <c r="B2301" t="s">
        <v>1601</v>
      </c>
      <c r="C2301" s="106">
        <v>12</v>
      </c>
      <c r="G2301" s="38">
        <v>0</v>
      </c>
      <c r="H2301" s="38">
        <v>456</v>
      </c>
      <c r="I2301" s="108" t="e">
        <v>#DIV/0!</v>
      </c>
    </row>
    <row r="2302" spans="1:9" x14ac:dyDescent="0.3">
      <c r="A2302" s="35" t="s">
        <v>1688</v>
      </c>
      <c r="B2302" t="s">
        <v>1601</v>
      </c>
      <c r="C2302" s="106">
        <v>13</v>
      </c>
      <c r="G2302" s="38">
        <v>0</v>
      </c>
      <c r="H2302" s="38">
        <v>456</v>
      </c>
      <c r="I2302" s="108" t="e">
        <v>#DIV/0!</v>
      </c>
    </row>
    <row r="2303" spans="1:9" x14ac:dyDescent="0.3">
      <c r="A2303" s="35" t="s">
        <v>1688</v>
      </c>
      <c r="B2303" t="s">
        <v>1601</v>
      </c>
      <c r="C2303" s="106">
        <v>14</v>
      </c>
      <c r="G2303" s="38">
        <v>0</v>
      </c>
      <c r="H2303" s="38">
        <v>456</v>
      </c>
      <c r="I2303" s="108" t="e">
        <v>#DIV/0!</v>
      </c>
    </row>
    <row r="2304" spans="1:9" x14ac:dyDescent="0.3">
      <c r="A2304" s="35" t="s">
        <v>1688</v>
      </c>
      <c r="B2304" t="s">
        <v>1601</v>
      </c>
      <c r="C2304" s="106">
        <v>15</v>
      </c>
      <c r="G2304" s="38">
        <v>0</v>
      </c>
      <c r="H2304" s="38">
        <v>456</v>
      </c>
      <c r="I2304" s="108" t="e">
        <v>#DIV/0!</v>
      </c>
    </row>
    <row r="2305" spans="1:9" ht="15" thickBot="1" x14ac:dyDescent="0.35">
      <c r="A2305" s="109" t="s">
        <v>1688</v>
      </c>
      <c r="B2305" s="110" t="s">
        <v>1601</v>
      </c>
      <c r="C2305" s="114">
        <v>16</v>
      </c>
      <c r="D2305" s="110"/>
      <c r="E2305" s="110"/>
      <c r="F2305" s="110"/>
      <c r="G2305" s="115">
        <v>0</v>
      </c>
      <c r="H2305" s="115">
        <v>456</v>
      </c>
      <c r="I2305" s="121" t="e">
        <v>#DIV/0!</v>
      </c>
    </row>
    <row r="2306" spans="1:9" x14ac:dyDescent="0.3">
      <c r="A2306" s="35" t="s">
        <v>1695</v>
      </c>
      <c r="B2306" t="s">
        <v>1696</v>
      </c>
      <c r="C2306" s="106">
        <v>1</v>
      </c>
      <c r="D2306" s="56">
        <v>45951</v>
      </c>
      <c r="E2306">
        <v>12222</v>
      </c>
      <c r="F2306">
        <v>11400.1</v>
      </c>
      <c r="G2306" s="38">
        <v>821.89999999999964</v>
      </c>
      <c r="H2306" s="38">
        <v>821.89999999999964</v>
      </c>
      <c r="I2306" s="108">
        <v>7.209585880825603E-2</v>
      </c>
    </row>
    <row r="2307" spans="1:9" x14ac:dyDescent="0.3">
      <c r="A2307" s="35" t="s">
        <v>1695</v>
      </c>
      <c r="B2307" t="s">
        <v>1696</v>
      </c>
      <c r="C2307" s="106">
        <v>2</v>
      </c>
      <c r="D2307" s="56">
        <v>45958</v>
      </c>
      <c r="E2307">
        <v>12222</v>
      </c>
      <c r="F2307">
        <v>11400.1</v>
      </c>
      <c r="G2307" s="38">
        <v>821.89999999999964</v>
      </c>
      <c r="H2307" s="38">
        <v>1643.7999999999993</v>
      </c>
      <c r="I2307" s="108">
        <v>7.209585880825603E-2</v>
      </c>
    </row>
    <row r="2308" spans="1:9" x14ac:dyDescent="0.3">
      <c r="A2308" s="35" t="s">
        <v>1695</v>
      </c>
      <c r="B2308" t="s">
        <v>1696</v>
      </c>
      <c r="C2308" s="106">
        <v>3</v>
      </c>
      <c r="G2308" s="38">
        <v>0</v>
      </c>
      <c r="H2308" s="38">
        <v>1643.7999999999993</v>
      </c>
      <c r="I2308" s="108" t="e">
        <v>#DIV/0!</v>
      </c>
    </row>
    <row r="2309" spans="1:9" x14ac:dyDescent="0.3">
      <c r="A2309" s="35" t="s">
        <v>1695</v>
      </c>
      <c r="B2309" t="s">
        <v>1696</v>
      </c>
      <c r="C2309" s="106">
        <v>4</v>
      </c>
      <c r="G2309" s="38">
        <v>0</v>
      </c>
      <c r="H2309" s="38">
        <v>1643.7999999999993</v>
      </c>
      <c r="I2309" s="108" t="e">
        <v>#DIV/0!</v>
      </c>
    </row>
    <row r="2310" spans="1:9" x14ac:dyDescent="0.3">
      <c r="A2310" s="35" t="s">
        <v>1695</v>
      </c>
      <c r="B2310" t="s">
        <v>1696</v>
      </c>
      <c r="C2310" s="106">
        <v>5</v>
      </c>
      <c r="G2310" s="38">
        <v>0</v>
      </c>
      <c r="H2310" s="38">
        <v>1643.7999999999993</v>
      </c>
      <c r="I2310" s="108" t="e">
        <v>#DIV/0!</v>
      </c>
    </row>
    <row r="2311" spans="1:9" x14ac:dyDescent="0.3">
      <c r="A2311" s="35" t="s">
        <v>1695</v>
      </c>
      <c r="B2311" t="s">
        <v>1696</v>
      </c>
      <c r="C2311" s="106">
        <v>6</v>
      </c>
      <c r="G2311" s="38">
        <v>0</v>
      </c>
      <c r="H2311" s="38">
        <v>1643.7999999999993</v>
      </c>
      <c r="I2311" s="108" t="e">
        <v>#DIV/0!</v>
      </c>
    </row>
    <row r="2312" spans="1:9" x14ac:dyDescent="0.3">
      <c r="A2312" s="35" t="s">
        <v>1695</v>
      </c>
      <c r="B2312" t="s">
        <v>1696</v>
      </c>
      <c r="C2312" s="106">
        <v>7</v>
      </c>
      <c r="G2312" s="38">
        <v>0</v>
      </c>
      <c r="H2312" s="38">
        <v>1643.7999999999993</v>
      </c>
      <c r="I2312" s="108" t="e">
        <v>#DIV/0!</v>
      </c>
    </row>
    <row r="2313" spans="1:9" x14ac:dyDescent="0.3">
      <c r="A2313" s="35" t="s">
        <v>1695</v>
      </c>
      <c r="B2313" t="s">
        <v>1696</v>
      </c>
      <c r="C2313" s="106">
        <v>8</v>
      </c>
      <c r="G2313" s="38">
        <v>0</v>
      </c>
      <c r="H2313" s="38">
        <v>1643.7999999999993</v>
      </c>
      <c r="I2313" s="108" t="e">
        <v>#DIV/0!</v>
      </c>
    </row>
    <row r="2314" spans="1:9" x14ac:dyDescent="0.3">
      <c r="A2314" s="35" t="s">
        <v>1695</v>
      </c>
      <c r="B2314" t="s">
        <v>1696</v>
      </c>
      <c r="C2314" s="106">
        <v>9</v>
      </c>
      <c r="G2314" s="38">
        <v>0</v>
      </c>
      <c r="H2314" s="38">
        <v>1643.7999999999993</v>
      </c>
      <c r="I2314" s="108" t="e">
        <v>#DIV/0!</v>
      </c>
    </row>
    <row r="2315" spans="1:9" x14ac:dyDescent="0.3">
      <c r="A2315" s="35" t="s">
        <v>1695</v>
      </c>
      <c r="B2315" t="s">
        <v>1696</v>
      </c>
      <c r="C2315" s="106">
        <v>10</v>
      </c>
      <c r="G2315" s="38">
        <v>0</v>
      </c>
      <c r="H2315" s="38">
        <v>1643.7999999999993</v>
      </c>
      <c r="I2315" s="108" t="e">
        <v>#DIV/0!</v>
      </c>
    </row>
    <row r="2316" spans="1:9" x14ac:dyDescent="0.3">
      <c r="A2316" s="35" t="s">
        <v>1695</v>
      </c>
      <c r="B2316" t="s">
        <v>1696</v>
      </c>
      <c r="C2316" s="106">
        <v>11</v>
      </c>
      <c r="G2316" s="38">
        <v>0</v>
      </c>
      <c r="H2316" s="38">
        <v>1643.7999999999993</v>
      </c>
      <c r="I2316" s="108" t="e">
        <v>#DIV/0!</v>
      </c>
    </row>
    <row r="2317" spans="1:9" x14ac:dyDescent="0.3">
      <c r="A2317" s="35" t="s">
        <v>1695</v>
      </c>
      <c r="B2317" t="s">
        <v>1696</v>
      </c>
      <c r="C2317" s="106">
        <v>12</v>
      </c>
      <c r="G2317" s="38">
        <v>0</v>
      </c>
      <c r="H2317" s="38">
        <v>1643.7999999999993</v>
      </c>
      <c r="I2317" s="108" t="e">
        <v>#DIV/0!</v>
      </c>
    </row>
    <row r="2318" spans="1:9" x14ac:dyDescent="0.3">
      <c r="A2318" s="35" t="s">
        <v>1695</v>
      </c>
      <c r="B2318" t="s">
        <v>1696</v>
      </c>
      <c r="C2318" s="106">
        <v>13</v>
      </c>
      <c r="G2318" s="38">
        <v>0</v>
      </c>
      <c r="H2318" s="38">
        <v>1643.7999999999993</v>
      </c>
      <c r="I2318" s="108" t="e">
        <v>#DIV/0!</v>
      </c>
    </row>
    <row r="2319" spans="1:9" x14ac:dyDescent="0.3">
      <c r="A2319" s="35" t="s">
        <v>1695</v>
      </c>
      <c r="B2319" t="s">
        <v>1696</v>
      </c>
      <c r="C2319" s="106">
        <v>14</v>
      </c>
      <c r="G2319" s="38">
        <v>0</v>
      </c>
      <c r="H2319" s="38">
        <v>1643.7999999999993</v>
      </c>
      <c r="I2319" s="108" t="e">
        <v>#DIV/0!</v>
      </c>
    </row>
    <row r="2320" spans="1:9" x14ac:dyDescent="0.3">
      <c r="A2320" s="35" t="s">
        <v>1695</v>
      </c>
      <c r="B2320" t="s">
        <v>1696</v>
      </c>
      <c r="C2320" s="106">
        <v>15</v>
      </c>
      <c r="G2320" s="38">
        <v>0</v>
      </c>
      <c r="H2320" s="38">
        <v>1643.7999999999993</v>
      </c>
      <c r="I2320" s="108" t="e">
        <v>#DIV/0!</v>
      </c>
    </row>
    <row r="2321" spans="1:9" ht="15" thickBot="1" x14ac:dyDescent="0.35">
      <c r="A2321" s="109" t="s">
        <v>1695</v>
      </c>
      <c r="B2321" s="110" t="s">
        <v>1696</v>
      </c>
      <c r="C2321" s="114">
        <v>16</v>
      </c>
      <c r="D2321" s="110"/>
      <c r="E2321" s="110"/>
      <c r="F2321" s="110"/>
      <c r="G2321" s="115">
        <v>0</v>
      </c>
      <c r="H2321" s="115">
        <v>1643.7999999999993</v>
      </c>
      <c r="I2321" s="108" t="e">
        <v>#DIV/0!</v>
      </c>
    </row>
    <row r="2322" spans="1:9" x14ac:dyDescent="0.3">
      <c r="A2322" s="35" t="s">
        <v>1736</v>
      </c>
      <c r="B2322" t="s">
        <v>1573</v>
      </c>
      <c r="C2322" s="106">
        <v>1</v>
      </c>
      <c r="D2322" s="56">
        <v>45952</v>
      </c>
      <c r="E2322">
        <v>10055</v>
      </c>
      <c r="F2322">
        <v>9577</v>
      </c>
      <c r="G2322" s="38">
        <v>478</v>
      </c>
      <c r="H2322" s="38">
        <v>478</v>
      </c>
      <c r="I2322" s="108">
        <v>4.9911245692805681E-2</v>
      </c>
    </row>
    <row r="2323" spans="1:9" x14ac:dyDescent="0.3">
      <c r="A2323" s="35" t="s">
        <v>1736</v>
      </c>
      <c r="B2323" t="s">
        <v>1573</v>
      </c>
      <c r="C2323" s="106">
        <v>2</v>
      </c>
      <c r="D2323" s="56">
        <v>45959</v>
      </c>
      <c r="E2323">
        <v>10071</v>
      </c>
      <c r="F2323">
        <v>9584</v>
      </c>
      <c r="G2323" s="38">
        <v>487</v>
      </c>
      <c r="H2323" s="38">
        <v>965</v>
      </c>
      <c r="I2323" s="108">
        <v>5.0813856427378963E-2</v>
      </c>
    </row>
    <row r="2324" spans="1:9" x14ac:dyDescent="0.3">
      <c r="A2324" s="35" t="s">
        <v>1736</v>
      </c>
      <c r="B2324" t="s">
        <v>1573</v>
      </c>
      <c r="C2324" s="106">
        <v>3</v>
      </c>
      <c r="G2324" s="38">
        <v>0</v>
      </c>
      <c r="H2324" s="38">
        <v>965</v>
      </c>
      <c r="I2324" s="108" t="e">
        <v>#DIV/0!</v>
      </c>
    </row>
    <row r="2325" spans="1:9" x14ac:dyDescent="0.3">
      <c r="A2325" s="35" t="s">
        <v>1736</v>
      </c>
      <c r="B2325" t="s">
        <v>1573</v>
      </c>
      <c r="C2325" s="106">
        <v>4</v>
      </c>
      <c r="G2325" s="38">
        <v>0</v>
      </c>
      <c r="H2325" s="38">
        <v>965</v>
      </c>
      <c r="I2325" s="108" t="e">
        <v>#DIV/0!</v>
      </c>
    </row>
    <row r="2326" spans="1:9" x14ac:dyDescent="0.3">
      <c r="A2326" s="35" t="s">
        <v>1736</v>
      </c>
      <c r="B2326" t="s">
        <v>1573</v>
      </c>
      <c r="C2326" s="106">
        <v>5</v>
      </c>
      <c r="G2326" s="38">
        <v>0</v>
      </c>
      <c r="H2326" s="38">
        <v>965</v>
      </c>
      <c r="I2326" s="108" t="e">
        <v>#DIV/0!</v>
      </c>
    </row>
    <row r="2327" spans="1:9" x14ac:dyDescent="0.3">
      <c r="A2327" s="35" t="s">
        <v>1736</v>
      </c>
      <c r="B2327" t="s">
        <v>1573</v>
      </c>
      <c r="C2327" s="106">
        <v>6</v>
      </c>
      <c r="G2327" s="38">
        <v>0</v>
      </c>
      <c r="H2327" s="38">
        <v>965</v>
      </c>
      <c r="I2327" s="108" t="e">
        <v>#DIV/0!</v>
      </c>
    </row>
    <row r="2328" spans="1:9" x14ac:dyDescent="0.3">
      <c r="A2328" s="35" t="s">
        <v>1736</v>
      </c>
      <c r="B2328" t="s">
        <v>1573</v>
      </c>
      <c r="C2328" s="106">
        <v>7</v>
      </c>
      <c r="G2328" s="38">
        <v>0</v>
      </c>
      <c r="H2328" s="38">
        <v>965</v>
      </c>
      <c r="I2328" s="108" t="e">
        <v>#DIV/0!</v>
      </c>
    </row>
    <row r="2329" spans="1:9" x14ac:dyDescent="0.3">
      <c r="A2329" s="35" t="s">
        <v>1736</v>
      </c>
      <c r="B2329" t="s">
        <v>1573</v>
      </c>
      <c r="C2329" s="106">
        <v>8</v>
      </c>
      <c r="G2329" s="38">
        <v>0</v>
      </c>
      <c r="H2329" s="38">
        <v>965</v>
      </c>
      <c r="I2329" s="108" t="e">
        <v>#DIV/0!</v>
      </c>
    </row>
    <row r="2330" spans="1:9" x14ac:dyDescent="0.3">
      <c r="A2330" s="35" t="s">
        <v>1736</v>
      </c>
      <c r="B2330" t="s">
        <v>1573</v>
      </c>
      <c r="C2330" s="106">
        <v>9</v>
      </c>
      <c r="G2330" s="38">
        <v>0</v>
      </c>
      <c r="H2330" s="38">
        <v>965</v>
      </c>
      <c r="I2330" s="108" t="e">
        <v>#DIV/0!</v>
      </c>
    </row>
    <row r="2331" spans="1:9" x14ac:dyDescent="0.3">
      <c r="A2331" s="35" t="s">
        <v>1736</v>
      </c>
      <c r="B2331" t="s">
        <v>1573</v>
      </c>
      <c r="C2331" s="106">
        <v>10</v>
      </c>
      <c r="G2331" s="38">
        <v>0</v>
      </c>
      <c r="H2331" s="38">
        <v>965</v>
      </c>
      <c r="I2331" s="108" t="e">
        <v>#DIV/0!</v>
      </c>
    </row>
    <row r="2332" spans="1:9" x14ac:dyDescent="0.3">
      <c r="A2332" s="35" t="s">
        <v>1736</v>
      </c>
      <c r="B2332" t="s">
        <v>1573</v>
      </c>
      <c r="C2332" s="106">
        <v>11</v>
      </c>
      <c r="G2332" s="38">
        <v>0</v>
      </c>
      <c r="H2332" s="38">
        <v>965</v>
      </c>
      <c r="I2332" s="108" t="e">
        <v>#DIV/0!</v>
      </c>
    </row>
    <row r="2333" spans="1:9" x14ac:dyDescent="0.3">
      <c r="A2333" s="35" t="s">
        <v>1736</v>
      </c>
      <c r="B2333" t="s">
        <v>1573</v>
      </c>
      <c r="C2333" s="106">
        <v>12</v>
      </c>
      <c r="G2333" s="38">
        <v>0</v>
      </c>
      <c r="H2333" s="38">
        <v>965</v>
      </c>
      <c r="I2333" s="108" t="e">
        <v>#DIV/0!</v>
      </c>
    </row>
    <row r="2334" spans="1:9" x14ac:dyDescent="0.3">
      <c r="A2334" s="35" t="s">
        <v>1736</v>
      </c>
      <c r="B2334" t="s">
        <v>1573</v>
      </c>
      <c r="C2334" s="106">
        <v>13</v>
      </c>
      <c r="G2334" s="38">
        <v>0</v>
      </c>
      <c r="H2334" s="38">
        <v>965</v>
      </c>
      <c r="I2334" s="108" t="e">
        <v>#DIV/0!</v>
      </c>
    </row>
    <row r="2335" spans="1:9" x14ac:dyDescent="0.3">
      <c r="A2335" s="35" t="s">
        <v>1736</v>
      </c>
      <c r="B2335" t="s">
        <v>1573</v>
      </c>
      <c r="C2335" s="106">
        <v>14</v>
      </c>
      <c r="G2335" s="38">
        <v>0</v>
      </c>
      <c r="H2335" s="38">
        <v>965</v>
      </c>
      <c r="I2335" s="108" t="e">
        <v>#DIV/0!</v>
      </c>
    </row>
    <row r="2336" spans="1:9" x14ac:dyDescent="0.3">
      <c r="A2336" s="35" t="s">
        <v>1736</v>
      </c>
      <c r="B2336" t="s">
        <v>1573</v>
      </c>
      <c r="C2336" s="106">
        <v>15</v>
      </c>
      <c r="G2336" s="38">
        <v>0</v>
      </c>
      <c r="H2336" s="38">
        <v>965</v>
      </c>
      <c r="I2336" s="108" t="e">
        <v>#DIV/0!</v>
      </c>
    </row>
    <row r="2337" spans="1:9" ht="15" thickBot="1" x14ac:dyDescent="0.35">
      <c r="A2337" s="109" t="s">
        <v>1736</v>
      </c>
      <c r="B2337" s="110" t="s">
        <v>1573</v>
      </c>
      <c r="C2337" s="114">
        <v>16</v>
      </c>
      <c r="D2337" s="110"/>
      <c r="E2337" s="110"/>
      <c r="F2337" s="110"/>
      <c r="G2337" s="115">
        <v>0</v>
      </c>
      <c r="H2337" s="115">
        <v>965</v>
      </c>
      <c r="I2337" s="121" t="e">
        <v>#DIV/0!</v>
      </c>
    </row>
    <row r="2338" spans="1:9" x14ac:dyDescent="0.3">
      <c r="A2338" s="35" t="s">
        <v>1773</v>
      </c>
      <c r="B2338" t="s">
        <v>1774</v>
      </c>
      <c r="C2338" s="106">
        <v>1</v>
      </c>
      <c r="D2338" s="56">
        <v>45953</v>
      </c>
      <c r="E2338">
        <v>8720</v>
      </c>
      <c r="F2338">
        <v>8136</v>
      </c>
      <c r="G2338" s="38">
        <v>584</v>
      </c>
      <c r="H2338" s="38">
        <v>584</v>
      </c>
      <c r="I2338" s="108">
        <v>7.1779744346116031E-2</v>
      </c>
    </row>
    <row r="2339" spans="1:9" x14ac:dyDescent="0.3">
      <c r="A2339" s="35" t="s">
        <v>1773</v>
      </c>
      <c r="B2339" t="s">
        <v>1774</v>
      </c>
      <c r="C2339" s="106">
        <v>2</v>
      </c>
      <c r="D2339" s="56">
        <v>45960</v>
      </c>
      <c r="E2339">
        <v>8720</v>
      </c>
      <c r="F2339">
        <v>8136</v>
      </c>
      <c r="G2339" s="38">
        <v>584</v>
      </c>
      <c r="H2339" s="38">
        <v>1168</v>
      </c>
      <c r="I2339" s="108">
        <v>7.1779744346116031E-2</v>
      </c>
    </row>
    <row r="2340" spans="1:9" x14ac:dyDescent="0.3">
      <c r="A2340" s="35" t="s">
        <v>1773</v>
      </c>
      <c r="B2340" t="s">
        <v>1774</v>
      </c>
      <c r="C2340" s="106">
        <v>3</v>
      </c>
      <c r="G2340" s="38">
        <v>0</v>
      </c>
      <c r="H2340" s="38">
        <v>1168</v>
      </c>
      <c r="I2340" s="108" t="e">
        <v>#DIV/0!</v>
      </c>
    </row>
    <row r="2341" spans="1:9" x14ac:dyDescent="0.3">
      <c r="A2341" s="35" t="s">
        <v>1773</v>
      </c>
      <c r="B2341" t="s">
        <v>1774</v>
      </c>
      <c r="C2341" s="106">
        <v>4</v>
      </c>
      <c r="G2341" s="38">
        <v>0</v>
      </c>
      <c r="H2341" s="38">
        <v>1168</v>
      </c>
      <c r="I2341" s="108" t="e">
        <v>#DIV/0!</v>
      </c>
    </row>
    <row r="2342" spans="1:9" x14ac:dyDescent="0.3">
      <c r="A2342" s="35" t="s">
        <v>1773</v>
      </c>
      <c r="B2342" t="s">
        <v>1774</v>
      </c>
      <c r="C2342" s="106">
        <v>5</v>
      </c>
      <c r="G2342" s="38">
        <v>0</v>
      </c>
      <c r="H2342" s="38">
        <v>1168</v>
      </c>
      <c r="I2342" s="108" t="e">
        <v>#DIV/0!</v>
      </c>
    </row>
    <row r="2343" spans="1:9" x14ac:dyDescent="0.3">
      <c r="A2343" s="35" t="s">
        <v>1773</v>
      </c>
      <c r="B2343" t="s">
        <v>1774</v>
      </c>
      <c r="C2343" s="106">
        <v>6</v>
      </c>
      <c r="G2343" s="38">
        <v>0</v>
      </c>
      <c r="H2343" s="38">
        <v>1168</v>
      </c>
      <c r="I2343" s="108" t="e">
        <v>#DIV/0!</v>
      </c>
    </row>
    <row r="2344" spans="1:9" x14ac:dyDescent="0.3">
      <c r="A2344" s="35" t="s">
        <v>1773</v>
      </c>
      <c r="B2344" t="s">
        <v>1774</v>
      </c>
      <c r="C2344" s="106">
        <v>7</v>
      </c>
      <c r="G2344" s="38">
        <v>0</v>
      </c>
      <c r="H2344" s="38">
        <v>1168</v>
      </c>
      <c r="I2344" s="108" t="e">
        <v>#DIV/0!</v>
      </c>
    </row>
    <row r="2345" spans="1:9" x14ac:dyDescent="0.3">
      <c r="A2345" s="35" t="s">
        <v>1773</v>
      </c>
      <c r="B2345" t="s">
        <v>1774</v>
      </c>
      <c r="C2345" s="106">
        <v>8</v>
      </c>
      <c r="G2345" s="38">
        <v>0</v>
      </c>
      <c r="H2345" s="38">
        <v>1168</v>
      </c>
      <c r="I2345" s="108" t="e">
        <v>#DIV/0!</v>
      </c>
    </row>
    <row r="2346" spans="1:9" x14ac:dyDescent="0.3">
      <c r="A2346" s="35" t="s">
        <v>1773</v>
      </c>
      <c r="B2346" t="s">
        <v>1774</v>
      </c>
      <c r="C2346" s="106">
        <v>9</v>
      </c>
      <c r="G2346" s="38">
        <v>0</v>
      </c>
      <c r="H2346" s="38">
        <v>1168</v>
      </c>
      <c r="I2346" s="108" t="e">
        <v>#DIV/0!</v>
      </c>
    </row>
    <row r="2347" spans="1:9" x14ac:dyDescent="0.3">
      <c r="A2347" s="35" t="s">
        <v>1773</v>
      </c>
      <c r="B2347" t="s">
        <v>1774</v>
      </c>
      <c r="C2347" s="106">
        <v>10</v>
      </c>
      <c r="G2347" s="38">
        <v>0</v>
      </c>
      <c r="H2347" s="38">
        <v>1168</v>
      </c>
      <c r="I2347" s="108" t="e">
        <v>#DIV/0!</v>
      </c>
    </row>
    <row r="2348" spans="1:9" x14ac:dyDescent="0.3">
      <c r="A2348" s="35" t="s">
        <v>1773</v>
      </c>
      <c r="B2348" t="s">
        <v>1774</v>
      </c>
      <c r="C2348" s="106">
        <v>11</v>
      </c>
      <c r="G2348" s="38">
        <v>0</v>
      </c>
      <c r="H2348" s="38">
        <v>1168</v>
      </c>
      <c r="I2348" s="108" t="e">
        <v>#DIV/0!</v>
      </c>
    </row>
    <row r="2349" spans="1:9" x14ac:dyDescent="0.3">
      <c r="A2349" s="35" t="s">
        <v>1773</v>
      </c>
      <c r="B2349" t="s">
        <v>1774</v>
      </c>
      <c r="C2349" s="106">
        <v>12</v>
      </c>
      <c r="G2349" s="38">
        <v>0</v>
      </c>
      <c r="H2349" s="38">
        <v>1168</v>
      </c>
      <c r="I2349" s="108" t="e">
        <v>#DIV/0!</v>
      </c>
    </row>
    <row r="2350" spans="1:9" x14ac:dyDescent="0.3">
      <c r="A2350" s="35" t="s">
        <v>1773</v>
      </c>
      <c r="B2350" t="s">
        <v>1774</v>
      </c>
      <c r="C2350" s="106">
        <v>13</v>
      </c>
      <c r="G2350" s="38">
        <v>0</v>
      </c>
      <c r="H2350" s="38">
        <v>1168</v>
      </c>
      <c r="I2350" s="108" t="e">
        <v>#DIV/0!</v>
      </c>
    </row>
    <row r="2351" spans="1:9" x14ac:dyDescent="0.3">
      <c r="A2351" s="35" t="s">
        <v>1773</v>
      </c>
      <c r="B2351" t="s">
        <v>1774</v>
      </c>
      <c r="C2351" s="106">
        <v>14</v>
      </c>
      <c r="G2351" s="38">
        <v>0</v>
      </c>
      <c r="H2351" s="38">
        <v>1168</v>
      </c>
      <c r="I2351" s="108" t="e">
        <v>#DIV/0!</v>
      </c>
    </row>
    <row r="2352" spans="1:9" x14ac:dyDescent="0.3">
      <c r="A2352" s="35" t="s">
        <v>1773</v>
      </c>
      <c r="B2352" t="s">
        <v>1774</v>
      </c>
      <c r="C2352" s="106">
        <v>15</v>
      </c>
      <c r="G2352" s="38">
        <v>0</v>
      </c>
      <c r="H2352" s="38">
        <v>1168</v>
      </c>
      <c r="I2352" s="108" t="e">
        <v>#DIV/0!</v>
      </c>
    </row>
    <row r="2353" spans="1:9" ht="15" thickBot="1" x14ac:dyDescent="0.35">
      <c r="A2353" s="109" t="s">
        <v>1773</v>
      </c>
      <c r="B2353" s="110" t="s">
        <v>1774</v>
      </c>
      <c r="C2353" s="114">
        <v>16</v>
      </c>
      <c r="D2353" s="110"/>
      <c r="E2353" s="110"/>
      <c r="F2353" s="110"/>
      <c r="G2353" s="115">
        <v>0</v>
      </c>
      <c r="H2353" s="115">
        <v>1168</v>
      </c>
      <c r="I2353" s="121" t="e">
        <v>#DIV/0!</v>
      </c>
    </row>
    <row r="2354" spans="1:9" x14ac:dyDescent="0.3">
      <c r="A2354" s="35" t="s">
        <v>1802</v>
      </c>
      <c r="B2354" t="s">
        <v>1574</v>
      </c>
      <c r="C2354" s="106">
        <v>1</v>
      </c>
      <c r="D2354" s="56">
        <v>45953</v>
      </c>
      <c r="E2354">
        <v>8722</v>
      </c>
      <c r="F2354">
        <v>8285</v>
      </c>
      <c r="G2354" s="38">
        <v>437</v>
      </c>
      <c r="H2354" s="38">
        <v>437</v>
      </c>
      <c r="I2354" s="108">
        <v>5.2745926372963187E-2</v>
      </c>
    </row>
    <row r="2355" spans="1:9" x14ac:dyDescent="0.3">
      <c r="A2355" s="35" t="s">
        <v>1802</v>
      </c>
      <c r="B2355" t="s">
        <v>1574</v>
      </c>
      <c r="C2355" s="106">
        <v>2</v>
      </c>
      <c r="D2355" s="56">
        <v>45960</v>
      </c>
      <c r="E2355">
        <v>8720</v>
      </c>
      <c r="F2355">
        <v>8285</v>
      </c>
      <c r="G2355" s="38">
        <v>435</v>
      </c>
      <c r="H2355" s="38">
        <v>872</v>
      </c>
      <c r="I2355" s="108">
        <v>5.2504526252263123E-2</v>
      </c>
    </row>
    <row r="2356" spans="1:9" x14ac:dyDescent="0.3">
      <c r="A2356" s="35" t="s">
        <v>1802</v>
      </c>
      <c r="B2356" t="s">
        <v>1574</v>
      </c>
      <c r="C2356" s="106">
        <v>3</v>
      </c>
      <c r="G2356" s="38">
        <v>0</v>
      </c>
      <c r="H2356" s="38">
        <v>872</v>
      </c>
      <c r="I2356" s="108" t="e">
        <v>#DIV/0!</v>
      </c>
    </row>
    <row r="2357" spans="1:9" x14ac:dyDescent="0.3">
      <c r="A2357" s="35" t="s">
        <v>1802</v>
      </c>
      <c r="B2357" t="s">
        <v>1574</v>
      </c>
      <c r="C2357" s="106">
        <v>4</v>
      </c>
      <c r="G2357" s="38">
        <v>0</v>
      </c>
      <c r="H2357" s="38">
        <v>872</v>
      </c>
      <c r="I2357" s="108" t="e">
        <v>#DIV/0!</v>
      </c>
    </row>
    <row r="2358" spans="1:9" x14ac:dyDescent="0.3">
      <c r="A2358" s="35" t="s">
        <v>1802</v>
      </c>
      <c r="B2358" t="s">
        <v>1574</v>
      </c>
      <c r="C2358" s="106">
        <v>5</v>
      </c>
      <c r="G2358" s="38">
        <v>0</v>
      </c>
      <c r="H2358" s="38">
        <v>872</v>
      </c>
      <c r="I2358" s="108" t="e">
        <v>#DIV/0!</v>
      </c>
    </row>
    <row r="2359" spans="1:9" x14ac:dyDescent="0.3">
      <c r="A2359" s="35" t="s">
        <v>1802</v>
      </c>
      <c r="B2359" t="s">
        <v>1574</v>
      </c>
      <c r="C2359" s="106">
        <v>6</v>
      </c>
      <c r="G2359" s="38">
        <v>0</v>
      </c>
      <c r="H2359" s="38">
        <v>872</v>
      </c>
      <c r="I2359" s="108" t="e">
        <v>#DIV/0!</v>
      </c>
    </row>
    <row r="2360" spans="1:9" x14ac:dyDescent="0.3">
      <c r="A2360" s="35" t="s">
        <v>1802</v>
      </c>
      <c r="B2360" t="s">
        <v>1574</v>
      </c>
      <c r="C2360" s="106">
        <v>7</v>
      </c>
      <c r="G2360" s="38">
        <v>0</v>
      </c>
      <c r="H2360" s="38">
        <v>872</v>
      </c>
      <c r="I2360" s="108" t="e">
        <v>#DIV/0!</v>
      </c>
    </row>
    <row r="2361" spans="1:9" x14ac:dyDescent="0.3">
      <c r="A2361" s="35" t="s">
        <v>1802</v>
      </c>
      <c r="B2361" t="s">
        <v>1574</v>
      </c>
      <c r="C2361" s="106">
        <v>8</v>
      </c>
      <c r="G2361" s="38">
        <v>0</v>
      </c>
      <c r="H2361" s="38">
        <v>872</v>
      </c>
      <c r="I2361" s="108" t="e">
        <v>#DIV/0!</v>
      </c>
    </row>
    <row r="2362" spans="1:9" x14ac:dyDescent="0.3">
      <c r="A2362" s="35" t="s">
        <v>1802</v>
      </c>
      <c r="B2362" t="s">
        <v>1574</v>
      </c>
      <c r="C2362" s="106">
        <v>9</v>
      </c>
      <c r="G2362" s="38">
        <v>0</v>
      </c>
      <c r="H2362" s="38">
        <v>872</v>
      </c>
      <c r="I2362" s="108" t="e">
        <v>#DIV/0!</v>
      </c>
    </row>
    <row r="2363" spans="1:9" x14ac:dyDescent="0.3">
      <c r="A2363" s="35" t="s">
        <v>1802</v>
      </c>
      <c r="B2363" t="s">
        <v>1574</v>
      </c>
      <c r="C2363" s="106">
        <v>10</v>
      </c>
      <c r="G2363" s="38">
        <v>0</v>
      </c>
      <c r="H2363" s="38">
        <v>872</v>
      </c>
      <c r="I2363" s="108" t="e">
        <v>#DIV/0!</v>
      </c>
    </row>
    <row r="2364" spans="1:9" x14ac:dyDescent="0.3">
      <c r="A2364" s="35" t="s">
        <v>1802</v>
      </c>
      <c r="B2364" t="s">
        <v>1574</v>
      </c>
      <c r="C2364" s="106">
        <v>11</v>
      </c>
      <c r="G2364" s="38">
        <v>0</v>
      </c>
      <c r="H2364" s="38">
        <v>872</v>
      </c>
      <c r="I2364" s="108" t="e">
        <v>#DIV/0!</v>
      </c>
    </row>
    <row r="2365" spans="1:9" x14ac:dyDescent="0.3">
      <c r="A2365" s="35" t="s">
        <v>1802</v>
      </c>
      <c r="B2365" t="s">
        <v>1574</v>
      </c>
      <c r="C2365" s="106">
        <v>12</v>
      </c>
      <c r="G2365" s="38">
        <v>0</v>
      </c>
      <c r="H2365" s="38">
        <v>872</v>
      </c>
      <c r="I2365" s="108" t="e">
        <v>#DIV/0!</v>
      </c>
    </row>
    <row r="2366" spans="1:9" x14ac:dyDescent="0.3">
      <c r="A2366" s="35" t="s">
        <v>1802</v>
      </c>
      <c r="B2366" t="s">
        <v>1574</v>
      </c>
      <c r="C2366" s="106">
        <v>13</v>
      </c>
      <c r="G2366" s="38">
        <v>0</v>
      </c>
      <c r="H2366" s="38">
        <v>872</v>
      </c>
      <c r="I2366" s="108" t="e">
        <v>#DIV/0!</v>
      </c>
    </row>
    <row r="2367" spans="1:9" x14ac:dyDescent="0.3">
      <c r="A2367" s="35" t="s">
        <v>1802</v>
      </c>
      <c r="B2367" t="s">
        <v>1574</v>
      </c>
      <c r="C2367" s="106">
        <v>14</v>
      </c>
      <c r="G2367" s="38">
        <v>0</v>
      </c>
      <c r="H2367" s="38">
        <v>872</v>
      </c>
      <c r="I2367" s="108" t="e">
        <v>#DIV/0!</v>
      </c>
    </row>
    <row r="2368" spans="1:9" x14ac:dyDescent="0.3">
      <c r="A2368" s="35" t="s">
        <v>1802</v>
      </c>
      <c r="B2368" t="s">
        <v>1574</v>
      </c>
      <c r="C2368" s="106">
        <v>15</v>
      </c>
      <c r="G2368" s="38">
        <v>0</v>
      </c>
      <c r="H2368" s="38">
        <v>872</v>
      </c>
      <c r="I2368" s="108" t="e">
        <v>#DIV/0!</v>
      </c>
    </row>
    <row r="2369" spans="1:9" ht="15" thickBot="1" x14ac:dyDescent="0.35">
      <c r="A2369" s="109" t="s">
        <v>1802</v>
      </c>
      <c r="B2369" s="110" t="s">
        <v>1574</v>
      </c>
      <c r="C2369" s="114">
        <v>16</v>
      </c>
      <c r="D2369" s="110"/>
      <c r="E2369" s="110"/>
      <c r="F2369" s="110"/>
      <c r="G2369" s="115">
        <v>0</v>
      </c>
      <c r="H2369" s="115">
        <v>872</v>
      </c>
      <c r="I2369" s="121" t="e">
        <v>#DIV/0!</v>
      </c>
    </row>
    <row r="2370" spans="1:9" x14ac:dyDescent="0.3">
      <c r="A2370" s="35" t="s">
        <v>1809</v>
      </c>
      <c r="B2370" t="s">
        <v>1810</v>
      </c>
      <c r="C2370" s="106">
        <v>1</v>
      </c>
      <c r="D2370" s="56">
        <v>45953</v>
      </c>
      <c r="E2370">
        <v>9676</v>
      </c>
      <c r="F2370">
        <v>8741</v>
      </c>
      <c r="G2370" s="38">
        <v>935</v>
      </c>
      <c r="H2370" s="38">
        <v>0</v>
      </c>
      <c r="I2370" s="108">
        <v>0.10696716622812036</v>
      </c>
    </row>
    <row r="2371" spans="1:9" x14ac:dyDescent="0.3">
      <c r="A2371" s="35" t="s">
        <v>1809</v>
      </c>
      <c r="B2371" t="s">
        <v>1810</v>
      </c>
      <c r="C2371" s="106">
        <v>2</v>
      </c>
      <c r="D2371" s="56">
        <v>45960</v>
      </c>
      <c r="E2371">
        <v>9680</v>
      </c>
      <c r="F2371">
        <v>8741</v>
      </c>
      <c r="G2371" s="38">
        <v>939</v>
      </c>
      <c r="H2371" s="38">
        <v>939</v>
      </c>
      <c r="I2371" s="108">
        <v>0.10742477977348129</v>
      </c>
    </row>
    <row r="2372" spans="1:9" x14ac:dyDescent="0.3">
      <c r="A2372" s="35" t="s">
        <v>1809</v>
      </c>
      <c r="B2372" t="s">
        <v>1810</v>
      </c>
      <c r="C2372" s="106">
        <v>3</v>
      </c>
      <c r="G2372" s="38">
        <v>0</v>
      </c>
      <c r="H2372" s="38">
        <v>939</v>
      </c>
      <c r="I2372" s="108" t="e">
        <v>#DIV/0!</v>
      </c>
    </row>
    <row r="2373" spans="1:9" x14ac:dyDescent="0.3">
      <c r="A2373" s="35" t="s">
        <v>1809</v>
      </c>
      <c r="B2373" t="s">
        <v>1810</v>
      </c>
      <c r="C2373" s="106">
        <v>4</v>
      </c>
      <c r="G2373" s="38">
        <v>0</v>
      </c>
      <c r="H2373" s="38">
        <v>939</v>
      </c>
      <c r="I2373" s="108" t="e">
        <v>#DIV/0!</v>
      </c>
    </row>
    <row r="2374" spans="1:9" x14ac:dyDescent="0.3">
      <c r="A2374" s="35" t="s">
        <v>1809</v>
      </c>
      <c r="B2374" t="s">
        <v>1810</v>
      </c>
      <c r="C2374" s="106">
        <v>5</v>
      </c>
      <c r="G2374" s="38">
        <v>0</v>
      </c>
      <c r="H2374" s="38">
        <v>939</v>
      </c>
      <c r="I2374" s="108" t="e">
        <v>#DIV/0!</v>
      </c>
    </row>
    <row r="2375" spans="1:9" x14ac:dyDescent="0.3">
      <c r="A2375" s="35" t="s">
        <v>1809</v>
      </c>
      <c r="B2375" t="s">
        <v>1810</v>
      </c>
      <c r="C2375" s="106">
        <v>6</v>
      </c>
      <c r="G2375" s="38">
        <v>0</v>
      </c>
      <c r="H2375" s="38">
        <v>939</v>
      </c>
      <c r="I2375" s="108" t="e">
        <v>#DIV/0!</v>
      </c>
    </row>
    <row r="2376" spans="1:9" x14ac:dyDescent="0.3">
      <c r="A2376" s="35" t="s">
        <v>1809</v>
      </c>
      <c r="B2376" t="s">
        <v>1810</v>
      </c>
      <c r="C2376" s="106">
        <v>7</v>
      </c>
      <c r="G2376" s="38">
        <v>0</v>
      </c>
      <c r="H2376" s="38">
        <v>939</v>
      </c>
      <c r="I2376" s="108" t="e">
        <v>#DIV/0!</v>
      </c>
    </row>
    <row r="2377" spans="1:9" x14ac:dyDescent="0.3">
      <c r="A2377" s="35" t="s">
        <v>1809</v>
      </c>
      <c r="B2377" t="s">
        <v>1810</v>
      </c>
      <c r="C2377" s="106">
        <v>8</v>
      </c>
      <c r="G2377" s="38">
        <v>0</v>
      </c>
      <c r="H2377" s="38">
        <v>939</v>
      </c>
      <c r="I2377" s="108" t="e">
        <v>#DIV/0!</v>
      </c>
    </row>
    <row r="2378" spans="1:9" x14ac:dyDescent="0.3">
      <c r="A2378" s="35" t="s">
        <v>1809</v>
      </c>
      <c r="B2378" t="s">
        <v>1810</v>
      </c>
      <c r="C2378" s="106">
        <v>9</v>
      </c>
      <c r="G2378" s="38">
        <v>0</v>
      </c>
      <c r="H2378" s="38">
        <v>939</v>
      </c>
      <c r="I2378" s="108" t="e">
        <v>#DIV/0!</v>
      </c>
    </row>
    <row r="2379" spans="1:9" x14ac:dyDescent="0.3">
      <c r="A2379" s="35" t="s">
        <v>1809</v>
      </c>
      <c r="B2379" t="s">
        <v>1810</v>
      </c>
      <c r="C2379" s="106">
        <v>10</v>
      </c>
      <c r="G2379" s="38">
        <v>0</v>
      </c>
      <c r="H2379" s="38">
        <v>939</v>
      </c>
      <c r="I2379" s="108" t="e">
        <v>#DIV/0!</v>
      </c>
    </row>
    <row r="2380" spans="1:9" x14ac:dyDescent="0.3">
      <c r="A2380" s="35" t="s">
        <v>1809</v>
      </c>
      <c r="B2380" t="s">
        <v>1810</v>
      </c>
      <c r="C2380" s="106">
        <v>11</v>
      </c>
      <c r="G2380" s="38">
        <v>0</v>
      </c>
      <c r="H2380" s="38">
        <v>939</v>
      </c>
      <c r="I2380" s="108" t="e">
        <v>#DIV/0!</v>
      </c>
    </row>
    <row r="2381" spans="1:9" x14ac:dyDescent="0.3">
      <c r="A2381" s="35" t="s">
        <v>1809</v>
      </c>
      <c r="B2381" t="s">
        <v>1810</v>
      </c>
      <c r="C2381" s="106">
        <v>12</v>
      </c>
      <c r="G2381" s="38">
        <v>0</v>
      </c>
      <c r="H2381" s="38">
        <v>939</v>
      </c>
      <c r="I2381" s="108" t="e">
        <v>#DIV/0!</v>
      </c>
    </row>
    <row r="2382" spans="1:9" x14ac:dyDescent="0.3">
      <c r="A2382" s="35" t="s">
        <v>1809</v>
      </c>
      <c r="B2382" t="s">
        <v>1810</v>
      </c>
      <c r="C2382" s="106">
        <v>13</v>
      </c>
      <c r="G2382" s="38">
        <v>0</v>
      </c>
      <c r="H2382" s="38">
        <v>939</v>
      </c>
      <c r="I2382" s="108" t="e">
        <v>#DIV/0!</v>
      </c>
    </row>
    <row r="2383" spans="1:9" x14ac:dyDescent="0.3">
      <c r="A2383" s="35" t="s">
        <v>1809</v>
      </c>
      <c r="B2383" t="s">
        <v>1810</v>
      </c>
      <c r="C2383" s="106">
        <v>14</v>
      </c>
      <c r="G2383" s="38">
        <v>0</v>
      </c>
      <c r="H2383" s="38">
        <v>939</v>
      </c>
      <c r="I2383" s="108" t="e">
        <v>#DIV/0!</v>
      </c>
    </row>
    <row r="2384" spans="1:9" x14ac:dyDescent="0.3">
      <c r="A2384" s="35" t="s">
        <v>1809</v>
      </c>
      <c r="B2384" t="s">
        <v>1810</v>
      </c>
      <c r="C2384" s="106">
        <v>15</v>
      </c>
      <c r="G2384" s="38">
        <v>0</v>
      </c>
      <c r="H2384" s="38">
        <v>939</v>
      </c>
      <c r="I2384" s="108" t="e">
        <v>#DIV/0!</v>
      </c>
    </row>
    <row r="2385" spans="1:9" ht="15" thickBot="1" x14ac:dyDescent="0.35">
      <c r="A2385" s="109" t="s">
        <v>1809</v>
      </c>
      <c r="B2385" s="110" t="s">
        <v>1810</v>
      </c>
      <c r="C2385" s="114">
        <v>16</v>
      </c>
      <c r="D2385" s="110"/>
      <c r="E2385" s="110"/>
      <c r="F2385" s="110"/>
      <c r="G2385" s="115">
        <v>0</v>
      </c>
      <c r="H2385" s="115">
        <v>939</v>
      </c>
      <c r="I2385" s="121" t="e">
        <v>#DIV/0!</v>
      </c>
    </row>
    <row r="2386" spans="1:9" x14ac:dyDescent="0.3">
      <c r="A2386" s="35" t="s">
        <v>1820</v>
      </c>
      <c r="B2386" t="s">
        <v>1821</v>
      </c>
      <c r="C2386" s="106">
        <v>1</v>
      </c>
      <c r="D2386" s="56">
        <v>45953</v>
      </c>
      <c r="E2386">
        <v>3626</v>
      </c>
      <c r="F2386">
        <v>3497</v>
      </c>
      <c r="G2386" s="38">
        <v>129</v>
      </c>
      <c r="H2386" s="38">
        <v>129</v>
      </c>
      <c r="I2386" s="108">
        <v>3.6888761795824995E-2</v>
      </c>
    </row>
    <row r="2387" spans="1:9" x14ac:dyDescent="0.3">
      <c r="A2387" s="35" t="s">
        <v>1820</v>
      </c>
      <c r="B2387" t="s">
        <v>1821</v>
      </c>
      <c r="C2387" s="106">
        <v>2</v>
      </c>
      <c r="D2387" s="56">
        <v>45960</v>
      </c>
      <c r="E2387">
        <v>3557</v>
      </c>
      <c r="F2387">
        <v>3497</v>
      </c>
      <c r="G2387" s="38">
        <v>60</v>
      </c>
      <c r="H2387" s="38">
        <v>189</v>
      </c>
      <c r="I2387" s="108">
        <v>1.7157563625965114E-2</v>
      </c>
    </row>
    <row r="2388" spans="1:9" x14ac:dyDescent="0.3">
      <c r="A2388" s="35" t="s">
        <v>1820</v>
      </c>
      <c r="B2388" t="s">
        <v>1821</v>
      </c>
      <c r="C2388" s="106">
        <v>3</v>
      </c>
      <c r="G2388" s="38">
        <v>0</v>
      </c>
      <c r="H2388" s="38">
        <v>189</v>
      </c>
      <c r="I2388" s="108" t="e">
        <v>#DIV/0!</v>
      </c>
    </row>
    <row r="2389" spans="1:9" x14ac:dyDescent="0.3">
      <c r="A2389" s="35" t="s">
        <v>1820</v>
      </c>
      <c r="B2389" t="s">
        <v>1821</v>
      </c>
      <c r="C2389" s="106">
        <v>4</v>
      </c>
      <c r="G2389" s="38">
        <v>0</v>
      </c>
      <c r="H2389" s="38">
        <v>189</v>
      </c>
      <c r="I2389" s="108" t="e">
        <v>#DIV/0!</v>
      </c>
    </row>
    <row r="2390" spans="1:9" x14ac:dyDescent="0.3">
      <c r="A2390" s="35" t="s">
        <v>1820</v>
      </c>
      <c r="B2390" t="s">
        <v>1821</v>
      </c>
      <c r="C2390" s="106">
        <v>5</v>
      </c>
      <c r="G2390" s="38">
        <v>0</v>
      </c>
      <c r="H2390" s="38">
        <v>189</v>
      </c>
      <c r="I2390" s="108" t="e">
        <v>#DIV/0!</v>
      </c>
    </row>
    <row r="2391" spans="1:9" x14ac:dyDescent="0.3">
      <c r="A2391" s="35" t="s">
        <v>1820</v>
      </c>
      <c r="B2391" t="s">
        <v>1821</v>
      </c>
      <c r="C2391" s="106">
        <v>6</v>
      </c>
      <c r="G2391" s="38">
        <v>0</v>
      </c>
      <c r="H2391" s="38">
        <v>189</v>
      </c>
      <c r="I2391" s="108" t="e">
        <v>#DIV/0!</v>
      </c>
    </row>
    <row r="2392" spans="1:9" x14ac:dyDescent="0.3">
      <c r="A2392" s="35" t="s">
        <v>1820</v>
      </c>
      <c r="B2392" t="s">
        <v>1821</v>
      </c>
      <c r="C2392" s="106">
        <v>7</v>
      </c>
      <c r="G2392" s="38">
        <v>0</v>
      </c>
      <c r="H2392" s="38">
        <v>189</v>
      </c>
      <c r="I2392" s="108" t="e">
        <v>#DIV/0!</v>
      </c>
    </row>
    <row r="2393" spans="1:9" x14ac:dyDescent="0.3">
      <c r="A2393" s="35" t="s">
        <v>1820</v>
      </c>
      <c r="B2393" t="s">
        <v>1821</v>
      </c>
      <c r="C2393" s="106">
        <v>8</v>
      </c>
      <c r="G2393" s="38">
        <v>0</v>
      </c>
      <c r="H2393" s="38">
        <v>189</v>
      </c>
      <c r="I2393" s="108" t="e">
        <v>#DIV/0!</v>
      </c>
    </row>
    <row r="2394" spans="1:9" x14ac:dyDescent="0.3">
      <c r="A2394" s="35" t="s">
        <v>1820</v>
      </c>
      <c r="B2394" t="s">
        <v>1821</v>
      </c>
      <c r="C2394" s="106">
        <v>9</v>
      </c>
      <c r="G2394" s="38">
        <v>0</v>
      </c>
      <c r="H2394" s="38">
        <v>189</v>
      </c>
      <c r="I2394" s="108" t="e">
        <v>#DIV/0!</v>
      </c>
    </row>
    <row r="2395" spans="1:9" x14ac:dyDescent="0.3">
      <c r="A2395" s="35" t="s">
        <v>1820</v>
      </c>
      <c r="B2395" t="s">
        <v>1821</v>
      </c>
      <c r="C2395" s="106">
        <v>10</v>
      </c>
      <c r="G2395" s="38">
        <v>0</v>
      </c>
      <c r="H2395" s="38">
        <v>189</v>
      </c>
      <c r="I2395" s="108" t="e">
        <v>#DIV/0!</v>
      </c>
    </row>
    <row r="2396" spans="1:9" x14ac:dyDescent="0.3">
      <c r="A2396" s="35" t="s">
        <v>1820</v>
      </c>
      <c r="B2396" t="s">
        <v>1821</v>
      </c>
      <c r="C2396" s="106">
        <v>11</v>
      </c>
      <c r="G2396" s="38">
        <v>0</v>
      </c>
      <c r="H2396" s="38">
        <v>189</v>
      </c>
      <c r="I2396" s="108" t="e">
        <v>#DIV/0!</v>
      </c>
    </row>
    <row r="2397" spans="1:9" x14ac:dyDescent="0.3">
      <c r="A2397" s="35" t="s">
        <v>1820</v>
      </c>
      <c r="B2397" t="s">
        <v>1821</v>
      </c>
      <c r="C2397" s="106">
        <v>12</v>
      </c>
      <c r="G2397" s="38">
        <v>0</v>
      </c>
      <c r="H2397" s="38">
        <v>189</v>
      </c>
      <c r="I2397" s="108" t="e">
        <v>#DIV/0!</v>
      </c>
    </row>
    <row r="2398" spans="1:9" x14ac:dyDescent="0.3">
      <c r="A2398" s="35" t="s">
        <v>1820</v>
      </c>
      <c r="B2398" t="s">
        <v>1821</v>
      </c>
      <c r="C2398" s="106">
        <v>13</v>
      </c>
      <c r="G2398" s="38">
        <v>0</v>
      </c>
      <c r="H2398" s="38">
        <v>189</v>
      </c>
      <c r="I2398" s="108" t="e">
        <v>#DIV/0!</v>
      </c>
    </row>
    <row r="2399" spans="1:9" x14ac:dyDescent="0.3">
      <c r="A2399" s="35" t="s">
        <v>1820</v>
      </c>
      <c r="B2399" t="s">
        <v>1821</v>
      </c>
      <c r="C2399" s="106">
        <v>14</v>
      </c>
      <c r="G2399" s="38">
        <v>0</v>
      </c>
      <c r="H2399" s="38">
        <v>189</v>
      </c>
      <c r="I2399" s="108" t="e">
        <v>#DIV/0!</v>
      </c>
    </row>
    <row r="2400" spans="1:9" x14ac:dyDescent="0.3">
      <c r="A2400" s="35" t="s">
        <v>1820</v>
      </c>
      <c r="B2400" t="s">
        <v>1821</v>
      </c>
      <c r="C2400" s="106">
        <v>15</v>
      </c>
      <c r="G2400" s="38">
        <v>0</v>
      </c>
      <c r="H2400" s="38">
        <v>189</v>
      </c>
      <c r="I2400" s="108" t="e">
        <v>#DIV/0!</v>
      </c>
    </row>
    <row r="2401" spans="1:9" ht="15" thickBot="1" x14ac:dyDescent="0.35">
      <c r="A2401" s="109" t="s">
        <v>1820</v>
      </c>
      <c r="B2401" s="110" t="s">
        <v>1821</v>
      </c>
      <c r="C2401" s="114">
        <v>16</v>
      </c>
      <c r="D2401" s="110"/>
      <c r="E2401" s="110"/>
      <c r="F2401" s="110"/>
      <c r="G2401" s="115">
        <v>0</v>
      </c>
      <c r="H2401" s="115">
        <v>189</v>
      </c>
      <c r="I2401" s="121" t="e">
        <v>#DIV/0!</v>
      </c>
    </row>
    <row r="2402" spans="1:9" x14ac:dyDescent="0.3">
      <c r="A2402" s="35" t="s">
        <v>1787</v>
      </c>
      <c r="B2402" t="s">
        <v>1665</v>
      </c>
      <c r="C2402" s="106">
        <v>1</v>
      </c>
      <c r="D2402" s="56">
        <v>45953</v>
      </c>
      <c r="E2402">
        <v>4810</v>
      </c>
      <c r="F2402">
        <v>4560</v>
      </c>
      <c r="G2402" s="38">
        <v>250</v>
      </c>
      <c r="H2402" s="38">
        <v>250</v>
      </c>
      <c r="I2402" s="108">
        <v>5.4824561403508769E-2</v>
      </c>
    </row>
    <row r="2403" spans="1:9" x14ac:dyDescent="0.3">
      <c r="A2403" s="35" t="s">
        <v>1787</v>
      </c>
      <c r="B2403" t="s">
        <v>1665</v>
      </c>
      <c r="C2403" s="106">
        <v>2</v>
      </c>
      <c r="D2403" s="56">
        <v>45960</v>
      </c>
      <c r="E2403">
        <v>4788</v>
      </c>
      <c r="F2403">
        <v>4560</v>
      </c>
      <c r="G2403" s="38">
        <v>228</v>
      </c>
      <c r="H2403" s="38">
        <v>478</v>
      </c>
      <c r="I2403" s="108">
        <v>0.05</v>
      </c>
    </row>
    <row r="2404" spans="1:9" x14ac:dyDescent="0.3">
      <c r="A2404" s="35" t="s">
        <v>1787</v>
      </c>
      <c r="B2404" t="s">
        <v>1665</v>
      </c>
      <c r="C2404" s="106">
        <v>3</v>
      </c>
      <c r="G2404" s="38">
        <v>0</v>
      </c>
      <c r="H2404" s="38">
        <v>478</v>
      </c>
      <c r="I2404" s="108" t="e">
        <v>#DIV/0!</v>
      </c>
    </row>
    <row r="2405" spans="1:9" x14ac:dyDescent="0.3">
      <c r="A2405" s="35" t="s">
        <v>1787</v>
      </c>
      <c r="B2405" t="s">
        <v>1665</v>
      </c>
      <c r="C2405" s="106">
        <v>4</v>
      </c>
      <c r="G2405" s="38">
        <v>0</v>
      </c>
      <c r="H2405" s="38">
        <v>478</v>
      </c>
      <c r="I2405" s="108" t="e">
        <v>#DIV/0!</v>
      </c>
    </row>
    <row r="2406" spans="1:9" x14ac:dyDescent="0.3">
      <c r="A2406" s="35" t="s">
        <v>1787</v>
      </c>
      <c r="B2406" t="s">
        <v>1665</v>
      </c>
      <c r="C2406" s="106">
        <v>5</v>
      </c>
      <c r="G2406" s="38">
        <v>0</v>
      </c>
      <c r="H2406" s="38">
        <v>478</v>
      </c>
      <c r="I2406" s="108" t="e">
        <v>#DIV/0!</v>
      </c>
    </row>
    <row r="2407" spans="1:9" x14ac:dyDescent="0.3">
      <c r="A2407" s="35" t="s">
        <v>1787</v>
      </c>
      <c r="B2407" t="s">
        <v>1665</v>
      </c>
      <c r="C2407" s="106">
        <v>6</v>
      </c>
      <c r="G2407" s="38">
        <v>0</v>
      </c>
      <c r="H2407" s="38">
        <v>478</v>
      </c>
      <c r="I2407" s="108" t="e">
        <v>#DIV/0!</v>
      </c>
    </row>
    <row r="2408" spans="1:9" x14ac:dyDescent="0.3">
      <c r="A2408" s="35" t="s">
        <v>1787</v>
      </c>
      <c r="B2408" t="s">
        <v>1665</v>
      </c>
      <c r="C2408" s="106">
        <v>7</v>
      </c>
      <c r="G2408" s="38">
        <v>0</v>
      </c>
      <c r="H2408" s="38">
        <v>478</v>
      </c>
      <c r="I2408" s="108" t="e">
        <v>#DIV/0!</v>
      </c>
    </row>
    <row r="2409" spans="1:9" x14ac:dyDescent="0.3">
      <c r="A2409" s="35" t="s">
        <v>1787</v>
      </c>
      <c r="B2409" t="s">
        <v>1665</v>
      </c>
      <c r="C2409" s="106">
        <v>8</v>
      </c>
      <c r="G2409" s="38">
        <v>0</v>
      </c>
      <c r="H2409" s="38">
        <v>478</v>
      </c>
      <c r="I2409" s="108" t="e">
        <v>#DIV/0!</v>
      </c>
    </row>
    <row r="2410" spans="1:9" x14ac:dyDescent="0.3">
      <c r="A2410" s="35" t="s">
        <v>1787</v>
      </c>
      <c r="B2410" t="s">
        <v>1665</v>
      </c>
      <c r="C2410" s="106">
        <v>9</v>
      </c>
      <c r="G2410" s="38">
        <v>0</v>
      </c>
      <c r="H2410" s="38">
        <v>478</v>
      </c>
      <c r="I2410" s="108" t="e">
        <v>#DIV/0!</v>
      </c>
    </row>
    <row r="2411" spans="1:9" x14ac:dyDescent="0.3">
      <c r="A2411" s="35" t="s">
        <v>1787</v>
      </c>
      <c r="B2411" t="s">
        <v>1665</v>
      </c>
      <c r="C2411" s="106">
        <v>10</v>
      </c>
      <c r="G2411" s="38">
        <v>0</v>
      </c>
      <c r="H2411" s="38">
        <v>478</v>
      </c>
      <c r="I2411" s="108" t="e">
        <v>#DIV/0!</v>
      </c>
    </row>
    <row r="2412" spans="1:9" x14ac:dyDescent="0.3">
      <c r="A2412" s="35" t="s">
        <v>1787</v>
      </c>
      <c r="B2412" t="s">
        <v>1665</v>
      </c>
      <c r="C2412" s="106">
        <v>11</v>
      </c>
      <c r="G2412" s="38">
        <v>0</v>
      </c>
      <c r="H2412" s="38">
        <v>478</v>
      </c>
      <c r="I2412" s="108" t="e">
        <v>#DIV/0!</v>
      </c>
    </row>
    <row r="2413" spans="1:9" x14ac:dyDescent="0.3">
      <c r="A2413" s="35" t="s">
        <v>1787</v>
      </c>
      <c r="B2413" t="s">
        <v>1665</v>
      </c>
      <c r="C2413" s="106">
        <v>12</v>
      </c>
      <c r="G2413" s="38">
        <v>0</v>
      </c>
      <c r="H2413" s="38">
        <v>478</v>
      </c>
      <c r="I2413" s="108" t="e">
        <v>#DIV/0!</v>
      </c>
    </row>
    <row r="2414" spans="1:9" x14ac:dyDescent="0.3">
      <c r="A2414" s="35" t="s">
        <v>1787</v>
      </c>
      <c r="B2414" t="s">
        <v>1665</v>
      </c>
      <c r="C2414" s="106">
        <v>13</v>
      </c>
      <c r="G2414" s="38">
        <v>0</v>
      </c>
      <c r="H2414" s="38">
        <v>478</v>
      </c>
      <c r="I2414" s="108" t="e">
        <v>#DIV/0!</v>
      </c>
    </row>
    <row r="2415" spans="1:9" x14ac:dyDescent="0.3">
      <c r="A2415" s="35" t="s">
        <v>1787</v>
      </c>
      <c r="B2415" t="s">
        <v>1665</v>
      </c>
      <c r="C2415" s="106">
        <v>14</v>
      </c>
      <c r="G2415" s="38">
        <v>0</v>
      </c>
      <c r="H2415" s="38">
        <v>478</v>
      </c>
      <c r="I2415" s="108" t="e">
        <v>#DIV/0!</v>
      </c>
    </row>
    <row r="2416" spans="1:9" x14ac:dyDescent="0.3">
      <c r="A2416" s="35" t="s">
        <v>1787</v>
      </c>
      <c r="B2416" t="s">
        <v>1665</v>
      </c>
      <c r="C2416" s="106">
        <v>15</v>
      </c>
      <c r="G2416" s="38">
        <v>0</v>
      </c>
      <c r="H2416" s="38">
        <v>478</v>
      </c>
      <c r="I2416" s="108" t="e">
        <v>#DIV/0!</v>
      </c>
    </row>
    <row r="2417" spans="1:9" ht="15" thickBot="1" x14ac:dyDescent="0.35">
      <c r="A2417" s="109" t="s">
        <v>1787</v>
      </c>
      <c r="B2417" s="110" t="s">
        <v>1665</v>
      </c>
      <c r="C2417" s="114">
        <v>16</v>
      </c>
      <c r="D2417" s="110"/>
      <c r="E2417" s="110"/>
      <c r="F2417" s="110"/>
      <c r="G2417" s="115">
        <v>0</v>
      </c>
      <c r="H2417" s="115">
        <v>478</v>
      </c>
      <c r="I2417" s="121" t="e">
        <v>#DIV/0!</v>
      </c>
    </row>
    <row r="2418" spans="1:9" x14ac:dyDescent="0.3">
      <c r="A2418" s="35" t="s">
        <v>1817</v>
      </c>
      <c r="B2418" t="s">
        <v>1818</v>
      </c>
      <c r="C2418" s="106">
        <v>1</v>
      </c>
      <c r="D2418" s="56">
        <v>45954</v>
      </c>
      <c r="E2418">
        <v>6929</v>
      </c>
      <c r="F2418">
        <v>6465</v>
      </c>
      <c r="G2418" s="38">
        <v>464</v>
      </c>
      <c r="H2418" s="38">
        <v>464</v>
      </c>
      <c r="I2418" s="108">
        <v>7.1771075019334885E-2</v>
      </c>
    </row>
    <row r="2419" spans="1:9" x14ac:dyDescent="0.3">
      <c r="A2419" s="35" t="s">
        <v>1817</v>
      </c>
      <c r="B2419" t="s">
        <v>1818</v>
      </c>
      <c r="C2419" s="106">
        <v>2</v>
      </c>
      <c r="G2419" s="38">
        <v>0</v>
      </c>
      <c r="H2419" s="38">
        <v>464</v>
      </c>
      <c r="I2419" s="108" t="e">
        <v>#DIV/0!</v>
      </c>
    </row>
    <row r="2420" spans="1:9" x14ac:dyDescent="0.3">
      <c r="A2420" s="35" t="s">
        <v>1817</v>
      </c>
      <c r="B2420" t="s">
        <v>1818</v>
      </c>
      <c r="C2420" s="106">
        <v>3</v>
      </c>
      <c r="G2420" s="38">
        <v>0</v>
      </c>
      <c r="H2420" s="38">
        <v>464</v>
      </c>
      <c r="I2420" s="108" t="e">
        <v>#DIV/0!</v>
      </c>
    </row>
    <row r="2421" spans="1:9" x14ac:dyDescent="0.3">
      <c r="A2421" s="35" t="s">
        <v>1817</v>
      </c>
      <c r="B2421" t="s">
        <v>1818</v>
      </c>
      <c r="C2421" s="106">
        <v>4</v>
      </c>
      <c r="G2421" s="38">
        <v>0</v>
      </c>
      <c r="H2421" s="38">
        <v>464</v>
      </c>
      <c r="I2421" s="108" t="e">
        <v>#DIV/0!</v>
      </c>
    </row>
    <row r="2422" spans="1:9" x14ac:dyDescent="0.3">
      <c r="A2422" s="35" t="s">
        <v>1817</v>
      </c>
      <c r="B2422" t="s">
        <v>1818</v>
      </c>
      <c r="C2422" s="106">
        <v>5</v>
      </c>
      <c r="G2422" s="38">
        <v>0</v>
      </c>
      <c r="H2422" s="38">
        <v>464</v>
      </c>
      <c r="I2422" s="108" t="e">
        <v>#DIV/0!</v>
      </c>
    </row>
    <row r="2423" spans="1:9" x14ac:dyDescent="0.3">
      <c r="A2423" s="35" t="s">
        <v>1817</v>
      </c>
      <c r="B2423" t="s">
        <v>1818</v>
      </c>
      <c r="C2423" s="106">
        <v>6</v>
      </c>
      <c r="G2423" s="38">
        <v>0</v>
      </c>
      <c r="H2423" s="38">
        <v>464</v>
      </c>
      <c r="I2423" s="108" t="e">
        <v>#DIV/0!</v>
      </c>
    </row>
    <row r="2424" spans="1:9" x14ac:dyDescent="0.3">
      <c r="A2424" s="35" t="s">
        <v>1817</v>
      </c>
      <c r="B2424" t="s">
        <v>1818</v>
      </c>
      <c r="C2424" s="106">
        <v>7</v>
      </c>
      <c r="G2424" s="38">
        <v>0</v>
      </c>
      <c r="H2424" s="38">
        <v>464</v>
      </c>
      <c r="I2424" s="108" t="e">
        <v>#DIV/0!</v>
      </c>
    </row>
    <row r="2425" spans="1:9" x14ac:dyDescent="0.3">
      <c r="A2425" s="35" t="s">
        <v>1817</v>
      </c>
      <c r="B2425" t="s">
        <v>1818</v>
      </c>
      <c r="C2425" s="106">
        <v>8</v>
      </c>
      <c r="G2425" s="38">
        <v>0</v>
      </c>
      <c r="H2425" s="38">
        <v>464</v>
      </c>
      <c r="I2425" s="108" t="e">
        <v>#DIV/0!</v>
      </c>
    </row>
    <row r="2426" spans="1:9" x14ac:dyDescent="0.3">
      <c r="A2426" s="35" t="s">
        <v>1817</v>
      </c>
      <c r="B2426" t="s">
        <v>1818</v>
      </c>
      <c r="C2426" s="106">
        <v>9</v>
      </c>
      <c r="G2426" s="38">
        <v>0</v>
      </c>
      <c r="H2426" s="38">
        <v>464</v>
      </c>
      <c r="I2426" s="108" t="e">
        <v>#DIV/0!</v>
      </c>
    </row>
    <row r="2427" spans="1:9" x14ac:dyDescent="0.3">
      <c r="A2427" s="35" t="s">
        <v>1817</v>
      </c>
      <c r="B2427" t="s">
        <v>1818</v>
      </c>
      <c r="C2427" s="106">
        <v>10</v>
      </c>
      <c r="G2427" s="38">
        <v>0</v>
      </c>
      <c r="H2427" s="38">
        <v>464</v>
      </c>
      <c r="I2427" s="108" t="e">
        <v>#DIV/0!</v>
      </c>
    </row>
    <row r="2428" spans="1:9" x14ac:dyDescent="0.3">
      <c r="A2428" s="35" t="s">
        <v>1817</v>
      </c>
      <c r="B2428" t="s">
        <v>1818</v>
      </c>
      <c r="C2428" s="106">
        <v>11</v>
      </c>
      <c r="G2428" s="38">
        <v>0</v>
      </c>
      <c r="H2428" s="38">
        <v>464</v>
      </c>
      <c r="I2428" s="108" t="e">
        <v>#DIV/0!</v>
      </c>
    </row>
    <row r="2429" spans="1:9" x14ac:dyDescent="0.3">
      <c r="A2429" s="35" t="s">
        <v>1817</v>
      </c>
      <c r="B2429" t="s">
        <v>1818</v>
      </c>
      <c r="C2429" s="106">
        <v>12</v>
      </c>
      <c r="G2429" s="38">
        <v>0</v>
      </c>
      <c r="H2429" s="38">
        <v>464</v>
      </c>
      <c r="I2429" s="108" t="e">
        <v>#DIV/0!</v>
      </c>
    </row>
    <row r="2430" spans="1:9" x14ac:dyDescent="0.3">
      <c r="A2430" s="35" t="s">
        <v>1817</v>
      </c>
      <c r="B2430" t="s">
        <v>1818</v>
      </c>
      <c r="C2430" s="106">
        <v>13</v>
      </c>
      <c r="G2430" s="38">
        <v>0</v>
      </c>
      <c r="H2430" s="38">
        <v>464</v>
      </c>
      <c r="I2430" s="108" t="e">
        <v>#DIV/0!</v>
      </c>
    </row>
    <row r="2431" spans="1:9" x14ac:dyDescent="0.3">
      <c r="A2431" s="35" t="s">
        <v>1817</v>
      </c>
      <c r="B2431" t="s">
        <v>1818</v>
      </c>
      <c r="C2431" s="106">
        <v>14</v>
      </c>
      <c r="G2431" s="38">
        <v>0</v>
      </c>
      <c r="H2431" s="38">
        <v>464</v>
      </c>
      <c r="I2431" s="108" t="e">
        <v>#DIV/0!</v>
      </c>
    </row>
    <row r="2432" spans="1:9" x14ac:dyDescent="0.3">
      <c r="A2432" s="35" t="s">
        <v>1817</v>
      </c>
      <c r="B2432" t="s">
        <v>1818</v>
      </c>
      <c r="C2432" s="106">
        <v>15</v>
      </c>
      <c r="G2432" s="38">
        <v>0</v>
      </c>
      <c r="H2432" s="38">
        <v>464</v>
      </c>
      <c r="I2432" s="108" t="e">
        <v>#DIV/0!</v>
      </c>
    </row>
    <row r="2433" spans="1:9" ht="15" thickBot="1" x14ac:dyDescent="0.35">
      <c r="A2433" s="109" t="s">
        <v>1817</v>
      </c>
      <c r="B2433" s="110" t="s">
        <v>1818</v>
      </c>
      <c r="C2433" s="114">
        <v>16</v>
      </c>
      <c r="D2433" s="110"/>
      <c r="E2433" s="110"/>
      <c r="F2433" s="110"/>
      <c r="G2433" s="115">
        <v>0</v>
      </c>
      <c r="H2433" s="115">
        <v>464</v>
      </c>
      <c r="I2433" s="121" t="e">
        <v>#DIV/0!</v>
      </c>
    </row>
    <row r="2434" spans="1:9" x14ac:dyDescent="0.3">
      <c r="A2434" s="35" t="s">
        <v>1837</v>
      </c>
      <c r="B2434" t="s">
        <v>186</v>
      </c>
      <c r="C2434" s="106">
        <v>1</v>
      </c>
      <c r="D2434" s="56">
        <v>45954</v>
      </c>
      <c r="E2434">
        <v>5602</v>
      </c>
      <c r="F2434">
        <v>5320</v>
      </c>
      <c r="G2434" s="38">
        <v>282</v>
      </c>
      <c r="H2434" s="38">
        <v>282</v>
      </c>
      <c r="I2434" s="108">
        <v>5.3007518796992482E-2</v>
      </c>
    </row>
    <row r="2435" spans="1:9" x14ac:dyDescent="0.3">
      <c r="A2435" s="35" t="s">
        <v>1837</v>
      </c>
      <c r="B2435" t="s">
        <v>186</v>
      </c>
      <c r="C2435" s="106">
        <v>2</v>
      </c>
      <c r="G2435" s="38">
        <v>0</v>
      </c>
      <c r="H2435" s="38">
        <v>282</v>
      </c>
      <c r="I2435" s="108" t="e">
        <v>#DIV/0!</v>
      </c>
    </row>
    <row r="2436" spans="1:9" x14ac:dyDescent="0.3">
      <c r="A2436" s="35" t="s">
        <v>1837</v>
      </c>
      <c r="B2436" t="s">
        <v>186</v>
      </c>
      <c r="C2436" s="106">
        <v>3</v>
      </c>
      <c r="G2436" s="38">
        <v>0</v>
      </c>
      <c r="H2436" s="38">
        <v>282</v>
      </c>
      <c r="I2436" s="108" t="e">
        <v>#DIV/0!</v>
      </c>
    </row>
    <row r="2437" spans="1:9" x14ac:dyDescent="0.3">
      <c r="A2437" s="35" t="s">
        <v>1837</v>
      </c>
      <c r="B2437" t="s">
        <v>186</v>
      </c>
      <c r="C2437" s="106">
        <v>4</v>
      </c>
      <c r="G2437" s="38">
        <v>0</v>
      </c>
      <c r="H2437" s="38">
        <v>282</v>
      </c>
      <c r="I2437" s="108" t="e">
        <v>#DIV/0!</v>
      </c>
    </row>
    <row r="2438" spans="1:9" x14ac:dyDescent="0.3">
      <c r="A2438" s="35" t="s">
        <v>1837</v>
      </c>
      <c r="B2438" t="s">
        <v>186</v>
      </c>
      <c r="C2438" s="106">
        <v>5</v>
      </c>
      <c r="G2438" s="38">
        <v>0</v>
      </c>
      <c r="H2438" s="38">
        <v>282</v>
      </c>
      <c r="I2438" s="108" t="e">
        <v>#DIV/0!</v>
      </c>
    </row>
    <row r="2439" spans="1:9" x14ac:dyDescent="0.3">
      <c r="A2439" s="35" t="s">
        <v>1837</v>
      </c>
      <c r="B2439" t="s">
        <v>186</v>
      </c>
      <c r="C2439" s="106">
        <v>6</v>
      </c>
      <c r="G2439" s="38">
        <v>0</v>
      </c>
      <c r="H2439" s="38">
        <v>282</v>
      </c>
      <c r="I2439" s="108" t="e">
        <v>#DIV/0!</v>
      </c>
    </row>
    <row r="2440" spans="1:9" x14ac:dyDescent="0.3">
      <c r="A2440" s="35" t="s">
        <v>1837</v>
      </c>
      <c r="B2440" t="s">
        <v>186</v>
      </c>
      <c r="C2440" s="106">
        <v>7</v>
      </c>
      <c r="G2440" s="38">
        <v>0</v>
      </c>
      <c r="H2440" s="38">
        <v>282</v>
      </c>
      <c r="I2440" s="108" t="e">
        <v>#DIV/0!</v>
      </c>
    </row>
    <row r="2441" spans="1:9" x14ac:dyDescent="0.3">
      <c r="A2441" s="35" t="s">
        <v>1837</v>
      </c>
      <c r="B2441" t="s">
        <v>186</v>
      </c>
      <c r="C2441" s="106">
        <v>8</v>
      </c>
      <c r="G2441" s="38">
        <v>0</v>
      </c>
      <c r="H2441" s="38">
        <v>282</v>
      </c>
      <c r="I2441" s="108" t="e">
        <v>#DIV/0!</v>
      </c>
    </row>
    <row r="2442" spans="1:9" x14ac:dyDescent="0.3">
      <c r="A2442" s="35" t="s">
        <v>1837</v>
      </c>
      <c r="B2442" t="s">
        <v>186</v>
      </c>
      <c r="C2442" s="106">
        <v>9</v>
      </c>
      <c r="G2442" s="38">
        <v>0</v>
      </c>
      <c r="H2442" s="38">
        <v>282</v>
      </c>
      <c r="I2442" s="108" t="e">
        <v>#DIV/0!</v>
      </c>
    </row>
    <row r="2443" spans="1:9" x14ac:dyDescent="0.3">
      <c r="A2443" s="35" t="s">
        <v>1837</v>
      </c>
      <c r="B2443" t="s">
        <v>186</v>
      </c>
      <c r="C2443" s="106">
        <v>10</v>
      </c>
      <c r="G2443" s="38">
        <v>0</v>
      </c>
      <c r="H2443" s="38">
        <v>282</v>
      </c>
      <c r="I2443" s="108" t="e">
        <v>#DIV/0!</v>
      </c>
    </row>
    <row r="2444" spans="1:9" x14ac:dyDescent="0.3">
      <c r="A2444" s="35" t="s">
        <v>1837</v>
      </c>
      <c r="B2444" t="s">
        <v>186</v>
      </c>
      <c r="C2444" s="106">
        <v>11</v>
      </c>
      <c r="G2444" s="38">
        <v>0</v>
      </c>
      <c r="H2444" s="38">
        <v>282</v>
      </c>
      <c r="I2444" s="108" t="e">
        <v>#DIV/0!</v>
      </c>
    </row>
    <row r="2445" spans="1:9" x14ac:dyDescent="0.3">
      <c r="A2445" s="35" t="s">
        <v>1837</v>
      </c>
      <c r="B2445" t="s">
        <v>186</v>
      </c>
      <c r="C2445" s="106">
        <v>12</v>
      </c>
      <c r="G2445" s="38">
        <v>0</v>
      </c>
      <c r="H2445" s="38">
        <v>282</v>
      </c>
      <c r="I2445" s="108" t="e">
        <v>#DIV/0!</v>
      </c>
    </row>
    <row r="2446" spans="1:9" x14ac:dyDescent="0.3">
      <c r="A2446" s="35" t="s">
        <v>1837</v>
      </c>
      <c r="B2446" t="s">
        <v>186</v>
      </c>
      <c r="C2446" s="106">
        <v>13</v>
      </c>
      <c r="G2446" s="38">
        <v>0</v>
      </c>
      <c r="H2446" s="38">
        <v>282</v>
      </c>
      <c r="I2446" s="108" t="e">
        <v>#DIV/0!</v>
      </c>
    </row>
    <row r="2447" spans="1:9" x14ac:dyDescent="0.3">
      <c r="A2447" s="35" t="s">
        <v>1837</v>
      </c>
      <c r="B2447" t="s">
        <v>186</v>
      </c>
      <c r="C2447" s="106">
        <v>14</v>
      </c>
      <c r="G2447" s="38">
        <v>0</v>
      </c>
      <c r="H2447" s="38">
        <v>282</v>
      </c>
      <c r="I2447" s="108" t="e">
        <v>#DIV/0!</v>
      </c>
    </row>
    <row r="2448" spans="1:9" x14ac:dyDescent="0.3">
      <c r="A2448" s="35" t="s">
        <v>1837</v>
      </c>
      <c r="B2448" t="s">
        <v>186</v>
      </c>
      <c r="C2448" s="106">
        <v>15</v>
      </c>
      <c r="G2448" s="38">
        <v>0</v>
      </c>
      <c r="H2448" s="38">
        <v>282</v>
      </c>
      <c r="I2448" s="108" t="e">
        <v>#DIV/0!</v>
      </c>
    </row>
    <row r="2449" spans="1:9" ht="15" thickBot="1" x14ac:dyDescent="0.35">
      <c r="A2449" s="109" t="s">
        <v>1837</v>
      </c>
      <c r="B2449" s="110" t="s">
        <v>186</v>
      </c>
      <c r="C2449" s="114">
        <v>16</v>
      </c>
      <c r="D2449" s="110"/>
      <c r="E2449" s="110"/>
      <c r="F2449" s="110"/>
      <c r="G2449" s="115">
        <v>0</v>
      </c>
      <c r="H2449" s="115">
        <v>282</v>
      </c>
      <c r="I2449" s="121" t="e">
        <v>#DIV/0!</v>
      </c>
    </row>
    <row r="2450" spans="1:9" x14ac:dyDescent="0.3">
      <c r="A2450" s="35" t="s">
        <v>1838</v>
      </c>
      <c r="B2450" t="s">
        <v>1839</v>
      </c>
      <c r="C2450" s="106">
        <v>1</v>
      </c>
      <c r="D2450" s="56">
        <v>45957</v>
      </c>
      <c r="E2450">
        <v>9856</v>
      </c>
      <c r="F2450">
        <v>9386</v>
      </c>
      <c r="G2450" s="38">
        <v>470</v>
      </c>
      <c r="H2450" s="38">
        <v>470</v>
      </c>
      <c r="I2450" s="108">
        <v>5.0074579160451736E-2</v>
      </c>
    </row>
    <row r="2451" spans="1:9" x14ac:dyDescent="0.3">
      <c r="A2451" s="35" t="s">
        <v>1838</v>
      </c>
      <c r="B2451" t="s">
        <v>1839</v>
      </c>
      <c r="C2451" s="106">
        <v>2</v>
      </c>
      <c r="G2451" s="38">
        <v>0</v>
      </c>
      <c r="H2451" s="38">
        <v>470</v>
      </c>
      <c r="I2451" s="108" t="e">
        <v>#DIV/0!</v>
      </c>
    </row>
    <row r="2452" spans="1:9" x14ac:dyDescent="0.3">
      <c r="A2452" s="35" t="s">
        <v>1838</v>
      </c>
      <c r="B2452" t="s">
        <v>1839</v>
      </c>
      <c r="C2452" s="106">
        <v>3</v>
      </c>
      <c r="G2452" s="38">
        <v>0</v>
      </c>
      <c r="H2452" s="38">
        <v>470</v>
      </c>
      <c r="I2452" s="108" t="e">
        <v>#DIV/0!</v>
      </c>
    </row>
    <row r="2453" spans="1:9" x14ac:dyDescent="0.3">
      <c r="A2453" s="35" t="s">
        <v>1838</v>
      </c>
      <c r="B2453" t="s">
        <v>1839</v>
      </c>
      <c r="C2453" s="106">
        <v>4</v>
      </c>
      <c r="G2453" s="38">
        <v>0</v>
      </c>
      <c r="H2453" s="38">
        <v>470</v>
      </c>
      <c r="I2453" s="108" t="e">
        <v>#DIV/0!</v>
      </c>
    </row>
    <row r="2454" spans="1:9" x14ac:dyDescent="0.3">
      <c r="A2454" s="35" t="s">
        <v>1838</v>
      </c>
      <c r="B2454" t="s">
        <v>1839</v>
      </c>
      <c r="C2454" s="106">
        <v>5</v>
      </c>
      <c r="G2454" s="38">
        <v>0</v>
      </c>
      <c r="H2454" s="38">
        <v>470</v>
      </c>
      <c r="I2454" s="108" t="e">
        <v>#DIV/0!</v>
      </c>
    </row>
    <row r="2455" spans="1:9" x14ac:dyDescent="0.3">
      <c r="A2455" s="35" t="s">
        <v>1838</v>
      </c>
      <c r="B2455" t="s">
        <v>1839</v>
      </c>
      <c r="C2455" s="106">
        <v>6</v>
      </c>
      <c r="G2455" s="38">
        <v>0</v>
      </c>
      <c r="H2455" s="38">
        <v>470</v>
      </c>
      <c r="I2455" s="108" t="e">
        <v>#DIV/0!</v>
      </c>
    </row>
    <row r="2456" spans="1:9" x14ac:dyDescent="0.3">
      <c r="A2456" s="35" t="s">
        <v>1838</v>
      </c>
      <c r="B2456" t="s">
        <v>1839</v>
      </c>
      <c r="C2456" s="106">
        <v>7</v>
      </c>
      <c r="G2456" s="38">
        <v>0</v>
      </c>
      <c r="H2456" s="38">
        <v>470</v>
      </c>
      <c r="I2456" s="108" t="e">
        <v>#DIV/0!</v>
      </c>
    </row>
    <row r="2457" spans="1:9" x14ac:dyDescent="0.3">
      <c r="A2457" s="35" t="s">
        <v>1838</v>
      </c>
      <c r="B2457" t="s">
        <v>1839</v>
      </c>
      <c r="C2457" s="106">
        <v>8</v>
      </c>
      <c r="G2457" s="38">
        <v>0</v>
      </c>
      <c r="H2457" s="38">
        <v>470</v>
      </c>
      <c r="I2457" s="108" t="e">
        <v>#DIV/0!</v>
      </c>
    </row>
    <row r="2458" spans="1:9" x14ac:dyDescent="0.3">
      <c r="A2458" s="35" t="s">
        <v>1838</v>
      </c>
      <c r="B2458" t="s">
        <v>1839</v>
      </c>
      <c r="C2458" s="106">
        <v>9</v>
      </c>
      <c r="G2458" s="38">
        <v>0</v>
      </c>
      <c r="H2458" s="38">
        <v>470</v>
      </c>
      <c r="I2458" s="108" t="e">
        <v>#DIV/0!</v>
      </c>
    </row>
    <row r="2459" spans="1:9" x14ac:dyDescent="0.3">
      <c r="A2459" s="35" t="s">
        <v>1838</v>
      </c>
      <c r="B2459" t="s">
        <v>1839</v>
      </c>
      <c r="C2459" s="106">
        <v>10</v>
      </c>
      <c r="G2459" s="38">
        <v>0</v>
      </c>
      <c r="H2459" s="38">
        <v>470</v>
      </c>
      <c r="I2459" s="108" t="e">
        <v>#DIV/0!</v>
      </c>
    </row>
    <row r="2460" spans="1:9" x14ac:dyDescent="0.3">
      <c r="A2460" s="35" t="s">
        <v>1838</v>
      </c>
      <c r="B2460" t="s">
        <v>1839</v>
      </c>
      <c r="C2460" s="106">
        <v>11</v>
      </c>
      <c r="G2460" s="38">
        <v>0</v>
      </c>
      <c r="H2460" s="38">
        <v>470</v>
      </c>
      <c r="I2460" s="108" t="e">
        <v>#DIV/0!</v>
      </c>
    </row>
    <row r="2461" spans="1:9" x14ac:dyDescent="0.3">
      <c r="A2461" s="35" t="s">
        <v>1838</v>
      </c>
      <c r="B2461" t="s">
        <v>1839</v>
      </c>
      <c r="C2461" s="106">
        <v>12</v>
      </c>
      <c r="G2461" s="38">
        <v>0</v>
      </c>
      <c r="H2461" s="38">
        <v>470</v>
      </c>
      <c r="I2461" s="108" t="e">
        <v>#DIV/0!</v>
      </c>
    </row>
    <row r="2462" spans="1:9" x14ac:dyDescent="0.3">
      <c r="A2462" s="35" t="s">
        <v>1838</v>
      </c>
      <c r="B2462" t="s">
        <v>1839</v>
      </c>
      <c r="C2462" s="106">
        <v>13</v>
      </c>
      <c r="G2462" s="38">
        <v>0</v>
      </c>
      <c r="H2462" s="38">
        <v>470</v>
      </c>
      <c r="I2462" s="108" t="e">
        <v>#DIV/0!</v>
      </c>
    </row>
    <row r="2463" spans="1:9" x14ac:dyDescent="0.3">
      <c r="A2463" s="35" t="s">
        <v>1838</v>
      </c>
      <c r="B2463" t="s">
        <v>1839</v>
      </c>
      <c r="C2463" s="106">
        <v>14</v>
      </c>
      <c r="G2463" s="38">
        <v>0</v>
      </c>
      <c r="H2463" s="38">
        <v>470</v>
      </c>
      <c r="I2463" s="108" t="e">
        <v>#DIV/0!</v>
      </c>
    </row>
    <row r="2464" spans="1:9" x14ac:dyDescent="0.3">
      <c r="A2464" s="35" t="s">
        <v>1838</v>
      </c>
      <c r="B2464" t="s">
        <v>1839</v>
      </c>
      <c r="C2464" s="106">
        <v>15</v>
      </c>
      <c r="G2464" s="38">
        <v>0</v>
      </c>
      <c r="H2464" s="38">
        <v>470</v>
      </c>
      <c r="I2464" s="108" t="e">
        <v>#DIV/0!</v>
      </c>
    </row>
    <row r="2465" spans="1:9" ht="15" thickBot="1" x14ac:dyDescent="0.35">
      <c r="A2465" s="109" t="s">
        <v>1838</v>
      </c>
      <c r="B2465" s="110" t="s">
        <v>1839</v>
      </c>
      <c r="C2465" s="114">
        <v>16</v>
      </c>
      <c r="D2465" s="110"/>
      <c r="E2465" s="110"/>
      <c r="F2465" s="110"/>
      <c r="G2465" s="115">
        <v>0</v>
      </c>
      <c r="H2465" s="115">
        <v>470</v>
      </c>
      <c r="I2465" s="121" t="e">
        <v>#DIV/0!</v>
      </c>
    </row>
    <row r="2466" spans="1:9" x14ac:dyDescent="0.3">
      <c r="A2466" s="35" t="s">
        <v>1874</v>
      </c>
      <c r="B2466" t="s">
        <v>1875</v>
      </c>
      <c r="C2466" s="106">
        <v>1</v>
      </c>
      <c r="D2466" s="56">
        <v>45957</v>
      </c>
      <c r="E2466">
        <v>12629</v>
      </c>
      <c r="F2466">
        <v>11787</v>
      </c>
      <c r="G2466" s="38">
        <v>842</v>
      </c>
      <c r="H2466" s="38">
        <v>842</v>
      </c>
      <c r="I2466" s="108">
        <v>7.1434631373547122E-2</v>
      </c>
    </row>
    <row r="2467" spans="1:9" x14ac:dyDescent="0.3">
      <c r="A2467" s="35" t="s">
        <v>1874</v>
      </c>
      <c r="B2467" t="s">
        <v>1875</v>
      </c>
      <c r="C2467" s="106">
        <v>2</v>
      </c>
      <c r="G2467" s="38">
        <v>0</v>
      </c>
      <c r="H2467" s="38">
        <v>842</v>
      </c>
      <c r="I2467" s="108" t="e">
        <v>#DIV/0!</v>
      </c>
    </row>
    <row r="2468" spans="1:9" x14ac:dyDescent="0.3">
      <c r="A2468" s="35" t="s">
        <v>1874</v>
      </c>
      <c r="B2468" t="s">
        <v>1875</v>
      </c>
      <c r="C2468" s="106">
        <v>3</v>
      </c>
      <c r="G2468" s="38">
        <v>0</v>
      </c>
      <c r="H2468" s="38">
        <v>842</v>
      </c>
      <c r="I2468" s="108" t="e">
        <v>#DIV/0!</v>
      </c>
    </row>
    <row r="2469" spans="1:9" x14ac:dyDescent="0.3">
      <c r="A2469" s="35" t="s">
        <v>1874</v>
      </c>
      <c r="B2469" t="s">
        <v>1875</v>
      </c>
      <c r="C2469" s="106">
        <v>4</v>
      </c>
      <c r="G2469" s="38">
        <v>0</v>
      </c>
      <c r="H2469" s="38">
        <v>842</v>
      </c>
      <c r="I2469" s="108" t="e">
        <v>#DIV/0!</v>
      </c>
    </row>
    <row r="2470" spans="1:9" x14ac:dyDescent="0.3">
      <c r="A2470" s="35" t="s">
        <v>1874</v>
      </c>
      <c r="B2470" t="s">
        <v>1875</v>
      </c>
      <c r="C2470" s="106">
        <v>5</v>
      </c>
      <c r="G2470" s="38">
        <v>0</v>
      </c>
      <c r="H2470" s="38">
        <v>842</v>
      </c>
      <c r="I2470" s="108" t="e">
        <v>#DIV/0!</v>
      </c>
    </row>
    <row r="2471" spans="1:9" x14ac:dyDescent="0.3">
      <c r="A2471" s="35" t="s">
        <v>1874</v>
      </c>
      <c r="B2471" t="s">
        <v>1875</v>
      </c>
      <c r="C2471" s="106">
        <v>6</v>
      </c>
      <c r="G2471" s="38">
        <v>0</v>
      </c>
      <c r="H2471" s="38">
        <v>842</v>
      </c>
      <c r="I2471" s="108" t="e">
        <v>#DIV/0!</v>
      </c>
    </row>
    <row r="2472" spans="1:9" x14ac:dyDescent="0.3">
      <c r="A2472" s="35" t="s">
        <v>1874</v>
      </c>
      <c r="B2472" t="s">
        <v>1875</v>
      </c>
      <c r="C2472" s="106">
        <v>7</v>
      </c>
      <c r="G2472" s="38">
        <v>0</v>
      </c>
      <c r="H2472" s="38">
        <v>842</v>
      </c>
      <c r="I2472" s="108" t="e">
        <v>#DIV/0!</v>
      </c>
    </row>
    <row r="2473" spans="1:9" x14ac:dyDescent="0.3">
      <c r="A2473" s="35" t="s">
        <v>1874</v>
      </c>
      <c r="B2473" t="s">
        <v>1875</v>
      </c>
      <c r="C2473" s="106">
        <v>8</v>
      </c>
      <c r="G2473" s="38">
        <v>0</v>
      </c>
      <c r="H2473" s="38">
        <v>842</v>
      </c>
      <c r="I2473" s="108" t="e">
        <v>#DIV/0!</v>
      </c>
    </row>
    <row r="2474" spans="1:9" x14ac:dyDescent="0.3">
      <c r="A2474" s="35" t="s">
        <v>1874</v>
      </c>
      <c r="B2474" t="s">
        <v>1875</v>
      </c>
      <c r="C2474" s="106">
        <v>9</v>
      </c>
      <c r="G2474" s="38">
        <v>0</v>
      </c>
      <c r="H2474" s="38">
        <v>842</v>
      </c>
      <c r="I2474" s="108" t="e">
        <v>#DIV/0!</v>
      </c>
    </row>
    <row r="2475" spans="1:9" x14ac:dyDescent="0.3">
      <c r="A2475" s="35" t="s">
        <v>1874</v>
      </c>
      <c r="B2475" t="s">
        <v>1875</v>
      </c>
      <c r="C2475" s="106">
        <v>10</v>
      </c>
      <c r="G2475" s="38">
        <v>0</v>
      </c>
      <c r="H2475" s="38">
        <v>842</v>
      </c>
      <c r="I2475" s="108" t="e">
        <v>#DIV/0!</v>
      </c>
    </row>
    <row r="2476" spans="1:9" x14ac:dyDescent="0.3">
      <c r="A2476" s="35" t="s">
        <v>1874</v>
      </c>
      <c r="B2476" t="s">
        <v>1875</v>
      </c>
      <c r="C2476" s="106">
        <v>11</v>
      </c>
      <c r="G2476" s="38">
        <v>0</v>
      </c>
      <c r="H2476" s="38">
        <v>842</v>
      </c>
      <c r="I2476" s="108" t="e">
        <v>#DIV/0!</v>
      </c>
    </row>
    <row r="2477" spans="1:9" x14ac:dyDescent="0.3">
      <c r="A2477" s="35" t="s">
        <v>1874</v>
      </c>
      <c r="B2477" t="s">
        <v>1875</v>
      </c>
      <c r="C2477" s="106">
        <v>12</v>
      </c>
      <c r="G2477" s="38">
        <v>0</v>
      </c>
      <c r="H2477" s="38">
        <v>842</v>
      </c>
      <c r="I2477" s="108" t="e">
        <v>#DIV/0!</v>
      </c>
    </row>
    <row r="2478" spans="1:9" x14ac:dyDescent="0.3">
      <c r="A2478" s="35" t="s">
        <v>1874</v>
      </c>
      <c r="B2478" t="s">
        <v>1875</v>
      </c>
      <c r="C2478" s="106">
        <v>13</v>
      </c>
      <c r="G2478" s="38">
        <v>0</v>
      </c>
      <c r="H2478" s="38">
        <v>842</v>
      </c>
      <c r="I2478" s="108" t="e">
        <v>#DIV/0!</v>
      </c>
    </row>
    <row r="2479" spans="1:9" x14ac:dyDescent="0.3">
      <c r="A2479" s="35" t="s">
        <v>1874</v>
      </c>
      <c r="B2479" t="s">
        <v>1875</v>
      </c>
      <c r="C2479" s="106">
        <v>14</v>
      </c>
      <c r="G2479" s="38">
        <v>0</v>
      </c>
      <c r="H2479" s="38">
        <v>842</v>
      </c>
      <c r="I2479" s="108" t="e">
        <v>#DIV/0!</v>
      </c>
    </row>
    <row r="2480" spans="1:9" x14ac:dyDescent="0.3">
      <c r="A2480" s="35" t="s">
        <v>1874</v>
      </c>
      <c r="B2480" t="s">
        <v>1875</v>
      </c>
      <c r="C2480" s="106">
        <v>15</v>
      </c>
      <c r="G2480" s="38">
        <v>0</v>
      </c>
      <c r="H2480" s="38">
        <v>842</v>
      </c>
      <c r="I2480" s="108" t="e">
        <v>#DIV/0!</v>
      </c>
    </row>
    <row r="2481" spans="1:9" ht="15" thickBot="1" x14ac:dyDescent="0.35">
      <c r="A2481" s="109" t="s">
        <v>1874</v>
      </c>
      <c r="B2481" s="110" t="s">
        <v>1875</v>
      </c>
      <c r="C2481" s="114">
        <v>16</v>
      </c>
      <c r="D2481" s="110"/>
      <c r="E2481" s="110"/>
      <c r="F2481" s="110"/>
      <c r="G2481" s="115">
        <v>0</v>
      </c>
      <c r="H2481" s="115">
        <v>842</v>
      </c>
      <c r="I2481" s="121" t="e">
        <v>#DIV/0!</v>
      </c>
    </row>
    <row r="2482" spans="1:9" x14ac:dyDescent="0.3">
      <c r="A2482" s="35" t="s">
        <v>1835</v>
      </c>
      <c r="B2482" s="35" t="s">
        <v>1836</v>
      </c>
      <c r="C2482" s="106">
        <v>1</v>
      </c>
      <c r="D2482" s="56">
        <v>45957</v>
      </c>
      <c r="E2482">
        <v>11202</v>
      </c>
      <c r="F2482">
        <v>10184</v>
      </c>
      <c r="G2482" s="38">
        <v>1018</v>
      </c>
      <c r="H2482" s="38">
        <v>1018</v>
      </c>
      <c r="I2482" s="108">
        <v>9.9960722702278085E-2</v>
      </c>
    </row>
    <row r="2483" spans="1:9" x14ac:dyDescent="0.3">
      <c r="A2483" s="35" t="s">
        <v>1835</v>
      </c>
      <c r="B2483" s="35" t="s">
        <v>1836</v>
      </c>
      <c r="C2483" s="106">
        <v>2</v>
      </c>
      <c r="G2483" s="38">
        <v>0</v>
      </c>
      <c r="H2483" s="38">
        <v>1018</v>
      </c>
      <c r="I2483" s="108" t="e">
        <v>#DIV/0!</v>
      </c>
    </row>
    <row r="2484" spans="1:9" x14ac:dyDescent="0.3">
      <c r="A2484" s="35" t="s">
        <v>1835</v>
      </c>
      <c r="B2484" s="35" t="s">
        <v>1836</v>
      </c>
      <c r="C2484" s="106">
        <v>3</v>
      </c>
      <c r="G2484" s="38">
        <v>0</v>
      </c>
      <c r="H2484" s="38">
        <v>1018</v>
      </c>
      <c r="I2484" s="108" t="e">
        <v>#DIV/0!</v>
      </c>
    </row>
    <row r="2485" spans="1:9" x14ac:dyDescent="0.3">
      <c r="A2485" s="35" t="s">
        <v>1835</v>
      </c>
      <c r="B2485" s="35" t="s">
        <v>1836</v>
      </c>
      <c r="C2485" s="106">
        <v>4</v>
      </c>
      <c r="G2485" s="38">
        <v>0</v>
      </c>
      <c r="H2485" s="38">
        <v>1018</v>
      </c>
      <c r="I2485" s="108" t="e">
        <v>#DIV/0!</v>
      </c>
    </row>
    <row r="2486" spans="1:9" x14ac:dyDescent="0.3">
      <c r="A2486" s="35" t="s">
        <v>1835</v>
      </c>
      <c r="B2486" s="35" t="s">
        <v>1836</v>
      </c>
      <c r="C2486" s="106">
        <v>5</v>
      </c>
      <c r="G2486" s="38">
        <v>0</v>
      </c>
      <c r="H2486" s="38">
        <v>1018</v>
      </c>
      <c r="I2486" s="108" t="e">
        <v>#DIV/0!</v>
      </c>
    </row>
    <row r="2487" spans="1:9" x14ac:dyDescent="0.3">
      <c r="A2487" s="35" t="s">
        <v>1835</v>
      </c>
      <c r="B2487" s="35" t="s">
        <v>1836</v>
      </c>
      <c r="C2487" s="106">
        <v>6</v>
      </c>
      <c r="G2487" s="38">
        <v>0</v>
      </c>
      <c r="H2487" s="38">
        <v>1018</v>
      </c>
      <c r="I2487" s="108" t="e">
        <v>#DIV/0!</v>
      </c>
    </row>
    <row r="2488" spans="1:9" x14ac:dyDescent="0.3">
      <c r="A2488" s="35" t="s">
        <v>1835</v>
      </c>
      <c r="B2488" s="35" t="s">
        <v>1836</v>
      </c>
      <c r="C2488" s="106">
        <v>7</v>
      </c>
      <c r="G2488" s="38">
        <v>0</v>
      </c>
      <c r="H2488" s="38">
        <v>1018</v>
      </c>
      <c r="I2488" s="108" t="e">
        <v>#DIV/0!</v>
      </c>
    </row>
    <row r="2489" spans="1:9" x14ac:dyDescent="0.3">
      <c r="A2489" s="35" t="s">
        <v>1835</v>
      </c>
      <c r="B2489" s="35" t="s">
        <v>1836</v>
      </c>
      <c r="C2489" s="106">
        <v>8</v>
      </c>
      <c r="G2489" s="38">
        <v>0</v>
      </c>
      <c r="H2489" s="38">
        <v>1018</v>
      </c>
      <c r="I2489" s="108" t="e">
        <v>#DIV/0!</v>
      </c>
    </row>
    <row r="2490" spans="1:9" x14ac:dyDescent="0.3">
      <c r="A2490" s="35" t="s">
        <v>1835</v>
      </c>
      <c r="B2490" s="35" t="s">
        <v>1836</v>
      </c>
      <c r="C2490" s="106">
        <v>9</v>
      </c>
      <c r="G2490" s="38">
        <v>0</v>
      </c>
      <c r="H2490" s="38">
        <v>1018</v>
      </c>
      <c r="I2490" s="108" t="e">
        <v>#DIV/0!</v>
      </c>
    </row>
    <row r="2491" spans="1:9" x14ac:dyDescent="0.3">
      <c r="A2491" s="35" t="s">
        <v>1835</v>
      </c>
      <c r="B2491" s="35" t="s">
        <v>1836</v>
      </c>
      <c r="C2491" s="106">
        <v>10</v>
      </c>
      <c r="G2491" s="38">
        <v>0</v>
      </c>
      <c r="H2491" s="38">
        <v>1018</v>
      </c>
      <c r="I2491" s="108" t="e">
        <v>#DIV/0!</v>
      </c>
    </row>
    <row r="2492" spans="1:9" x14ac:dyDescent="0.3">
      <c r="A2492" s="35" t="s">
        <v>1835</v>
      </c>
      <c r="B2492" s="35" t="s">
        <v>1836</v>
      </c>
      <c r="C2492" s="106">
        <v>11</v>
      </c>
      <c r="G2492" s="38">
        <v>0</v>
      </c>
      <c r="H2492" s="38">
        <v>1018</v>
      </c>
      <c r="I2492" s="108" t="e">
        <v>#DIV/0!</v>
      </c>
    </row>
    <row r="2493" spans="1:9" x14ac:dyDescent="0.3">
      <c r="A2493" s="35" t="s">
        <v>1835</v>
      </c>
      <c r="B2493" s="35" t="s">
        <v>1836</v>
      </c>
      <c r="C2493" s="106">
        <v>12</v>
      </c>
      <c r="G2493" s="38">
        <v>0</v>
      </c>
      <c r="H2493" s="38">
        <v>1018</v>
      </c>
      <c r="I2493" s="108" t="e">
        <v>#DIV/0!</v>
      </c>
    </row>
    <row r="2494" spans="1:9" x14ac:dyDescent="0.3">
      <c r="A2494" s="35" t="s">
        <v>1835</v>
      </c>
      <c r="B2494" s="35" t="s">
        <v>1836</v>
      </c>
      <c r="C2494" s="106">
        <v>13</v>
      </c>
      <c r="G2494" s="38">
        <v>0</v>
      </c>
      <c r="H2494" s="38">
        <v>1018</v>
      </c>
      <c r="I2494" s="108" t="e">
        <v>#DIV/0!</v>
      </c>
    </row>
    <row r="2495" spans="1:9" x14ac:dyDescent="0.3">
      <c r="A2495" s="35" t="s">
        <v>1835</v>
      </c>
      <c r="B2495" s="35" t="s">
        <v>1836</v>
      </c>
      <c r="C2495" s="106">
        <v>14</v>
      </c>
      <c r="G2495" s="38">
        <v>0</v>
      </c>
      <c r="H2495" s="38">
        <v>1018</v>
      </c>
      <c r="I2495" s="108" t="e">
        <v>#DIV/0!</v>
      </c>
    </row>
    <row r="2496" spans="1:9" x14ac:dyDescent="0.3">
      <c r="A2496" s="35" t="s">
        <v>1835</v>
      </c>
      <c r="B2496" s="35" t="s">
        <v>1836</v>
      </c>
      <c r="C2496" s="106">
        <v>15</v>
      </c>
      <c r="G2496" s="38">
        <v>0</v>
      </c>
      <c r="H2496" s="38">
        <v>1018</v>
      </c>
      <c r="I2496" s="108" t="e">
        <v>#DIV/0!</v>
      </c>
    </row>
    <row r="2497" spans="1:9" ht="15" thickBot="1" x14ac:dyDescent="0.35">
      <c r="A2497" s="109" t="s">
        <v>1835</v>
      </c>
      <c r="B2497" s="109" t="s">
        <v>1836</v>
      </c>
      <c r="C2497" s="114">
        <v>16</v>
      </c>
      <c r="D2497" s="110"/>
      <c r="E2497" s="110"/>
      <c r="F2497" s="110"/>
      <c r="G2497" s="115">
        <v>0</v>
      </c>
      <c r="H2497" s="115">
        <v>1018</v>
      </c>
      <c r="I2497" s="121" t="e">
        <v>#DIV/0!</v>
      </c>
    </row>
    <row r="2498" spans="1:9" x14ac:dyDescent="0.3">
      <c r="A2498" s="35" t="s">
        <v>1841</v>
      </c>
      <c r="B2498" s="35" t="s">
        <v>1842</v>
      </c>
      <c r="C2498" s="106">
        <v>1</v>
      </c>
      <c r="D2498" s="56">
        <v>45957</v>
      </c>
      <c r="E2498">
        <v>5906</v>
      </c>
      <c r="F2498">
        <v>5624</v>
      </c>
      <c r="G2498" s="38">
        <v>282</v>
      </c>
      <c r="H2498" s="38">
        <v>282</v>
      </c>
      <c r="I2498" s="108">
        <v>5.0142247510668564E-2</v>
      </c>
    </row>
    <row r="2499" spans="1:9" x14ac:dyDescent="0.3">
      <c r="A2499" s="35" t="s">
        <v>1841</v>
      </c>
      <c r="B2499" s="35" t="s">
        <v>1842</v>
      </c>
      <c r="C2499" s="106">
        <v>2</v>
      </c>
      <c r="G2499" s="38">
        <v>0</v>
      </c>
      <c r="H2499" s="38">
        <v>282</v>
      </c>
      <c r="I2499" s="108" t="e">
        <v>#DIV/0!</v>
      </c>
    </row>
    <row r="2500" spans="1:9" x14ac:dyDescent="0.3">
      <c r="A2500" s="35" t="s">
        <v>1841</v>
      </c>
      <c r="B2500" s="35" t="s">
        <v>1842</v>
      </c>
      <c r="C2500" s="106">
        <v>3</v>
      </c>
      <c r="G2500" s="38">
        <v>0</v>
      </c>
      <c r="H2500" s="38">
        <v>282</v>
      </c>
      <c r="I2500" s="108" t="e">
        <v>#DIV/0!</v>
      </c>
    </row>
    <row r="2501" spans="1:9" x14ac:dyDescent="0.3">
      <c r="A2501" s="35" t="s">
        <v>1841</v>
      </c>
      <c r="B2501" s="35" t="s">
        <v>1842</v>
      </c>
      <c r="C2501" s="106">
        <v>4</v>
      </c>
      <c r="G2501" s="38">
        <v>0</v>
      </c>
      <c r="H2501" s="38">
        <v>282</v>
      </c>
      <c r="I2501" s="108" t="e">
        <v>#DIV/0!</v>
      </c>
    </row>
    <row r="2502" spans="1:9" x14ac:dyDescent="0.3">
      <c r="A2502" s="35" t="s">
        <v>1841</v>
      </c>
      <c r="B2502" s="35" t="s">
        <v>1842</v>
      </c>
      <c r="C2502" s="106">
        <v>5</v>
      </c>
      <c r="G2502" s="38">
        <v>0</v>
      </c>
      <c r="H2502" s="38">
        <v>282</v>
      </c>
      <c r="I2502" s="108" t="e">
        <v>#DIV/0!</v>
      </c>
    </row>
    <row r="2503" spans="1:9" x14ac:dyDescent="0.3">
      <c r="A2503" s="35" t="s">
        <v>1841</v>
      </c>
      <c r="B2503" s="35" t="s">
        <v>1842</v>
      </c>
      <c r="C2503" s="106">
        <v>6</v>
      </c>
      <c r="G2503" s="38">
        <v>0</v>
      </c>
      <c r="H2503" s="38">
        <v>282</v>
      </c>
      <c r="I2503" s="108" t="e">
        <v>#DIV/0!</v>
      </c>
    </row>
    <row r="2504" spans="1:9" x14ac:dyDescent="0.3">
      <c r="A2504" s="35" t="s">
        <v>1841</v>
      </c>
      <c r="B2504" s="35" t="s">
        <v>1842</v>
      </c>
      <c r="C2504" s="106">
        <v>7</v>
      </c>
      <c r="G2504" s="38">
        <v>0</v>
      </c>
      <c r="H2504" s="38">
        <v>282</v>
      </c>
      <c r="I2504" s="108" t="e">
        <v>#DIV/0!</v>
      </c>
    </row>
    <row r="2505" spans="1:9" x14ac:dyDescent="0.3">
      <c r="A2505" s="35" t="s">
        <v>1841</v>
      </c>
      <c r="B2505" s="35" t="s">
        <v>1842</v>
      </c>
      <c r="C2505" s="106">
        <v>8</v>
      </c>
      <c r="G2505" s="38">
        <v>0</v>
      </c>
      <c r="H2505" s="38">
        <v>282</v>
      </c>
      <c r="I2505" s="108" t="e">
        <v>#DIV/0!</v>
      </c>
    </row>
    <row r="2506" spans="1:9" x14ac:dyDescent="0.3">
      <c r="A2506" s="35" t="s">
        <v>1841</v>
      </c>
      <c r="B2506" s="35" t="s">
        <v>1842</v>
      </c>
      <c r="C2506" s="106">
        <v>9</v>
      </c>
      <c r="G2506" s="38">
        <v>0</v>
      </c>
      <c r="H2506" s="38">
        <v>282</v>
      </c>
      <c r="I2506" s="108" t="e">
        <v>#DIV/0!</v>
      </c>
    </row>
    <row r="2507" spans="1:9" x14ac:dyDescent="0.3">
      <c r="A2507" s="35" t="s">
        <v>1841</v>
      </c>
      <c r="B2507" s="35" t="s">
        <v>1842</v>
      </c>
      <c r="C2507" s="106">
        <v>10</v>
      </c>
      <c r="G2507" s="38">
        <v>0</v>
      </c>
      <c r="H2507" s="38">
        <v>282</v>
      </c>
      <c r="I2507" s="108" t="e">
        <v>#DIV/0!</v>
      </c>
    </row>
    <row r="2508" spans="1:9" x14ac:dyDescent="0.3">
      <c r="A2508" s="35" t="s">
        <v>1841</v>
      </c>
      <c r="B2508" s="35" t="s">
        <v>1842</v>
      </c>
      <c r="C2508" s="106">
        <v>11</v>
      </c>
      <c r="G2508" s="38">
        <v>0</v>
      </c>
      <c r="H2508" s="38">
        <v>282</v>
      </c>
      <c r="I2508" s="108" t="e">
        <v>#DIV/0!</v>
      </c>
    </row>
    <row r="2509" spans="1:9" x14ac:dyDescent="0.3">
      <c r="A2509" s="35" t="s">
        <v>1841</v>
      </c>
      <c r="B2509" s="35" t="s">
        <v>1842</v>
      </c>
      <c r="C2509" s="106">
        <v>12</v>
      </c>
      <c r="G2509" s="38">
        <v>0</v>
      </c>
      <c r="H2509" s="38">
        <v>282</v>
      </c>
      <c r="I2509" s="108" t="e">
        <v>#DIV/0!</v>
      </c>
    </row>
    <row r="2510" spans="1:9" x14ac:dyDescent="0.3">
      <c r="A2510" s="35" t="s">
        <v>1841</v>
      </c>
      <c r="B2510" s="35" t="s">
        <v>1842</v>
      </c>
      <c r="C2510" s="106">
        <v>13</v>
      </c>
      <c r="G2510" s="38">
        <v>0</v>
      </c>
      <c r="H2510" s="38">
        <v>282</v>
      </c>
      <c r="I2510" s="108" t="e">
        <v>#DIV/0!</v>
      </c>
    </row>
    <row r="2511" spans="1:9" x14ac:dyDescent="0.3">
      <c r="A2511" s="35" t="s">
        <v>1841</v>
      </c>
      <c r="B2511" s="35" t="s">
        <v>1842</v>
      </c>
      <c r="C2511" s="106">
        <v>14</v>
      </c>
      <c r="G2511" s="38">
        <v>0</v>
      </c>
      <c r="H2511" s="38">
        <v>282</v>
      </c>
      <c r="I2511" s="108" t="e">
        <v>#DIV/0!</v>
      </c>
    </row>
    <row r="2512" spans="1:9" x14ac:dyDescent="0.3">
      <c r="A2512" s="35" t="s">
        <v>1841</v>
      </c>
      <c r="B2512" s="35" t="s">
        <v>1842</v>
      </c>
      <c r="C2512" s="106">
        <v>15</v>
      </c>
      <c r="G2512" s="38">
        <v>0</v>
      </c>
      <c r="H2512" s="38">
        <v>282</v>
      </c>
      <c r="I2512" s="108" t="e">
        <v>#DIV/0!</v>
      </c>
    </row>
    <row r="2513" spans="1:9" ht="15" thickBot="1" x14ac:dyDescent="0.35">
      <c r="A2513" s="109" t="s">
        <v>1841</v>
      </c>
      <c r="B2513" s="109" t="s">
        <v>1842</v>
      </c>
      <c r="C2513" s="114">
        <v>16</v>
      </c>
      <c r="D2513" s="110"/>
      <c r="E2513" s="110"/>
      <c r="F2513" s="110"/>
      <c r="G2513" s="115">
        <v>0</v>
      </c>
      <c r="H2513" s="115">
        <v>282</v>
      </c>
      <c r="I2513" s="121" t="e">
        <v>#DIV/0!</v>
      </c>
    </row>
    <row r="2514" spans="1:9" x14ac:dyDescent="0.3">
      <c r="A2514" s="35" t="s">
        <v>1882</v>
      </c>
      <c r="B2514" s="35" t="s">
        <v>1883</v>
      </c>
      <c r="C2514" s="106">
        <v>1</v>
      </c>
      <c r="D2514" s="56">
        <v>45957</v>
      </c>
      <c r="E2514">
        <v>4150</v>
      </c>
      <c r="F2514">
        <v>3955</v>
      </c>
      <c r="G2514" s="38">
        <v>195</v>
      </c>
      <c r="H2514" s="38">
        <v>195</v>
      </c>
      <c r="I2514" s="108">
        <v>4.9304677623261697E-2</v>
      </c>
    </row>
    <row r="2515" spans="1:9" x14ac:dyDescent="0.3">
      <c r="A2515" s="35" t="s">
        <v>1882</v>
      </c>
      <c r="B2515" s="35" t="s">
        <v>1883</v>
      </c>
      <c r="C2515" s="106">
        <v>2</v>
      </c>
      <c r="G2515" s="38">
        <v>0</v>
      </c>
      <c r="H2515" s="38">
        <v>195</v>
      </c>
      <c r="I2515" s="108" t="e">
        <v>#DIV/0!</v>
      </c>
    </row>
    <row r="2516" spans="1:9" x14ac:dyDescent="0.3">
      <c r="A2516" s="35" t="s">
        <v>1882</v>
      </c>
      <c r="B2516" s="35" t="s">
        <v>1883</v>
      </c>
      <c r="C2516" s="106">
        <v>3</v>
      </c>
      <c r="G2516" s="38">
        <v>0</v>
      </c>
      <c r="H2516" s="38">
        <v>195</v>
      </c>
      <c r="I2516" s="108" t="e">
        <v>#DIV/0!</v>
      </c>
    </row>
    <row r="2517" spans="1:9" x14ac:dyDescent="0.3">
      <c r="A2517" s="35" t="s">
        <v>1882</v>
      </c>
      <c r="B2517" s="35" t="s">
        <v>1883</v>
      </c>
      <c r="C2517" s="106">
        <v>4</v>
      </c>
      <c r="G2517" s="38">
        <v>0</v>
      </c>
      <c r="H2517" s="38">
        <v>195</v>
      </c>
      <c r="I2517" s="108" t="e">
        <v>#DIV/0!</v>
      </c>
    </row>
    <row r="2518" spans="1:9" x14ac:dyDescent="0.3">
      <c r="A2518" s="35" t="s">
        <v>1882</v>
      </c>
      <c r="B2518" s="35" t="s">
        <v>1883</v>
      </c>
      <c r="C2518" s="106">
        <v>5</v>
      </c>
      <c r="G2518" s="38">
        <v>0</v>
      </c>
      <c r="H2518" s="38">
        <v>195</v>
      </c>
      <c r="I2518" s="108" t="e">
        <v>#DIV/0!</v>
      </c>
    </row>
    <row r="2519" spans="1:9" x14ac:dyDescent="0.3">
      <c r="A2519" s="35" t="s">
        <v>1882</v>
      </c>
      <c r="B2519" s="35" t="s">
        <v>1883</v>
      </c>
      <c r="C2519" s="106">
        <v>6</v>
      </c>
      <c r="G2519" s="38">
        <v>0</v>
      </c>
      <c r="H2519" s="38">
        <v>195</v>
      </c>
      <c r="I2519" s="108" t="e">
        <v>#DIV/0!</v>
      </c>
    </row>
    <row r="2520" spans="1:9" x14ac:dyDescent="0.3">
      <c r="A2520" s="35" t="s">
        <v>1882</v>
      </c>
      <c r="B2520" s="35" t="s">
        <v>1883</v>
      </c>
      <c r="C2520" s="106">
        <v>7</v>
      </c>
      <c r="G2520" s="38">
        <v>0</v>
      </c>
      <c r="H2520" s="38">
        <v>195</v>
      </c>
      <c r="I2520" s="108" t="e">
        <v>#DIV/0!</v>
      </c>
    </row>
    <row r="2521" spans="1:9" x14ac:dyDescent="0.3">
      <c r="A2521" s="35" t="s">
        <v>1882</v>
      </c>
      <c r="B2521" s="35" t="s">
        <v>1883</v>
      </c>
      <c r="C2521" s="106">
        <v>8</v>
      </c>
      <c r="G2521" s="38">
        <v>0</v>
      </c>
      <c r="H2521" s="38">
        <v>195</v>
      </c>
      <c r="I2521" s="108" t="e">
        <v>#DIV/0!</v>
      </c>
    </row>
    <row r="2522" spans="1:9" x14ac:dyDescent="0.3">
      <c r="A2522" s="35" t="s">
        <v>1882</v>
      </c>
      <c r="B2522" s="35" t="s">
        <v>1883</v>
      </c>
      <c r="C2522" s="106">
        <v>9</v>
      </c>
      <c r="G2522" s="38">
        <v>0</v>
      </c>
      <c r="H2522" s="38">
        <v>195</v>
      </c>
      <c r="I2522" s="108" t="e">
        <v>#DIV/0!</v>
      </c>
    </row>
    <row r="2523" spans="1:9" x14ac:dyDescent="0.3">
      <c r="A2523" s="35" t="s">
        <v>1882</v>
      </c>
      <c r="B2523" s="35" t="s">
        <v>1883</v>
      </c>
      <c r="C2523" s="106">
        <v>10</v>
      </c>
      <c r="G2523" s="38">
        <v>0</v>
      </c>
      <c r="H2523" s="38">
        <v>195</v>
      </c>
      <c r="I2523" s="108" t="e">
        <v>#DIV/0!</v>
      </c>
    </row>
    <row r="2524" spans="1:9" x14ac:dyDescent="0.3">
      <c r="A2524" s="35" t="s">
        <v>1882</v>
      </c>
      <c r="B2524" s="35" t="s">
        <v>1883</v>
      </c>
      <c r="C2524" s="106">
        <v>11</v>
      </c>
      <c r="G2524" s="38">
        <v>0</v>
      </c>
      <c r="H2524" s="38">
        <v>195</v>
      </c>
      <c r="I2524" s="108" t="e">
        <v>#DIV/0!</v>
      </c>
    </row>
    <row r="2525" spans="1:9" x14ac:dyDescent="0.3">
      <c r="A2525" s="35" t="s">
        <v>1882</v>
      </c>
      <c r="B2525" s="35" t="s">
        <v>1883</v>
      </c>
      <c r="C2525" s="106">
        <v>12</v>
      </c>
      <c r="G2525" s="38">
        <v>0</v>
      </c>
      <c r="H2525" s="38">
        <v>195</v>
      </c>
      <c r="I2525" s="108" t="e">
        <v>#DIV/0!</v>
      </c>
    </row>
    <row r="2526" spans="1:9" x14ac:dyDescent="0.3">
      <c r="A2526" s="35" t="s">
        <v>1882</v>
      </c>
      <c r="B2526" s="35" t="s">
        <v>1883</v>
      </c>
      <c r="C2526" s="106">
        <v>13</v>
      </c>
      <c r="G2526" s="38">
        <v>0</v>
      </c>
      <c r="H2526" s="38">
        <v>195</v>
      </c>
      <c r="I2526" s="108" t="e">
        <v>#DIV/0!</v>
      </c>
    </row>
    <row r="2527" spans="1:9" x14ac:dyDescent="0.3">
      <c r="A2527" s="35" t="s">
        <v>1882</v>
      </c>
      <c r="B2527" s="35" t="s">
        <v>1883</v>
      </c>
      <c r="C2527" s="106">
        <v>14</v>
      </c>
      <c r="G2527" s="38">
        <v>0</v>
      </c>
      <c r="H2527" s="38">
        <v>195</v>
      </c>
      <c r="I2527" s="108" t="e">
        <v>#DIV/0!</v>
      </c>
    </row>
    <row r="2528" spans="1:9" x14ac:dyDescent="0.3">
      <c r="A2528" s="35" t="s">
        <v>1882</v>
      </c>
      <c r="B2528" s="35" t="s">
        <v>1883</v>
      </c>
      <c r="C2528" s="106">
        <v>15</v>
      </c>
      <c r="G2528" s="38">
        <v>0</v>
      </c>
      <c r="H2528" s="38">
        <v>195</v>
      </c>
      <c r="I2528" s="108" t="e">
        <v>#DIV/0!</v>
      </c>
    </row>
    <row r="2529" spans="1:9" ht="15" thickBot="1" x14ac:dyDescent="0.35">
      <c r="A2529" s="109" t="s">
        <v>1882</v>
      </c>
      <c r="B2529" s="109" t="s">
        <v>1883</v>
      </c>
      <c r="C2529" s="114">
        <v>16</v>
      </c>
      <c r="D2529" s="110"/>
      <c r="E2529" s="110"/>
      <c r="F2529" s="110"/>
      <c r="G2529" s="115">
        <v>0</v>
      </c>
      <c r="H2529" s="115">
        <v>195</v>
      </c>
      <c r="I2529" s="121" t="e">
        <v>#DIV/0!</v>
      </c>
    </row>
    <row r="2530" spans="1:9" x14ac:dyDescent="0.3">
      <c r="A2530" s="35" t="s">
        <v>1907</v>
      </c>
      <c r="B2530" s="35" t="s">
        <v>1908</v>
      </c>
      <c r="C2530" s="106">
        <v>1</v>
      </c>
      <c r="G2530" s="38">
        <v>0</v>
      </c>
      <c r="H2530" s="38">
        <v>0</v>
      </c>
      <c r="I2530" s="108" t="e">
        <v>#DIV/0!</v>
      </c>
    </row>
    <row r="2531" spans="1:9" x14ac:dyDescent="0.3">
      <c r="A2531" s="35" t="s">
        <v>1907</v>
      </c>
      <c r="B2531" s="35" t="s">
        <v>1908</v>
      </c>
      <c r="C2531" s="106">
        <v>2</v>
      </c>
      <c r="G2531" s="38">
        <v>0</v>
      </c>
      <c r="H2531" s="38">
        <v>0</v>
      </c>
      <c r="I2531" s="108" t="e">
        <v>#DIV/0!</v>
      </c>
    </row>
    <row r="2532" spans="1:9" x14ac:dyDescent="0.3">
      <c r="A2532" s="35" t="s">
        <v>1907</v>
      </c>
      <c r="B2532" s="35" t="s">
        <v>1908</v>
      </c>
      <c r="C2532" s="106">
        <v>3</v>
      </c>
      <c r="G2532" s="38">
        <v>0</v>
      </c>
      <c r="H2532" s="38">
        <v>0</v>
      </c>
      <c r="I2532" s="108" t="e">
        <v>#DIV/0!</v>
      </c>
    </row>
    <row r="2533" spans="1:9" x14ac:dyDescent="0.3">
      <c r="A2533" s="35" t="s">
        <v>1907</v>
      </c>
      <c r="B2533" s="35" t="s">
        <v>1908</v>
      </c>
      <c r="C2533" s="106">
        <v>4</v>
      </c>
      <c r="G2533" s="38">
        <v>0</v>
      </c>
      <c r="H2533" s="38">
        <v>0</v>
      </c>
      <c r="I2533" s="108" t="e">
        <v>#DIV/0!</v>
      </c>
    </row>
    <row r="2534" spans="1:9" x14ac:dyDescent="0.3">
      <c r="A2534" s="35" t="s">
        <v>1907</v>
      </c>
      <c r="B2534" s="35" t="s">
        <v>1908</v>
      </c>
      <c r="C2534" s="106">
        <v>5</v>
      </c>
      <c r="G2534" s="38">
        <v>0</v>
      </c>
      <c r="H2534" s="38">
        <v>0</v>
      </c>
      <c r="I2534" s="108" t="e">
        <v>#DIV/0!</v>
      </c>
    </row>
    <row r="2535" spans="1:9" x14ac:dyDescent="0.3">
      <c r="A2535" s="35" t="s">
        <v>1907</v>
      </c>
      <c r="B2535" s="35" t="s">
        <v>1908</v>
      </c>
      <c r="C2535" s="106">
        <v>6</v>
      </c>
      <c r="G2535" s="38">
        <v>0</v>
      </c>
      <c r="H2535" s="38">
        <v>0</v>
      </c>
      <c r="I2535" s="108" t="e">
        <v>#DIV/0!</v>
      </c>
    </row>
    <row r="2536" spans="1:9" x14ac:dyDescent="0.3">
      <c r="A2536" s="35" t="s">
        <v>1907</v>
      </c>
      <c r="B2536" s="35" t="s">
        <v>1908</v>
      </c>
      <c r="C2536" s="106">
        <v>7</v>
      </c>
      <c r="G2536" s="38">
        <v>0</v>
      </c>
      <c r="H2536" s="38">
        <v>0</v>
      </c>
      <c r="I2536" s="108" t="e">
        <v>#DIV/0!</v>
      </c>
    </row>
    <row r="2537" spans="1:9" x14ac:dyDescent="0.3">
      <c r="A2537" s="35" t="s">
        <v>1907</v>
      </c>
      <c r="B2537" s="35" t="s">
        <v>1908</v>
      </c>
      <c r="C2537" s="106">
        <v>8</v>
      </c>
      <c r="G2537" s="38">
        <v>0</v>
      </c>
      <c r="H2537" s="38">
        <v>0</v>
      </c>
      <c r="I2537" s="108" t="e">
        <v>#DIV/0!</v>
      </c>
    </row>
    <row r="2538" spans="1:9" x14ac:dyDescent="0.3">
      <c r="A2538" s="35" t="s">
        <v>1907</v>
      </c>
      <c r="B2538" s="35" t="s">
        <v>1908</v>
      </c>
      <c r="C2538" s="106">
        <v>9</v>
      </c>
      <c r="G2538" s="38">
        <v>0</v>
      </c>
      <c r="H2538" s="38">
        <v>0</v>
      </c>
      <c r="I2538" s="108" t="e">
        <v>#DIV/0!</v>
      </c>
    </row>
    <row r="2539" spans="1:9" x14ac:dyDescent="0.3">
      <c r="A2539" s="35" t="s">
        <v>1907</v>
      </c>
      <c r="B2539" s="35" t="s">
        <v>1908</v>
      </c>
      <c r="C2539" s="106">
        <v>10</v>
      </c>
      <c r="G2539" s="38">
        <v>0</v>
      </c>
      <c r="H2539" s="38">
        <v>0</v>
      </c>
      <c r="I2539" s="108" t="e">
        <v>#DIV/0!</v>
      </c>
    </row>
    <row r="2540" spans="1:9" x14ac:dyDescent="0.3">
      <c r="A2540" s="35" t="s">
        <v>1907</v>
      </c>
      <c r="B2540" s="35" t="s">
        <v>1908</v>
      </c>
      <c r="C2540" s="106">
        <v>11</v>
      </c>
      <c r="G2540" s="38">
        <v>0</v>
      </c>
      <c r="H2540" s="38">
        <v>0</v>
      </c>
      <c r="I2540" s="108" t="e">
        <v>#DIV/0!</v>
      </c>
    </row>
    <row r="2541" spans="1:9" x14ac:dyDescent="0.3">
      <c r="A2541" s="35" t="s">
        <v>1907</v>
      </c>
      <c r="B2541" s="35" t="s">
        <v>1908</v>
      </c>
      <c r="C2541" s="106">
        <v>12</v>
      </c>
      <c r="G2541" s="38">
        <v>0</v>
      </c>
      <c r="H2541" s="38">
        <v>0</v>
      </c>
      <c r="I2541" s="108" t="e">
        <v>#DIV/0!</v>
      </c>
    </row>
    <row r="2542" spans="1:9" x14ac:dyDescent="0.3">
      <c r="A2542" s="35" t="s">
        <v>1907</v>
      </c>
      <c r="B2542" s="35" t="s">
        <v>1908</v>
      </c>
      <c r="C2542" s="106">
        <v>13</v>
      </c>
      <c r="G2542" s="38">
        <v>0</v>
      </c>
      <c r="H2542" s="38">
        <v>0</v>
      </c>
      <c r="I2542" s="108" t="e">
        <v>#DIV/0!</v>
      </c>
    </row>
    <row r="2543" spans="1:9" x14ac:dyDescent="0.3">
      <c r="A2543" s="35" t="s">
        <v>1907</v>
      </c>
      <c r="B2543" s="35" t="s">
        <v>1908</v>
      </c>
      <c r="C2543" s="106">
        <v>14</v>
      </c>
      <c r="G2543" s="38">
        <v>0</v>
      </c>
      <c r="H2543" s="38">
        <v>0</v>
      </c>
      <c r="I2543" s="108" t="e">
        <v>#DIV/0!</v>
      </c>
    </row>
    <row r="2544" spans="1:9" x14ac:dyDescent="0.3">
      <c r="A2544" s="35" t="s">
        <v>1907</v>
      </c>
      <c r="B2544" s="35" t="s">
        <v>1908</v>
      </c>
      <c r="C2544" s="106">
        <v>15</v>
      </c>
      <c r="G2544" s="38">
        <v>0</v>
      </c>
      <c r="H2544" s="38">
        <v>0</v>
      </c>
      <c r="I2544" s="108" t="e">
        <v>#DIV/0!</v>
      </c>
    </row>
    <row r="2545" spans="1:9" ht="15" thickBot="1" x14ac:dyDescent="0.35">
      <c r="A2545" s="109" t="s">
        <v>1907</v>
      </c>
      <c r="B2545" s="109" t="s">
        <v>1908</v>
      </c>
      <c r="C2545" s="114">
        <v>16</v>
      </c>
      <c r="D2545" s="110"/>
      <c r="E2545" s="110"/>
      <c r="F2545" s="110"/>
      <c r="G2545" s="115">
        <v>0</v>
      </c>
      <c r="H2545" s="115">
        <v>0</v>
      </c>
      <c r="I2545" s="121" t="e">
        <v>#DIV/0!</v>
      </c>
    </row>
    <row r="2546" spans="1:9" x14ac:dyDescent="0.3">
      <c r="A2546" s="35" t="s">
        <v>1895</v>
      </c>
      <c r="B2546" s="35" t="s">
        <v>1896</v>
      </c>
      <c r="C2546" s="106">
        <v>1</v>
      </c>
      <c r="D2546" s="56">
        <v>45959</v>
      </c>
      <c r="E2546">
        <v>4000</v>
      </c>
      <c r="F2546">
        <v>3805</v>
      </c>
      <c r="G2546" s="38">
        <v>195</v>
      </c>
      <c r="H2546" s="38">
        <v>195</v>
      </c>
      <c r="I2546" s="108">
        <v>5.1248357424441525E-2</v>
      </c>
    </row>
    <row r="2547" spans="1:9" x14ac:dyDescent="0.3">
      <c r="A2547" s="35" t="s">
        <v>1895</v>
      </c>
      <c r="B2547" s="35" t="s">
        <v>1896</v>
      </c>
      <c r="C2547" s="106">
        <v>2</v>
      </c>
      <c r="G2547" s="38">
        <v>0</v>
      </c>
      <c r="H2547" s="38">
        <v>195</v>
      </c>
      <c r="I2547" s="108" t="e">
        <v>#DIV/0!</v>
      </c>
    </row>
    <row r="2548" spans="1:9" x14ac:dyDescent="0.3">
      <c r="A2548" s="35" t="s">
        <v>1895</v>
      </c>
      <c r="B2548" s="35" t="s">
        <v>1896</v>
      </c>
      <c r="C2548" s="106">
        <v>3</v>
      </c>
      <c r="G2548" s="38">
        <v>0</v>
      </c>
      <c r="H2548" s="38">
        <v>195</v>
      </c>
      <c r="I2548" s="108" t="e">
        <v>#DIV/0!</v>
      </c>
    </row>
    <row r="2549" spans="1:9" x14ac:dyDescent="0.3">
      <c r="A2549" s="35" t="s">
        <v>1895</v>
      </c>
      <c r="B2549" s="35" t="s">
        <v>1896</v>
      </c>
      <c r="C2549" s="106">
        <v>4</v>
      </c>
      <c r="G2549" s="38">
        <v>0</v>
      </c>
      <c r="H2549" s="38">
        <v>195</v>
      </c>
      <c r="I2549" s="108" t="e">
        <v>#DIV/0!</v>
      </c>
    </row>
    <row r="2550" spans="1:9" x14ac:dyDescent="0.3">
      <c r="A2550" s="35" t="s">
        <v>1895</v>
      </c>
      <c r="B2550" s="35" t="s">
        <v>1896</v>
      </c>
      <c r="C2550" s="106">
        <v>5</v>
      </c>
      <c r="G2550" s="38">
        <v>0</v>
      </c>
      <c r="H2550" s="38">
        <v>195</v>
      </c>
      <c r="I2550" s="108" t="e">
        <v>#DIV/0!</v>
      </c>
    </row>
    <row r="2551" spans="1:9" x14ac:dyDescent="0.3">
      <c r="A2551" s="35" t="s">
        <v>1895</v>
      </c>
      <c r="B2551" s="35" t="s">
        <v>1896</v>
      </c>
      <c r="C2551" s="106">
        <v>6</v>
      </c>
      <c r="G2551" s="38">
        <v>0</v>
      </c>
      <c r="H2551" s="38">
        <v>195</v>
      </c>
      <c r="I2551" s="108" t="e">
        <v>#DIV/0!</v>
      </c>
    </row>
    <row r="2552" spans="1:9" x14ac:dyDescent="0.3">
      <c r="A2552" s="35" t="s">
        <v>1895</v>
      </c>
      <c r="B2552" s="35" t="s">
        <v>1896</v>
      </c>
      <c r="C2552" s="106">
        <v>7</v>
      </c>
      <c r="G2552" s="38">
        <v>0</v>
      </c>
      <c r="H2552" s="38">
        <v>195</v>
      </c>
      <c r="I2552" s="108" t="e">
        <v>#DIV/0!</v>
      </c>
    </row>
    <row r="2553" spans="1:9" x14ac:dyDescent="0.3">
      <c r="A2553" s="35" t="s">
        <v>1895</v>
      </c>
      <c r="B2553" s="35" t="s">
        <v>1896</v>
      </c>
      <c r="C2553" s="106">
        <v>8</v>
      </c>
      <c r="G2553" s="38">
        <v>0</v>
      </c>
      <c r="H2553" s="38">
        <v>195</v>
      </c>
      <c r="I2553" s="108" t="e">
        <v>#DIV/0!</v>
      </c>
    </row>
    <row r="2554" spans="1:9" x14ac:dyDescent="0.3">
      <c r="A2554" s="35" t="s">
        <v>1895</v>
      </c>
      <c r="B2554" s="35" t="s">
        <v>1896</v>
      </c>
      <c r="C2554" s="106">
        <v>9</v>
      </c>
      <c r="G2554" s="38">
        <v>0</v>
      </c>
      <c r="H2554" s="38">
        <v>195</v>
      </c>
      <c r="I2554" s="108" t="e">
        <v>#DIV/0!</v>
      </c>
    </row>
    <row r="2555" spans="1:9" x14ac:dyDescent="0.3">
      <c r="A2555" s="35" t="s">
        <v>1895</v>
      </c>
      <c r="B2555" s="35" t="s">
        <v>1896</v>
      </c>
      <c r="C2555" s="106">
        <v>10</v>
      </c>
      <c r="G2555" s="38">
        <v>0</v>
      </c>
      <c r="H2555" s="38">
        <v>195</v>
      </c>
      <c r="I2555" s="108" t="e">
        <v>#DIV/0!</v>
      </c>
    </row>
    <row r="2556" spans="1:9" x14ac:dyDescent="0.3">
      <c r="A2556" s="35" t="s">
        <v>1895</v>
      </c>
      <c r="B2556" s="35" t="s">
        <v>1896</v>
      </c>
      <c r="C2556" s="106">
        <v>11</v>
      </c>
      <c r="G2556" s="38">
        <v>0</v>
      </c>
      <c r="H2556" s="38">
        <v>195</v>
      </c>
      <c r="I2556" s="108" t="e">
        <v>#DIV/0!</v>
      </c>
    </row>
    <row r="2557" spans="1:9" x14ac:dyDescent="0.3">
      <c r="A2557" s="35" t="s">
        <v>1895</v>
      </c>
      <c r="B2557" s="35" t="s">
        <v>1896</v>
      </c>
      <c r="C2557" s="106">
        <v>12</v>
      </c>
      <c r="G2557" s="38">
        <v>0</v>
      </c>
      <c r="H2557" s="38">
        <v>195</v>
      </c>
      <c r="I2557" s="108" t="e">
        <v>#DIV/0!</v>
      </c>
    </row>
    <row r="2558" spans="1:9" x14ac:dyDescent="0.3">
      <c r="A2558" s="35" t="s">
        <v>1895</v>
      </c>
      <c r="B2558" s="35" t="s">
        <v>1896</v>
      </c>
      <c r="C2558" s="106">
        <v>13</v>
      </c>
      <c r="G2558" s="38">
        <v>0</v>
      </c>
      <c r="H2558" s="38">
        <v>195</v>
      </c>
      <c r="I2558" s="108" t="e">
        <v>#DIV/0!</v>
      </c>
    </row>
    <row r="2559" spans="1:9" x14ac:dyDescent="0.3">
      <c r="A2559" s="35" t="s">
        <v>1895</v>
      </c>
      <c r="B2559" s="35" t="s">
        <v>1896</v>
      </c>
      <c r="C2559" s="106">
        <v>14</v>
      </c>
      <c r="G2559" s="38">
        <v>0</v>
      </c>
      <c r="H2559" s="38">
        <v>195</v>
      </c>
      <c r="I2559" s="108" t="e">
        <v>#DIV/0!</v>
      </c>
    </row>
    <row r="2560" spans="1:9" x14ac:dyDescent="0.3">
      <c r="A2560" s="35" t="s">
        <v>1895</v>
      </c>
      <c r="B2560" s="35" t="s">
        <v>1896</v>
      </c>
      <c r="C2560" s="106">
        <v>15</v>
      </c>
      <c r="G2560" s="38">
        <v>0</v>
      </c>
      <c r="H2560" s="38">
        <v>195</v>
      </c>
      <c r="I2560" s="108" t="e">
        <v>#DIV/0!</v>
      </c>
    </row>
    <row r="2561" spans="1:9" ht="15" thickBot="1" x14ac:dyDescent="0.35">
      <c r="A2561" s="109" t="s">
        <v>1895</v>
      </c>
      <c r="B2561" s="109" t="s">
        <v>1896</v>
      </c>
      <c r="C2561" s="114">
        <v>16</v>
      </c>
      <c r="D2561" s="110"/>
      <c r="E2561" s="110"/>
      <c r="F2561" s="110"/>
      <c r="G2561" s="115">
        <v>0</v>
      </c>
      <c r="H2561" s="115">
        <v>195</v>
      </c>
      <c r="I2561" s="121" t="e">
        <v>#DIV/0!</v>
      </c>
    </row>
    <row r="2562" spans="1:9" x14ac:dyDescent="0.3">
      <c r="A2562" s="35" t="s">
        <v>1911</v>
      </c>
      <c r="B2562" s="35" t="s">
        <v>1912</v>
      </c>
      <c r="C2562" s="106">
        <v>1</v>
      </c>
      <c r="D2562" s="56">
        <v>45961</v>
      </c>
      <c r="E2562">
        <v>2609</v>
      </c>
      <c r="F2562">
        <v>2432.02</v>
      </c>
      <c r="G2562" s="38">
        <v>176.98000000000002</v>
      </c>
      <c r="H2562" s="38">
        <v>176.98000000000002</v>
      </c>
      <c r="I2562" s="108">
        <v>7.2770783135007122E-2</v>
      </c>
    </row>
    <row r="2563" spans="1:9" x14ac:dyDescent="0.3">
      <c r="A2563" s="35" t="s">
        <v>1911</v>
      </c>
      <c r="B2563" s="35" t="s">
        <v>1912</v>
      </c>
      <c r="C2563" s="106">
        <v>2</v>
      </c>
      <c r="G2563" s="38">
        <v>0</v>
      </c>
      <c r="H2563" s="38">
        <v>176.98000000000002</v>
      </c>
      <c r="I2563" s="108" t="e">
        <v>#DIV/0!</v>
      </c>
    </row>
    <row r="2564" spans="1:9" x14ac:dyDescent="0.3">
      <c r="A2564" s="35" t="s">
        <v>1911</v>
      </c>
      <c r="B2564" s="35" t="s">
        <v>1912</v>
      </c>
      <c r="C2564" s="106">
        <v>3</v>
      </c>
      <c r="G2564" s="38">
        <v>0</v>
      </c>
      <c r="H2564" s="38">
        <v>176.98000000000002</v>
      </c>
      <c r="I2564" s="108" t="e">
        <v>#DIV/0!</v>
      </c>
    </row>
    <row r="2565" spans="1:9" x14ac:dyDescent="0.3">
      <c r="A2565" s="35" t="s">
        <v>1911</v>
      </c>
      <c r="B2565" s="35" t="s">
        <v>1912</v>
      </c>
      <c r="C2565" s="106">
        <v>4</v>
      </c>
      <c r="G2565" s="38">
        <v>0</v>
      </c>
      <c r="H2565" s="38">
        <v>176.98000000000002</v>
      </c>
      <c r="I2565" s="108" t="e">
        <v>#DIV/0!</v>
      </c>
    </row>
    <row r="2566" spans="1:9" x14ac:dyDescent="0.3">
      <c r="A2566" s="35" t="s">
        <v>1911</v>
      </c>
      <c r="B2566" s="35" t="s">
        <v>1912</v>
      </c>
      <c r="C2566" s="106">
        <v>5</v>
      </c>
      <c r="G2566" s="38">
        <v>0</v>
      </c>
      <c r="H2566" s="38">
        <v>176.98000000000002</v>
      </c>
      <c r="I2566" s="108" t="e">
        <v>#DIV/0!</v>
      </c>
    </row>
    <row r="2567" spans="1:9" x14ac:dyDescent="0.3">
      <c r="A2567" s="35" t="s">
        <v>1911</v>
      </c>
      <c r="B2567" s="35" t="s">
        <v>1912</v>
      </c>
      <c r="C2567" s="106">
        <v>6</v>
      </c>
      <c r="G2567" s="38">
        <v>0</v>
      </c>
      <c r="H2567" s="38">
        <v>176.98000000000002</v>
      </c>
      <c r="I2567" s="108" t="e">
        <v>#DIV/0!</v>
      </c>
    </row>
    <row r="2568" spans="1:9" x14ac:dyDescent="0.3">
      <c r="A2568" s="35" t="s">
        <v>1911</v>
      </c>
      <c r="B2568" s="35" t="s">
        <v>1912</v>
      </c>
      <c r="C2568" s="106">
        <v>7</v>
      </c>
      <c r="G2568" s="38">
        <v>0</v>
      </c>
      <c r="H2568" s="38">
        <v>176.98000000000002</v>
      </c>
      <c r="I2568" s="108" t="e">
        <v>#DIV/0!</v>
      </c>
    </row>
    <row r="2569" spans="1:9" x14ac:dyDescent="0.3">
      <c r="A2569" s="35" t="s">
        <v>1911</v>
      </c>
      <c r="B2569" s="35" t="s">
        <v>1912</v>
      </c>
      <c r="C2569" s="106">
        <v>8</v>
      </c>
      <c r="G2569" s="38">
        <v>0</v>
      </c>
      <c r="H2569" s="38">
        <v>176.98000000000002</v>
      </c>
      <c r="I2569" s="108" t="e">
        <v>#DIV/0!</v>
      </c>
    </row>
    <row r="2570" spans="1:9" x14ac:dyDescent="0.3">
      <c r="A2570" s="35" t="s">
        <v>1911</v>
      </c>
      <c r="B2570" s="35" t="s">
        <v>1912</v>
      </c>
      <c r="C2570" s="106">
        <v>9</v>
      </c>
      <c r="G2570" s="38">
        <v>0</v>
      </c>
      <c r="H2570" s="38">
        <v>176.98000000000002</v>
      </c>
      <c r="I2570" s="108" t="e">
        <v>#DIV/0!</v>
      </c>
    </row>
    <row r="2571" spans="1:9" x14ac:dyDescent="0.3">
      <c r="A2571" s="35" t="s">
        <v>1911</v>
      </c>
      <c r="B2571" s="35" t="s">
        <v>1912</v>
      </c>
      <c r="C2571" s="106">
        <v>10</v>
      </c>
      <c r="G2571" s="38">
        <v>0</v>
      </c>
      <c r="H2571" s="38">
        <v>176.98000000000002</v>
      </c>
      <c r="I2571" s="108" t="e">
        <v>#DIV/0!</v>
      </c>
    </row>
    <row r="2572" spans="1:9" x14ac:dyDescent="0.3">
      <c r="A2572" s="35" t="s">
        <v>1911</v>
      </c>
      <c r="B2572" s="35" t="s">
        <v>1912</v>
      </c>
      <c r="C2572" s="106">
        <v>11</v>
      </c>
      <c r="G2572" s="38">
        <v>0</v>
      </c>
      <c r="H2572" s="38">
        <v>176.98000000000002</v>
      </c>
      <c r="I2572" s="108" t="e">
        <v>#DIV/0!</v>
      </c>
    </row>
    <row r="2573" spans="1:9" x14ac:dyDescent="0.3">
      <c r="A2573" s="35" t="s">
        <v>1911</v>
      </c>
      <c r="B2573" s="35" t="s">
        <v>1912</v>
      </c>
      <c r="C2573" s="106">
        <v>12</v>
      </c>
      <c r="G2573" s="38">
        <v>0</v>
      </c>
      <c r="H2573" s="38">
        <v>176.98000000000002</v>
      </c>
      <c r="I2573" s="108" t="e">
        <v>#DIV/0!</v>
      </c>
    </row>
    <row r="2574" spans="1:9" x14ac:dyDescent="0.3">
      <c r="A2574" s="35" t="s">
        <v>1911</v>
      </c>
      <c r="B2574" s="35" t="s">
        <v>1912</v>
      </c>
      <c r="C2574" s="106">
        <v>13</v>
      </c>
      <c r="G2574" s="38">
        <v>0</v>
      </c>
      <c r="H2574" s="38">
        <v>176.98000000000002</v>
      </c>
      <c r="I2574" s="108" t="e">
        <v>#DIV/0!</v>
      </c>
    </row>
    <row r="2575" spans="1:9" x14ac:dyDescent="0.3">
      <c r="A2575" s="35" t="s">
        <v>1911</v>
      </c>
      <c r="B2575" s="35" t="s">
        <v>1912</v>
      </c>
      <c r="C2575" s="106">
        <v>14</v>
      </c>
      <c r="G2575" s="38">
        <v>0</v>
      </c>
      <c r="H2575" s="38">
        <v>176.98000000000002</v>
      </c>
      <c r="I2575" s="108" t="e">
        <v>#DIV/0!</v>
      </c>
    </row>
    <row r="2576" spans="1:9" x14ac:dyDescent="0.3">
      <c r="A2576" s="35" t="s">
        <v>1911</v>
      </c>
      <c r="B2576" s="35" t="s">
        <v>1912</v>
      </c>
      <c r="C2576" s="106">
        <v>15</v>
      </c>
      <c r="G2576" s="38">
        <v>0</v>
      </c>
      <c r="H2576" s="38">
        <v>176.98000000000002</v>
      </c>
      <c r="I2576" s="108" t="e">
        <v>#DIV/0!</v>
      </c>
    </row>
    <row r="2577" spans="1:9" ht="15" thickBot="1" x14ac:dyDescent="0.35">
      <c r="A2577" s="109" t="s">
        <v>1911</v>
      </c>
      <c r="B2577" s="109" t="s">
        <v>1912</v>
      </c>
      <c r="C2577" s="114">
        <v>16</v>
      </c>
      <c r="D2577" s="110"/>
      <c r="E2577" s="110"/>
      <c r="F2577" s="110"/>
      <c r="G2577" s="115">
        <v>0</v>
      </c>
      <c r="H2577" s="115">
        <v>176.98000000000002</v>
      </c>
      <c r="I2577" s="121" t="e">
        <v>#DIV/0!</v>
      </c>
    </row>
    <row r="2578" spans="1:9" x14ac:dyDescent="0.3">
      <c r="A2578" s="35" t="s">
        <v>1956</v>
      </c>
      <c r="B2578" s="35" t="s">
        <v>1957</v>
      </c>
      <c r="C2578" s="106">
        <v>1</v>
      </c>
      <c r="D2578" s="56">
        <v>45959</v>
      </c>
      <c r="E2578">
        <v>5592</v>
      </c>
      <c r="F2578">
        <v>5326</v>
      </c>
      <c r="G2578" s="38">
        <v>266</v>
      </c>
      <c r="H2578" s="38">
        <v>266</v>
      </c>
      <c r="I2578" s="108">
        <v>4.9943672549755916E-2</v>
      </c>
    </row>
    <row r="2579" spans="1:9" x14ac:dyDescent="0.3">
      <c r="A2579" s="35" t="s">
        <v>1956</v>
      </c>
      <c r="B2579" s="35" t="s">
        <v>1957</v>
      </c>
      <c r="C2579" s="106">
        <v>2</v>
      </c>
      <c r="D2579" s="56"/>
      <c r="G2579" s="38">
        <v>0</v>
      </c>
      <c r="H2579" s="38">
        <v>266</v>
      </c>
      <c r="I2579" s="108" t="e">
        <v>#DIV/0!</v>
      </c>
    </row>
    <row r="2580" spans="1:9" x14ac:dyDescent="0.3">
      <c r="A2580" s="35" t="s">
        <v>1956</v>
      </c>
      <c r="B2580" s="35" t="s">
        <v>1957</v>
      </c>
      <c r="C2580" s="106">
        <v>3</v>
      </c>
      <c r="D2580" s="56"/>
      <c r="G2580" s="38">
        <v>0</v>
      </c>
      <c r="H2580" s="38">
        <v>266</v>
      </c>
      <c r="I2580" s="108" t="e">
        <v>#DIV/0!</v>
      </c>
    </row>
    <row r="2581" spans="1:9" x14ac:dyDescent="0.3">
      <c r="A2581" s="35" t="s">
        <v>1956</v>
      </c>
      <c r="B2581" s="35" t="s">
        <v>1957</v>
      </c>
      <c r="C2581" s="106">
        <v>4</v>
      </c>
      <c r="D2581" s="56"/>
      <c r="G2581" s="38">
        <v>0</v>
      </c>
      <c r="H2581" s="38">
        <v>266</v>
      </c>
      <c r="I2581" s="108" t="e">
        <v>#DIV/0!</v>
      </c>
    </row>
    <row r="2582" spans="1:9" x14ac:dyDescent="0.3">
      <c r="A2582" s="35" t="s">
        <v>1956</v>
      </c>
      <c r="B2582" s="35" t="s">
        <v>1957</v>
      </c>
      <c r="C2582" s="106">
        <v>5</v>
      </c>
      <c r="D2582" s="56"/>
      <c r="G2582" s="38">
        <v>0</v>
      </c>
      <c r="H2582" s="38">
        <v>266</v>
      </c>
      <c r="I2582" s="108" t="e">
        <v>#DIV/0!</v>
      </c>
    </row>
    <row r="2583" spans="1:9" x14ac:dyDescent="0.3">
      <c r="A2583" s="35" t="s">
        <v>1956</v>
      </c>
      <c r="B2583" s="35" t="s">
        <v>1957</v>
      </c>
      <c r="C2583" s="106">
        <v>6</v>
      </c>
      <c r="D2583" s="56"/>
      <c r="G2583" s="38">
        <v>0</v>
      </c>
      <c r="H2583" s="38">
        <v>266</v>
      </c>
      <c r="I2583" s="108" t="e">
        <v>#DIV/0!</v>
      </c>
    </row>
    <row r="2584" spans="1:9" x14ac:dyDescent="0.3">
      <c r="A2584" s="35" t="s">
        <v>1956</v>
      </c>
      <c r="B2584" s="35" t="s">
        <v>1957</v>
      </c>
      <c r="C2584" s="106">
        <v>7</v>
      </c>
      <c r="D2584" s="56"/>
      <c r="G2584" s="38">
        <v>0</v>
      </c>
      <c r="H2584" s="38">
        <v>266</v>
      </c>
      <c r="I2584" s="108" t="e">
        <v>#DIV/0!</v>
      </c>
    </row>
    <row r="2585" spans="1:9" x14ac:dyDescent="0.3">
      <c r="A2585" s="35" t="s">
        <v>1956</v>
      </c>
      <c r="B2585" s="35" t="s">
        <v>1957</v>
      </c>
      <c r="C2585" s="106">
        <v>8</v>
      </c>
      <c r="D2585" s="56"/>
      <c r="G2585" s="38">
        <v>0</v>
      </c>
      <c r="H2585" s="38">
        <v>266</v>
      </c>
      <c r="I2585" s="108" t="e">
        <v>#DIV/0!</v>
      </c>
    </row>
    <row r="2586" spans="1:9" x14ac:dyDescent="0.3">
      <c r="A2586" s="35" t="s">
        <v>1956</v>
      </c>
      <c r="B2586" s="35" t="s">
        <v>1957</v>
      </c>
      <c r="C2586" s="106">
        <v>9</v>
      </c>
      <c r="D2586" s="56"/>
      <c r="G2586" s="38">
        <v>0</v>
      </c>
      <c r="H2586" s="38">
        <v>266</v>
      </c>
      <c r="I2586" s="108" t="e">
        <v>#DIV/0!</v>
      </c>
    </row>
    <row r="2587" spans="1:9" x14ac:dyDescent="0.3">
      <c r="A2587" s="35" t="s">
        <v>1956</v>
      </c>
      <c r="B2587" s="35" t="s">
        <v>1957</v>
      </c>
      <c r="C2587" s="106">
        <v>10</v>
      </c>
      <c r="D2587" s="56"/>
      <c r="G2587" s="38">
        <v>0</v>
      </c>
      <c r="H2587" s="38">
        <v>266</v>
      </c>
      <c r="I2587" s="108" t="e">
        <v>#DIV/0!</v>
      </c>
    </row>
    <row r="2588" spans="1:9" x14ac:dyDescent="0.3">
      <c r="A2588" s="35" t="s">
        <v>1956</v>
      </c>
      <c r="B2588" s="35" t="s">
        <v>1957</v>
      </c>
      <c r="C2588" s="106">
        <v>11</v>
      </c>
      <c r="D2588" s="56"/>
      <c r="G2588" s="38">
        <v>0</v>
      </c>
      <c r="H2588" s="38">
        <v>266</v>
      </c>
      <c r="I2588" s="108" t="e">
        <v>#DIV/0!</v>
      </c>
    </row>
    <row r="2589" spans="1:9" x14ac:dyDescent="0.3">
      <c r="A2589" s="35" t="s">
        <v>1956</v>
      </c>
      <c r="B2589" s="35" t="s">
        <v>1957</v>
      </c>
      <c r="C2589" s="106">
        <v>12</v>
      </c>
      <c r="D2589" s="56"/>
      <c r="G2589" s="38">
        <v>0</v>
      </c>
      <c r="H2589" s="38">
        <v>266</v>
      </c>
      <c r="I2589" s="108" t="e">
        <v>#DIV/0!</v>
      </c>
    </row>
    <row r="2590" spans="1:9" x14ac:dyDescent="0.3">
      <c r="A2590" s="35" t="s">
        <v>1956</v>
      </c>
      <c r="B2590" s="35" t="s">
        <v>1957</v>
      </c>
      <c r="C2590" s="106">
        <v>13</v>
      </c>
      <c r="D2590" s="56"/>
      <c r="G2590" s="38">
        <v>0</v>
      </c>
      <c r="H2590" s="38">
        <v>266</v>
      </c>
      <c r="I2590" s="108" t="e">
        <v>#DIV/0!</v>
      </c>
    </row>
    <row r="2591" spans="1:9" x14ac:dyDescent="0.3">
      <c r="A2591" s="35" t="s">
        <v>1956</v>
      </c>
      <c r="B2591" s="35" t="s">
        <v>1957</v>
      </c>
      <c r="C2591" s="106">
        <v>14</v>
      </c>
      <c r="D2591" s="56"/>
      <c r="G2591" s="38">
        <v>0</v>
      </c>
      <c r="H2591" s="38">
        <v>266</v>
      </c>
      <c r="I2591" s="108" t="e">
        <v>#DIV/0!</v>
      </c>
    </row>
    <row r="2592" spans="1:9" x14ac:dyDescent="0.3">
      <c r="A2592" s="35" t="s">
        <v>1956</v>
      </c>
      <c r="B2592" s="35" t="s">
        <v>1957</v>
      </c>
      <c r="C2592" s="106">
        <v>15</v>
      </c>
      <c r="D2592" s="56"/>
      <c r="G2592" s="38">
        <v>0</v>
      </c>
      <c r="H2592" s="38">
        <v>266</v>
      </c>
      <c r="I2592" s="108" t="e">
        <v>#DIV/0!</v>
      </c>
    </row>
    <row r="2593" spans="1:9" ht="15" thickBot="1" x14ac:dyDescent="0.35">
      <c r="A2593" s="109" t="s">
        <v>1956</v>
      </c>
      <c r="B2593" s="109" t="s">
        <v>1957</v>
      </c>
      <c r="C2593" s="114">
        <v>16</v>
      </c>
      <c r="D2593" s="136"/>
      <c r="E2593" s="110"/>
      <c r="F2593" s="110"/>
      <c r="G2593" s="115">
        <v>0</v>
      </c>
      <c r="H2593" s="115">
        <v>266</v>
      </c>
      <c r="I2593" s="121" t="e">
        <v>#DIV/0!</v>
      </c>
    </row>
    <row r="2594" spans="1:9" x14ac:dyDescent="0.3">
      <c r="A2594" s="35" t="s">
        <v>1909</v>
      </c>
      <c r="B2594" s="35" t="s">
        <v>1910</v>
      </c>
      <c r="C2594" s="106">
        <v>1</v>
      </c>
      <c r="D2594" s="56">
        <v>45960</v>
      </c>
      <c r="E2594">
        <v>4879</v>
      </c>
      <c r="F2594">
        <v>4333</v>
      </c>
      <c r="G2594" s="38">
        <v>546</v>
      </c>
      <c r="H2594" s="38">
        <v>546</v>
      </c>
      <c r="I2594" s="108">
        <v>0.12600969305331181</v>
      </c>
    </row>
    <row r="2595" spans="1:9" x14ac:dyDescent="0.3">
      <c r="A2595" s="35" t="s">
        <v>1909</v>
      </c>
      <c r="B2595" s="35" t="s">
        <v>1910</v>
      </c>
      <c r="C2595" s="106">
        <v>2</v>
      </c>
      <c r="G2595" s="38">
        <v>0</v>
      </c>
      <c r="H2595" s="38">
        <v>546</v>
      </c>
      <c r="I2595" s="108" t="e">
        <v>#DIV/0!</v>
      </c>
    </row>
    <row r="2596" spans="1:9" x14ac:dyDescent="0.3">
      <c r="A2596" s="35" t="s">
        <v>1909</v>
      </c>
      <c r="B2596" s="35" t="s">
        <v>1910</v>
      </c>
      <c r="C2596" s="106">
        <v>3</v>
      </c>
      <c r="G2596" s="38">
        <v>0</v>
      </c>
      <c r="H2596" s="38">
        <v>546</v>
      </c>
      <c r="I2596" s="108" t="e">
        <v>#DIV/0!</v>
      </c>
    </row>
    <row r="2597" spans="1:9" x14ac:dyDescent="0.3">
      <c r="A2597" s="35" t="s">
        <v>1909</v>
      </c>
      <c r="B2597" s="35" t="s">
        <v>1910</v>
      </c>
      <c r="C2597" s="106">
        <v>4</v>
      </c>
      <c r="G2597" s="38">
        <v>0</v>
      </c>
      <c r="H2597" s="38">
        <v>546</v>
      </c>
      <c r="I2597" s="108" t="e">
        <v>#DIV/0!</v>
      </c>
    </row>
    <row r="2598" spans="1:9" x14ac:dyDescent="0.3">
      <c r="A2598" s="35" t="s">
        <v>1909</v>
      </c>
      <c r="B2598" s="35" t="s">
        <v>1910</v>
      </c>
      <c r="C2598" s="106">
        <v>5</v>
      </c>
      <c r="G2598" s="38">
        <v>0</v>
      </c>
      <c r="H2598" s="38">
        <v>546</v>
      </c>
      <c r="I2598" s="108" t="e">
        <v>#DIV/0!</v>
      </c>
    </row>
    <row r="2599" spans="1:9" x14ac:dyDescent="0.3">
      <c r="A2599" s="35" t="s">
        <v>1909</v>
      </c>
      <c r="B2599" s="35" t="s">
        <v>1910</v>
      </c>
      <c r="C2599" s="106">
        <v>6</v>
      </c>
      <c r="G2599" s="38">
        <v>0</v>
      </c>
      <c r="H2599" s="38">
        <v>546</v>
      </c>
      <c r="I2599" s="108" t="e">
        <v>#DIV/0!</v>
      </c>
    </row>
    <row r="2600" spans="1:9" x14ac:dyDescent="0.3">
      <c r="A2600" s="35" t="s">
        <v>1909</v>
      </c>
      <c r="B2600" s="35" t="s">
        <v>1910</v>
      </c>
      <c r="C2600" s="106">
        <v>7</v>
      </c>
      <c r="G2600" s="38">
        <v>0</v>
      </c>
      <c r="H2600" s="38">
        <v>546</v>
      </c>
      <c r="I2600" s="108" t="e">
        <v>#DIV/0!</v>
      </c>
    </row>
    <row r="2601" spans="1:9" x14ac:dyDescent="0.3">
      <c r="A2601" s="35" t="s">
        <v>1909</v>
      </c>
      <c r="B2601" s="35" t="s">
        <v>1910</v>
      </c>
      <c r="C2601" s="106">
        <v>8</v>
      </c>
      <c r="G2601" s="38">
        <v>0</v>
      </c>
      <c r="H2601" s="38">
        <v>546</v>
      </c>
      <c r="I2601" s="108" t="e">
        <v>#DIV/0!</v>
      </c>
    </row>
    <row r="2602" spans="1:9" x14ac:dyDescent="0.3">
      <c r="A2602" s="35" t="s">
        <v>1909</v>
      </c>
      <c r="B2602" s="35" t="s">
        <v>1910</v>
      </c>
      <c r="C2602" s="106">
        <v>9</v>
      </c>
      <c r="G2602" s="38">
        <v>0</v>
      </c>
      <c r="H2602" s="38">
        <v>546</v>
      </c>
      <c r="I2602" s="108" t="e">
        <v>#DIV/0!</v>
      </c>
    </row>
    <row r="2603" spans="1:9" x14ac:dyDescent="0.3">
      <c r="A2603" s="35" t="s">
        <v>1909</v>
      </c>
      <c r="B2603" s="35" t="s">
        <v>1910</v>
      </c>
      <c r="C2603" s="106">
        <v>10</v>
      </c>
      <c r="G2603" s="38">
        <v>0</v>
      </c>
      <c r="H2603" s="38">
        <v>546</v>
      </c>
      <c r="I2603" s="108" t="e">
        <v>#DIV/0!</v>
      </c>
    </row>
    <row r="2604" spans="1:9" x14ac:dyDescent="0.3">
      <c r="A2604" s="35" t="s">
        <v>1909</v>
      </c>
      <c r="B2604" s="35" t="s">
        <v>1910</v>
      </c>
      <c r="C2604" s="106">
        <v>11</v>
      </c>
      <c r="G2604" s="38">
        <v>0</v>
      </c>
      <c r="H2604" s="38">
        <v>546</v>
      </c>
      <c r="I2604" s="108" t="e">
        <v>#DIV/0!</v>
      </c>
    </row>
    <row r="2605" spans="1:9" x14ac:dyDescent="0.3">
      <c r="A2605" s="35" t="s">
        <v>1909</v>
      </c>
      <c r="B2605" s="35" t="s">
        <v>1910</v>
      </c>
      <c r="C2605" s="106">
        <v>12</v>
      </c>
      <c r="G2605" s="38">
        <v>0</v>
      </c>
      <c r="H2605" s="38">
        <v>546</v>
      </c>
      <c r="I2605" s="108" t="e">
        <v>#DIV/0!</v>
      </c>
    </row>
    <row r="2606" spans="1:9" x14ac:dyDescent="0.3">
      <c r="A2606" s="35" t="s">
        <v>1909</v>
      </c>
      <c r="B2606" s="35" t="s">
        <v>1910</v>
      </c>
      <c r="C2606" s="106">
        <v>13</v>
      </c>
      <c r="G2606" s="38">
        <v>0</v>
      </c>
      <c r="H2606" s="38">
        <v>546</v>
      </c>
      <c r="I2606" s="108" t="e">
        <v>#DIV/0!</v>
      </c>
    </row>
    <row r="2607" spans="1:9" x14ac:dyDescent="0.3">
      <c r="A2607" s="35" t="s">
        <v>1909</v>
      </c>
      <c r="B2607" s="35" t="s">
        <v>1910</v>
      </c>
      <c r="C2607" s="106">
        <v>14</v>
      </c>
      <c r="G2607" s="38">
        <v>0</v>
      </c>
      <c r="H2607" s="38">
        <v>546</v>
      </c>
      <c r="I2607" s="108" t="e">
        <v>#DIV/0!</v>
      </c>
    </row>
    <row r="2608" spans="1:9" x14ac:dyDescent="0.3">
      <c r="A2608" s="35" t="s">
        <v>1909</v>
      </c>
      <c r="B2608" s="35" t="s">
        <v>1910</v>
      </c>
      <c r="C2608" s="106">
        <v>15</v>
      </c>
      <c r="G2608" s="38">
        <v>0</v>
      </c>
      <c r="H2608" s="38">
        <v>546</v>
      </c>
      <c r="I2608" s="108" t="e">
        <v>#DIV/0!</v>
      </c>
    </row>
    <row r="2609" spans="1:9" ht="15" thickBot="1" x14ac:dyDescent="0.35">
      <c r="A2609" s="109" t="s">
        <v>1909</v>
      </c>
      <c r="B2609" s="109" t="s">
        <v>1910</v>
      </c>
      <c r="C2609" s="114">
        <v>16</v>
      </c>
      <c r="D2609" s="110"/>
      <c r="E2609" s="110"/>
      <c r="F2609" s="110"/>
      <c r="G2609" s="115">
        <v>0</v>
      </c>
      <c r="H2609" s="115">
        <v>546</v>
      </c>
      <c r="I2609" s="121" t="e">
        <v>#DIV/0!</v>
      </c>
    </row>
    <row r="2610" spans="1:9" x14ac:dyDescent="0.3">
      <c r="A2610" s="35" t="s">
        <v>1913</v>
      </c>
      <c r="B2610" s="35" t="s">
        <v>1914</v>
      </c>
      <c r="C2610" s="106">
        <v>1</v>
      </c>
      <c r="D2610" s="56">
        <v>45960</v>
      </c>
      <c r="E2610">
        <v>8145</v>
      </c>
      <c r="F2610">
        <v>7600.07</v>
      </c>
      <c r="G2610" s="38">
        <v>544.93000000000029</v>
      </c>
      <c r="H2610" s="38">
        <v>544.93000000000029</v>
      </c>
      <c r="I2610" s="108">
        <v>7.1700655388700407E-2</v>
      </c>
    </row>
    <row r="2611" spans="1:9" x14ac:dyDescent="0.3">
      <c r="A2611" s="35" t="s">
        <v>1913</v>
      </c>
      <c r="B2611" s="35" t="s">
        <v>1914</v>
      </c>
      <c r="C2611" s="106">
        <v>2</v>
      </c>
      <c r="G2611" s="38">
        <v>0</v>
      </c>
      <c r="H2611" s="38">
        <v>544.93000000000029</v>
      </c>
      <c r="I2611" s="108" t="e">
        <v>#DIV/0!</v>
      </c>
    </row>
    <row r="2612" spans="1:9" x14ac:dyDescent="0.3">
      <c r="A2612" s="35" t="s">
        <v>1913</v>
      </c>
      <c r="B2612" s="35" t="s">
        <v>1914</v>
      </c>
      <c r="C2612" s="106">
        <v>3</v>
      </c>
      <c r="G2612" s="38">
        <v>0</v>
      </c>
      <c r="H2612" s="38">
        <v>544.93000000000029</v>
      </c>
      <c r="I2612" s="108" t="e">
        <v>#DIV/0!</v>
      </c>
    </row>
    <row r="2613" spans="1:9" x14ac:dyDescent="0.3">
      <c r="A2613" s="35" t="s">
        <v>1913</v>
      </c>
      <c r="B2613" s="35" t="s">
        <v>1914</v>
      </c>
      <c r="C2613" s="106">
        <v>4</v>
      </c>
      <c r="G2613" s="38">
        <v>0</v>
      </c>
      <c r="H2613" s="38">
        <v>544.93000000000029</v>
      </c>
      <c r="I2613" s="108" t="e">
        <v>#DIV/0!</v>
      </c>
    </row>
    <row r="2614" spans="1:9" x14ac:dyDescent="0.3">
      <c r="A2614" s="35" t="s">
        <v>1913</v>
      </c>
      <c r="B2614" s="35" t="s">
        <v>1914</v>
      </c>
      <c r="C2614" s="106">
        <v>5</v>
      </c>
      <c r="G2614" s="38">
        <v>0</v>
      </c>
      <c r="H2614" s="38">
        <v>544.93000000000029</v>
      </c>
      <c r="I2614" s="108" t="e">
        <v>#DIV/0!</v>
      </c>
    </row>
    <row r="2615" spans="1:9" x14ac:dyDescent="0.3">
      <c r="A2615" s="35" t="s">
        <v>1913</v>
      </c>
      <c r="B2615" s="35" t="s">
        <v>1914</v>
      </c>
      <c r="C2615" s="106">
        <v>6</v>
      </c>
      <c r="G2615" s="38">
        <v>0</v>
      </c>
      <c r="H2615" s="38">
        <v>544.93000000000029</v>
      </c>
      <c r="I2615" s="108" t="e">
        <v>#DIV/0!</v>
      </c>
    </row>
    <row r="2616" spans="1:9" x14ac:dyDescent="0.3">
      <c r="A2616" s="35" t="s">
        <v>1913</v>
      </c>
      <c r="B2616" s="35" t="s">
        <v>1914</v>
      </c>
      <c r="C2616" s="106">
        <v>7</v>
      </c>
      <c r="G2616" s="38">
        <v>0</v>
      </c>
      <c r="H2616" s="38">
        <v>544.93000000000029</v>
      </c>
      <c r="I2616" s="108" t="e">
        <v>#DIV/0!</v>
      </c>
    </row>
    <row r="2617" spans="1:9" x14ac:dyDescent="0.3">
      <c r="A2617" s="35" t="s">
        <v>1913</v>
      </c>
      <c r="B2617" s="35" t="s">
        <v>1914</v>
      </c>
      <c r="C2617" s="106">
        <v>8</v>
      </c>
      <c r="G2617" s="38">
        <v>0</v>
      </c>
      <c r="H2617" s="38">
        <v>544.93000000000029</v>
      </c>
      <c r="I2617" s="108" t="e">
        <v>#DIV/0!</v>
      </c>
    </row>
    <row r="2618" spans="1:9" x14ac:dyDescent="0.3">
      <c r="A2618" s="35" t="s">
        <v>1913</v>
      </c>
      <c r="B2618" s="35" t="s">
        <v>1914</v>
      </c>
      <c r="C2618" s="106">
        <v>9</v>
      </c>
      <c r="G2618" s="38">
        <v>0</v>
      </c>
      <c r="H2618" s="38">
        <v>544.93000000000029</v>
      </c>
      <c r="I2618" s="108" t="e">
        <v>#DIV/0!</v>
      </c>
    </row>
    <row r="2619" spans="1:9" x14ac:dyDescent="0.3">
      <c r="A2619" s="35" t="s">
        <v>1913</v>
      </c>
      <c r="B2619" s="35" t="s">
        <v>1914</v>
      </c>
      <c r="C2619" s="106">
        <v>10</v>
      </c>
      <c r="G2619" s="38">
        <v>0</v>
      </c>
      <c r="H2619" s="38">
        <v>544.93000000000029</v>
      </c>
      <c r="I2619" s="108" t="e">
        <v>#DIV/0!</v>
      </c>
    </row>
    <row r="2620" spans="1:9" x14ac:dyDescent="0.3">
      <c r="A2620" s="35" t="s">
        <v>1913</v>
      </c>
      <c r="B2620" s="35" t="s">
        <v>1914</v>
      </c>
      <c r="C2620" s="106">
        <v>11</v>
      </c>
      <c r="G2620" s="38">
        <v>0</v>
      </c>
      <c r="H2620" s="38">
        <v>544.93000000000029</v>
      </c>
      <c r="I2620" s="108" t="e">
        <v>#DIV/0!</v>
      </c>
    </row>
    <row r="2621" spans="1:9" x14ac:dyDescent="0.3">
      <c r="A2621" s="35" t="s">
        <v>1913</v>
      </c>
      <c r="B2621" s="35" t="s">
        <v>1914</v>
      </c>
      <c r="C2621" s="106">
        <v>12</v>
      </c>
      <c r="G2621" s="38">
        <v>0</v>
      </c>
      <c r="H2621" s="38">
        <v>544.93000000000029</v>
      </c>
      <c r="I2621" s="108" t="e">
        <v>#DIV/0!</v>
      </c>
    </row>
    <row r="2622" spans="1:9" x14ac:dyDescent="0.3">
      <c r="A2622" s="35" t="s">
        <v>1913</v>
      </c>
      <c r="B2622" s="35" t="s">
        <v>1914</v>
      </c>
      <c r="C2622" s="106">
        <v>13</v>
      </c>
      <c r="G2622" s="38">
        <v>0</v>
      </c>
      <c r="H2622" s="38">
        <v>544.93000000000029</v>
      </c>
      <c r="I2622" s="108" t="e">
        <v>#DIV/0!</v>
      </c>
    </row>
    <row r="2623" spans="1:9" x14ac:dyDescent="0.3">
      <c r="A2623" s="35" t="s">
        <v>1913</v>
      </c>
      <c r="B2623" s="35" t="s">
        <v>1914</v>
      </c>
      <c r="C2623" s="106">
        <v>14</v>
      </c>
      <c r="G2623" s="38">
        <v>0</v>
      </c>
      <c r="H2623" s="38">
        <v>544.93000000000029</v>
      </c>
      <c r="I2623" s="108" t="e">
        <v>#DIV/0!</v>
      </c>
    </row>
    <row r="2624" spans="1:9" x14ac:dyDescent="0.3">
      <c r="A2624" s="35" t="s">
        <v>1913</v>
      </c>
      <c r="B2624" s="35" t="s">
        <v>1914</v>
      </c>
      <c r="C2624" s="106">
        <v>15</v>
      </c>
      <c r="G2624" s="38">
        <v>0</v>
      </c>
      <c r="H2624" s="38">
        <v>544.93000000000029</v>
      </c>
      <c r="I2624" s="108" t="e">
        <v>#DIV/0!</v>
      </c>
    </row>
    <row r="2625" spans="1:9" ht="15" thickBot="1" x14ac:dyDescent="0.35">
      <c r="A2625" s="109" t="s">
        <v>1913</v>
      </c>
      <c r="B2625" s="109" t="s">
        <v>1914</v>
      </c>
      <c r="C2625" s="114">
        <v>16</v>
      </c>
      <c r="D2625" s="110"/>
      <c r="E2625" s="110"/>
      <c r="F2625" s="110"/>
      <c r="G2625" s="115">
        <v>0</v>
      </c>
      <c r="H2625" s="115">
        <v>544.93000000000029</v>
      </c>
      <c r="I2625" s="121" t="e">
        <v>#DIV/0!</v>
      </c>
    </row>
    <row r="2626" spans="1:9" x14ac:dyDescent="0.3">
      <c r="A2626" s="35" t="s">
        <v>1922</v>
      </c>
      <c r="B2626" s="35" t="s">
        <v>1923</v>
      </c>
      <c r="C2626" s="106">
        <v>1</v>
      </c>
      <c r="D2626" s="56">
        <v>45960</v>
      </c>
      <c r="E2626">
        <v>13677</v>
      </c>
      <c r="F2626">
        <v>13150</v>
      </c>
      <c r="G2626" s="38">
        <v>527</v>
      </c>
      <c r="H2626" s="38">
        <v>527</v>
      </c>
      <c r="I2626" s="108">
        <v>4.0076045627376426E-2</v>
      </c>
    </row>
    <row r="2627" spans="1:9" x14ac:dyDescent="0.3">
      <c r="A2627" s="35" t="s">
        <v>1922</v>
      </c>
      <c r="B2627" s="35" t="s">
        <v>1923</v>
      </c>
      <c r="C2627" s="106">
        <v>2</v>
      </c>
      <c r="G2627" s="38">
        <v>0</v>
      </c>
      <c r="H2627" s="38">
        <v>527</v>
      </c>
      <c r="I2627" s="108" t="e">
        <v>#DIV/0!</v>
      </c>
    </row>
    <row r="2628" spans="1:9" x14ac:dyDescent="0.3">
      <c r="A2628" s="35" t="s">
        <v>1922</v>
      </c>
      <c r="B2628" s="35" t="s">
        <v>1923</v>
      </c>
      <c r="C2628" s="106">
        <v>3</v>
      </c>
      <c r="G2628" s="38">
        <v>0</v>
      </c>
      <c r="H2628" s="38">
        <v>527</v>
      </c>
      <c r="I2628" s="108" t="e">
        <v>#DIV/0!</v>
      </c>
    </row>
    <row r="2629" spans="1:9" x14ac:dyDescent="0.3">
      <c r="A2629" s="35" t="s">
        <v>1922</v>
      </c>
      <c r="B2629" s="35" t="s">
        <v>1923</v>
      </c>
      <c r="C2629" s="106">
        <v>4</v>
      </c>
      <c r="G2629" s="38">
        <v>0</v>
      </c>
      <c r="H2629" s="38">
        <v>527</v>
      </c>
      <c r="I2629" s="108" t="e">
        <v>#DIV/0!</v>
      </c>
    </row>
    <row r="2630" spans="1:9" x14ac:dyDescent="0.3">
      <c r="A2630" s="35" t="s">
        <v>1922</v>
      </c>
      <c r="B2630" s="35" t="s">
        <v>1923</v>
      </c>
      <c r="C2630" s="106">
        <v>5</v>
      </c>
      <c r="G2630" s="38">
        <v>0</v>
      </c>
      <c r="H2630" s="38">
        <v>527</v>
      </c>
      <c r="I2630" s="108" t="e">
        <v>#DIV/0!</v>
      </c>
    </row>
    <row r="2631" spans="1:9" x14ac:dyDescent="0.3">
      <c r="A2631" s="35" t="s">
        <v>1922</v>
      </c>
      <c r="B2631" s="35" t="s">
        <v>1923</v>
      </c>
      <c r="C2631" s="106">
        <v>6</v>
      </c>
      <c r="G2631" s="38">
        <v>0</v>
      </c>
      <c r="H2631" s="38">
        <v>527</v>
      </c>
      <c r="I2631" s="108" t="e">
        <v>#DIV/0!</v>
      </c>
    </row>
    <row r="2632" spans="1:9" x14ac:dyDescent="0.3">
      <c r="A2632" s="35" t="s">
        <v>1922</v>
      </c>
      <c r="B2632" s="35" t="s">
        <v>1923</v>
      </c>
      <c r="C2632" s="106">
        <v>7</v>
      </c>
      <c r="G2632" s="38">
        <v>0</v>
      </c>
      <c r="H2632" s="38">
        <v>527</v>
      </c>
      <c r="I2632" s="108" t="e">
        <v>#DIV/0!</v>
      </c>
    </row>
    <row r="2633" spans="1:9" x14ac:dyDescent="0.3">
      <c r="A2633" s="35" t="s">
        <v>1922</v>
      </c>
      <c r="B2633" s="35" t="s">
        <v>1923</v>
      </c>
      <c r="C2633" s="106">
        <v>8</v>
      </c>
      <c r="G2633" s="38">
        <v>0</v>
      </c>
      <c r="H2633" s="38">
        <v>527</v>
      </c>
      <c r="I2633" s="108" t="e">
        <v>#DIV/0!</v>
      </c>
    </row>
    <row r="2634" spans="1:9" x14ac:dyDescent="0.3">
      <c r="A2634" s="35" t="s">
        <v>1922</v>
      </c>
      <c r="B2634" s="35" t="s">
        <v>1923</v>
      </c>
      <c r="C2634" s="106">
        <v>9</v>
      </c>
      <c r="G2634" s="38">
        <v>0</v>
      </c>
      <c r="H2634" s="38">
        <v>527</v>
      </c>
      <c r="I2634" s="108" t="e">
        <v>#DIV/0!</v>
      </c>
    </row>
    <row r="2635" spans="1:9" x14ac:dyDescent="0.3">
      <c r="A2635" s="35" t="s">
        <v>1922</v>
      </c>
      <c r="B2635" s="35" t="s">
        <v>1923</v>
      </c>
      <c r="C2635" s="106">
        <v>10</v>
      </c>
      <c r="G2635" s="38">
        <v>0</v>
      </c>
      <c r="H2635" s="38">
        <v>527</v>
      </c>
      <c r="I2635" s="108" t="e">
        <v>#DIV/0!</v>
      </c>
    </row>
    <row r="2636" spans="1:9" x14ac:dyDescent="0.3">
      <c r="A2636" s="35" t="s">
        <v>1922</v>
      </c>
      <c r="B2636" s="35" t="s">
        <v>1923</v>
      </c>
      <c r="C2636" s="106">
        <v>11</v>
      </c>
      <c r="G2636" s="38">
        <v>0</v>
      </c>
      <c r="H2636" s="38">
        <v>527</v>
      </c>
      <c r="I2636" s="108" t="e">
        <v>#DIV/0!</v>
      </c>
    </row>
    <row r="2637" spans="1:9" x14ac:dyDescent="0.3">
      <c r="A2637" s="35" t="s">
        <v>1922</v>
      </c>
      <c r="B2637" s="35" t="s">
        <v>1923</v>
      </c>
      <c r="C2637" s="106">
        <v>12</v>
      </c>
      <c r="G2637" s="38">
        <v>0</v>
      </c>
      <c r="H2637" s="38">
        <v>527</v>
      </c>
      <c r="I2637" s="108" t="e">
        <v>#DIV/0!</v>
      </c>
    </row>
    <row r="2638" spans="1:9" x14ac:dyDescent="0.3">
      <c r="A2638" s="35" t="s">
        <v>1922</v>
      </c>
      <c r="B2638" s="35" t="s">
        <v>1923</v>
      </c>
      <c r="C2638" s="106">
        <v>13</v>
      </c>
      <c r="G2638" s="38">
        <v>0</v>
      </c>
      <c r="H2638" s="38">
        <v>527</v>
      </c>
      <c r="I2638" s="108" t="e">
        <v>#DIV/0!</v>
      </c>
    </row>
    <row r="2639" spans="1:9" x14ac:dyDescent="0.3">
      <c r="A2639" s="35" t="s">
        <v>1922</v>
      </c>
      <c r="B2639" s="35" t="s">
        <v>1923</v>
      </c>
      <c r="C2639" s="106">
        <v>14</v>
      </c>
      <c r="G2639" s="38">
        <v>0</v>
      </c>
      <c r="H2639" s="38">
        <v>527</v>
      </c>
      <c r="I2639" s="108" t="e">
        <v>#DIV/0!</v>
      </c>
    </row>
    <row r="2640" spans="1:9" x14ac:dyDescent="0.3">
      <c r="A2640" s="35" t="s">
        <v>1922</v>
      </c>
      <c r="B2640" s="35" t="s">
        <v>1923</v>
      </c>
      <c r="C2640" s="106">
        <v>15</v>
      </c>
      <c r="G2640" s="38">
        <v>0</v>
      </c>
      <c r="H2640" s="38">
        <v>527</v>
      </c>
      <c r="I2640" s="108" t="e">
        <v>#DIV/0!</v>
      </c>
    </row>
    <row r="2641" spans="1:9" ht="15" thickBot="1" x14ac:dyDescent="0.35">
      <c r="A2641" s="109" t="s">
        <v>1922</v>
      </c>
      <c r="B2641" s="109" t="s">
        <v>1923</v>
      </c>
      <c r="C2641" s="114">
        <v>16</v>
      </c>
      <c r="D2641" s="110"/>
      <c r="E2641" s="110"/>
      <c r="F2641" s="110"/>
      <c r="G2641" s="115">
        <v>0</v>
      </c>
      <c r="H2641" s="115">
        <v>527</v>
      </c>
      <c r="I2641" s="121" t="e">
        <v>#DIV/0!</v>
      </c>
    </row>
    <row r="2642" spans="1:9" x14ac:dyDescent="0.3">
      <c r="A2642" s="35" t="s">
        <v>1915</v>
      </c>
      <c r="B2642" s="35" t="s">
        <v>1916</v>
      </c>
      <c r="C2642" s="106">
        <v>1</v>
      </c>
      <c r="E2642">
        <v>20115</v>
      </c>
      <c r="F2642">
        <v>19153</v>
      </c>
      <c r="G2642" s="38">
        <v>962</v>
      </c>
      <c r="H2642" s="38">
        <v>962</v>
      </c>
      <c r="I2642" s="108">
        <v>5.0227118467080875E-2</v>
      </c>
    </row>
    <row r="2643" spans="1:9" x14ac:dyDescent="0.3">
      <c r="A2643" s="35" t="s">
        <v>1915</v>
      </c>
      <c r="B2643" s="35" t="s">
        <v>1916</v>
      </c>
      <c r="C2643" s="106">
        <v>2</v>
      </c>
      <c r="G2643" s="38">
        <v>0</v>
      </c>
      <c r="H2643" s="38">
        <v>962</v>
      </c>
      <c r="I2643" s="108" t="e">
        <v>#DIV/0!</v>
      </c>
    </row>
    <row r="2644" spans="1:9" x14ac:dyDescent="0.3">
      <c r="A2644" s="35" t="s">
        <v>1915</v>
      </c>
      <c r="B2644" s="35" t="s">
        <v>1916</v>
      </c>
      <c r="C2644" s="106">
        <v>3</v>
      </c>
      <c r="G2644" s="38">
        <v>0</v>
      </c>
      <c r="H2644" s="38">
        <v>962</v>
      </c>
      <c r="I2644" s="108" t="e">
        <v>#DIV/0!</v>
      </c>
    </row>
    <row r="2645" spans="1:9" x14ac:dyDescent="0.3">
      <c r="A2645" s="35" t="s">
        <v>1915</v>
      </c>
      <c r="B2645" s="35" t="s">
        <v>1916</v>
      </c>
      <c r="C2645" s="106">
        <v>4</v>
      </c>
      <c r="G2645" s="38">
        <v>0</v>
      </c>
      <c r="H2645" s="38">
        <v>962</v>
      </c>
      <c r="I2645" s="108" t="e">
        <v>#DIV/0!</v>
      </c>
    </row>
    <row r="2646" spans="1:9" x14ac:dyDescent="0.3">
      <c r="A2646" s="35" t="s">
        <v>1915</v>
      </c>
      <c r="B2646" s="35" t="s">
        <v>1916</v>
      </c>
      <c r="C2646" s="106">
        <v>5</v>
      </c>
      <c r="G2646" s="38">
        <v>0</v>
      </c>
      <c r="H2646" s="38">
        <v>962</v>
      </c>
      <c r="I2646" s="108" t="e">
        <v>#DIV/0!</v>
      </c>
    </row>
    <row r="2647" spans="1:9" x14ac:dyDescent="0.3">
      <c r="A2647" s="35" t="s">
        <v>1915</v>
      </c>
      <c r="B2647" s="35" t="s">
        <v>1916</v>
      </c>
      <c r="C2647" s="106">
        <v>6</v>
      </c>
      <c r="G2647" s="38">
        <v>0</v>
      </c>
      <c r="H2647" s="38">
        <v>962</v>
      </c>
      <c r="I2647" s="108" t="e">
        <v>#DIV/0!</v>
      </c>
    </row>
    <row r="2648" spans="1:9" x14ac:dyDescent="0.3">
      <c r="A2648" s="35" t="s">
        <v>1915</v>
      </c>
      <c r="B2648" s="35" t="s">
        <v>1916</v>
      </c>
      <c r="C2648" s="106">
        <v>7</v>
      </c>
      <c r="G2648" s="38">
        <v>0</v>
      </c>
      <c r="H2648" s="38">
        <v>962</v>
      </c>
      <c r="I2648" s="108" t="e">
        <v>#DIV/0!</v>
      </c>
    </row>
    <row r="2649" spans="1:9" x14ac:dyDescent="0.3">
      <c r="A2649" s="35" t="s">
        <v>1915</v>
      </c>
      <c r="B2649" s="35" t="s">
        <v>1916</v>
      </c>
      <c r="C2649" s="106">
        <v>8</v>
      </c>
      <c r="G2649" s="38">
        <v>0</v>
      </c>
      <c r="H2649" s="38">
        <v>962</v>
      </c>
      <c r="I2649" s="108" t="e">
        <v>#DIV/0!</v>
      </c>
    </row>
    <row r="2650" spans="1:9" x14ac:dyDescent="0.3">
      <c r="A2650" s="35" t="s">
        <v>1915</v>
      </c>
      <c r="B2650" s="35" t="s">
        <v>1916</v>
      </c>
      <c r="C2650" s="106">
        <v>9</v>
      </c>
      <c r="G2650" s="38">
        <v>0</v>
      </c>
      <c r="H2650" s="38">
        <v>962</v>
      </c>
      <c r="I2650" s="108" t="e">
        <v>#DIV/0!</v>
      </c>
    </row>
    <row r="2651" spans="1:9" x14ac:dyDescent="0.3">
      <c r="A2651" s="35" t="s">
        <v>1915</v>
      </c>
      <c r="B2651" s="35" t="s">
        <v>1916</v>
      </c>
      <c r="C2651" s="106">
        <v>10</v>
      </c>
      <c r="G2651" s="38">
        <v>0</v>
      </c>
      <c r="H2651" s="38">
        <v>962</v>
      </c>
      <c r="I2651" s="108" t="e">
        <v>#DIV/0!</v>
      </c>
    </row>
    <row r="2652" spans="1:9" x14ac:dyDescent="0.3">
      <c r="A2652" s="35" t="s">
        <v>1915</v>
      </c>
      <c r="B2652" s="35" t="s">
        <v>1916</v>
      </c>
      <c r="C2652" s="106">
        <v>11</v>
      </c>
      <c r="G2652" s="38">
        <v>0</v>
      </c>
      <c r="H2652" s="38">
        <v>962</v>
      </c>
      <c r="I2652" s="108" t="e">
        <v>#DIV/0!</v>
      </c>
    </row>
    <row r="2653" spans="1:9" x14ac:dyDescent="0.3">
      <c r="A2653" s="35" t="s">
        <v>1915</v>
      </c>
      <c r="B2653" s="35" t="s">
        <v>1916</v>
      </c>
      <c r="C2653" s="106">
        <v>12</v>
      </c>
      <c r="G2653" s="38">
        <v>0</v>
      </c>
      <c r="H2653" s="38">
        <v>962</v>
      </c>
      <c r="I2653" s="108" t="e">
        <v>#DIV/0!</v>
      </c>
    </row>
    <row r="2654" spans="1:9" x14ac:dyDescent="0.3">
      <c r="A2654" s="35" t="s">
        <v>1915</v>
      </c>
      <c r="B2654" s="35" t="s">
        <v>1916</v>
      </c>
      <c r="C2654" s="106">
        <v>13</v>
      </c>
      <c r="G2654" s="38">
        <v>0</v>
      </c>
      <c r="H2654" s="38">
        <v>962</v>
      </c>
      <c r="I2654" s="108" t="e">
        <v>#DIV/0!</v>
      </c>
    </row>
    <row r="2655" spans="1:9" x14ac:dyDescent="0.3">
      <c r="A2655" s="35" t="s">
        <v>1915</v>
      </c>
      <c r="B2655" s="35" t="s">
        <v>1916</v>
      </c>
      <c r="C2655" s="106">
        <v>14</v>
      </c>
      <c r="G2655" s="38">
        <v>0</v>
      </c>
      <c r="H2655" s="38">
        <v>962</v>
      </c>
      <c r="I2655" s="108" t="e">
        <v>#DIV/0!</v>
      </c>
    </row>
    <row r="2656" spans="1:9" x14ac:dyDescent="0.3">
      <c r="A2656" s="35" t="s">
        <v>1915</v>
      </c>
      <c r="B2656" s="35" t="s">
        <v>1916</v>
      </c>
      <c r="C2656" s="106">
        <v>15</v>
      </c>
      <c r="G2656" s="38">
        <v>0</v>
      </c>
      <c r="H2656" s="38">
        <v>962</v>
      </c>
      <c r="I2656" s="108" t="e">
        <v>#DIV/0!</v>
      </c>
    </row>
    <row r="2657" spans="1:9" ht="15" thickBot="1" x14ac:dyDescent="0.35">
      <c r="A2657" s="109" t="s">
        <v>1915</v>
      </c>
      <c r="B2657" s="109" t="s">
        <v>1916</v>
      </c>
      <c r="C2657" s="106">
        <v>16</v>
      </c>
      <c r="D2657" s="110"/>
      <c r="E2657" s="110"/>
      <c r="F2657" s="110"/>
      <c r="G2657" s="115">
        <v>0</v>
      </c>
      <c r="H2657" s="115">
        <v>962</v>
      </c>
      <c r="I2657" s="121" t="e">
        <v>#DIV/0!</v>
      </c>
    </row>
    <row r="2658" spans="1:9" x14ac:dyDescent="0.3">
      <c r="A2658" s="35" t="s">
        <v>1958</v>
      </c>
      <c r="B2658" s="35" t="s">
        <v>1959</v>
      </c>
      <c r="D2658" s="56">
        <v>45961</v>
      </c>
      <c r="E2658">
        <v>9457</v>
      </c>
      <c r="F2658">
        <v>9007</v>
      </c>
      <c r="G2658" s="38">
        <v>450</v>
      </c>
      <c r="H2658" s="38">
        <v>450</v>
      </c>
      <c r="I2658" s="108">
        <v>4.9961141334517595E-2</v>
      </c>
    </row>
    <row r="2659" spans="1:9" x14ac:dyDescent="0.3">
      <c r="A2659" s="35" t="s">
        <v>1958</v>
      </c>
      <c r="B2659" s="35" t="s">
        <v>1959</v>
      </c>
      <c r="G2659" s="38">
        <v>0</v>
      </c>
      <c r="H2659" s="38">
        <v>450</v>
      </c>
      <c r="I2659" s="108" t="e">
        <v>#DIV/0!</v>
      </c>
    </row>
    <row r="2660" spans="1:9" x14ac:dyDescent="0.3">
      <c r="A2660" s="35" t="s">
        <v>1958</v>
      </c>
      <c r="B2660" s="35" t="s">
        <v>1959</v>
      </c>
      <c r="G2660" s="38">
        <v>0</v>
      </c>
      <c r="H2660" s="38">
        <v>450</v>
      </c>
      <c r="I2660" s="108" t="e">
        <v>#DIV/0!</v>
      </c>
    </row>
    <row r="2661" spans="1:9" x14ac:dyDescent="0.3">
      <c r="A2661" s="35" t="s">
        <v>1958</v>
      </c>
      <c r="B2661" s="35" t="s">
        <v>1959</v>
      </c>
      <c r="G2661" s="38">
        <v>0</v>
      </c>
      <c r="H2661" s="38">
        <v>450</v>
      </c>
      <c r="I2661" s="108" t="e">
        <v>#DIV/0!</v>
      </c>
    </row>
    <row r="2662" spans="1:9" x14ac:dyDescent="0.3">
      <c r="A2662" s="35" t="s">
        <v>1958</v>
      </c>
      <c r="B2662" s="35" t="s">
        <v>1959</v>
      </c>
      <c r="G2662" s="38">
        <v>0</v>
      </c>
      <c r="H2662" s="38">
        <v>450</v>
      </c>
      <c r="I2662" s="108" t="e">
        <v>#DIV/0!</v>
      </c>
    </row>
    <row r="2663" spans="1:9" x14ac:dyDescent="0.3">
      <c r="A2663" s="35" t="s">
        <v>1958</v>
      </c>
      <c r="B2663" s="35" t="s">
        <v>1959</v>
      </c>
      <c r="G2663" s="38">
        <v>0</v>
      </c>
      <c r="H2663" s="38">
        <v>450</v>
      </c>
      <c r="I2663" s="108" t="e">
        <v>#DIV/0!</v>
      </c>
    </row>
    <row r="2664" spans="1:9" x14ac:dyDescent="0.3">
      <c r="A2664" s="35" t="s">
        <v>1958</v>
      </c>
      <c r="B2664" s="35" t="s">
        <v>1959</v>
      </c>
      <c r="G2664" s="38">
        <v>0</v>
      </c>
      <c r="H2664" s="38">
        <v>450</v>
      </c>
      <c r="I2664" s="108" t="e">
        <v>#DIV/0!</v>
      </c>
    </row>
    <row r="2665" spans="1:9" x14ac:dyDescent="0.3">
      <c r="A2665" s="35" t="s">
        <v>1958</v>
      </c>
      <c r="B2665" s="35" t="s">
        <v>1959</v>
      </c>
      <c r="G2665" s="38">
        <v>0</v>
      </c>
      <c r="H2665" s="38">
        <v>450</v>
      </c>
      <c r="I2665" s="108" t="e">
        <v>#DIV/0!</v>
      </c>
    </row>
    <row r="2666" spans="1:9" x14ac:dyDescent="0.3">
      <c r="A2666" s="35" t="s">
        <v>1958</v>
      </c>
      <c r="B2666" s="35" t="s">
        <v>1959</v>
      </c>
      <c r="G2666" s="38">
        <v>0</v>
      </c>
      <c r="H2666" s="38">
        <v>450</v>
      </c>
      <c r="I2666" s="108" t="e">
        <v>#DIV/0!</v>
      </c>
    </row>
    <row r="2667" spans="1:9" x14ac:dyDescent="0.3">
      <c r="A2667" s="35" t="s">
        <v>1958</v>
      </c>
      <c r="B2667" s="35" t="s">
        <v>1959</v>
      </c>
      <c r="G2667" s="38">
        <v>0</v>
      </c>
      <c r="H2667" s="38">
        <v>450</v>
      </c>
      <c r="I2667" s="108" t="e">
        <v>#DIV/0!</v>
      </c>
    </row>
    <row r="2668" spans="1:9" x14ac:dyDescent="0.3">
      <c r="A2668" s="35" t="s">
        <v>1958</v>
      </c>
      <c r="B2668" s="35" t="s">
        <v>1959</v>
      </c>
      <c r="G2668" s="38">
        <v>0</v>
      </c>
      <c r="H2668" s="38">
        <v>450</v>
      </c>
      <c r="I2668" s="108" t="e">
        <v>#DIV/0!</v>
      </c>
    </row>
    <row r="2669" spans="1:9" x14ac:dyDescent="0.3">
      <c r="A2669" s="35" t="s">
        <v>1958</v>
      </c>
      <c r="B2669" s="35" t="s">
        <v>1959</v>
      </c>
      <c r="G2669" s="38">
        <v>0</v>
      </c>
      <c r="H2669" s="38">
        <v>450</v>
      </c>
      <c r="I2669" s="108" t="e">
        <v>#DIV/0!</v>
      </c>
    </row>
    <row r="2670" spans="1:9" x14ac:dyDescent="0.3">
      <c r="A2670" s="35" t="s">
        <v>1958</v>
      </c>
      <c r="B2670" s="35" t="s">
        <v>1959</v>
      </c>
      <c r="G2670" s="38">
        <v>0</v>
      </c>
      <c r="H2670" s="38">
        <v>450</v>
      </c>
      <c r="I2670" s="108" t="e">
        <v>#DIV/0!</v>
      </c>
    </row>
    <row r="2671" spans="1:9" x14ac:dyDescent="0.3">
      <c r="A2671" s="35" t="s">
        <v>1958</v>
      </c>
      <c r="B2671" s="35" t="s">
        <v>1959</v>
      </c>
      <c r="G2671" s="38">
        <v>0</v>
      </c>
      <c r="H2671" s="38">
        <v>450</v>
      </c>
      <c r="I2671" s="108" t="e">
        <v>#DIV/0!</v>
      </c>
    </row>
    <row r="2672" spans="1:9" x14ac:dyDescent="0.3">
      <c r="A2672" s="35" t="s">
        <v>1958</v>
      </c>
      <c r="B2672" s="35" t="s">
        <v>1959</v>
      </c>
      <c r="G2672" s="38">
        <v>0</v>
      </c>
      <c r="H2672" s="38">
        <v>450</v>
      </c>
      <c r="I2672" s="108" t="e">
        <v>#DIV/0!</v>
      </c>
    </row>
    <row r="2673" spans="1:9" ht="15" thickBot="1" x14ac:dyDescent="0.35">
      <c r="A2673" s="109" t="s">
        <v>1958</v>
      </c>
      <c r="B2673" s="109" t="s">
        <v>1959</v>
      </c>
      <c r="D2673" s="110"/>
      <c r="E2673" s="110"/>
      <c r="F2673" s="110"/>
      <c r="G2673" s="115">
        <v>0</v>
      </c>
      <c r="H2673" s="115">
        <v>450</v>
      </c>
      <c r="I2673" s="121" t="e">
        <v>#DIV/0!</v>
      </c>
    </row>
    <row r="2674" spans="1:9" x14ac:dyDescent="0.3">
      <c r="A2674" s="35" t="s">
        <v>2002</v>
      </c>
      <c r="B2674" s="35" t="s">
        <v>2003</v>
      </c>
      <c r="D2674" s="56">
        <v>45960</v>
      </c>
      <c r="E2674">
        <v>4800</v>
      </c>
      <c r="F2674">
        <v>4409</v>
      </c>
      <c r="G2674" s="38">
        <v>391</v>
      </c>
      <c r="H2674" s="38">
        <v>391</v>
      </c>
      <c r="I2674" s="108">
        <v>8.8682240870945797E-2</v>
      </c>
    </row>
    <row r="2675" spans="1:9" x14ac:dyDescent="0.3">
      <c r="A2675" s="35" t="s">
        <v>2002</v>
      </c>
      <c r="B2675" s="35" t="s">
        <v>2003</v>
      </c>
      <c r="G2675" s="38">
        <v>0</v>
      </c>
      <c r="H2675" s="38">
        <v>391</v>
      </c>
      <c r="I2675" s="108" t="e">
        <v>#DIV/0!</v>
      </c>
    </row>
    <row r="2676" spans="1:9" x14ac:dyDescent="0.3">
      <c r="A2676" s="35" t="s">
        <v>2002</v>
      </c>
      <c r="B2676" s="35" t="s">
        <v>2003</v>
      </c>
      <c r="G2676" s="38">
        <v>0</v>
      </c>
      <c r="H2676" s="38">
        <v>391</v>
      </c>
      <c r="I2676" s="108" t="e">
        <v>#DIV/0!</v>
      </c>
    </row>
    <row r="2677" spans="1:9" x14ac:dyDescent="0.3">
      <c r="A2677" s="35" t="s">
        <v>2002</v>
      </c>
      <c r="B2677" s="35" t="s">
        <v>2003</v>
      </c>
      <c r="G2677" s="38">
        <v>0</v>
      </c>
      <c r="H2677" s="38">
        <v>391</v>
      </c>
      <c r="I2677" s="108" t="e">
        <v>#DIV/0!</v>
      </c>
    </row>
    <row r="2678" spans="1:9" x14ac:dyDescent="0.3">
      <c r="A2678" s="35" t="s">
        <v>2002</v>
      </c>
      <c r="B2678" s="35" t="s">
        <v>2003</v>
      </c>
      <c r="G2678" s="38">
        <v>0</v>
      </c>
      <c r="H2678" s="38">
        <v>391</v>
      </c>
      <c r="I2678" s="108" t="e">
        <v>#DIV/0!</v>
      </c>
    </row>
    <row r="2679" spans="1:9" x14ac:dyDescent="0.3">
      <c r="A2679" s="35" t="s">
        <v>2002</v>
      </c>
      <c r="B2679" s="35" t="s">
        <v>2003</v>
      </c>
      <c r="G2679" s="38">
        <v>0</v>
      </c>
      <c r="H2679" s="38">
        <v>391</v>
      </c>
      <c r="I2679" s="108" t="e">
        <v>#DIV/0!</v>
      </c>
    </row>
    <row r="2680" spans="1:9" x14ac:dyDescent="0.3">
      <c r="A2680" s="35" t="s">
        <v>2002</v>
      </c>
      <c r="B2680" s="35" t="s">
        <v>2003</v>
      </c>
      <c r="G2680" s="38">
        <v>0</v>
      </c>
      <c r="H2680" s="38">
        <v>391</v>
      </c>
      <c r="I2680" s="108" t="e">
        <v>#DIV/0!</v>
      </c>
    </row>
    <row r="2681" spans="1:9" x14ac:dyDescent="0.3">
      <c r="A2681" s="35" t="s">
        <v>2002</v>
      </c>
      <c r="B2681" s="35" t="s">
        <v>2003</v>
      </c>
      <c r="G2681" s="38">
        <v>0</v>
      </c>
      <c r="H2681" s="38">
        <v>391</v>
      </c>
      <c r="I2681" s="108" t="e">
        <v>#DIV/0!</v>
      </c>
    </row>
    <row r="2682" spans="1:9" x14ac:dyDescent="0.3">
      <c r="A2682" s="35" t="s">
        <v>2002</v>
      </c>
      <c r="B2682" s="35" t="s">
        <v>2003</v>
      </c>
      <c r="G2682" s="38">
        <v>0</v>
      </c>
      <c r="H2682" s="38">
        <v>391</v>
      </c>
      <c r="I2682" s="108" t="e">
        <v>#DIV/0!</v>
      </c>
    </row>
    <row r="2683" spans="1:9" x14ac:dyDescent="0.3">
      <c r="A2683" s="35" t="s">
        <v>2002</v>
      </c>
      <c r="B2683" s="35" t="s">
        <v>2003</v>
      </c>
      <c r="G2683" s="38">
        <v>0</v>
      </c>
      <c r="H2683" s="38">
        <v>391</v>
      </c>
      <c r="I2683" s="108" t="e">
        <v>#DIV/0!</v>
      </c>
    </row>
    <row r="2684" spans="1:9" x14ac:dyDescent="0.3">
      <c r="A2684" s="35" t="s">
        <v>2002</v>
      </c>
      <c r="B2684" s="35" t="s">
        <v>2003</v>
      </c>
      <c r="G2684" s="38">
        <v>0</v>
      </c>
      <c r="H2684" s="38">
        <v>391</v>
      </c>
      <c r="I2684" s="108" t="e">
        <v>#DIV/0!</v>
      </c>
    </row>
    <row r="2685" spans="1:9" x14ac:dyDescent="0.3">
      <c r="A2685" s="35" t="s">
        <v>2002</v>
      </c>
      <c r="B2685" s="35" t="s">
        <v>2003</v>
      </c>
      <c r="G2685" s="38">
        <v>0</v>
      </c>
      <c r="H2685" s="38">
        <v>391</v>
      </c>
      <c r="I2685" s="108" t="e">
        <v>#DIV/0!</v>
      </c>
    </row>
    <row r="2686" spans="1:9" x14ac:dyDescent="0.3">
      <c r="A2686" s="35" t="s">
        <v>2002</v>
      </c>
      <c r="B2686" s="35" t="s">
        <v>2003</v>
      </c>
      <c r="G2686" s="38">
        <v>0</v>
      </c>
      <c r="H2686" s="38">
        <v>391</v>
      </c>
      <c r="I2686" s="108" t="e">
        <v>#DIV/0!</v>
      </c>
    </row>
    <row r="2687" spans="1:9" x14ac:dyDescent="0.3">
      <c r="A2687" s="35" t="s">
        <v>2002</v>
      </c>
      <c r="B2687" s="35" t="s">
        <v>2003</v>
      </c>
      <c r="G2687" s="38">
        <v>0</v>
      </c>
      <c r="H2687" s="38">
        <v>391</v>
      </c>
      <c r="I2687" s="108" t="e">
        <v>#DIV/0!</v>
      </c>
    </row>
    <row r="2688" spans="1:9" x14ac:dyDescent="0.3">
      <c r="A2688" s="35" t="s">
        <v>2002</v>
      </c>
      <c r="B2688" s="35" t="s">
        <v>2003</v>
      </c>
      <c r="G2688" s="38">
        <v>0</v>
      </c>
      <c r="H2688" s="38">
        <v>391</v>
      </c>
      <c r="I2688" s="108" t="e">
        <v>#DIV/0!</v>
      </c>
    </row>
    <row r="2689" spans="1:9" x14ac:dyDescent="0.3">
      <c r="A2689" s="35" t="s">
        <v>2002</v>
      </c>
      <c r="B2689" s="35" t="s">
        <v>2003</v>
      </c>
      <c r="G2689" s="38">
        <v>0</v>
      </c>
      <c r="H2689" s="38">
        <v>391</v>
      </c>
      <c r="I2689" s="108" t="e">
        <v>#DIV/0!</v>
      </c>
    </row>
    <row r="2690" spans="1:9" x14ac:dyDescent="0.3">
      <c r="A2690" s="35" t="s">
        <v>1960</v>
      </c>
      <c r="B2690" s="35" t="s">
        <v>1961</v>
      </c>
    </row>
    <row r="2691" spans="1:9" x14ac:dyDescent="0.3">
      <c r="A2691" s="35" t="s">
        <v>2000</v>
      </c>
      <c r="B2691" s="35" t="s">
        <v>2001</v>
      </c>
    </row>
    <row r="2692" spans="1:9" x14ac:dyDescent="0.3">
      <c r="A2692" s="35" t="s">
        <v>2031</v>
      </c>
      <c r="B2692" s="35" t="s">
        <v>2032</v>
      </c>
    </row>
    <row r="2693" spans="1:9" x14ac:dyDescent="0.3">
      <c r="A2693" s="35" t="s">
        <v>2085</v>
      </c>
      <c r="B2693" s="35" t="s">
        <v>2086</v>
      </c>
    </row>
    <row r="2694" spans="1:9" x14ac:dyDescent="0.3">
      <c r="A2694" s="35" t="s">
        <v>2077</v>
      </c>
      <c r="B2694" s="35" t="s">
        <v>2078</v>
      </c>
    </row>
    <row r="2695" spans="1:9" x14ac:dyDescent="0.3">
      <c r="A2695" s="35" t="s">
        <v>2036</v>
      </c>
      <c r="B2695" s="35" t="s">
        <v>2037</v>
      </c>
    </row>
    <row r="2696" spans="1:9" x14ac:dyDescent="0.3">
      <c r="A2696" s="35" t="s">
        <v>2028</v>
      </c>
      <c r="B2696" s="35" t="s">
        <v>2029</v>
      </c>
    </row>
    <row r="2697" spans="1:9" x14ac:dyDescent="0.3">
      <c r="A2697" s="35" t="s">
        <v>2026</v>
      </c>
      <c r="B2697" s="35" t="s">
        <v>186</v>
      </c>
    </row>
    <row r="2698" spans="1:9" x14ac:dyDescent="0.3">
      <c r="A2698" s="35" t="s">
        <v>2081</v>
      </c>
      <c r="B2698" s="35" t="s">
        <v>2082</v>
      </c>
    </row>
    <row r="2699" spans="1:9" x14ac:dyDescent="0.3">
      <c r="A2699" s="35" t="s">
        <v>2075</v>
      </c>
      <c r="B2699" s="35" t="s">
        <v>2076</v>
      </c>
    </row>
    <row r="2700" spans="1:9" x14ac:dyDescent="0.3">
      <c r="A2700" s="35" t="s">
        <v>2033</v>
      </c>
      <c r="B2700" s="35" t="s">
        <v>2034</v>
      </c>
    </row>
    <row r="2701" spans="1:9" x14ac:dyDescent="0.3">
      <c r="A2701" s="35" t="s">
        <v>2083</v>
      </c>
      <c r="B2701" s="35" t="s">
        <v>2084</v>
      </c>
    </row>
    <row r="2702" spans="1:9" x14ac:dyDescent="0.3">
      <c r="A2702" s="35" t="s">
        <v>2087</v>
      </c>
      <c r="B2702" s="35" t="s">
        <v>2088</v>
      </c>
    </row>
    <row r="2703" spans="1:9" x14ac:dyDescent="0.3">
      <c r="A2703" s="35" t="s">
        <v>2079</v>
      </c>
      <c r="B2703" s="35" t="s">
        <v>2080</v>
      </c>
    </row>
    <row r="2704" spans="1:9" x14ac:dyDescent="0.3">
      <c r="A2704" s="35" t="s">
        <v>2146</v>
      </c>
      <c r="B2704" s="35" t="s">
        <v>1103</v>
      </c>
    </row>
    <row r="2705" spans="1:2" x14ac:dyDescent="0.3">
      <c r="A2705" s="35" t="s">
        <v>2131</v>
      </c>
      <c r="B2705" s="35" t="s">
        <v>2132</v>
      </c>
    </row>
    <row r="2706" spans="1:2" x14ac:dyDescent="0.3">
      <c r="A2706" s="35" t="s">
        <v>2137</v>
      </c>
      <c r="B2706" s="35" t="s">
        <v>2138</v>
      </c>
    </row>
    <row r="2707" spans="1:2" x14ac:dyDescent="0.3">
      <c r="A2707" s="35" t="s">
        <v>2133</v>
      </c>
      <c r="B2707" s="35" t="s">
        <v>2134</v>
      </c>
    </row>
    <row r="2708" spans="1:2" x14ac:dyDescent="0.3">
      <c r="A2708" s="35" t="s">
        <v>2139</v>
      </c>
      <c r="B2708" s="35" t="s">
        <v>2140</v>
      </c>
    </row>
    <row r="2709" spans="1:2" x14ac:dyDescent="0.3">
      <c r="A2709" s="35" t="s">
        <v>2147</v>
      </c>
      <c r="B2709" s="35" t="s">
        <v>1998</v>
      </c>
    </row>
    <row r="2710" spans="1:2" x14ac:dyDescent="0.3">
      <c r="A2710" s="35" t="s">
        <v>2142</v>
      </c>
      <c r="B2710" s="35" t="s">
        <v>2143</v>
      </c>
    </row>
    <row r="2711" spans="1:2" x14ac:dyDescent="0.3">
      <c r="A2711" s="35" t="s">
        <v>2155</v>
      </c>
      <c r="B2711" s="35" t="s">
        <v>2156</v>
      </c>
    </row>
    <row r="2712" spans="1:2" x14ac:dyDescent="0.3">
      <c r="A2712" s="35" t="s">
        <v>2157</v>
      </c>
      <c r="B2712" s="35" t="s">
        <v>2158</v>
      </c>
    </row>
    <row r="2713" spans="1:2" x14ac:dyDescent="0.3">
      <c r="A2713" s="35" t="s">
        <v>2159</v>
      </c>
      <c r="B2713" s="35" t="s">
        <v>2160</v>
      </c>
    </row>
    <row r="2714" spans="1:2" x14ac:dyDescent="0.3">
      <c r="A2714" s="35" t="s">
        <v>2135</v>
      </c>
      <c r="B2714" s="35" t="s">
        <v>2136</v>
      </c>
    </row>
    <row r="2715" spans="1:2" x14ac:dyDescent="0.3">
      <c r="A2715" s="35" t="s">
        <v>2144</v>
      </c>
      <c r="B2715" s="35" t="s">
        <v>2145</v>
      </c>
    </row>
    <row r="2716" spans="1:2" x14ac:dyDescent="0.3">
      <c r="A2716" s="35" t="s">
        <v>2161</v>
      </c>
      <c r="B2716" s="35" t="s">
        <v>431</v>
      </c>
    </row>
    <row r="2717" spans="1:2" x14ac:dyDescent="0.3">
      <c r="A2717" s="35" t="s">
        <v>2162</v>
      </c>
      <c r="B2717" s="35" t="s">
        <v>2163</v>
      </c>
    </row>
  </sheetData>
  <autoFilter ref="A1:I2717" xr:uid="{40C0A0B8-8D6C-4672-80A6-910C5C3BB7FA}"/>
  <conditionalFormatting sqref="A1730">
    <cfRule type="duplicateValues" dxfId="0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F745B-B928-489B-AAE6-971880858CDF}">
  <sheetPr codeName="Hoja8"/>
  <dimension ref="A1:AF342"/>
  <sheetViews>
    <sheetView topLeftCell="A56" workbookViewId="0">
      <selection activeCell="E71" sqref="E71:E76"/>
    </sheetView>
  </sheetViews>
  <sheetFormatPr baseColWidth="10" defaultRowHeight="14.4" x14ac:dyDescent="0.3"/>
  <cols>
    <col min="2" max="2" width="29.88671875" bestFit="1" customWidth="1"/>
    <col min="3" max="3" width="26" bestFit="1" customWidth="1"/>
    <col min="4" max="4" width="29.109375" style="1" bestFit="1" customWidth="1"/>
    <col min="6" max="6" width="28.5546875" bestFit="1" customWidth="1"/>
    <col min="7" max="7" width="28.33203125" bestFit="1" customWidth="1"/>
  </cols>
  <sheetData>
    <row r="1" spans="1:32" ht="28.2" customHeight="1" x14ac:dyDescent="0.3">
      <c r="B1" s="39" t="s">
        <v>1086</v>
      </c>
      <c r="C1" s="39" t="s">
        <v>1087</v>
      </c>
      <c r="D1" s="44" t="s">
        <v>1093</v>
      </c>
    </row>
    <row r="2" spans="1:32" x14ac:dyDescent="0.3">
      <c r="A2" s="35" t="s">
        <v>45</v>
      </c>
      <c r="B2" s="35" t="s">
        <v>45</v>
      </c>
      <c r="C2" t="s">
        <v>46</v>
      </c>
      <c r="D2" s="38">
        <v>8608.9199999999983</v>
      </c>
    </row>
    <row r="3" spans="1:32" x14ac:dyDescent="0.3">
      <c r="A3" s="35" t="s">
        <v>53</v>
      </c>
      <c r="B3" s="35" t="s">
        <v>53</v>
      </c>
      <c r="C3" t="s">
        <v>54</v>
      </c>
      <c r="D3" s="38">
        <v>17300.44000000001</v>
      </c>
      <c r="F3" s="117" t="s">
        <v>1317</v>
      </c>
      <c r="G3" t="s">
        <v>1379</v>
      </c>
    </row>
    <row r="4" spans="1:32" x14ac:dyDescent="0.3">
      <c r="A4" s="35" t="s">
        <v>156</v>
      </c>
      <c r="B4" s="35" t="s">
        <v>156</v>
      </c>
      <c r="C4" t="s">
        <v>1095</v>
      </c>
      <c r="D4" s="38">
        <v>5768.7999999999993</v>
      </c>
      <c r="F4" s="45" t="s">
        <v>45</v>
      </c>
      <c r="G4" s="46">
        <v>8608.9199999999983</v>
      </c>
    </row>
    <row r="5" spans="1:32" x14ac:dyDescent="0.3">
      <c r="A5" s="35" t="s">
        <v>150</v>
      </c>
      <c r="B5" s="35" t="s">
        <v>150</v>
      </c>
      <c r="C5" t="s">
        <v>1096</v>
      </c>
      <c r="D5" s="38">
        <v>12959.8</v>
      </c>
      <c r="F5" s="118" t="s">
        <v>46</v>
      </c>
      <c r="G5" s="46">
        <v>8608.9199999999983</v>
      </c>
    </row>
    <row r="6" spans="1:32" x14ac:dyDescent="0.3">
      <c r="A6" s="35" t="s">
        <v>172</v>
      </c>
      <c r="B6" s="35" t="s">
        <v>172</v>
      </c>
      <c r="C6" t="s">
        <v>106</v>
      </c>
      <c r="D6" s="38">
        <v>7897.7599999999984</v>
      </c>
      <c r="F6" s="45" t="s">
        <v>53</v>
      </c>
      <c r="G6" s="46">
        <v>17300.44000000001</v>
      </c>
    </row>
    <row r="7" spans="1:32" x14ac:dyDescent="0.3">
      <c r="A7" s="35" t="s">
        <v>152</v>
      </c>
      <c r="B7" s="35" t="s">
        <v>152</v>
      </c>
      <c r="C7" t="s">
        <v>107</v>
      </c>
      <c r="D7" s="38">
        <v>11655.8</v>
      </c>
      <c r="F7" s="118" t="s">
        <v>54</v>
      </c>
      <c r="G7" s="46">
        <v>17300.44000000001</v>
      </c>
      <c r="AF7" t="e">
        <f>S7/Q7</f>
        <v>#DIV/0!</v>
      </c>
    </row>
    <row r="8" spans="1:32" x14ac:dyDescent="0.3">
      <c r="A8" s="35" t="s">
        <v>158</v>
      </c>
      <c r="B8" s="35" t="s">
        <v>158</v>
      </c>
      <c r="C8" t="s">
        <v>105</v>
      </c>
      <c r="D8" s="38">
        <v>8069.84</v>
      </c>
      <c r="F8" s="45" t="s">
        <v>156</v>
      </c>
      <c r="G8" s="46">
        <v>5768.7999999999993</v>
      </c>
    </row>
    <row r="9" spans="1:32" x14ac:dyDescent="0.3">
      <c r="A9" s="35" t="s">
        <v>166</v>
      </c>
      <c r="B9" s="35" t="s">
        <v>166</v>
      </c>
      <c r="C9" t="s">
        <v>103</v>
      </c>
      <c r="D9" s="38">
        <v>1374.8999999999996</v>
      </c>
      <c r="F9" s="118" t="s">
        <v>1095</v>
      </c>
      <c r="G9" s="46">
        <v>5768.7999999999993</v>
      </c>
    </row>
    <row r="10" spans="1:32" x14ac:dyDescent="0.3">
      <c r="A10" s="35" t="s">
        <v>183</v>
      </c>
      <c r="B10" s="35" t="s">
        <v>183</v>
      </c>
      <c r="C10" t="s">
        <v>162</v>
      </c>
      <c r="D10" s="38">
        <v>5092.7699999999986</v>
      </c>
      <c r="F10" s="45" t="s">
        <v>150</v>
      </c>
      <c r="G10" s="46">
        <v>12959.8</v>
      </c>
    </row>
    <row r="11" spans="1:32" x14ac:dyDescent="0.3">
      <c r="A11" s="35" t="s">
        <v>193</v>
      </c>
      <c r="B11" s="35" t="s">
        <v>193</v>
      </c>
      <c r="C11" t="s">
        <v>180</v>
      </c>
      <c r="D11" s="38">
        <v>2668.5600000000004</v>
      </c>
      <c r="F11" s="118" t="s">
        <v>1096</v>
      </c>
      <c r="G11" s="46">
        <v>12959.8</v>
      </c>
    </row>
    <row r="12" spans="1:32" x14ac:dyDescent="0.3">
      <c r="A12" s="35" t="s">
        <v>398</v>
      </c>
      <c r="B12" s="35" t="s">
        <v>398</v>
      </c>
      <c r="C12" t="s">
        <v>174</v>
      </c>
      <c r="D12" s="38">
        <v>7511.82</v>
      </c>
      <c r="F12" s="45" t="s">
        <v>172</v>
      </c>
      <c r="G12" s="46">
        <v>7897.7599999999984</v>
      </c>
    </row>
    <row r="13" spans="1:32" x14ac:dyDescent="0.3">
      <c r="A13" s="35" t="s">
        <v>192</v>
      </c>
      <c r="B13" s="35" t="s">
        <v>192</v>
      </c>
      <c r="C13" t="s">
        <v>179</v>
      </c>
      <c r="D13" s="38">
        <v>9491.7799999999988</v>
      </c>
      <c r="F13" s="118" t="s">
        <v>106</v>
      </c>
      <c r="G13" s="46">
        <v>7897.7599999999984</v>
      </c>
    </row>
    <row r="14" spans="1:32" x14ac:dyDescent="0.3">
      <c r="A14" s="35" t="s">
        <v>194</v>
      </c>
      <c r="B14" s="35" t="s">
        <v>194</v>
      </c>
      <c r="C14" t="s">
        <v>104</v>
      </c>
      <c r="D14" s="38">
        <v>2724.96</v>
      </c>
      <c r="F14" s="45" t="s">
        <v>152</v>
      </c>
      <c r="G14" s="46">
        <v>11655.8</v>
      </c>
    </row>
    <row r="15" spans="1:32" x14ac:dyDescent="0.3">
      <c r="A15" s="35" t="s">
        <v>195</v>
      </c>
      <c r="B15" s="35" t="s">
        <v>195</v>
      </c>
      <c r="C15" t="s">
        <v>181</v>
      </c>
      <c r="D15" s="38">
        <v>2611.9300000000003</v>
      </c>
      <c r="F15" s="118" t="s">
        <v>107</v>
      </c>
      <c r="G15" s="46">
        <v>11655.8</v>
      </c>
    </row>
    <row r="16" spans="1:32" x14ac:dyDescent="0.3">
      <c r="A16" s="35" t="s">
        <v>389</v>
      </c>
      <c r="B16" s="35" t="s">
        <v>389</v>
      </c>
      <c r="C16" t="s">
        <v>182</v>
      </c>
      <c r="D16" s="38">
        <v>3099.95</v>
      </c>
      <c r="F16" s="45" t="s">
        <v>158</v>
      </c>
      <c r="G16" s="46">
        <v>8069.84</v>
      </c>
    </row>
    <row r="17" spans="1:7" x14ac:dyDescent="0.3">
      <c r="A17" s="35" t="s">
        <v>1097</v>
      </c>
      <c r="B17" s="35" t="s">
        <v>1097</v>
      </c>
      <c r="C17" t="s">
        <v>391</v>
      </c>
      <c r="D17" s="38">
        <v>4761</v>
      </c>
      <c r="F17" s="118" t="s">
        <v>105</v>
      </c>
      <c r="G17" s="46">
        <v>8069.84</v>
      </c>
    </row>
    <row r="18" spans="1:7" x14ac:dyDescent="0.3">
      <c r="A18" s="35" t="s">
        <v>425</v>
      </c>
      <c r="B18" s="35" t="s">
        <v>425</v>
      </c>
      <c r="C18" t="s">
        <v>394</v>
      </c>
      <c r="D18" s="38">
        <v>6938.799999999992</v>
      </c>
      <c r="F18" s="45" t="s">
        <v>166</v>
      </c>
      <c r="G18" s="46">
        <v>1374.8999999999996</v>
      </c>
    </row>
    <row r="19" spans="1:7" x14ac:dyDescent="0.3">
      <c r="A19" s="35" t="s">
        <v>397</v>
      </c>
      <c r="B19" s="35" t="s">
        <v>397</v>
      </c>
      <c r="C19" t="s">
        <v>187</v>
      </c>
      <c r="D19" s="38">
        <v>2537.92</v>
      </c>
      <c r="F19" s="118" t="s">
        <v>103</v>
      </c>
      <c r="G19" s="46">
        <v>1374.8999999999996</v>
      </c>
    </row>
    <row r="20" spans="1:7" x14ac:dyDescent="0.3">
      <c r="A20" s="35" t="s">
        <v>492</v>
      </c>
      <c r="B20" s="35" t="s">
        <v>492</v>
      </c>
      <c r="C20" t="s">
        <v>435</v>
      </c>
      <c r="D20" s="38">
        <v>3239.699999999998</v>
      </c>
      <c r="F20" s="45" t="s">
        <v>183</v>
      </c>
      <c r="G20" s="46">
        <v>5092.7699999999986</v>
      </c>
    </row>
    <row r="21" spans="1:7" x14ac:dyDescent="0.3">
      <c r="A21" s="35" t="s">
        <v>432</v>
      </c>
      <c r="B21" s="35" t="s">
        <v>432</v>
      </c>
      <c r="C21" t="s">
        <v>399</v>
      </c>
      <c r="D21" s="38">
        <v>3694</v>
      </c>
      <c r="F21" s="118" t="s">
        <v>162</v>
      </c>
      <c r="G21" s="46">
        <v>5092.7699999999986</v>
      </c>
    </row>
    <row r="22" spans="1:7" x14ac:dyDescent="0.3">
      <c r="A22" s="35" t="s">
        <v>678</v>
      </c>
      <c r="B22" s="35" t="s">
        <v>678</v>
      </c>
      <c r="C22" t="s">
        <v>395</v>
      </c>
      <c r="D22" s="38">
        <v>2964</v>
      </c>
      <c r="F22" s="45" t="s">
        <v>193</v>
      </c>
      <c r="G22" s="46">
        <v>2668.5600000000004</v>
      </c>
    </row>
    <row r="23" spans="1:7" x14ac:dyDescent="0.3">
      <c r="A23" s="35" t="s">
        <v>566</v>
      </c>
      <c r="B23" s="35" t="s">
        <v>566</v>
      </c>
      <c r="C23" t="s">
        <v>428</v>
      </c>
      <c r="D23" s="38">
        <v>6786</v>
      </c>
      <c r="F23" s="118" t="s">
        <v>180</v>
      </c>
      <c r="G23" s="46">
        <v>2668.5600000000004</v>
      </c>
    </row>
    <row r="24" spans="1:7" x14ac:dyDescent="0.3">
      <c r="A24" s="35" t="s">
        <v>498</v>
      </c>
      <c r="B24" s="35" t="s">
        <v>498</v>
      </c>
      <c r="C24" t="s">
        <v>440</v>
      </c>
      <c r="D24" s="38">
        <v>4580.1899999999987</v>
      </c>
      <c r="F24" s="45" t="s">
        <v>398</v>
      </c>
      <c r="G24" s="46">
        <v>7511.82</v>
      </c>
    </row>
    <row r="25" spans="1:7" x14ac:dyDescent="0.3">
      <c r="A25" s="35" t="s">
        <v>489</v>
      </c>
      <c r="B25" s="35" t="s">
        <v>489</v>
      </c>
      <c r="C25" t="s">
        <v>434</v>
      </c>
      <c r="D25" s="38">
        <v>3488</v>
      </c>
      <c r="F25" s="118" t="s">
        <v>174</v>
      </c>
      <c r="G25" s="46">
        <v>7511.82</v>
      </c>
    </row>
    <row r="26" spans="1:7" x14ac:dyDescent="0.3">
      <c r="A26" s="35" t="s">
        <v>491</v>
      </c>
      <c r="B26" s="35" t="s">
        <v>491</v>
      </c>
      <c r="C26" t="s">
        <v>436</v>
      </c>
      <c r="D26" s="38">
        <v>12452</v>
      </c>
      <c r="F26" s="45" t="s">
        <v>192</v>
      </c>
      <c r="G26" s="46">
        <v>9491.7799999999988</v>
      </c>
    </row>
    <row r="27" spans="1:7" x14ac:dyDescent="0.3">
      <c r="A27" s="35" t="s">
        <v>503</v>
      </c>
      <c r="B27" s="35" t="s">
        <v>503</v>
      </c>
      <c r="C27" t="s">
        <v>429</v>
      </c>
      <c r="D27" s="38">
        <v>3219</v>
      </c>
      <c r="F27" s="118" t="s">
        <v>179</v>
      </c>
      <c r="G27" s="46">
        <v>9491.7799999999988</v>
      </c>
    </row>
    <row r="28" spans="1:7" x14ac:dyDescent="0.3">
      <c r="A28" s="35" t="s">
        <v>652</v>
      </c>
      <c r="B28" s="35" t="s">
        <v>652</v>
      </c>
      <c r="C28" t="s">
        <v>506</v>
      </c>
      <c r="D28" s="38">
        <v>6473</v>
      </c>
      <c r="F28" s="45" t="s">
        <v>194</v>
      </c>
      <c r="G28" s="46">
        <v>2724.96</v>
      </c>
    </row>
    <row r="29" spans="1:7" x14ac:dyDescent="0.3">
      <c r="A29" s="35" t="s">
        <v>568</v>
      </c>
      <c r="B29" s="35" t="s">
        <v>568</v>
      </c>
      <c r="C29" t="s">
        <v>569</v>
      </c>
      <c r="D29" s="38">
        <v>5337</v>
      </c>
      <c r="F29" s="118" t="s">
        <v>104</v>
      </c>
      <c r="G29" s="46">
        <v>2724.96</v>
      </c>
    </row>
    <row r="30" spans="1:7" x14ac:dyDescent="0.3">
      <c r="A30" s="35" t="s">
        <v>1098</v>
      </c>
      <c r="B30" s="35" t="s">
        <v>1098</v>
      </c>
      <c r="C30" t="s">
        <v>496</v>
      </c>
      <c r="D30" s="38">
        <v>5287.1199999999953</v>
      </c>
      <c r="F30" s="45" t="s">
        <v>195</v>
      </c>
      <c r="G30" s="46">
        <v>2611.9300000000003</v>
      </c>
    </row>
    <row r="31" spans="1:7" x14ac:dyDescent="0.3">
      <c r="A31" s="35" t="s">
        <v>605</v>
      </c>
      <c r="B31" s="35" t="s">
        <v>605</v>
      </c>
      <c r="C31" t="s">
        <v>606</v>
      </c>
      <c r="D31" s="38">
        <v>2042.6400000000003</v>
      </c>
      <c r="F31" s="118" t="s">
        <v>181</v>
      </c>
      <c r="G31" s="46">
        <v>2611.9300000000003</v>
      </c>
    </row>
    <row r="32" spans="1:7" x14ac:dyDescent="0.3">
      <c r="A32" s="35" t="s">
        <v>595</v>
      </c>
      <c r="B32" s="35" t="s">
        <v>595</v>
      </c>
      <c r="C32" t="s">
        <v>596</v>
      </c>
      <c r="D32" s="38">
        <v>4221</v>
      </c>
      <c r="F32" s="45" t="s">
        <v>389</v>
      </c>
      <c r="G32" s="46">
        <v>3099.95</v>
      </c>
    </row>
    <row r="33" spans="1:7" x14ac:dyDescent="0.3">
      <c r="A33" s="35" t="s">
        <v>598</v>
      </c>
      <c r="B33" s="35" t="s">
        <v>598</v>
      </c>
      <c r="C33" t="s">
        <v>599</v>
      </c>
      <c r="D33" s="38">
        <v>4160</v>
      </c>
      <c r="F33" s="118" t="s">
        <v>182</v>
      </c>
      <c r="G33" s="46">
        <v>3099.95</v>
      </c>
    </row>
    <row r="34" spans="1:7" x14ac:dyDescent="0.3">
      <c r="A34" s="35" t="s">
        <v>608</v>
      </c>
      <c r="B34" s="35" t="s">
        <v>608</v>
      </c>
      <c r="C34" t="s">
        <v>573</v>
      </c>
      <c r="D34" s="38">
        <v>42327.220000000016</v>
      </c>
      <c r="F34" s="45" t="s">
        <v>1097</v>
      </c>
      <c r="G34" s="46">
        <v>4761</v>
      </c>
    </row>
    <row r="35" spans="1:7" x14ac:dyDescent="0.3">
      <c r="A35" s="35" t="s">
        <v>650</v>
      </c>
      <c r="B35" s="35" t="s">
        <v>650</v>
      </c>
      <c r="C35" t="s">
        <v>575</v>
      </c>
      <c r="D35" s="38">
        <v>2692</v>
      </c>
      <c r="F35" s="118" t="s">
        <v>391</v>
      </c>
      <c r="G35" s="46">
        <v>4761</v>
      </c>
    </row>
    <row r="36" spans="1:7" x14ac:dyDescent="0.3">
      <c r="A36" s="35" t="s">
        <v>660</v>
      </c>
      <c r="B36" s="35" t="s">
        <v>660</v>
      </c>
      <c r="C36" t="s">
        <v>661</v>
      </c>
      <c r="D36" s="38">
        <v>2654</v>
      </c>
      <c r="F36" s="45" t="s">
        <v>425</v>
      </c>
      <c r="G36" s="46">
        <v>6938.799999999992</v>
      </c>
    </row>
    <row r="37" spans="1:7" x14ac:dyDescent="0.3">
      <c r="A37" s="35" t="s">
        <v>653</v>
      </c>
      <c r="B37" s="35" t="s">
        <v>653</v>
      </c>
      <c r="C37" t="s">
        <v>1099</v>
      </c>
      <c r="D37" s="38">
        <v>3430</v>
      </c>
      <c r="F37" s="118" t="s">
        <v>394</v>
      </c>
      <c r="G37" s="46">
        <v>6938.799999999992</v>
      </c>
    </row>
    <row r="38" spans="1:7" x14ac:dyDescent="0.3">
      <c r="A38" s="35" t="s">
        <v>601</v>
      </c>
      <c r="B38" s="35" t="s">
        <v>601</v>
      </c>
      <c r="C38" t="s">
        <v>602</v>
      </c>
      <c r="D38" s="38">
        <v>4907</v>
      </c>
      <c r="F38" s="45" t="s">
        <v>397</v>
      </c>
      <c r="G38" s="46">
        <v>2537.92</v>
      </c>
    </row>
    <row r="39" spans="1:7" x14ac:dyDescent="0.3">
      <c r="A39" s="35" t="s">
        <v>665</v>
      </c>
      <c r="B39" s="35" t="s">
        <v>665</v>
      </c>
      <c r="C39" t="s">
        <v>666</v>
      </c>
      <c r="D39" s="38">
        <v>9576</v>
      </c>
      <c r="F39" s="118" t="s">
        <v>187</v>
      </c>
      <c r="G39" s="46">
        <v>2537.92</v>
      </c>
    </row>
    <row r="40" spans="1:7" x14ac:dyDescent="0.3">
      <c r="A40" s="35" t="s">
        <v>657</v>
      </c>
      <c r="B40" s="35" t="s">
        <v>657</v>
      </c>
      <c r="C40" t="s">
        <v>658</v>
      </c>
      <c r="D40" s="38">
        <v>2949</v>
      </c>
      <c r="F40" s="45" t="s">
        <v>492</v>
      </c>
      <c r="G40" s="46">
        <v>3239.699999999998</v>
      </c>
    </row>
    <row r="41" spans="1:7" x14ac:dyDescent="0.3">
      <c r="A41" s="35" t="s">
        <v>675</v>
      </c>
      <c r="B41" s="35" t="s">
        <v>675</v>
      </c>
      <c r="C41" t="s">
        <v>676</v>
      </c>
      <c r="D41" s="38">
        <v>1230</v>
      </c>
      <c r="F41" s="118" t="s">
        <v>435</v>
      </c>
      <c r="G41" s="46">
        <v>3239.699999999998</v>
      </c>
    </row>
    <row r="42" spans="1:7" x14ac:dyDescent="0.3">
      <c r="A42" s="35" t="s">
        <v>683</v>
      </c>
      <c r="B42" s="35" t="s">
        <v>683</v>
      </c>
      <c r="C42" t="s">
        <v>684</v>
      </c>
      <c r="D42" s="38">
        <v>53900</v>
      </c>
      <c r="F42" s="45" t="s">
        <v>432</v>
      </c>
      <c r="G42" s="46">
        <v>3694</v>
      </c>
    </row>
    <row r="43" spans="1:7" x14ac:dyDescent="0.3">
      <c r="A43" s="35" t="s">
        <v>680</v>
      </c>
      <c r="B43" s="35" t="s">
        <v>680</v>
      </c>
      <c r="C43" t="s">
        <v>681</v>
      </c>
      <c r="D43" s="38">
        <v>3031.5999999999985</v>
      </c>
      <c r="F43" s="118" t="s">
        <v>399</v>
      </c>
      <c r="G43" s="46">
        <v>3694</v>
      </c>
    </row>
    <row r="44" spans="1:7" x14ac:dyDescent="0.3">
      <c r="A44" s="35" t="s">
        <v>673</v>
      </c>
      <c r="B44" s="35" t="s">
        <v>673</v>
      </c>
      <c r="C44" t="s">
        <v>674</v>
      </c>
      <c r="D44" s="38">
        <v>1742</v>
      </c>
      <c r="F44" s="45" t="s">
        <v>678</v>
      </c>
      <c r="G44" s="46">
        <v>2964</v>
      </c>
    </row>
    <row r="45" spans="1:7" x14ac:dyDescent="0.3">
      <c r="A45" s="35" t="s">
        <v>670</v>
      </c>
      <c r="B45" s="35" t="s">
        <v>670</v>
      </c>
      <c r="C45" t="s">
        <v>671</v>
      </c>
      <c r="D45" s="38">
        <v>7765.5499999999984</v>
      </c>
      <c r="F45" s="118" t="s">
        <v>395</v>
      </c>
      <c r="G45" s="46">
        <v>2964</v>
      </c>
    </row>
    <row r="46" spans="1:7" x14ac:dyDescent="0.3">
      <c r="A46" s="35" t="s">
        <v>667</v>
      </c>
      <c r="B46" s="35" t="s">
        <v>667</v>
      </c>
      <c r="C46" t="s">
        <v>668</v>
      </c>
      <c r="D46" s="38">
        <v>6432</v>
      </c>
      <c r="F46" s="45" t="s">
        <v>566</v>
      </c>
      <c r="G46" s="46">
        <v>6786</v>
      </c>
    </row>
    <row r="47" spans="1:7" x14ac:dyDescent="0.3">
      <c r="A47" s="35" t="s">
        <v>688</v>
      </c>
      <c r="B47" s="35" t="s">
        <v>688</v>
      </c>
      <c r="C47" t="s">
        <v>689</v>
      </c>
      <c r="D47" s="38">
        <v>3989.5499999999984</v>
      </c>
      <c r="F47" s="118" t="s">
        <v>428</v>
      </c>
      <c r="G47" s="46">
        <v>6786</v>
      </c>
    </row>
    <row r="48" spans="1:7" x14ac:dyDescent="0.3">
      <c r="A48" s="35" t="s">
        <v>685</v>
      </c>
      <c r="B48" s="35" t="s">
        <v>685</v>
      </c>
      <c r="C48" t="s">
        <v>686</v>
      </c>
      <c r="D48" s="38">
        <v>4588</v>
      </c>
      <c r="F48" s="45" t="s">
        <v>498</v>
      </c>
      <c r="G48" s="46">
        <v>4580.1899999999987</v>
      </c>
    </row>
    <row r="49" spans="1:7" x14ac:dyDescent="0.3">
      <c r="A49" s="35" t="s">
        <v>806</v>
      </c>
      <c r="B49" s="35" t="s">
        <v>806</v>
      </c>
      <c r="C49" t="s">
        <v>807</v>
      </c>
      <c r="D49" s="38">
        <v>2629.6499999999987</v>
      </c>
      <c r="F49" s="118" t="s">
        <v>440</v>
      </c>
      <c r="G49" s="46">
        <v>4580.1899999999987</v>
      </c>
    </row>
    <row r="50" spans="1:7" x14ac:dyDescent="0.3">
      <c r="A50" s="35" t="s">
        <v>809</v>
      </c>
      <c r="B50" s="35" t="s">
        <v>809</v>
      </c>
      <c r="C50" t="s">
        <v>804</v>
      </c>
      <c r="D50" s="38">
        <v>7029</v>
      </c>
      <c r="F50" s="45" t="s">
        <v>489</v>
      </c>
      <c r="G50" s="46">
        <v>3488</v>
      </c>
    </row>
    <row r="51" spans="1:7" x14ac:dyDescent="0.3">
      <c r="A51" s="35" t="s">
        <v>817</v>
      </c>
      <c r="B51" s="35" t="s">
        <v>817</v>
      </c>
      <c r="C51" t="s">
        <v>803</v>
      </c>
      <c r="D51" s="38">
        <v>3343.4400000000023</v>
      </c>
      <c r="F51" s="118" t="s">
        <v>434</v>
      </c>
      <c r="G51" s="46">
        <v>3488</v>
      </c>
    </row>
    <row r="52" spans="1:7" x14ac:dyDescent="0.3">
      <c r="A52" s="35" t="s">
        <v>850</v>
      </c>
      <c r="B52" s="35" t="s">
        <v>850</v>
      </c>
      <c r="C52" t="s">
        <v>810</v>
      </c>
      <c r="D52" s="38">
        <v>4788.4400000000005</v>
      </c>
      <c r="F52" s="45" t="s">
        <v>491</v>
      </c>
      <c r="G52" s="46">
        <v>12452</v>
      </c>
    </row>
    <row r="53" spans="1:7" x14ac:dyDescent="0.3">
      <c r="A53" s="35" t="s">
        <v>1100</v>
      </c>
      <c r="B53" s="35" t="s">
        <v>1100</v>
      </c>
      <c r="C53" t="s">
        <v>815</v>
      </c>
      <c r="D53" s="38">
        <v>4383</v>
      </c>
      <c r="F53" s="118" t="s">
        <v>436</v>
      </c>
      <c r="G53" s="46">
        <v>12452</v>
      </c>
    </row>
    <row r="54" spans="1:7" x14ac:dyDescent="0.3">
      <c r="A54" s="35" t="s">
        <v>848</v>
      </c>
      <c r="B54" s="35" t="s">
        <v>848</v>
      </c>
      <c r="C54" t="s">
        <v>829</v>
      </c>
      <c r="D54" s="38">
        <v>3308.98</v>
      </c>
      <c r="F54" s="45" t="s">
        <v>503</v>
      </c>
      <c r="G54" s="46">
        <v>3219</v>
      </c>
    </row>
    <row r="55" spans="1:7" x14ac:dyDescent="0.3">
      <c r="A55" s="35" t="s">
        <v>852</v>
      </c>
      <c r="B55" s="35" t="s">
        <v>852</v>
      </c>
      <c r="C55" t="s">
        <v>830</v>
      </c>
      <c r="D55" s="38">
        <v>2339</v>
      </c>
      <c r="F55" s="118" t="s">
        <v>429</v>
      </c>
      <c r="G55" s="46">
        <v>3219</v>
      </c>
    </row>
    <row r="56" spans="1:7" x14ac:dyDescent="0.3">
      <c r="A56" s="35" t="s">
        <v>148</v>
      </c>
      <c r="B56" s="35" t="s">
        <v>148</v>
      </c>
      <c r="C56" t="s">
        <v>831</v>
      </c>
      <c r="D56" s="38">
        <v>3222</v>
      </c>
      <c r="F56" s="45" t="s">
        <v>652</v>
      </c>
      <c r="G56" s="46">
        <v>6473</v>
      </c>
    </row>
    <row r="57" spans="1:7" x14ac:dyDescent="0.3">
      <c r="A57" s="35" t="s">
        <v>143</v>
      </c>
      <c r="B57" s="35" t="s">
        <v>143</v>
      </c>
      <c r="C57" t="s">
        <v>877</v>
      </c>
      <c r="D57" s="38">
        <v>2963.9300000000003</v>
      </c>
      <c r="F57" s="118" t="s">
        <v>506</v>
      </c>
      <c r="G57" s="46">
        <v>6473</v>
      </c>
    </row>
    <row r="58" spans="1:7" x14ac:dyDescent="0.3">
      <c r="A58" s="35" t="s">
        <v>154</v>
      </c>
      <c r="B58" s="35" t="s">
        <v>154</v>
      </c>
      <c r="C58" t="s">
        <v>827</v>
      </c>
      <c r="D58" s="38">
        <v>2817</v>
      </c>
      <c r="F58" s="45" t="s">
        <v>568</v>
      </c>
      <c r="G58" s="46">
        <v>5337</v>
      </c>
    </row>
    <row r="59" spans="1:7" x14ac:dyDescent="0.3">
      <c r="A59" s="35" t="s">
        <v>164</v>
      </c>
      <c r="B59" s="35" t="s">
        <v>164</v>
      </c>
      <c r="C59" t="s">
        <v>828</v>
      </c>
      <c r="D59" s="38">
        <v>4515</v>
      </c>
      <c r="F59" s="118" t="s">
        <v>569</v>
      </c>
      <c r="G59" s="46">
        <v>5337</v>
      </c>
    </row>
    <row r="60" spans="1:7" x14ac:dyDescent="0.3">
      <c r="A60" s="35" t="s">
        <v>39</v>
      </c>
      <c r="B60" s="35" t="s">
        <v>39</v>
      </c>
      <c r="C60" t="s">
        <v>812</v>
      </c>
      <c r="D60" s="38">
        <v>2235</v>
      </c>
      <c r="F60" s="45" t="s">
        <v>1098</v>
      </c>
      <c r="G60" s="46">
        <v>5287.1199999999953</v>
      </c>
    </row>
    <row r="61" spans="1:7" x14ac:dyDescent="0.3">
      <c r="A61" s="35" t="s">
        <v>188</v>
      </c>
      <c r="B61" s="35" t="s">
        <v>188</v>
      </c>
      <c r="C61" t="s">
        <v>937</v>
      </c>
      <c r="D61" s="38">
        <v>2899.5800000000017</v>
      </c>
      <c r="F61" s="118" t="s">
        <v>496</v>
      </c>
      <c r="G61" s="46">
        <v>5287.1199999999953</v>
      </c>
    </row>
    <row r="62" spans="1:7" x14ac:dyDescent="0.3">
      <c r="A62" s="35" t="s">
        <v>189</v>
      </c>
      <c r="B62" s="35" t="s">
        <v>189</v>
      </c>
      <c r="C62" t="s">
        <v>932</v>
      </c>
      <c r="D62" s="38">
        <v>3392</v>
      </c>
      <c r="F62" s="45" t="s">
        <v>605</v>
      </c>
      <c r="G62" s="46">
        <v>2042.6400000000003</v>
      </c>
    </row>
    <row r="63" spans="1:7" x14ac:dyDescent="0.3">
      <c r="A63" s="35" t="s">
        <v>929</v>
      </c>
      <c r="B63" s="35" t="s">
        <v>929</v>
      </c>
      <c r="C63" t="s">
        <v>930</v>
      </c>
      <c r="D63" s="38">
        <v>2597</v>
      </c>
      <c r="F63" s="118" t="s">
        <v>606</v>
      </c>
      <c r="G63" s="46">
        <v>2042.6400000000003</v>
      </c>
    </row>
    <row r="64" spans="1:7" x14ac:dyDescent="0.3">
      <c r="A64" s="35" t="s">
        <v>487</v>
      </c>
      <c r="B64" s="35" t="s">
        <v>487</v>
      </c>
      <c r="C64" t="s">
        <v>938</v>
      </c>
      <c r="D64" s="38">
        <v>2350</v>
      </c>
      <c r="F64" s="45" t="s">
        <v>595</v>
      </c>
      <c r="G64" s="46">
        <v>4221</v>
      </c>
    </row>
    <row r="65" spans="1:7" x14ac:dyDescent="0.3">
      <c r="A65" s="35" t="s">
        <v>977</v>
      </c>
      <c r="B65" s="35" t="s">
        <v>977</v>
      </c>
      <c r="C65" t="s">
        <v>940</v>
      </c>
      <c r="D65" s="38">
        <v>540</v>
      </c>
      <c r="F65" s="118" t="s">
        <v>596</v>
      </c>
      <c r="G65" s="46">
        <v>4221</v>
      </c>
    </row>
    <row r="66" spans="1:7" x14ac:dyDescent="0.3">
      <c r="A66" s="35" t="s">
        <v>978</v>
      </c>
      <c r="B66" s="35" t="s">
        <v>978</v>
      </c>
      <c r="C66" t="s">
        <v>936</v>
      </c>
      <c r="D66" s="38">
        <v>4200</v>
      </c>
      <c r="F66" s="45" t="s">
        <v>598</v>
      </c>
      <c r="G66" s="46">
        <v>4160</v>
      </c>
    </row>
    <row r="67" spans="1:7" x14ac:dyDescent="0.3">
      <c r="A67" s="35" t="s">
        <v>934</v>
      </c>
      <c r="B67" s="35" t="s">
        <v>934</v>
      </c>
      <c r="C67" t="s">
        <v>880</v>
      </c>
      <c r="D67" s="38">
        <v>3941</v>
      </c>
      <c r="F67" s="118" t="s">
        <v>599</v>
      </c>
      <c r="G67" s="46">
        <v>4160</v>
      </c>
    </row>
    <row r="68" spans="1:7" x14ac:dyDescent="0.3">
      <c r="A68" s="35" t="s">
        <v>973</v>
      </c>
      <c r="B68" s="35" t="s">
        <v>973</v>
      </c>
      <c r="C68" t="s">
        <v>881</v>
      </c>
      <c r="D68" s="38">
        <v>2354</v>
      </c>
      <c r="F68" s="45" t="s">
        <v>608</v>
      </c>
      <c r="G68" s="46">
        <v>42327.220000000016</v>
      </c>
    </row>
    <row r="69" spans="1:7" x14ac:dyDescent="0.3">
      <c r="A69" s="35" t="s">
        <v>501</v>
      </c>
      <c r="B69" s="35" t="s">
        <v>501</v>
      </c>
      <c r="C69" t="s">
        <v>944</v>
      </c>
      <c r="D69" s="38">
        <v>7586</v>
      </c>
      <c r="F69" s="118" t="s">
        <v>573</v>
      </c>
      <c r="G69" s="46">
        <v>42327.220000000016</v>
      </c>
    </row>
    <row r="70" spans="1:7" x14ac:dyDescent="0.3">
      <c r="A70" s="35" t="s">
        <v>975</v>
      </c>
      <c r="B70" s="35" t="s">
        <v>975</v>
      </c>
      <c r="C70" t="s">
        <v>878</v>
      </c>
      <c r="D70" s="38">
        <v>2023</v>
      </c>
      <c r="F70" s="45" t="s">
        <v>650</v>
      </c>
      <c r="G70" s="46">
        <v>2692</v>
      </c>
    </row>
    <row r="71" spans="1:7" x14ac:dyDescent="0.3">
      <c r="A71" s="35" t="s">
        <v>1048</v>
      </c>
      <c r="B71" s="35" t="s">
        <v>1048</v>
      </c>
      <c r="C71" t="s">
        <v>943</v>
      </c>
      <c r="D71" s="38">
        <v>3413.7899999999954</v>
      </c>
      <c r="F71" s="118" t="s">
        <v>575</v>
      </c>
      <c r="G71" s="46">
        <v>2692</v>
      </c>
    </row>
    <row r="72" spans="1:7" x14ac:dyDescent="0.3">
      <c r="A72" s="35" t="s">
        <v>1101</v>
      </c>
      <c r="B72" s="35" t="s">
        <v>969</v>
      </c>
      <c r="C72" t="s">
        <v>941</v>
      </c>
      <c r="D72" s="38">
        <v>3789</v>
      </c>
      <c r="F72" s="45" t="s">
        <v>660</v>
      </c>
      <c r="G72" s="46">
        <v>2654</v>
      </c>
    </row>
    <row r="73" spans="1:7" x14ac:dyDescent="0.3">
      <c r="A73" s="35" t="s">
        <v>663</v>
      </c>
      <c r="B73" s="35" t="s">
        <v>663</v>
      </c>
      <c r="C73" t="s">
        <v>942</v>
      </c>
      <c r="D73" s="38">
        <v>4087</v>
      </c>
      <c r="F73" s="118" t="s">
        <v>661</v>
      </c>
      <c r="G73" s="46">
        <v>2654</v>
      </c>
    </row>
    <row r="74" spans="1:7" x14ac:dyDescent="0.3">
      <c r="A74" s="35" t="s">
        <v>971</v>
      </c>
      <c r="B74" s="35" t="s">
        <v>971</v>
      </c>
      <c r="C74" t="s">
        <v>815</v>
      </c>
      <c r="D74" s="38">
        <v>7027</v>
      </c>
      <c r="F74" s="45" t="s">
        <v>653</v>
      </c>
      <c r="G74" s="46">
        <v>3430</v>
      </c>
    </row>
    <row r="75" spans="1:7" x14ac:dyDescent="0.3">
      <c r="A75" s="35" t="s">
        <v>979</v>
      </c>
      <c r="B75" s="35" t="s">
        <v>979</v>
      </c>
      <c r="C75" t="s">
        <v>980</v>
      </c>
      <c r="D75" s="38">
        <v>1383.7899999999986</v>
      </c>
      <c r="E75" s="35"/>
      <c r="F75" s="118" t="s">
        <v>1099</v>
      </c>
      <c r="G75" s="46">
        <v>3430</v>
      </c>
    </row>
    <row r="76" spans="1:7" x14ac:dyDescent="0.3">
      <c r="A76" s="35" t="s">
        <v>883</v>
      </c>
      <c r="B76" s="35" t="s">
        <v>883</v>
      </c>
      <c r="C76" t="s">
        <v>939</v>
      </c>
      <c r="D76" s="38">
        <v>1788</v>
      </c>
      <c r="F76" s="45" t="s">
        <v>601</v>
      </c>
      <c r="G76" s="46">
        <v>4907</v>
      </c>
    </row>
    <row r="77" spans="1:7" x14ac:dyDescent="0.3">
      <c r="A77" s="35" t="s">
        <v>1006</v>
      </c>
      <c r="B77" s="35" t="s">
        <v>1006</v>
      </c>
      <c r="C77" t="s">
        <v>983</v>
      </c>
      <c r="D77" s="38">
        <v>6379.76</v>
      </c>
      <c r="F77" s="118" t="s">
        <v>602</v>
      </c>
      <c r="G77" s="46">
        <v>4907</v>
      </c>
    </row>
    <row r="78" spans="1:7" x14ac:dyDescent="0.3">
      <c r="A78" s="35" t="s">
        <v>1052</v>
      </c>
      <c r="B78" s="35" t="s">
        <v>1052</v>
      </c>
      <c r="C78" t="s">
        <v>945</v>
      </c>
      <c r="D78" s="38">
        <v>612</v>
      </c>
      <c r="F78" s="45" t="s">
        <v>665</v>
      </c>
      <c r="G78" s="46">
        <v>9576</v>
      </c>
    </row>
    <row r="79" spans="1:7" x14ac:dyDescent="0.3">
      <c r="A79" s="35" t="s">
        <v>1083</v>
      </c>
      <c r="B79" s="35" t="s">
        <v>1083</v>
      </c>
      <c r="C79" t="s">
        <v>984</v>
      </c>
      <c r="D79" s="38">
        <v>3541.3999999999978</v>
      </c>
      <c r="F79" s="118" t="s">
        <v>666</v>
      </c>
      <c r="G79" s="46">
        <v>9576</v>
      </c>
    </row>
    <row r="80" spans="1:7" x14ac:dyDescent="0.3">
      <c r="A80" s="35" t="s">
        <v>1102</v>
      </c>
      <c r="B80" s="35" t="s">
        <v>1102</v>
      </c>
      <c r="C80" t="s">
        <v>689</v>
      </c>
      <c r="D80" s="38">
        <v>1566</v>
      </c>
      <c r="F80" s="45" t="s">
        <v>657</v>
      </c>
      <c r="G80" s="46">
        <v>2949</v>
      </c>
    </row>
    <row r="81" spans="1:7" x14ac:dyDescent="0.3">
      <c r="A81" s="35" t="s">
        <v>1124</v>
      </c>
      <c r="B81" s="35" t="s">
        <v>1124</v>
      </c>
      <c r="C81" t="s">
        <v>1103</v>
      </c>
      <c r="D81" s="38">
        <v>1117</v>
      </c>
      <c r="F81" s="118" t="s">
        <v>658</v>
      </c>
      <c r="G81" s="46">
        <v>2949</v>
      </c>
    </row>
    <row r="82" spans="1:7" x14ac:dyDescent="0.3">
      <c r="A82" s="35" t="s">
        <v>1163</v>
      </c>
      <c r="B82" s="35" t="s">
        <v>1163</v>
      </c>
      <c r="C82" t="s">
        <v>1104</v>
      </c>
      <c r="D82" s="38">
        <v>1516.92</v>
      </c>
      <c r="F82" s="45" t="s">
        <v>675</v>
      </c>
      <c r="G82" s="46">
        <v>1230</v>
      </c>
    </row>
    <row r="83" spans="1:7" x14ac:dyDescent="0.3">
      <c r="A83" s="35" t="s">
        <v>1145</v>
      </c>
      <c r="B83" s="35" t="s">
        <v>1145</v>
      </c>
      <c r="C83" t="s">
        <v>1146</v>
      </c>
      <c r="D83" s="38">
        <v>4304</v>
      </c>
      <c r="F83" s="118" t="s">
        <v>676</v>
      </c>
      <c r="G83" s="46">
        <v>1230</v>
      </c>
    </row>
    <row r="84" spans="1:7" x14ac:dyDescent="0.3">
      <c r="A84" s="35" t="s">
        <v>1142</v>
      </c>
      <c r="B84" s="35" t="s">
        <v>1142</v>
      </c>
      <c r="C84" t="s">
        <v>1106</v>
      </c>
      <c r="D84" s="38">
        <v>2996.8199999999988</v>
      </c>
      <c r="F84" s="45" t="s">
        <v>683</v>
      </c>
      <c r="G84" s="46">
        <v>53900</v>
      </c>
    </row>
    <row r="85" spans="1:7" x14ac:dyDescent="0.3">
      <c r="A85" s="35" t="s">
        <v>1144</v>
      </c>
      <c r="B85" s="35" t="s">
        <v>1144</v>
      </c>
      <c r="C85" t="s">
        <v>1127</v>
      </c>
      <c r="D85" s="38">
        <v>5171.5599999999977</v>
      </c>
      <c r="F85" s="118" t="s">
        <v>684</v>
      </c>
      <c r="G85" s="46">
        <v>53900</v>
      </c>
    </row>
    <row r="86" spans="1:7" x14ac:dyDescent="0.3">
      <c r="A86" s="35" t="s">
        <v>1140</v>
      </c>
      <c r="B86" s="35" t="s">
        <v>1140</v>
      </c>
      <c r="C86" t="s">
        <v>1130</v>
      </c>
      <c r="D86" s="38">
        <v>1835.7600000000002</v>
      </c>
      <c r="F86" s="45" t="s">
        <v>680</v>
      </c>
      <c r="G86" s="46">
        <v>3031.5999999999985</v>
      </c>
    </row>
    <row r="87" spans="1:7" x14ac:dyDescent="0.3">
      <c r="A87" s="35" t="s">
        <v>1164</v>
      </c>
      <c r="B87" s="35" t="s">
        <v>1164</v>
      </c>
      <c r="C87" t="s">
        <v>1157</v>
      </c>
      <c r="D87" s="38">
        <v>3660</v>
      </c>
      <c r="F87" s="118" t="s">
        <v>681</v>
      </c>
      <c r="G87" s="46">
        <v>3031.5999999999985</v>
      </c>
    </row>
    <row r="88" spans="1:7" x14ac:dyDescent="0.3">
      <c r="A88" s="35" t="s">
        <v>1316</v>
      </c>
      <c r="B88" s="35" t="s">
        <v>1316</v>
      </c>
      <c r="C88" t="s">
        <v>1158</v>
      </c>
      <c r="D88" s="38">
        <v>1949</v>
      </c>
      <c r="F88" s="45" t="s">
        <v>673</v>
      </c>
      <c r="G88" s="46">
        <v>1742</v>
      </c>
    </row>
    <row r="89" spans="1:7" x14ac:dyDescent="0.3">
      <c r="A89" s="35" t="s">
        <v>1171</v>
      </c>
      <c r="B89" s="35" t="s">
        <v>1171</v>
      </c>
      <c r="C89" t="s">
        <v>1128</v>
      </c>
      <c r="D89" s="38">
        <v>1745</v>
      </c>
      <c r="F89" s="118" t="s">
        <v>674</v>
      </c>
      <c r="G89" s="46">
        <v>1742</v>
      </c>
    </row>
    <row r="90" spans="1:7" x14ac:dyDescent="0.3">
      <c r="A90" s="35" t="s">
        <v>1174</v>
      </c>
      <c r="B90" s="35" t="s">
        <v>1174</v>
      </c>
      <c r="C90" t="s">
        <v>1126</v>
      </c>
      <c r="D90" s="38">
        <v>1817.42</v>
      </c>
      <c r="F90" s="45" t="s">
        <v>670</v>
      </c>
      <c r="G90" s="46">
        <v>7765.5499999999984</v>
      </c>
    </row>
    <row r="91" spans="1:7" x14ac:dyDescent="0.3">
      <c r="A91" s="35" t="s">
        <v>1176</v>
      </c>
      <c r="B91" s="35" t="s">
        <v>1176</v>
      </c>
      <c r="C91" t="s">
        <v>1129</v>
      </c>
      <c r="D91" s="38">
        <v>2607.0299999999988</v>
      </c>
      <c r="F91" s="118" t="s">
        <v>671</v>
      </c>
      <c r="G91" s="46">
        <v>7765.5499999999984</v>
      </c>
    </row>
    <row r="92" spans="1:7" x14ac:dyDescent="0.3">
      <c r="A92" s="35" t="s">
        <v>1208</v>
      </c>
      <c r="B92" s="35" t="s">
        <v>1208</v>
      </c>
      <c r="C92" t="s">
        <v>1200</v>
      </c>
      <c r="D92" s="38">
        <v>4153.9399999999987</v>
      </c>
      <c r="F92" s="45" t="s">
        <v>667</v>
      </c>
      <c r="G92" s="46">
        <v>6432</v>
      </c>
    </row>
    <row r="93" spans="1:7" x14ac:dyDescent="0.3">
      <c r="A93" s="35" t="s">
        <v>1209</v>
      </c>
      <c r="B93" s="35" t="s">
        <v>1209</v>
      </c>
      <c r="C93" t="s">
        <v>1161</v>
      </c>
      <c r="D93" s="38">
        <v>1210</v>
      </c>
      <c r="F93" s="118" t="s">
        <v>668</v>
      </c>
      <c r="G93" s="46">
        <v>6432</v>
      </c>
    </row>
    <row r="94" spans="1:7" x14ac:dyDescent="0.3">
      <c r="A94" s="35" t="s">
        <v>1270</v>
      </c>
      <c r="B94" s="35" t="s">
        <v>1270</v>
      </c>
      <c r="C94" t="s">
        <v>1204</v>
      </c>
      <c r="D94" s="38">
        <v>2670</v>
      </c>
      <c r="F94" s="45" t="s">
        <v>688</v>
      </c>
      <c r="G94" s="46">
        <v>3989.5499999999984</v>
      </c>
    </row>
    <row r="95" spans="1:7" x14ac:dyDescent="0.3">
      <c r="A95" s="35" t="s">
        <v>1272</v>
      </c>
      <c r="B95" s="35" t="s">
        <v>1272</v>
      </c>
      <c r="C95" t="s">
        <v>1198</v>
      </c>
      <c r="D95" s="38">
        <v>2219.7499999999991</v>
      </c>
      <c r="F95" s="118" t="s">
        <v>689</v>
      </c>
      <c r="G95" s="46">
        <v>3989.5499999999984</v>
      </c>
    </row>
    <row r="96" spans="1:7" x14ac:dyDescent="0.3">
      <c r="A96" s="35" t="s">
        <v>1273</v>
      </c>
      <c r="B96" s="35" t="s">
        <v>1273</v>
      </c>
      <c r="C96" t="s">
        <v>1206</v>
      </c>
      <c r="D96" s="38">
        <v>3564.5499999999993</v>
      </c>
      <c r="F96" s="45" t="s">
        <v>685</v>
      </c>
      <c r="G96" s="46">
        <v>4588</v>
      </c>
    </row>
    <row r="97" spans="1:9" x14ac:dyDescent="0.3">
      <c r="A97" s="35" t="s">
        <v>1274</v>
      </c>
      <c r="B97" s="35" t="s">
        <v>1274</v>
      </c>
      <c r="C97" t="s">
        <v>1199</v>
      </c>
      <c r="D97" s="38">
        <v>2912</v>
      </c>
      <c r="F97" s="118" t="s">
        <v>686</v>
      </c>
      <c r="G97" s="46">
        <v>4588</v>
      </c>
    </row>
    <row r="98" spans="1:9" x14ac:dyDescent="0.3">
      <c r="A98" s="35" t="s">
        <v>1268</v>
      </c>
      <c r="B98" s="35" t="s">
        <v>1268</v>
      </c>
      <c r="C98" t="s">
        <v>1269</v>
      </c>
      <c r="D98" s="38">
        <v>4285.1399999999994</v>
      </c>
      <c r="F98" s="45" t="s">
        <v>806</v>
      </c>
      <c r="G98" s="46">
        <v>2629.6499999999987</v>
      </c>
    </row>
    <row r="99" spans="1:9" x14ac:dyDescent="0.3">
      <c r="A99" s="35" t="s">
        <v>1210</v>
      </c>
      <c r="B99" s="35" t="s">
        <v>1210</v>
      </c>
      <c r="C99" t="s">
        <v>1160</v>
      </c>
      <c r="D99" s="38">
        <v>2511</v>
      </c>
      <c r="F99" s="118" t="s">
        <v>807</v>
      </c>
      <c r="G99" s="46">
        <v>2629.6499999999987</v>
      </c>
    </row>
    <row r="100" spans="1:9" x14ac:dyDescent="0.3">
      <c r="A100" s="35" t="s">
        <v>1311</v>
      </c>
      <c r="B100" s="35" t="s">
        <v>1311</v>
      </c>
      <c r="C100" t="s">
        <v>1207</v>
      </c>
      <c r="D100" s="38">
        <v>2630</v>
      </c>
      <c r="F100" s="45" t="s">
        <v>809</v>
      </c>
      <c r="G100" s="46">
        <v>7029</v>
      </c>
      <c r="I100">
        <f xml:space="preserve"> 222887.75-221534</f>
        <v>1353.75</v>
      </c>
    </row>
    <row r="101" spans="1:9" x14ac:dyDescent="0.3">
      <c r="A101" s="35" t="s">
        <v>1312</v>
      </c>
      <c r="B101" s="35" t="s">
        <v>1312</v>
      </c>
      <c r="C101" t="s">
        <v>1201</v>
      </c>
      <c r="D101" s="38">
        <v>902</v>
      </c>
      <c r="F101" s="118" t="s">
        <v>804</v>
      </c>
      <c r="G101" s="46">
        <v>7029</v>
      </c>
    </row>
    <row r="102" spans="1:9" x14ac:dyDescent="0.3">
      <c r="A102" s="35" t="s">
        <v>1411</v>
      </c>
      <c r="B102" s="35" t="s">
        <v>1411</v>
      </c>
      <c r="C102" t="s">
        <v>1353</v>
      </c>
      <c r="D102" s="38">
        <v>796</v>
      </c>
      <c r="F102" s="45" t="s">
        <v>817</v>
      </c>
      <c r="G102" s="46">
        <v>3343.4400000000023</v>
      </c>
    </row>
    <row r="103" spans="1:9" x14ac:dyDescent="0.3">
      <c r="A103" s="35" t="s">
        <v>1271</v>
      </c>
      <c r="B103" s="35" t="s">
        <v>1271</v>
      </c>
      <c r="C103" t="s">
        <v>1159</v>
      </c>
      <c r="D103" s="38">
        <v>2280.96</v>
      </c>
      <c r="F103" s="118" t="s">
        <v>803</v>
      </c>
      <c r="G103" s="46">
        <v>3343.4400000000023</v>
      </c>
      <c r="I103" s="48"/>
    </row>
    <row r="104" spans="1:9" x14ac:dyDescent="0.3">
      <c r="A104" s="35" t="s">
        <v>1321</v>
      </c>
      <c r="B104" s="35" t="s">
        <v>1321</v>
      </c>
      <c r="C104" t="s">
        <v>439</v>
      </c>
      <c r="D104" s="38">
        <v>1524.8000000000002</v>
      </c>
      <c r="F104" s="45" t="s">
        <v>850</v>
      </c>
      <c r="G104" s="46">
        <v>4788.4400000000005</v>
      </c>
    </row>
    <row r="105" spans="1:9" x14ac:dyDescent="0.3">
      <c r="A105" s="35" t="s">
        <v>1323</v>
      </c>
      <c r="B105" s="35" t="s">
        <v>1323</v>
      </c>
      <c r="C105" t="s">
        <v>1324</v>
      </c>
      <c r="D105" s="38">
        <v>3272</v>
      </c>
      <c r="F105" s="118" t="s">
        <v>810</v>
      </c>
      <c r="G105" s="46">
        <v>4788.4400000000005</v>
      </c>
    </row>
    <row r="106" spans="1:9" x14ac:dyDescent="0.3">
      <c r="A106" s="35" t="s">
        <v>1386</v>
      </c>
      <c r="B106" s="35" t="s">
        <v>1386</v>
      </c>
      <c r="C106" t="s">
        <v>1355</v>
      </c>
      <c r="D106" s="38">
        <v>3484</v>
      </c>
      <c r="F106" s="45" t="s">
        <v>1100</v>
      </c>
      <c r="G106" s="46">
        <v>4383</v>
      </c>
    </row>
    <row r="107" spans="1:9" x14ac:dyDescent="0.3">
      <c r="A107" s="35" t="s">
        <v>1636</v>
      </c>
      <c r="B107" s="35" t="s">
        <v>1636</v>
      </c>
      <c r="C107" t="s">
        <v>186</v>
      </c>
      <c r="D107" s="38">
        <v>615</v>
      </c>
      <c r="F107" s="118" t="s">
        <v>815</v>
      </c>
      <c r="G107" s="46">
        <v>4383</v>
      </c>
    </row>
    <row r="108" spans="1:9" x14ac:dyDescent="0.3">
      <c r="A108" s="35" t="s">
        <v>1403</v>
      </c>
      <c r="B108" s="35" t="s">
        <v>1403</v>
      </c>
      <c r="C108" t="s">
        <v>1359</v>
      </c>
      <c r="D108" s="38">
        <v>1168</v>
      </c>
      <c r="F108" s="45" t="s">
        <v>848</v>
      </c>
      <c r="G108" s="46">
        <v>3308.98</v>
      </c>
    </row>
    <row r="109" spans="1:9" x14ac:dyDescent="0.3">
      <c r="A109" s="35" t="s">
        <v>1361</v>
      </c>
      <c r="B109" s="35" t="s">
        <v>1361</v>
      </c>
      <c r="C109" t="s">
        <v>1356</v>
      </c>
      <c r="D109" s="38">
        <v>2560</v>
      </c>
      <c r="F109" s="118" t="s">
        <v>829</v>
      </c>
      <c r="G109" s="46">
        <v>3308.98</v>
      </c>
    </row>
    <row r="110" spans="1:9" x14ac:dyDescent="0.3">
      <c r="A110" s="35" t="s">
        <v>1423</v>
      </c>
      <c r="B110" s="35" t="s">
        <v>1423</v>
      </c>
      <c r="C110" t="s">
        <v>103</v>
      </c>
      <c r="D110" s="38">
        <v>1196.96</v>
      </c>
      <c r="F110" s="45" t="s">
        <v>852</v>
      </c>
      <c r="G110" s="46">
        <v>2339</v>
      </c>
    </row>
    <row r="111" spans="1:9" x14ac:dyDescent="0.3">
      <c r="A111" s="35" t="s">
        <v>1417</v>
      </c>
      <c r="B111" s="35" t="s">
        <v>1417</v>
      </c>
      <c r="C111" t="s">
        <v>1375</v>
      </c>
      <c r="D111" s="38">
        <v>930.96</v>
      </c>
      <c r="F111" s="118" t="s">
        <v>830</v>
      </c>
      <c r="G111" s="46">
        <v>2339</v>
      </c>
    </row>
    <row r="112" spans="1:9" x14ac:dyDescent="0.3">
      <c r="A112" s="35" t="s">
        <v>1435</v>
      </c>
      <c r="B112" s="35" t="s">
        <v>1435</v>
      </c>
      <c r="C112" t="s">
        <v>1357</v>
      </c>
      <c r="D112" s="38">
        <v>1216</v>
      </c>
      <c r="F112" s="45" t="s">
        <v>148</v>
      </c>
      <c r="G112" s="46">
        <v>3222</v>
      </c>
    </row>
    <row r="113" spans="1:7" x14ac:dyDescent="0.3">
      <c r="A113" s="35" t="s">
        <v>1394</v>
      </c>
      <c r="B113" s="35" t="s">
        <v>1394</v>
      </c>
      <c r="C113" t="s">
        <v>1212</v>
      </c>
      <c r="D113" s="38">
        <v>816</v>
      </c>
      <c r="F113" s="118" t="s">
        <v>831</v>
      </c>
      <c r="G113" s="46">
        <v>3222</v>
      </c>
    </row>
    <row r="114" spans="1:7" x14ac:dyDescent="0.3">
      <c r="A114" s="35" t="s">
        <v>1429</v>
      </c>
      <c r="B114" s="35" t="s">
        <v>1429</v>
      </c>
      <c r="C114" t="s">
        <v>1377</v>
      </c>
      <c r="D114" s="38">
        <v>6535</v>
      </c>
      <c r="F114" s="45" t="s">
        <v>143</v>
      </c>
      <c r="G114" s="46">
        <v>2963.9300000000003</v>
      </c>
    </row>
    <row r="115" spans="1:7" x14ac:dyDescent="0.3">
      <c r="A115" s="35" t="s">
        <v>1449</v>
      </c>
      <c r="B115" s="35" t="s">
        <v>1449</v>
      </c>
      <c r="C115" t="s">
        <v>1383</v>
      </c>
      <c r="D115" s="38">
        <v>614</v>
      </c>
      <c r="F115" s="118" t="s">
        <v>877</v>
      </c>
      <c r="G115" s="46">
        <v>2963.9300000000003</v>
      </c>
    </row>
    <row r="116" spans="1:7" x14ac:dyDescent="0.3">
      <c r="A116" s="35" t="s">
        <v>1476</v>
      </c>
      <c r="B116" s="35" t="s">
        <v>1476</v>
      </c>
      <c r="C116" t="s">
        <v>1103</v>
      </c>
      <c r="D116" s="38">
        <v>1043</v>
      </c>
      <c r="F116" s="45" t="s">
        <v>154</v>
      </c>
      <c r="G116" s="46">
        <v>2817</v>
      </c>
    </row>
    <row r="117" spans="1:7" x14ac:dyDescent="0.3">
      <c r="A117" s="35" t="s">
        <v>1459</v>
      </c>
      <c r="B117" s="35" t="s">
        <v>1459</v>
      </c>
      <c r="C117" t="s">
        <v>686</v>
      </c>
      <c r="D117" s="38">
        <v>1399</v>
      </c>
      <c r="F117" s="118" t="s">
        <v>827</v>
      </c>
      <c r="G117" s="46">
        <v>2817</v>
      </c>
    </row>
    <row r="118" spans="1:7" x14ac:dyDescent="0.3">
      <c r="A118" s="35" t="s">
        <v>1475</v>
      </c>
      <c r="B118" s="35" t="s">
        <v>1475</v>
      </c>
      <c r="C118" t="s">
        <v>1378</v>
      </c>
      <c r="D118" s="38">
        <v>9212</v>
      </c>
      <c r="F118" s="45" t="s">
        <v>164</v>
      </c>
      <c r="G118" s="46">
        <v>4515</v>
      </c>
    </row>
    <row r="119" spans="1:7" x14ac:dyDescent="0.3">
      <c r="A119" s="35" t="s">
        <v>1468</v>
      </c>
      <c r="B119" s="35" t="s">
        <v>1468</v>
      </c>
      <c r="C119" t="s">
        <v>1384</v>
      </c>
      <c r="D119" s="38">
        <v>912</v>
      </c>
      <c r="F119" s="118" t="s">
        <v>828</v>
      </c>
      <c r="G119" s="46">
        <v>4515</v>
      </c>
    </row>
    <row r="120" spans="1:7" x14ac:dyDescent="0.3">
      <c r="A120" s="35" t="s">
        <v>1477</v>
      </c>
      <c r="B120" s="35" t="s">
        <v>1477</v>
      </c>
      <c r="C120" t="s">
        <v>1382</v>
      </c>
      <c r="D120" s="38">
        <v>1055</v>
      </c>
      <c r="F120" s="45" t="s">
        <v>39</v>
      </c>
      <c r="G120" s="46">
        <v>2235</v>
      </c>
    </row>
    <row r="121" spans="1:7" x14ac:dyDescent="0.3">
      <c r="A121" s="35" t="s">
        <v>1518</v>
      </c>
      <c r="B121" s="35" t="s">
        <v>1518</v>
      </c>
      <c r="C121" t="s">
        <v>1519</v>
      </c>
      <c r="D121" s="38">
        <v>4071</v>
      </c>
      <c r="F121" s="118" t="s">
        <v>812</v>
      </c>
      <c r="G121" s="46">
        <v>2235</v>
      </c>
    </row>
    <row r="122" spans="1:7" x14ac:dyDescent="0.3">
      <c r="A122" s="35" t="s">
        <v>1478</v>
      </c>
      <c r="B122" s="35" t="s">
        <v>1478</v>
      </c>
      <c r="C122" t="s">
        <v>1445</v>
      </c>
      <c r="D122" s="38">
        <v>1835.7599999999984</v>
      </c>
      <c r="F122" s="45" t="s">
        <v>188</v>
      </c>
      <c r="G122" s="46">
        <v>2899.5800000000017</v>
      </c>
    </row>
    <row r="123" spans="1:7" x14ac:dyDescent="0.3">
      <c r="A123" s="35" t="s">
        <v>1532</v>
      </c>
      <c r="B123" s="35" t="s">
        <v>1532</v>
      </c>
      <c r="C123" t="s">
        <v>1376</v>
      </c>
      <c r="D123" s="38">
        <v>1312</v>
      </c>
      <c r="F123" s="118" t="s">
        <v>937</v>
      </c>
      <c r="G123" s="46">
        <v>2899.5800000000017</v>
      </c>
    </row>
    <row r="124" spans="1:7" x14ac:dyDescent="0.3">
      <c r="A124" s="35" t="s">
        <v>1530</v>
      </c>
      <c r="B124" s="35" t="s">
        <v>1530</v>
      </c>
      <c r="C124" t="s">
        <v>575</v>
      </c>
      <c r="D124" s="38">
        <v>2646</v>
      </c>
      <c r="F124" s="45" t="s">
        <v>189</v>
      </c>
      <c r="G124" s="46">
        <v>3392</v>
      </c>
    </row>
    <row r="125" spans="1:7" x14ac:dyDescent="0.3">
      <c r="A125" s="35" t="s">
        <v>1533</v>
      </c>
      <c r="B125" s="35" t="s">
        <v>1533</v>
      </c>
      <c r="C125" t="s">
        <v>1516</v>
      </c>
      <c r="D125" s="38">
        <v>2308</v>
      </c>
      <c r="F125" s="118" t="s">
        <v>932</v>
      </c>
      <c r="G125" s="46">
        <v>3392</v>
      </c>
    </row>
    <row r="126" spans="1:7" x14ac:dyDescent="0.3">
      <c r="A126" s="35" t="s">
        <v>1531</v>
      </c>
      <c r="B126" s="35" t="s">
        <v>1531</v>
      </c>
      <c r="C126" t="s">
        <v>1515</v>
      </c>
      <c r="D126" s="38">
        <v>1256</v>
      </c>
      <c r="F126" s="45" t="s">
        <v>929</v>
      </c>
      <c r="G126" s="46">
        <v>2597</v>
      </c>
    </row>
    <row r="127" spans="1:7" x14ac:dyDescent="0.3">
      <c r="A127" s="35" t="s">
        <v>1565</v>
      </c>
      <c r="B127" s="35" t="s">
        <v>1565</v>
      </c>
      <c r="C127" t="s">
        <v>1528</v>
      </c>
      <c r="D127" s="38">
        <v>900</v>
      </c>
      <c r="F127" s="118" t="s">
        <v>930</v>
      </c>
      <c r="G127" s="46">
        <v>2597</v>
      </c>
    </row>
    <row r="128" spans="1:7" x14ac:dyDescent="0.3">
      <c r="A128" s="35" t="s">
        <v>1571</v>
      </c>
      <c r="B128" s="35" t="s">
        <v>1571</v>
      </c>
      <c r="C128" t="s">
        <v>1517</v>
      </c>
      <c r="D128" s="38">
        <v>1710</v>
      </c>
      <c r="F128" s="45" t="s">
        <v>487</v>
      </c>
      <c r="G128" s="46">
        <v>2350</v>
      </c>
    </row>
    <row r="129" spans="1:7" x14ac:dyDescent="0.3">
      <c r="A129" s="35" t="s">
        <v>1591</v>
      </c>
      <c r="B129" s="35" t="s">
        <v>1591</v>
      </c>
      <c r="C129" t="s">
        <v>1354</v>
      </c>
      <c r="D129" s="38">
        <v>686</v>
      </c>
      <c r="F129" s="118" t="s">
        <v>938</v>
      </c>
      <c r="G129" s="46">
        <v>2350</v>
      </c>
    </row>
    <row r="130" spans="1:7" x14ac:dyDescent="0.3">
      <c r="A130" s="35" t="s">
        <v>1593</v>
      </c>
      <c r="B130" s="35" t="s">
        <v>1593</v>
      </c>
      <c r="C130" t="s">
        <v>1594</v>
      </c>
      <c r="D130" s="38">
        <v>330</v>
      </c>
      <c r="F130" s="45" t="s">
        <v>977</v>
      </c>
      <c r="G130" s="46">
        <v>540</v>
      </c>
    </row>
    <row r="131" spans="1:7" x14ac:dyDescent="0.3">
      <c r="A131" s="35" t="s">
        <v>1575</v>
      </c>
      <c r="B131" s="35" t="s">
        <v>1575</v>
      </c>
      <c r="C131" t="s">
        <v>1564</v>
      </c>
      <c r="D131" s="38">
        <v>1169</v>
      </c>
      <c r="F131" s="118" t="s">
        <v>940</v>
      </c>
      <c r="G131" s="46">
        <v>540</v>
      </c>
    </row>
    <row r="132" spans="1:7" x14ac:dyDescent="0.3">
      <c r="A132" s="35" t="s">
        <v>1602</v>
      </c>
      <c r="B132" s="35" t="s">
        <v>1602</v>
      </c>
      <c r="C132" t="s">
        <v>295</v>
      </c>
      <c r="D132" s="38">
        <v>4600</v>
      </c>
      <c r="F132" s="45" t="s">
        <v>978</v>
      </c>
      <c r="G132" s="46">
        <v>4200</v>
      </c>
    </row>
    <row r="133" spans="1:7" x14ac:dyDescent="0.3">
      <c r="A133" s="35" t="s">
        <v>1686</v>
      </c>
      <c r="B133" s="35" t="s">
        <v>1686</v>
      </c>
      <c r="C133" t="s">
        <v>1600</v>
      </c>
      <c r="D133" s="38">
        <v>937</v>
      </c>
      <c r="F133" s="118" t="s">
        <v>936</v>
      </c>
      <c r="G133" s="46">
        <v>4200</v>
      </c>
    </row>
    <row r="134" spans="1:7" x14ac:dyDescent="0.3">
      <c r="A134" s="35" t="s">
        <v>1635</v>
      </c>
      <c r="B134" s="35" t="s">
        <v>1635</v>
      </c>
      <c r="C134" t="s">
        <v>1599</v>
      </c>
      <c r="D134" s="38">
        <v>480</v>
      </c>
      <c r="F134" s="45" t="s">
        <v>934</v>
      </c>
      <c r="G134" s="46">
        <v>3941</v>
      </c>
    </row>
    <row r="135" spans="1:7" x14ac:dyDescent="0.3">
      <c r="A135" s="35" t="s">
        <v>1634</v>
      </c>
      <c r="B135" s="35" t="s">
        <v>1634</v>
      </c>
      <c r="C135" t="s">
        <v>1563</v>
      </c>
      <c r="D135" s="38">
        <v>88.039999999999964</v>
      </c>
      <c r="F135" s="118" t="s">
        <v>880</v>
      </c>
      <c r="G135" s="46">
        <v>3941</v>
      </c>
    </row>
    <row r="136" spans="1:7" x14ac:dyDescent="0.3">
      <c r="A136" s="35" t="s">
        <v>1638</v>
      </c>
      <c r="B136" s="35" t="s">
        <v>1638</v>
      </c>
      <c r="C136" t="s">
        <v>1598</v>
      </c>
      <c r="D136" s="38">
        <v>1264</v>
      </c>
      <c r="F136" s="45" t="s">
        <v>973</v>
      </c>
      <c r="G136" s="46">
        <v>2354</v>
      </c>
    </row>
    <row r="137" spans="1:7" x14ac:dyDescent="0.3">
      <c r="A137" s="35" t="s">
        <v>1666</v>
      </c>
      <c r="B137" s="35" t="s">
        <v>1666</v>
      </c>
      <c r="C137" t="s">
        <v>1597</v>
      </c>
      <c r="D137" s="38">
        <v>1643.7999999999993</v>
      </c>
      <c r="F137" s="118" t="s">
        <v>881</v>
      </c>
      <c r="G137" s="46">
        <v>2354</v>
      </c>
    </row>
    <row r="138" spans="1:7" x14ac:dyDescent="0.3">
      <c r="A138" s="35" t="s">
        <v>1687</v>
      </c>
      <c r="B138" s="35" t="s">
        <v>1687</v>
      </c>
      <c r="C138" t="s">
        <v>1596</v>
      </c>
      <c r="D138" s="38">
        <v>587</v>
      </c>
      <c r="F138" s="45" t="s">
        <v>501</v>
      </c>
      <c r="G138" s="46">
        <v>7586</v>
      </c>
    </row>
    <row r="139" spans="1:7" x14ac:dyDescent="0.3">
      <c r="A139" s="35" t="s">
        <v>1780</v>
      </c>
      <c r="B139" s="35" t="s">
        <v>1780</v>
      </c>
      <c r="C139" t="s">
        <v>1633</v>
      </c>
      <c r="D139" s="38">
        <v>881.89999999999964</v>
      </c>
      <c r="F139" s="118" t="s">
        <v>944</v>
      </c>
      <c r="G139" s="46">
        <v>7586</v>
      </c>
    </row>
    <row r="140" spans="1:7" x14ac:dyDescent="0.3">
      <c r="A140" s="35" t="s">
        <v>1796</v>
      </c>
      <c r="B140" s="35" t="s">
        <v>1796</v>
      </c>
      <c r="C140" t="s">
        <v>572</v>
      </c>
      <c r="D140" s="38">
        <v>640</v>
      </c>
      <c r="F140" s="45" t="s">
        <v>975</v>
      </c>
      <c r="G140" s="46">
        <v>2023</v>
      </c>
    </row>
    <row r="141" spans="1:7" x14ac:dyDescent="0.3">
      <c r="A141" s="35" t="s">
        <v>1690</v>
      </c>
      <c r="B141" s="35" t="s">
        <v>1690</v>
      </c>
      <c r="C141" t="s">
        <v>1661</v>
      </c>
      <c r="D141" s="38">
        <v>1000</v>
      </c>
      <c r="F141" s="118" t="s">
        <v>878</v>
      </c>
      <c r="G141" s="46">
        <v>2023</v>
      </c>
    </row>
    <row r="142" spans="1:7" x14ac:dyDescent="0.3">
      <c r="A142" s="35" t="s">
        <v>1684</v>
      </c>
      <c r="B142" s="35" t="s">
        <v>1684</v>
      </c>
      <c r="C142" t="s">
        <v>1662</v>
      </c>
      <c r="D142" s="38">
        <v>660.98999999999978</v>
      </c>
      <c r="F142" s="45" t="s">
        <v>1048</v>
      </c>
      <c r="G142" s="46">
        <v>3413.7899999999954</v>
      </c>
    </row>
    <row r="143" spans="1:7" x14ac:dyDescent="0.3">
      <c r="A143" s="35" t="s">
        <v>1822</v>
      </c>
      <c r="B143" s="35" t="s">
        <v>1822</v>
      </c>
      <c r="C143" t="s">
        <v>1663</v>
      </c>
      <c r="D143" s="38">
        <v>506</v>
      </c>
      <c r="F143" s="118" t="s">
        <v>943</v>
      </c>
      <c r="G143" s="46">
        <v>3413.7899999999954</v>
      </c>
    </row>
    <row r="144" spans="1:7" x14ac:dyDescent="0.3">
      <c r="A144" s="35" t="s">
        <v>1689</v>
      </c>
      <c r="B144" s="35" t="s">
        <v>1689</v>
      </c>
      <c r="C144" t="s">
        <v>572</v>
      </c>
      <c r="D144" s="38">
        <v>731.92000000000007</v>
      </c>
      <c r="F144" s="45" t="s">
        <v>663</v>
      </c>
      <c r="G144" s="46">
        <v>4087</v>
      </c>
    </row>
    <row r="145" spans="1:7" x14ac:dyDescent="0.3">
      <c r="A145" s="35" t="s">
        <v>1688</v>
      </c>
      <c r="B145" s="35" t="s">
        <v>1688</v>
      </c>
      <c r="C145" t="s">
        <v>1601</v>
      </c>
      <c r="D145" s="38">
        <v>456</v>
      </c>
      <c r="F145" s="118" t="s">
        <v>942</v>
      </c>
      <c r="G145" s="46">
        <v>4087</v>
      </c>
    </row>
    <row r="146" spans="1:7" x14ac:dyDescent="0.3">
      <c r="A146" s="35" t="s">
        <v>1695</v>
      </c>
      <c r="B146" s="35" t="s">
        <v>1695</v>
      </c>
      <c r="C146" t="s">
        <v>1696</v>
      </c>
      <c r="D146" s="38">
        <v>1643.7999999999993</v>
      </c>
      <c r="F146" s="45" t="s">
        <v>971</v>
      </c>
      <c r="G146" s="46">
        <v>7027</v>
      </c>
    </row>
    <row r="147" spans="1:7" x14ac:dyDescent="0.3">
      <c r="A147" s="35" t="s">
        <v>1736</v>
      </c>
      <c r="B147" s="35" t="s">
        <v>1736</v>
      </c>
      <c r="C147" t="s">
        <v>1573</v>
      </c>
      <c r="D147" s="38">
        <v>965</v>
      </c>
      <c r="F147" s="118" t="s">
        <v>815</v>
      </c>
      <c r="G147" s="46">
        <v>7027</v>
      </c>
    </row>
    <row r="148" spans="1:7" x14ac:dyDescent="0.3">
      <c r="A148" s="35" t="s">
        <v>1773</v>
      </c>
      <c r="B148" s="35" t="s">
        <v>1773</v>
      </c>
      <c r="C148" t="s">
        <v>1774</v>
      </c>
      <c r="D148" s="38">
        <v>1168</v>
      </c>
      <c r="F148" s="45" t="s">
        <v>979</v>
      </c>
      <c r="G148" s="46">
        <v>1383.7899999999986</v>
      </c>
    </row>
    <row r="149" spans="1:7" x14ac:dyDescent="0.3">
      <c r="A149" s="35" t="s">
        <v>1802</v>
      </c>
      <c r="B149" s="35" t="s">
        <v>1802</v>
      </c>
      <c r="C149" t="s">
        <v>1574</v>
      </c>
      <c r="D149" s="38">
        <v>872</v>
      </c>
      <c r="F149" s="118" t="s">
        <v>980</v>
      </c>
      <c r="G149" s="46">
        <v>1383.7899999999986</v>
      </c>
    </row>
    <row r="150" spans="1:7" x14ac:dyDescent="0.3">
      <c r="A150" s="35" t="s">
        <v>1809</v>
      </c>
      <c r="B150" s="35" t="s">
        <v>1809</v>
      </c>
      <c r="C150" t="s">
        <v>1810</v>
      </c>
      <c r="D150" s="38">
        <v>939</v>
      </c>
      <c r="F150" s="45" t="s">
        <v>883</v>
      </c>
      <c r="G150" s="46">
        <v>1788</v>
      </c>
    </row>
    <row r="151" spans="1:7" x14ac:dyDescent="0.3">
      <c r="A151" s="35" t="s">
        <v>1820</v>
      </c>
      <c r="B151" s="35" t="s">
        <v>1820</v>
      </c>
      <c r="C151" t="s">
        <v>1821</v>
      </c>
      <c r="D151" s="38">
        <v>189</v>
      </c>
      <c r="F151" s="118" t="s">
        <v>939</v>
      </c>
      <c r="G151" s="46">
        <v>1788</v>
      </c>
    </row>
    <row r="152" spans="1:7" x14ac:dyDescent="0.3">
      <c r="A152" s="35" t="s">
        <v>1787</v>
      </c>
      <c r="B152" s="35" t="s">
        <v>1787</v>
      </c>
      <c r="C152" t="s">
        <v>1665</v>
      </c>
      <c r="D152" s="38">
        <v>478</v>
      </c>
      <c r="F152" s="45" t="s">
        <v>1006</v>
      </c>
      <c r="G152" s="46">
        <v>6379.76</v>
      </c>
    </row>
    <row r="153" spans="1:7" x14ac:dyDescent="0.3">
      <c r="A153" s="35" t="s">
        <v>1817</v>
      </c>
      <c r="B153" s="35" t="s">
        <v>1817</v>
      </c>
      <c r="C153" t="s">
        <v>1818</v>
      </c>
      <c r="D153" s="38">
        <v>464</v>
      </c>
      <c r="F153" s="118" t="s">
        <v>983</v>
      </c>
      <c r="G153" s="46">
        <v>6379.76</v>
      </c>
    </row>
    <row r="154" spans="1:7" x14ac:dyDescent="0.3">
      <c r="A154" s="35" t="s">
        <v>1837</v>
      </c>
      <c r="B154" s="35" t="s">
        <v>1837</v>
      </c>
      <c r="C154" t="s">
        <v>186</v>
      </c>
      <c r="D154" s="38">
        <v>282</v>
      </c>
      <c r="F154" s="45" t="s">
        <v>1052</v>
      </c>
      <c r="G154" s="46">
        <v>612</v>
      </c>
    </row>
    <row r="155" spans="1:7" x14ac:dyDescent="0.3">
      <c r="A155" s="35" t="s">
        <v>1838</v>
      </c>
      <c r="B155" s="35" t="s">
        <v>1838</v>
      </c>
      <c r="C155" s="35" t="s">
        <v>1839</v>
      </c>
      <c r="D155" s="38">
        <v>470</v>
      </c>
      <c r="F155" s="118" t="s">
        <v>945</v>
      </c>
      <c r="G155" s="46">
        <v>612</v>
      </c>
    </row>
    <row r="156" spans="1:7" x14ac:dyDescent="0.3">
      <c r="A156" s="35" t="s">
        <v>1874</v>
      </c>
      <c r="B156" s="35" t="s">
        <v>1874</v>
      </c>
      <c r="C156" s="35" t="s">
        <v>1875</v>
      </c>
      <c r="D156" s="38">
        <v>842</v>
      </c>
      <c r="F156" s="45" t="s">
        <v>1083</v>
      </c>
      <c r="G156" s="46">
        <v>3541.3999999999978</v>
      </c>
    </row>
    <row r="157" spans="1:7" x14ac:dyDescent="0.3">
      <c r="A157" s="35" t="s">
        <v>1835</v>
      </c>
      <c r="B157" s="35" t="s">
        <v>1835</v>
      </c>
      <c r="C157" s="35" t="s">
        <v>1836</v>
      </c>
      <c r="D157" s="38">
        <v>1018</v>
      </c>
      <c r="F157" s="118" t="s">
        <v>984</v>
      </c>
      <c r="G157" s="46">
        <v>3541.3999999999978</v>
      </c>
    </row>
    <row r="158" spans="1:7" x14ac:dyDescent="0.3">
      <c r="A158" s="35" t="s">
        <v>1841</v>
      </c>
      <c r="B158" s="35" t="s">
        <v>1841</v>
      </c>
      <c r="C158" s="35" t="s">
        <v>1842</v>
      </c>
      <c r="D158" s="38">
        <v>282</v>
      </c>
      <c r="F158" s="45" t="s">
        <v>1102</v>
      </c>
      <c r="G158" s="46">
        <v>1566</v>
      </c>
    </row>
    <row r="159" spans="1:7" x14ac:dyDescent="0.3">
      <c r="A159" s="35" t="s">
        <v>1882</v>
      </c>
      <c r="B159" s="35" t="s">
        <v>1882</v>
      </c>
      <c r="C159" s="35" t="s">
        <v>1883</v>
      </c>
      <c r="D159" s="38">
        <v>195</v>
      </c>
      <c r="F159" s="118" t="s">
        <v>689</v>
      </c>
      <c r="G159" s="46">
        <v>1566</v>
      </c>
    </row>
    <row r="160" spans="1:7" x14ac:dyDescent="0.3">
      <c r="A160" s="35" t="s">
        <v>1907</v>
      </c>
      <c r="B160" s="35" t="s">
        <v>1907</v>
      </c>
      <c r="C160" s="35" t="s">
        <v>1908</v>
      </c>
      <c r="D160">
        <v>0</v>
      </c>
      <c r="F160" s="45" t="s">
        <v>1124</v>
      </c>
      <c r="G160" s="46">
        <v>1117</v>
      </c>
    </row>
    <row r="161" spans="1:7" x14ac:dyDescent="0.3">
      <c r="A161" s="35" t="s">
        <v>1895</v>
      </c>
      <c r="B161" s="35" t="s">
        <v>1895</v>
      </c>
      <c r="C161" s="35" t="s">
        <v>1896</v>
      </c>
      <c r="D161">
        <v>195</v>
      </c>
      <c r="F161" s="118" t="s">
        <v>1103</v>
      </c>
      <c r="G161" s="46">
        <v>1117</v>
      </c>
    </row>
    <row r="162" spans="1:7" x14ac:dyDescent="0.3">
      <c r="A162" s="35" t="s">
        <v>1911</v>
      </c>
      <c r="B162" s="35" t="s">
        <v>1911</v>
      </c>
      <c r="C162" s="35" t="s">
        <v>1912</v>
      </c>
      <c r="D162">
        <v>176.98000000000002</v>
      </c>
      <c r="F162" s="45" t="s">
        <v>1145</v>
      </c>
      <c r="G162" s="46">
        <v>4304</v>
      </c>
    </row>
    <row r="163" spans="1:7" x14ac:dyDescent="0.3">
      <c r="A163" s="35" t="s">
        <v>1956</v>
      </c>
      <c r="B163" s="35" t="s">
        <v>1956</v>
      </c>
      <c r="C163" s="35" t="s">
        <v>1957</v>
      </c>
      <c r="D163">
        <v>266</v>
      </c>
      <c r="F163" s="118" t="s">
        <v>1146</v>
      </c>
      <c r="G163" s="46">
        <v>4304</v>
      </c>
    </row>
    <row r="164" spans="1:7" x14ac:dyDescent="0.3">
      <c r="A164" s="35" t="s">
        <v>1909</v>
      </c>
      <c r="B164" s="35" t="s">
        <v>1909</v>
      </c>
      <c r="C164" s="35" t="s">
        <v>1910</v>
      </c>
      <c r="D164">
        <v>546</v>
      </c>
      <c r="F164" s="45" t="s">
        <v>1142</v>
      </c>
      <c r="G164" s="46">
        <v>2996.8199999999988</v>
      </c>
    </row>
    <row r="165" spans="1:7" x14ac:dyDescent="0.3">
      <c r="A165" s="35" t="s">
        <v>1913</v>
      </c>
      <c r="B165" s="35" t="s">
        <v>1913</v>
      </c>
      <c r="C165" s="35" t="s">
        <v>1914</v>
      </c>
      <c r="D165">
        <v>544.93000000000029</v>
      </c>
      <c r="F165" s="118" t="s">
        <v>1106</v>
      </c>
      <c r="G165" s="46">
        <v>2996.8199999999988</v>
      </c>
    </row>
    <row r="166" spans="1:7" x14ac:dyDescent="0.3">
      <c r="A166" s="35" t="s">
        <v>1922</v>
      </c>
      <c r="B166" s="35" t="s">
        <v>1922</v>
      </c>
      <c r="C166" s="35" t="s">
        <v>1923</v>
      </c>
      <c r="D166">
        <v>527</v>
      </c>
      <c r="F166" s="45" t="s">
        <v>1144</v>
      </c>
      <c r="G166" s="46">
        <v>5171.5599999999977</v>
      </c>
    </row>
    <row r="167" spans="1:7" x14ac:dyDescent="0.3">
      <c r="A167" s="35" t="s">
        <v>1915</v>
      </c>
      <c r="B167" s="35" t="s">
        <v>1915</v>
      </c>
      <c r="C167" s="35" t="s">
        <v>1916</v>
      </c>
      <c r="D167">
        <v>962</v>
      </c>
      <c r="F167" s="118" t="s">
        <v>1127</v>
      </c>
      <c r="G167" s="46">
        <v>5171.5599999999977</v>
      </c>
    </row>
    <row r="168" spans="1:7" x14ac:dyDescent="0.3">
      <c r="A168" t="s">
        <v>1958</v>
      </c>
      <c r="B168" t="s">
        <v>1958</v>
      </c>
      <c r="C168" t="s">
        <v>1959</v>
      </c>
      <c r="D168" s="1">
        <v>450</v>
      </c>
      <c r="F168" s="45" t="s">
        <v>1140</v>
      </c>
      <c r="G168" s="46">
        <v>1835.7600000000002</v>
      </c>
    </row>
    <row r="169" spans="1:7" x14ac:dyDescent="0.3">
      <c r="A169" t="s">
        <v>2002</v>
      </c>
      <c r="B169" t="s">
        <v>2002</v>
      </c>
      <c r="C169" t="s">
        <v>2003</v>
      </c>
      <c r="D169" s="1">
        <v>391</v>
      </c>
      <c r="F169" s="118" t="s">
        <v>1130</v>
      </c>
      <c r="G169" s="46">
        <v>1835.7600000000002</v>
      </c>
    </row>
    <row r="170" spans="1:7" x14ac:dyDescent="0.3">
      <c r="F170" s="45" t="s">
        <v>1164</v>
      </c>
      <c r="G170" s="46">
        <v>3660</v>
      </c>
    </row>
    <row r="171" spans="1:7" x14ac:dyDescent="0.3">
      <c r="F171" s="118" t="s">
        <v>1157</v>
      </c>
      <c r="G171" s="46">
        <v>3660</v>
      </c>
    </row>
    <row r="172" spans="1:7" x14ac:dyDescent="0.3">
      <c r="F172" s="45" t="s">
        <v>1171</v>
      </c>
      <c r="G172" s="46">
        <v>1745</v>
      </c>
    </row>
    <row r="173" spans="1:7" x14ac:dyDescent="0.3">
      <c r="F173" s="118" t="s">
        <v>1128</v>
      </c>
      <c r="G173" s="46">
        <v>1745</v>
      </c>
    </row>
    <row r="174" spans="1:7" x14ac:dyDescent="0.3">
      <c r="F174" s="45" t="s">
        <v>1174</v>
      </c>
      <c r="G174" s="46">
        <v>1817.42</v>
      </c>
    </row>
    <row r="175" spans="1:7" x14ac:dyDescent="0.3">
      <c r="F175" s="118" t="s">
        <v>1126</v>
      </c>
      <c r="G175" s="46">
        <v>1817.42</v>
      </c>
    </row>
    <row r="176" spans="1:7" x14ac:dyDescent="0.3">
      <c r="F176" s="45" t="s">
        <v>1176</v>
      </c>
      <c r="G176" s="46">
        <v>2607.0299999999988</v>
      </c>
    </row>
    <row r="177" spans="6:7" x14ac:dyDescent="0.3">
      <c r="F177" s="118" t="s">
        <v>1129</v>
      </c>
      <c r="G177" s="46">
        <v>2607.0299999999988</v>
      </c>
    </row>
    <row r="178" spans="6:7" x14ac:dyDescent="0.3">
      <c r="F178" s="45" t="s">
        <v>1208</v>
      </c>
      <c r="G178" s="46">
        <v>4153.9399999999987</v>
      </c>
    </row>
    <row r="179" spans="6:7" x14ac:dyDescent="0.3">
      <c r="F179" s="118" t="s">
        <v>1200</v>
      </c>
      <c r="G179" s="46">
        <v>4153.9399999999987</v>
      </c>
    </row>
    <row r="180" spans="6:7" x14ac:dyDescent="0.3">
      <c r="F180" s="45" t="s">
        <v>1209</v>
      </c>
      <c r="G180" s="46">
        <v>1210</v>
      </c>
    </row>
    <row r="181" spans="6:7" x14ac:dyDescent="0.3">
      <c r="F181" s="118" t="s">
        <v>1161</v>
      </c>
      <c r="G181" s="46">
        <v>1210</v>
      </c>
    </row>
    <row r="182" spans="6:7" x14ac:dyDescent="0.3">
      <c r="F182" s="45" t="s">
        <v>1270</v>
      </c>
      <c r="G182" s="46">
        <v>2670</v>
      </c>
    </row>
    <row r="183" spans="6:7" x14ac:dyDescent="0.3">
      <c r="F183" s="118" t="s">
        <v>1204</v>
      </c>
      <c r="G183" s="46">
        <v>2670</v>
      </c>
    </row>
    <row r="184" spans="6:7" x14ac:dyDescent="0.3">
      <c r="F184" s="45" t="s">
        <v>1272</v>
      </c>
      <c r="G184" s="46">
        <v>2219.7499999999991</v>
      </c>
    </row>
    <row r="185" spans="6:7" x14ac:dyDescent="0.3">
      <c r="F185" s="118" t="s">
        <v>1198</v>
      </c>
      <c r="G185" s="46">
        <v>2219.7499999999991</v>
      </c>
    </row>
    <row r="186" spans="6:7" x14ac:dyDescent="0.3">
      <c r="F186" s="45" t="s">
        <v>1273</v>
      </c>
      <c r="G186" s="46">
        <v>3564.5499999999993</v>
      </c>
    </row>
    <row r="187" spans="6:7" x14ac:dyDescent="0.3">
      <c r="F187" s="118" t="s">
        <v>1206</v>
      </c>
      <c r="G187" s="46">
        <v>3564.5499999999993</v>
      </c>
    </row>
    <row r="188" spans="6:7" x14ac:dyDescent="0.3">
      <c r="F188" s="45" t="s">
        <v>1274</v>
      </c>
      <c r="G188" s="46">
        <v>2912</v>
      </c>
    </row>
    <row r="189" spans="6:7" x14ac:dyDescent="0.3">
      <c r="F189" s="118" t="s">
        <v>1199</v>
      </c>
      <c r="G189" s="46">
        <v>2912</v>
      </c>
    </row>
    <row r="190" spans="6:7" x14ac:dyDescent="0.3">
      <c r="F190" s="45" t="s">
        <v>1268</v>
      </c>
      <c r="G190" s="46">
        <v>4285.1399999999994</v>
      </c>
    </row>
    <row r="191" spans="6:7" x14ac:dyDescent="0.3">
      <c r="F191" s="118" t="s">
        <v>1269</v>
      </c>
      <c r="G191" s="46">
        <v>4285.1399999999994</v>
      </c>
    </row>
    <row r="192" spans="6:7" x14ac:dyDescent="0.3">
      <c r="F192" s="45" t="s">
        <v>1210</v>
      </c>
      <c r="G192" s="46">
        <v>2511</v>
      </c>
    </row>
    <row r="193" spans="6:7" x14ac:dyDescent="0.3">
      <c r="F193" s="118" t="s">
        <v>1160</v>
      </c>
      <c r="G193" s="46">
        <v>2511</v>
      </c>
    </row>
    <row r="194" spans="6:7" x14ac:dyDescent="0.3">
      <c r="F194" s="45" t="s">
        <v>1311</v>
      </c>
      <c r="G194" s="46">
        <v>2630</v>
      </c>
    </row>
    <row r="195" spans="6:7" x14ac:dyDescent="0.3">
      <c r="F195" s="118" t="s">
        <v>1207</v>
      </c>
      <c r="G195" s="46">
        <v>2630</v>
      </c>
    </row>
    <row r="196" spans="6:7" x14ac:dyDescent="0.3">
      <c r="F196" s="45" t="s">
        <v>1312</v>
      </c>
      <c r="G196" s="46">
        <v>902</v>
      </c>
    </row>
    <row r="197" spans="6:7" x14ac:dyDescent="0.3">
      <c r="F197" s="118" t="s">
        <v>1201</v>
      </c>
      <c r="G197" s="46">
        <v>902</v>
      </c>
    </row>
    <row r="198" spans="6:7" x14ac:dyDescent="0.3">
      <c r="F198" s="45" t="s">
        <v>1163</v>
      </c>
      <c r="G198" s="46">
        <v>1516.92</v>
      </c>
    </row>
    <row r="199" spans="6:7" x14ac:dyDescent="0.3">
      <c r="F199" s="118" t="s">
        <v>1104</v>
      </c>
      <c r="G199" s="46">
        <v>1516.92</v>
      </c>
    </row>
    <row r="200" spans="6:7" x14ac:dyDescent="0.3">
      <c r="F200" s="45" t="s">
        <v>1316</v>
      </c>
      <c r="G200" s="46">
        <v>1949</v>
      </c>
    </row>
    <row r="201" spans="6:7" x14ac:dyDescent="0.3">
      <c r="F201" s="118" t="s">
        <v>1158</v>
      </c>
      <c r="G201" s="46">
        <v>1949</v>
      </c>
    </row>
    <row r="202" spans="6:7" x14ac:dyDescent="0.3">
      <c r="F202" s="45" t="s">
        <v>1411</v>
      </c>
      <c r="G202" s="46">
        <v>796</v>
      </c>
    </row>
    <row r="203" spans="6:7" x14ac:dyDescent="0.3">
      <c r="F203" s="118" t="s">
        <v>1353</v>
      </c>
      <c r="G203" s="46">
        <v>796</v>
      </c>
    </row>
    <row r="204" spans="6:7" x14ac:dyDescent="0.3">
      <c r="F204" s="45" t="s">
        <v>1271</v>
      </c>
      <c r="G204" s="46">
        <v>2280.96</v>
      </c>
    </row>
    <row r="205" spans="6:7" x14ac:dyDescent="0.3">
      <c r="F205" s="118" t="s">
        <v>1159</v>
      </c>
      <c r="G205" s="46">
        <v>2280.96</v>
      </c>
    </row>
    <row r="206" spans="6:7" x14ac:dyDescent="0.3">
      <c r="F206" s="45" t="s">
        <v>1321</v>
      </c>
      <c r="G206" s="46">
        <v>1524.8000000000002</v>
      </c>
    </row>
    <row r="207" spans="6:7" x14ac:dyDescent="0.3">
      <c r="F207" s="118" t="s">
        <v>439</v>
      </c>
      <c r="G207" s="46">
        <v>1524.8000000000002</v>
      </c>
    </row>
    <row r="208" spans="6:7" x14ac:dyDescent="0.3">
      <c r="F208" s="45" t="s">
        <v>1323</v>
      </c>
      <c r="G208" s="46">
        <v>3272</v>
      </c>
    </row>
    <row r="209" spans="6:7" x14ac:dyDescent="0.3">
      <c r="F209" s="118" t="s">
        <v>1324</v>
      </c>
      <c r="G209" s="46">
        <v>3272</v>
      </c>
    </row>
    <row r="210" spans="6:7" x14ac:dyDescent="0.3">
      <c r="F210" s="45" t="s">
        <v>1386</v>
      </c>
      <c r="G210" s="46">
        <v>3484</v>
      </c>
    </row>
    <row r="211" spans="6:7" x14ac:dyDescent="0.3">
      <c r="F211" s="118" t="s">
        <v>1355</v>
      </c>
      <c r="G211" s="46">
        <v>3484</v>
      </c>
    </row>
    <row r="212" spans="6:7" x14ac:dyDescent="0.3">
      <c r="F212" s="45" t="s">
        <v>1403</v>
      </c>
      <c r="G212" s="46">
        <v>1168</v>
      </c>
    </row>
    <row r="213" spans="6:7" x14ac:dyDescent="0.3">
      <c r="F213" s="118" t="s">
        <v>1359</v>
      </c>
      <c r="G213" s="46">
        <v>1168</v>
      </c>
    </row>
    <row r="214" spans="6:7" x14ac:dyDescent="0.3">
      <c r="F214" s="45" t="s">
        <v>1361</v>
      </c>
      <c r="G214" s="46">
        <v>2560</v>
      </c>
    </row>
    <row r="215" spans="6:7" x14ac:dyDescent="0.3">
      <c r="F215" s="118" t="s">
        <v>1356</v>
      </c>
      <c r="G215" s="46">
        <v>2560</v>
      </c>
    </row>
    <row r="216" spans="6:7" x14ac:dyDescent="0.3">
      <c r="F216" s="45" t="s">
        <v>1423</v>
      </c>
      <c r="G216" s="46">
        <v>1196.96</v>
      </c>
    </row>
    <row r="217" spans="6:7" x14ac:dyDescent="0.3">
      <c r="F217" s="118" t="s">
        <v>103</v>
      </c>
      <c r="G217" s="46">
        <v>1196.96</v>
      </c>
    </row>
    <row r="218" spans="6:7" x14ac:dyDescent="0.3">
      <c r="F218" s="45" t="s">
        <v>1417</v>
      </c>
      <c r="G218" s="46">
        <v>930.96</v>
      </c>
    </row>
    <row r="219" spans="6:7" x14ac:dyDescent="0.3">
      <c r="F219" s="118" t="s">
        <v>1375</v>
      </c>
      <c r="G219" s="46">
        <v>930.96</v>
      </c>
    </row>
    <row r="220" spans="6:7" x14ac:dyDescent="0.3">
      <c r="F220" s="45" t="s">
        <v>1435</v>
      </c>
      <c r="G220" s="46">
        <v>1216</v>
      </c>
    </row>
    <row r="221" spans="6:7" x14ac:dyDescent="0.3">
      <c r="F221" s="118" t="s">
        <v>1357</v>
      </c>
      <c r="G221" s="46">
        <v>1216</v>
      </c>
    </row>
    <row r="222" spans="6:7" x14ac:dyDescent="0.3">
      <c r="F222" s="45" t="s">
        <v>1394</v>
      </c>
      <c r="G222" s="46">
        <v>816</v>
      </c>
    </row>
    <row r="223" spans="6:7" x14ac:dyDescent="0.3">
      <c r="F223" s="118" t="s">
        <v>1212</v>
      </c>
      <c r="G223" s="46">
        <v>816</v>
      </c>
    </row>
    <row r="224" spans="6:7" x14ac:dyDescent="0.3">
      <c r="F224" s="45" t="s">
        <v>1429</v>
      </c>
      <c r="G224" s="46">
        <v>6535</v>
      </c>
    </row>
    <row r="225" spans="6:7" x14ac:dyDescent="0.3">
      <c r="F225" s="118" t="s">
        <v>1377</v>
      </c>
      <c r="G225" s="46">
        <v>6535</v>
      </c>
    </row>
    <row r="226" spans="6:7" x14ac:dyDescent="0.3">
      <c r="F226" s="45" t="s">
        <v>1449</v>
      </c>
      <c r="G226" s="46">
        <v>614</v>
      </c>
    </row>
    <row r="227" spans="6:7" x14ac:dyDescent="0.3">
      <c r="F227" s="118" t="s">
        <v>1383</v>
      </c>
      <c r="G227" s="46">
        <v>614</v>
      </c>
    </row>
    <row r="228" spans="6:7" x14ac:dyDescent="0.3">
      <c r="F228" s="45" t="s">
        <v>1476</v>
      </c>
      <c r="G228" s="46">
        <v>1043</v>
      </c>
    </row>
    <row r="229" spans="6:7" x14ac:dyDescent="0.3">
      <c r="F229" s="118" t="s">
        <v>1103</v>
      </c>
      <c r="G229" s="46">
        <v>1043</v>
      </c>
    </row>
    <row r="230" spans="6:7" x14ac:dyDescent="0.3">
      <c r="F230" s="45" t="s">
        <v>1459</v>
      </c>
      <c r="G230" s="46">
        <v>1399</v>
      </c>
    </row>
    <row r="231" spans="6:7" x14ac:dyDescent="0.3">
      <c r="F231" s="118" t="s">
        <v>686</v>
      </c>
      <c r="G231" s="46">
        <v>1399</v>
      </c>
    </row>
    <row r="232" spans="6:7" x14ac:dyDescent="0.3">
      <c r="F232" s="45" t="s">
        <v>1475</v>
      </c>
      <c r="G232" s="46">
        <v>9212</v>
      </c>
    </row>
    <row r="233" spans="6:7" x14ac:dyDescent="0.3">
      <c r="F233" s="118" t="s">
        <v>1378</v>
      </c>
      <c r="G233" s="46">
        <v>9212</v>
      </c>
    </row>
    <row r="234" spans="6:7" x14ac:dyDescent="0.3">
      <c r="F234" s="45" t="s">
        <v>1468</v>
      </c>
      <c r="G234" s="46">
        <v>912</v>
      </c>
    </row>
    <row r="235" spans="6:7" x14ac:dyDescent="0.3">
      <c r="F235" s="118" t="s">
        <v>1384</v>
      </c>
      <c r="G235" s="46">
        <v>912</v>
      </c>
    </row>
    <row r="236" spans="6:7" x14ac:dyDescent="0.3">
      <c r="F236" s="45" t="s">
        <v>1477</v>
      </c>
      <c r="G236" s="46">
        <v>1055</v>
      </c>
    </row>
    <row r="237" spans="6:7" x14ac:dyDescent="0.3">
      <c r="F237" s="118" t="s">
        <v>1382</v>
      </c>
      <c r="G237" s="46">
        <v>1055</v>
      </c>
    </row>
    <row r="238" spans="6:7" x14ac:dyDescent="0.3">
      <c r="F238" s="45" t="s">
        <v>1518</v>
      </c>
      <c r="G238" s="46">
        <v>4071</v>
      </c>
    </row>
    <row r="239" spans="6:7" x14ac:dyDescent="0.3">
      <c r="F239" s="118" t="s">
        <v>1519</v>
      </c>
      <c r="G239" s="46">
        <v>4071</v>
      </c>
    </row>
    <row r="240" spans="6:7" x14ac:dyDescent="0.3">
      <c r="F240" s="45" t="s">
        <v>1478</v>
      </c>
      <c r="G240" s="46">
        <v>1835.7599999999984</v>
      </c>
    </row>
    <row r="241" spans="6:7" x14ac:dyDescent="0.3">
      <c r="F241" s="118" t="s">
        <v>1445</v>
      </c>
      <c r="G241" s="46">
        <v>1835.7599999999984</v>
      </c>
    </row>
    <row r="242" spans="6:7" x14ac:dyDescent="0.3">
      <c r="F242" s="45" t="s">
        <v>1527</v>
      </c>
      <c r="G242" s="46"/>
    </row>
    <row r="243" spans="6:7" x14ac:dyDescent="0.3">
      <c r="F243" s="118" t="s">
        <v>1527</v>
      </c>
      <c r="G243" s="46"/>
    </row>
    <row r="244" spans="6:7" x14ac:dyDescent="0.3">
      <c r="F244" s="45" t="s">
        <v>1530</v>
      </c>
      <c r="G244" s="46">
        <v>2646</v>
      </c>
    </row>
    <row r="245" spans="6:7" x14ac:dyDescent="0.3">
      <c r="F245" s="118" t="s">
        <v>575</v>
      </c>
      <c r="G245" s="46">
        <v>2646</v>
      </c>
    </row>
    <row r="246" spans="6:7" x14ac:dyDescent="0.3">
      <c r="F246" s="45" t="s">
        <v>1533</v>
      </c>
      <c r="G246" s="46">
        <v>2308</v>
      </c>
    </row>
    <row r="247" spans="6:7" x14ac:dyDescent="0.3">
      <c r="F247" s="118" t="s">
        <v>1516</v>
      </c>
      <c r="G247" s="46">
        <v>2308</v>
      </c>
    </row>
    <row r="248" spans="6:7" x14ac:dyDescent="0.3">
      <c r="F248" s="45" t="s">
        <v>1532</v>
      </c>
      <c r="G248" s="46">
        <v>1312</v>
      </c>
    </row>
    <row r="249" spans="6:7" x14ac:dyDescent="0.3">
      <c r="F249" s="118" t="s">
        <v>1376</v>
      </c>
      <c r="G249" s="46">
        <v>1312</v>
      </c>
    </row>
    <row r="250" spans="6:7" x14ac:dyDescent="0.3">
      <c r="F250" s="45" t="s">
        <v>1531</v>
      </c>
      <c r="G250" s="46">
        <v>1256</v>
      </c>
    </row>
    <row r="251" spans="6:7" x14ac:dyDescent="0.3">
      <c r="F251" s="118" t="s">
        <v>1515</v>
      </c>
      <c r="G251" s="46">
        <v>1256</v>
      </c>
    </row>
    <row r="252" spans="6:7" x14ac:dyDescent="0.3">
      <c r="F252" s="45" t="s">
        <v>1565</v>
      </c>
      <c r="G252" s="46">
        <v>900</v>
      </c>
    </row>
    <row r="253" spans="6:7" x14ac:dyDescent="0.3">
      <c r="F253" s="118" t="s">
        <v>1528</v>
      </c>
      <c r="G253" s="46">
        <v>900</v>
      </c>
    </row>
    <row r="254" spans="6:7" x14ac:dyDescent="0.3">
      <c r="F254" s="45" t="s">
        <v>1571</v>
      </c>
      <c r="G254" s="46">
        <v>1710</v>
      </c>
    </row>
    <row r="255" spans="6:7" x14ac:dyDescent="0.3">
      <c r="F255" s="118" t="s">
        <v>1517</v>
      </c>
      <c r="G255" s="46">
        <v>1710</v>
      </c>
    </row>
    <row r="256" spans="6:7" x14ac:dyDescent="0.3">
      <c r="F256" s="45" t="s">
        <v>1591</v>
      </c>
      <c r="G256" s="46">
        <v>686</v>
      </c>
    </row>
    <row r="257" spans="6:7" x14ac:dyDescent="0.3">
      <c r="F257" s="118" t="s">
        <v>1354</v>
      </c>
      <c r="G257" s="46">
        <v>686</v>
      </c>
    </row>
    <row r="258" spans="6:7" x14ac:dyDescent="0.3">
      <c r="F258" s="45" t="s">
        <v>1593</v>
      </c>
      <c r="G258" s="46">
        <v>330</v>
      </c>
    </row>
    <row r="259" spans="6:7" x14ac:dyDescent="0.3">
      <c r="F259" s="118" t="s">
        <v>1594</v>
      </c>
      <c r="G259" s="46">
        <v>330</v>
      </c>
    </row>
    <row r="260" spans="6:7" x14ac:dyDescent="0.3">
      <c r="F260" s="45" t="s">
        <v>1575</v>
      </c>
      <c r="G260" s="46">
        <v>1169</v>
      </c>
    </row>
    <row r="261" spans="6:7" x14ac:dyDescent="0.3">
      <c r="F261" s="118" t="s">
        <v>1564</v>
      </c>
      <c r="G261" s="46">
        <v>1169</v>
      </c>
    </row>
    <row r="262" spans="6:7" x14ac:dyDescent="0.3">
      <c r="F262" s="45" t="s">
        <v>1602</v>
      </c>
      <c r="G262" s="46">
        <v>4600</v>
      </c>
    </row>
    <row r="263" spans="6:7" x14ac:dyDescent="0.3">
      <c r="F263" s="118" t="s">
        <v>295</v>
      </c>
      <c r="G263" s="46">
        <v>4600</v>
      </c>
    </row>
    <row r="264" spans="6:7" x14ac:dyDescent="0.3">
      <c r="F264" s="45" t="s">
        <v>1636</v>
      </c>
      <c r="G264" s="46">
        <v>615</v>
      </c>
    </row>
    <row r="265" spans="6:7" x14ac:dyDescent="0.3">
      <c r="F265" s="118" t="s">
        <v>186</v>
      </c>
      <c r="G265" s="46">
        <v>615</v>
      </c>
    </row>
    <row r="266" spans="6:7" x14ac:dyDescent="0.3">
      <c r="F266" s="45" t="s">
        <v>1686</v>
      </c>
      <c r="G266" s="46">
        <v>937</v>
      </c>
    </row>
    <row r="267" spans="6:7" x14ac:dyDescent="0.3">
      <c r="F267" s="118" t="s">
        <v>1600</v>
      </c>
      <c r="G267" s="46">
        <v>937</v>
      </c>
    </row>
    <row r="268" spans="6:7" x14ac:dyDescent="0.3">
      <c r="F268" s="45" t="s">
        <v>1635</v>
      </c>
      <c r="G268" s="46">
        <v>480</v>
      </c>
    </row>
    <row r="269" spans="6:7" x14ac:dyDescent="0.3">
      <c r="F269" s="118" t="s">
        <v>1599</v>
      </c>
      <c r="G269" s="46">
        <v>480</v>
      </c>
    </row>
    <row r="270" spans="6:7" x14ac:dyDescent="0.3">
      <c r="F270" s="45" t="s">
        <v>1634</v>
      </c>
      <c r="G270" s="46">
        <v>88.039999999999964</v>
      </c>
    </row>
    <row r="271" spans="6:7" x14ac:dyDescent="0.3">
      <c r="F271" s="118" t="s">
        <v>1563</v>
      </c>
      <c r="G271" s="46">
        <v>88.039999999999964</v>
      </c>
    </row>
    <row r="272" spans="6:7" x14ac:dyDescent="0.3">
      <c r="F272" s="45" t="s">
        <v>1638</v>
      </c>
      <c r="G272" s="46">
        <v>1264</v>
      </c>
    </row>
    <row r="273" spans="6:7" x14ac:dyDescent="0.3">
      <c r="F273" s="118" t="s">
        <v>1598</v>
      </c>
      <c r="G273" s="46">
        <v>1264</v>
      </c>
    </row>
    <row r="274" spans="6:7" x14ac:dyDescent="0.3">
      <c r="F274" s="45" t="s">
        <v>1666</v>
      </c>
      <c r="G274" s="46">
        <v>1643.7999999999993</v>
      </c>
    </row>
    <row r="275" spans="6:7" x14ac:dyDescent="0.3">
      <c r="F275" s="118" t="s">
        <v>1597</v>
      </c>
      <c r="G275" s="46">
        <v>1643.7999999999993</v>
      </c>
    </row>
    <row r="276" spans="6:7" x14ac:dyDescent="0.3">
      <c r="F276" s="45" t="s">
        <v>1687</v>
      </c>
      <c r="G276" s="46">
        <v>587</v>
      </c>
    </row>
    <row r="277" spans="6:7" x14ac:dyDescent="0.3">
      <c r="F277" s="118" t="s">
        <v>1596</v>
      </c>
      <c r="G277" s="46">
        <v>587</v>
      </c>
    </row>
    <row r="278" spans="6:7" x14ac:dyDescent="0.3">
      <c r="F278" s="45" t="s">
        <v>1690</v>
      </c>
      <c r="G278" s="46">
        <v>1000</v>
      </c>
    </row>
    <row r="279" spans="6:7" x14ac:dyDescent="0.3">
      <c r="F279" s="118" t="s">
        <v>1661</v>
      </c>
      <c r="G279" s="46">
        <v>1000</v>
      </c>
    </row>
    <row r="280" spans="6:7" x14ac:dyDescent="0.3">
      <c r="F280" s="45" t="s">
        <v>1688</v>
      </c>
      <c r="G280" s="46">
        <v>456</v>
      </c>
    </row>
    <row r="281" spans="6:7" x14ac:dyDescent="0.3">
      <c r="F281" s="118" t="s">
        <v>1601</v>
      </c>
      <c r="G281" s="46">
        <v>456</v>
      </c>
    </row>
    <row r="282" spans="6:7" x14ac:dyDescent="0.3">
      <c r="F282" s="45" t="s">
        <v>1780</v>
      </c>
      <c r="G282" s="46">
        <v>881.89999999999964</v>
      </c>
    </row>
    <row r="283" spans="6:7" x14ac:dyDescent="0.3">
      <c r="F283" s="118" t="s">
        <v>1633</v>
      </c>
      <c r="G283" s="46">
        <v>881.89999999999964</v>
      </c>
    </row>
    <row r="284" spans="6:7" x14ac:dyDescent="0.3">
      <c r="F284" s="45" t="s">
        <v>1796</v>
      </c>
      <c r="G284" s="46">
        <v>640</v>
      </c>
    </row>
    <row r="285" spans="6:7" x14ac:dyDescent="0.3">
      <c r="F285" s="118" t="s">
        <v>572</v>
      </c>
      <c r="G285" s="46">
        <v>640</v>
      </c>
    </row>
    <row r="286" spans="6:7" x14ac:dyDescent="0.3">
      <c r="F286" s="45" t="s">
        <v>1684</v>
      </c>
      <c r="G286" s="46">
        <v>660.98999999999978</v>
      </c>
    </row>
    <row r="287" spans="6:7" x14ac:dyDescent="0.3">
      <c r="F287" s="118" t="s">
        <v>1662</v>
      </c>
      <c r="G287" s="46">
        <v>660.98999999999978</v>
      </c>
    </row>
    <row r="288" spans="6:7" x14ac:dyDescent="0.3">
      <c r="F288" s="45" t="s">
        <v>1822</v>
      </c>
      <c r="G288" s="46">
        <v>506</v>
      </c>
    </row>
    <row r="289" spans="6:7" x14ac:dyDescent="0.3">
      <c r="F289" s="118" t="s">
        <v>1663</v>
      </c>
      <c r="G289" s="46">
        <v>506</v>
      </c>
    </row>
    <row r="290" spans="6:7" x14ac:dyDescent="0.3">
      <c r="F290" s="45" t="s">
        <v>1689</v>
      </c>
      <c r="G290" s="46">
        <v>731.92000000000007</v>
      </c>
    </row>
    <row r="291" spans="6:7" x14ac:dyDescent="0.3">
      <c r="F291" s="118" t="s">
        <v>572</v>
      </c>
      <c r="G291" s="46">
        <v>731.92000000000007</v>
      </c>
    </row>
    <row r="292" spans="6:7" x14ac:dyDescent="0.3">
      <c r="F292" s="45" t="s">
        <v>1695</v>
      </c>
      <c r="G292" s="46">
        <v>1643.7999999999993</v>
      </c>
    </row>
    <row r="293" spans="6:7" x14ac:dyDescent="0.3">
      <c r="F293" s="118" t="s">
        <v>1696</v>
      </c>
      <c r="G293" s="46">
        <v>1643.7999999999993</v>
      </c>
    </row>
    <row r="294" spans="6:7" x14ac:dyDescent="0.3">
      <c r="F294" s="45" t="s">
        <v>1736</v>
      </c>
      <c r="G294" s="46">
        <v>965</v>
      </c>
    </row>
    <row r="295" spans="6:7" x14ac:dyDescent="0.3">
      <c r="F295" s="118" t="s">
        <v>1573</v>
      </c>
      <c r="G295" s="46">
        <v>965</v>
      </c>
    </row>
    <row r="296" spans="6:7" x14ac:dyDescent="0.3">
      <c r="F296" s="45" t="s">
        <v>1787</v>
      </c>
      <c r="G296" s="46">
        <v>478</v>
      </c>
    </row>
    <row r="297" spans="6:7" x14ac:dyDescent="0.3">
      <c r="F297" s="118" t="s">
        <v>1665</v>
      </c>
      <c r="G297" s="46">
        <v>478</v>
      </c>
    </row>
    <row r="298" spans="6:7" x14ac:dyDescent="0.3">
      <c r="F298" s="45" t="s">
        <v>1773</v>
      </c>
      <c r="G298" s="46">
        <v>1168</v>
      </c>
    </row>
    <row r="299" spans="6:7" x14ac:dyDescent="0.3">
      <c r="F299" s="118" t="s">
        <v>1774</v>
      </c>
      <c r="G299" s="46">
        <v>1168</v>
      </c>
    </row>
    <row r="300" spans="6:7" x14ac:dyDescent="0.3">
      <c r="F300" s="45" t="s">
        <v>1802</v>
      </c>
      <c r="G300" s="46">
        <v>872</v>
      </c>
    </row>
    <row r="301" spans="6:7" x14ac:dyDescent="0.3">
      <c r="F301" s="118" t="s">
        <v>1574</v>
      </c>
      <c r="G301" s="46">
        <v>872</v>
      </c>
    </row>
    <row r="302" spans="6:7" x14ac:dyDescent="0.3">
      <c r="F302" s="45" t="s">
        <v>1809</v>
      </c>
      <c r="G302" s="46">
        <v>939</v>
      </c>
    </row>
    <row r="303" spans="6:7" x14ac:dyDescent="0.3">
      <c r="F303" s="118" t="s">
        <v>1810</v>
      </c>
      <c r="G303" s="46">
        <v>939</v>
      </c>
    </row>
    <row r="304" spans="6:7" x14ac:dyDescent="0.3">
      <c r="F304" s="45" t="s">
        <v>1820</v>
      </c>
      <c r="G304" s="46">
        <v>189</v>
      </c>
    </row>
    <row r="305" spans="6:7" x14ac:dyDescent="0.3">
      <c r="F305" s="118" t="s">
        <v>1821</v>
      </c>
      <c r="G305" s="46">
        <v>189</v>
      </c>
    </row>
    <row r="306" spans="6:7" x14ac:dyDescent="0.3">
      <c r="F306" s="45" t="s">
        <v>1817</v>
      </c>
      <c r="G306" s="46">
        <v>464</v>
      </c>
    </row>
    <row r="307" spans="6:7" x14ac:dyDescent="0.3">
      <c r="F307" s="118" t="s">
        <v>1818</v>
      </c>
      <c r="G307" s="46">
        <v>464</v>
      </c>
    </row>
    <row r="308" spans="6:7" x14ac:dyDescent="0.3">
      <c r="F308" s="45" t="s">
        <v>1837</v>
      </c>
      <c r="G308" s="46">
        <v>282</v>
      </c>
    </row>
    <row r="309" spans="6:7" x14ac:dyDescent="0.3">
      <c r="F309" s="118" t="s">
        <v>186</v>
      </c>
      <c r="G309" s="46">
        <v>282</v>
      </c>
    </row>
    <row r="310" spans="6:7" x14ac:dyDescent="0.3">
      <c r="F310" s="45" t="s">
        <v>1838</v>
      </c>
      <c r="G310" s="46">
        <v>470</v>
      </c>
    </row>
    <row r="311" spans="6:7" x14ac:dyDescent="0.3">
      <c r="F311" s="118" t="s">
        <v>1839</v>
      </c>
      <c r="G311" s="46">
        <v>470</v>
      </c>
    </row>
    <row r="312" spans="6:7" x14ac:dyDescent="0.3">
      <c r="F312" s="45" t="s">
        <v>1874</v>
      </c>
      <c r="G312" s="46">
        <v>842</v>
      </c>
    </row>
    <row r="313" spans="6:7" x14ac:dyDescent="0.3">
      <c r="F313" s="118" t="s">
        <v>1875</v>
      </c>
      <c r="G313" s="46">
        <v>842</v>
      </c>
    </row>
    <row r="314" spans="6:7" x14ac:dyDescent="0.3">
      <c r="F314" s="45" t="s">
        <v>1835</v>
      </c>
      <c r="G314" s="46">
        <v>1018</v>
      </c>
    </row>
    <row r="315" spans="6:7" x14ac:dyDescent="0.3">
      <c r="F315" s="118" t="s">
        <v>1836</v>
      </c>
      <c r="G315" s="46">
        <v>1018</v>
      </c>
    </row>
    <row r="316" spans="6:7" x14ac:dyDescent="0.3">
      <c r="F316" s="45" t="s">
        <v>1841</v>
      </c>
      <c r="G316" s="46">
        <v>282</v>
      </c>
    </row>
    <row r="317" spans="6:7" x14ac:dyDescent="0.3">
      <c r="F317" s="118" t="s">
        <v>1842</v>
      </c>
      <c r="G317" s="46">
        <v>282</v>
      </c>
    </row>
    <row r="318" spans="6:7" x14ac:dyDescent="0.3">
      <c r="F318" s="45" t="s">
        <v>1882</v>
      </c>
      <c r="G318" s="46">
        <v>195</v>
      </c>
    </row>
    <row r="319" spans="6:7" x14ac:dyDescent="0.3">
      <c r="F319" s="118" t="s">
        <v>1883</v>
      </c>
      <c r="G319" s="46">
        <v>195</v>
      </c>
    </row>
    <row r="320" spans="6:7" x14ac:dyDescent="0.3">
      <c r="F320" s="45" t="s">
        <v>1907</v>
      </c>
      <c r="G320" s="46">
        <v>0</v>
      </c>
    </row>
    <row r="321" spans="6:7" x14ac:dyDescent="0.3">
      <c r="F321" s="118" t="s">
        <v>1908</v>
      </c>
      <c r="G321" s="46">
        <v>0</v>
      </c>
    </row>
    <row r="322" spans="6:7" x14ac:dyDescent="0.3">
      <c r="F322" s="45" t="s">
        <v>1895</v>
      </c>
      <c r="G322" s="46">
        <v>195</v>
      </c>
    </row>
    <row r="323" spans="6:7" x14ac:dyDescent="0.3">
      <c r="F323" s="118" t="s">
        <v>1896</v>
      </c>
      <c r="G323" s="46">
        <v>195</v>
      </c>
    </row>
    <row r="324" spans="6:7" x14ac:dyDescent="0.3">
      <c r="F324" s="45" t="s">
        <v>1911</v>
      </c>
      <c r="G324" s="46">
        <v>176.98000000000002</v>
      </c>
    </row>
    <row r="325" spans="6:7" x14ac:dyDescent="0.3">
      <c r="F325" s="118" t="s">
        <v>1912</v>
      </c>
      <c r="G325" s="46">
        <v>176.98000000000002</v>
      </c>
    </row>
    <row r="326" spans="6:7" x14ac:dyDescent="0.3">
      <c r="F326" s="45" t="s">
        <v>1956</v>
      </c>
      <c r="G326" s="46">
        <v>266</v>
      </c>
    </row>
    <row r="327" spans="6:7" x14ac:dyDescent="0.3">
      <c r="F327" s="118" t="s">
        <v>1957</v>
      </c>
      <c r="G327" s="46">
        <v>266</v>
      </c>
    </row>
    <row r="328" spans="6:7" x14ac:dyDescent="0.3">
      <c r="F328" s="45" t="s">
        <v>1909</v>
      </c>
      <c r="G328" s="46">
        <v>546</v>
      </c>
    </row>
    <row r="329" spans="6:7" x14ac:dyDescent="0.3">
      <c r="F329" s="118" t="s">
        <v>1910</v>
      </c>
      <c r="G329" s="46">
        <v>546</v>
      </c>
    </row>
    <row r="330" spans="6:7" x14ac:dyDescent="0.3">
      <c r="F330" s="45" t="s">
        <v>1913</v>
      </c>
      <c r="G330" s="46">
        <v>544.93000000000029</v>
      </c>
    </row>
    <row r="331" spans="6:7" x14ac:dyDescent="0.3">
      <c r="F331" s="118" t="s">
        <v>1914</v>
      </c>
      <c r="G331" s="46">
        <v>544.93000000000029</v>
      </c>
    </row>
    <row r="332" spans="6:7" x14ac:dyDescent="0.3">
      <c r="F332" s="45" t="s">
        <v>1922</v>
      </c>
      <c r="G332" s="46">
        <v>527</v>
      </c>
    </row>
    <row r="333" spans="6:7" x14ac:dyDescent="0.3">
      <c r="F333" s="118" t="s">
        <v>1923</v>
      </c>
      <c r="G333" s="46">
        <v>527</v>
      </c>
    </row>
    <row r="334" spans="6:7" x14ac:dyDescent="0.3">
      <c r="F334" s="45" t="s">
        <v>1915</v>
      </c>
      <c r="G334" s="46">
        <v>962</v>
      </c>
    </row>
    <row r="335" spans="6:7" x14ac:dyDescent="0.3">
      <c r="F335" s="118" t="s">
        <v>1916</v>
      </c>
      <c r="G335" s="46">
        <v>962</v>
      </c>
    </row>
    <row r="336" spans="6:7" x14ac:dyDescent="0.3">
      <c r="F336" s="45" t="s">
        <v>1958</v>
      </c>
      <c r="G336" s="46">
        <v>450</v>
      </c>
    </row>
    <row r="337" spans="6:7" x14ac:dyDescent="0.3">
      <c r="F337" s="118" t="s">
        <v>1959</v>
      </c>
      <c r="G337" s="46">
        <v>450</v>
      </c>
    </row>
    <row r="338" spans="6:7" x14ac:dyDescent="0.3">
      <c r="F338" s="45" t="s">
        <v>2002</v>
      </c>
      <c r="G338" s="46">
        <v>391</v>
      </c>
    </row>
    <row r="339" spans="6:7" x14ac:dyDescent="0.3">
      <c r="F339" s="118" t="s">
        <v>2003</v>
      </c>
      <c r="G339" s="46">
        <v>391</v>
      </c>
    </row>
    <row r="340" spans="6:7" x14ac:dyDescent="0.3">
      <c r="F340" s="45" t="s">
        <v>969</v>
      </c>
      <c r="G340" s="46">
        <v>3789</v>
      </c>
    </row>
    <row r="341" spans="6:7" x14ac:dyDescent="0.3">
      <c r="F341" s="118" t="s">
        <v>941</v>
      </c>
      <c r="G341" s="46">
        <v>3789</v>
      </c>
    </row>
    <row r="342" spans="6:7" x14ac:dyDescent="0.3">
      <c r="F342" s="45" t="s">
        <v>1318</v>
      </c>
      <c r="G342" s="46">
        <v>592254.77000000037</v>
      </c>
    </row>
  </sheetData>
  <autoFilter ref="A1:D202" xr:uid="{60FF745B-B928-489B-AAE6-971880858CDF}"/>
  <phoneticPr fontId="11" type="noConversion"/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Seguimiento por promotor</vt:lpstr>
      <vt:lpstr>CARTERA</vt:lpstr>
      <vt:lpstr>Agenda</vt:lpstr>
      <vt:lpstr>promotores td</vt:lpstr>
      <vt:lpstr>Gerentes td</vt:lpstr>
      <vt:lpstr>Parche Promotores</vt:lpstr>
      <vt:lpstr>CONFORMACIÓN DE GRUPO</vt:lpstr>
      <vt:lpstr>SITUACIÓN DE CARTERA</vt:lpstr>
      <vt:lpstr>ANTIGÜEDAD</vt:lpstr>
      <vt:lpstr>Reporte de cobranza</vt:lpstr>
      <vt:lpstr>AHOROS</vt:lpstr>
      <vt:lpstr>Ahorros_concentrado</vt:lpstr>
      <vt:lpstr>Agenda!Títulos_a_imprimir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cp:lastPrinted>2025-10-19T16:16:33Z</cp:lastPrinted>
  <dcterms:created xsi:type="dcterms:W3CDTF">2025-07-23T16:49:39Z</dcterms:created>
  <dcterms:modified xsi:type="dcterms:W3CDTF">2025-11-03T15:57:37Z</dcterms:modified>
</cp:coreProperties>
</file>