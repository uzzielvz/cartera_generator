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Unidades compartidas\Operaciones\REPORTES\"/>
    </mc:Choice>
  </mc:AlternateContent>
  <xr:revisionPtr revIDLastSave="0" documentId="13_ncr:1_{140A14EC-C28D-435B-BC22-E8E1F32E9A1C}" xr6:coauthVersionLast="47" xr6:coauthVersionMax="47" xr10:uidLastSave="{00000000-0000-0000-0000-000000000000}"/>
  <bookViews>
    <workbookView xWindow="-110" yWindow="-110" windowWidth="19420" windowHeight="10300" xr2:uid="{F6398C19-23C9-437F-ABCF-DE9A0742F2FE}"/>
  </bookViews>
  <sheets>
    <sheet name="AHORROS" sheetId="2" r:id="rId1"/>
    <sheet name="ACUMULADO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4" l="1"/>
  <c r="K145" i="2"/>
  <c r="L145" i="2"/>
  <c r="I145" i="2"/>
  <c r="L144" i="2"/>
  <c r="I144" i="2"/>
  <c r="K144" i="2" s="1"/>
  <c r="L143" i="2"/>
  <c r="I143" i="2"/>
  <c r="K143" i="2" s="1"/>
  <c r="L142" i="2"/>
  <c r="I142" i="2"/>
  <c r="K142" i="2" s="1"/>
  <c r="L141" i="2"/>
  <c r="I141" i="2"/>
  <c r="K141" i="2" s="1"/>
  <c r="L140" i="2"/>
  <c r="I140" i="2"/>
  <c r="K140" i="2" s="1"/>
  <c r="L139" i="2"/>
  <c r="I139" i="2"/>
  <c r="K139" i="2" s="1"/>
  <c r="L138" i="2"/>
  <c r="I138" i="2"/>
  <c r="K138" i="2" s="1"/>
  <c r="L137" i="2"/>
  <c r="I137" i="2"/>
  <c r="K137" i="2" s="1"/>
  <c r="L136" i="2"/>
  <c r="I136" i="2"/>
  <c r="K136" i="2" s="1"/>
  <c r="L135" i="2"/>
  <c r="I135" i="2"/>
  <c r="K135" i="2" s="1"/>
  <c r="L134" i="2"/>
  <c r="I134" i="2"/>
  <c r="K134" i="2" s="1"/>
  <c r="L133" i="2"/>
  <c r="I133" i="2"/>
  <c r="K133" i="2" s="1"/>
  <c r="L132" i="2"/>
  <c r="I132" i="2"/>
  <c r="K132" i="2" s="1"/>
  <c r="L131" i="2"/>
  <c r="I131" i="2"/>
  <c r="K131" i="2" s="1"/>
  <c r="L130" i="2"/>
  <c r="I130" i="2"/>
  <c r="K130" i="2" s="1"/>
  <c r="L65" i="2"/>
  <c r="I65" i="2"/>
  <c r="K65" i="2" s="1"/>
  <c r="L64" i="2"/>
  <c r="I64" i="2"/>
  <c r="K64" i="2" s="1"/>
  <c r="L63" i="2"/>
  <c r="I63" i="2"/>
  <c r="K63" i="2" s="1"/>
  <c r="L62" i="2"/>
  <c r="I62" i="2"/>
  <c r="K62" i="2" s="1"/>
  <c r="L61" i="2"/>
  <c r="I61" i="2"/>
  <c r="K61" i="2" s="1"/>
  <c r="L60" i="2"/>
  <c r="I60" i="2"/>
  <c r="K60" i="2" s="1"/>
  <c r="L59" i="2"/>
  <c r="I59" i="2"/>
  <c r="K59" i="2" s="1"/>
  <c r="L58" i="2"/>
  <c r="I58" i="2"/>
  <c r="K58" i="2" s="1"/>
  <c r="L57" i="2"/>
  <c r="I57" i="2"/>
  <c r="K57" i="2" s="1"/>
  <c r="L56" i="2"/>
  <c r="I56" i="2"/>
  <c r="K56" i="2" s="1"/>
  <c r="L55" i="2"/>
  <c r="I55" i="2"/>
  <c r="K55" i="2" s="1"/>
  <c r="L54" i="2"/>
  <c r="I54" i="2"/>
  <c r="K54" i="2" s="1"/>
  <c r="L53" i="2"/>
  <c r="I53" i="2"/>
  <c r="K53" i="2" s="1"/>
  <c r="L52" i="2"/>
  <c r="I52" i="2"/>
  <c r="K52" i="2" s="1"/>
  <c r="L51" i="2"/>
  <c r="I51" i="2"/>
  <c r="K51" i="2" s="1"/>
  <c r="L50" i="2"/>
  <c r="I50" i="2"/>
  <c r="K50" i="2" s="1"/>
  <c r="G109" i="2"/>
  <c r="I3329" i="2"/>
  <c r="K3329" i="2" s="1"/>
  <c r="I3328" i="2"/>
  <c r="K3328" i="2" s="1"/>
  <c r="I3327" i="2"/>
  <c r="K3327" i="2" s="1"/>
  <c r="I3326" i="2"/>
  <c r="K3326" i="2" s="1"/>
  <c r="I3325" i="2"/>
  <c r="K3325" i="2" s="1"/>
  <c r="I3324" i="2"/>
  <c r="K3324" i="2" s="1"/>
  <c r="I3323" i="2"/>
  <c r="K3323" i="2" s="1"/>
  <c r="I3322" i="2"/>
  <c r="K3322" i="2" s="1"/>
  <c r="I3321" i="2"/>
  <c r="K3321" i="2" s="1"/>
  <c r="I3320" i="2"/>
  <c r="K3320" i="2" s="1"/>
  <c r="I3319" i="2"/>
  <c r="K3319" i="2" s="1"/>
  <c r="I3318" i="2"/>
  <c r="K3318" i="2" s="1"/>
  <c r="I3317" i="2"/>
  <c r="K3317" i="2" s="1"/>
  <c r="I3316" i="2"/>
  <c r="K3316" i="2" s="1"/>
  <c r="I3315" i="2"/>
  <c r="K3315" i="2" s="1"/>
  <c r="I3314" i="2"/>
  <c r="K3314" i="2" s="1"/>
  <c r="I3313" i="2"/>
  <c r="K3313" i="2" s="1"/>
  <c r="I3312" i="2"/>
  <c r="K3312" i="2" s="1"/>
  <c r="I3311" i="2"/>
  <c r="K3311" i="2" s="1"/>
  <c r="I3310" i="2"/>
  <c r="K3310" i="2" s="1"/>
  <c r="I3309" i="2"/>
  <c r="K3309" i="2" s="1"/>
  <c r="I3308" i="2"/>
  <c r="K3308" i="2" s="1"/>
  <c r="I3307" i="2"/>
  <c r="K3307" i="2" s="1"/>
  <c r="I3306" i="2"/>
  <c r="K3306" i="2" s="1"/>
  <c r="I3305" i="2"/>
  <c r="K3305" i="2" s="1"/>
  <c r="I3304" i="2"/>
  <c r="K3304" i="2" s="1"/>
  <c r="I3303" i="2"/>
  <c r="K3303" i="2" s="1"/>
  <c r="I3302" i="2"/>
  <c r="K3302" i="2" s="1"/>
  <c r="I3301" i="2"/>
  <c r="K3301" i="2" s="1"/>
  <c r="I3300" i="2"/>
  <c r="K3300" i="2" s="1"/>
  <c r="I3299" i="2"/>
  <c r="K3299" i="2" s="1"/>
  <c r="I3298" i="2"/>
  <c r="K3298" i="2" s="1"/>
  <c r="I3297" i="2"/>
  <c r="K3297" i="2" s="1"/>
  <c r="I3296" i="2"/>
  <c r="K3296" i="2" s="1"/>
  <c r="I3295" i="2"/>
  <c r="K3295" i="2" s="1"/>
  <c r="I3294" i="2"/>
  <c r="K3294" i="2" s="1"/>
  <c r="I3293" i="2"/>
  <c r="K3293" i="2" s="1"/>
  <c r="I3292" i="2"/>
  <c r="K3292" i="2" s="1"/>
  <c r="I3291" i="2"/>
  <c r="K3291" i="2" s="1"/>
  <c r="I3290" i="2"/>
  <c r="K3290" i="2" s="1"/>
  <c r="I3289" i="2"/>
  <c r="K3289" i="2" s="1"/>
  <c r="I3288" i="2"/>
  <c r="K3288" i="2" s="1"/>
  <c r="I3287" i="2"/>
  <c r="K3287" i="2" s="1"/>
  <c r="I3286" i="2"/>
  <c r="K3286" i="2" s="1"/>
  <c r="I3285" i="2"/>
  <c r="K3285" i="2" s="1"/>
  <c r="I3284" i="2"/>
  <c r="K3284" i="2" s="1"/>
  <c r="I3283" i="2"/>
  <c r="K3283" i="2" s="1"/>
  <c r="I3282" i="2"/>
  <c r="K3282" i="2" s="1"/>
  <c r="I3281" i="2"/>
  <c r="K3281" i="2" s="1"/>
  <c r="I3280" i="2"/>
  <c r="K3280" i="2" s="1"/>
  <c r="I3279" i="2"/>
  <c r="K3279" i="2" s="1"/>
  <c r="I3278" i="2"/>
  <c r="K3278" i="2" s="1"/>
  <c r="I3277" i="2"/>
  <c r="K3277" i="2" s="1"/>
  <c r="I3276" i="2"/>
  <c r="K3276" i="2" s="1"/>
  <c r="I3275" i="2"/>
  <c r="K3275" i="2" s="1"/>
  <c r="I3274" i="2"/>
  <c r="K3274" i="2" s="1"/>
  <c r="I3273" i="2"/>
  <c r="K3273" i="2" s="1"/>
  <c r="I3272" i="2"/>
  <c r="K3272" i="2" s="1"/>
  <c r="I3271" i="2"/>
  <c r="K3271" i="2" s="1"/>
  <c r="I3270" i="2"/>
  <c r="K3270" i="2" s="1"/>
  <c r="I3269" i="2"/>
  <c r="K3269" i="2" s="1"/>
  <c r="I3268" i="2"/>
  <c r="K3268" i="2" s="1"/>
  <c r="I3267" i="2"/>
  <c r="K3267" i="2" s="1"/>
  <c r="I3266" i="2"/>
  <c r="K3266" i="2" s="1"/>
  <c r="I3265" i="2"/>
  <c r="K3265" i="2" s="1"/>
  <c r="I3264" i="2"/>
  <c r="K3264" i="2" s="1"/>
  <c r="I3263" i="2"/>
  <c r="K3263" i="2" s="1"/>
  <c r="I3262" i="2"/>
  <c r="K3262" i="2" s="1"/>
  <c r="I3261" i="2"/>
  <c r="K3261" i="2" s="1"/>
  <c r="I3260" i="2"/>
  <c r="K3260" i="2" s="1"/>
  <c r="I3259" i="2"/>
  <c r="K3259" i="2" s="1"/>
  <c r="I3258" i="2"/>
  <c r="K3258" i="2" s="1"/>
  <c r="I3257" i="2"/>
  <c r="K3257" i="2" s="1"/>
  <c r="I3256" i="2"/>
  <c r="K3256" i="2" s="1"/>
  <c r="I3255" i="2"/>
  <c r="K3255" i="2" s="1"/>
  <c r="I3254" i="2"/>
  <c r="K3254" i="2" s="1"/>
  <c r="I3253" i="2"/>
  <c r="K3253" i="2" s="1"/>
  <c r="I3252" i="2"/>
  <c r="K3252" i="2" s="1"/>
  <c r="I3251" i="2"/>
  <c r="K3251" i="2" s="1"/>
  <c r="I3250" i="2"/>
  <c r="K3250" i="2" s="1"/>
  <c r="I3249" i="2"/>
  <c r="K3249" i="2" s="1"/>
  <c r="I3248" i="2"/>
  <c r="K3248" i="2" s="1"/>
  <c r="I3247" i="2"/>
  <c r="K3247" i="2" s="1"/>
  <c r="I3246" i="2"/>
  <c r="K3246" i="2" s="1"/>
  <c r="I3245" i="2"/>
  <c r="K3245" i="2" s="1"/>
  <c r="I3244" i="2"/>
  <c r="K3244" i="2" s="1"/>
  <c r="I3243" i="2"/>
  <c r="K3243" i="2" s="1"/>
  <c r="I3242" i="2"/>
  <c r="K3242" i="2" s="1"/>
  <c r="I3241" i="2"/>
  <c r="K3241" i="2" s="1"/>
  <c r="I3240" i="2"/>
  <c r="K3240" i="2" s="1"/>
  <c r="I3239" i="2"/>
  <c r="K3239" i="2" s="1"/>
  <c r="I3238" i="2"/>
  <c r="K3238" i="2" s="1"/>
  <c r="I3237" i="2"/>
  <c r="K3237" i="2" s="1"/>
  <c r="I3236" i="2"/>
  <c r="K3236" i="2" s="1"/>
  <c r="I3235" i="2"/>
  <c r="K3235" i="2" s="1"/>
  <c r="I3234" i="2"/>
  <c r="K3234" i="2" s="1"/>
  <c r="I3233" i="2"/>
  <c r="K3233" i="2" s="1"/>
  <c r="I3232" i="2"/>
  <c r="K3232" i="2" s="1"/>
  <c r="I3231" i="2"/>
  <c r="K3231" i="2" s="1"/>
  <c r="I3230" i="2"/>
  <c r="K3230" i="2" s="1"/>
  <c r="I3229" i="2"/>
  <c r="K3229" i="2" s="1"/>
  <c r="I3228" i="2"/>
  <c r="K3228" i="2" s="1"/>
  <c r="I3227" i="2"/>
  <c r="K3227" i="2" s="1"/>
  <c r="I3226" i="2"/>
  <c r="K3226" i="2" s="1"/>
  <c r="I3225" i="2"/>
  <c r="K3225" i="2" s="1"/>
  <c r="I3224" i="2"/>
  <c r="K3224" i="2" s="1"/>
  <c r="I3223" i="2"/>
  <c r="K3223" i="2" s="1"/>
  <c r="I3222" i="2"/>
  <c r="K3222" i="2" s="1"/>
  <c r="I3221" i="2"/>
  <c r="K3221" i="2" s="1"/>
  <c r="I3220" i="2"/>
  <c r="K3220" i="2" s="1"/>
  <c r="I3219" i="2"/>
  <c r="K3219" i="2" s="1"/>
  <c r="I3218" i="2"/>
  <c r="K3218" i="2" s="1"/>
  <c r="I3217" i="2"/>
  <c r="K3217" i="2" s="1"/>
  <c r="I3216" i="2"/>
  <c r="K3216" i="2" s="1"/>
  <c r="I3215" i="2"/>
  <c r="K3215" i="2" s="1"/>
  <c r="I3214" i="2"/>
  <c r="K3214" i="2" s="1"/>
  <c r="I3213" i="2"/>
  <c r="K3213" i="2" s="1"/>
  <c r="I3212" i="2"/>
  <c r="K3212" i="2" s="1"/>
  <c r="I3211" i="2"/>
  <c r="K3211" i="2" s="1"/>
  <c r="I3210" i="2"/>
  <c r="K3210" i="2" s="1"/>
  <c r="I3209" i="2"/>
  <c r="K3209" i="2" s="1"/>
  <c r="I3208" i="2"/>
  <c r="K3208" i="2" s="1"/>
  <c r="I3207" i="2"/>
  <c r="K3207" i="2" s="1"/>
  <c r="I3206" i="2"/>
  <c r="K3206" i="2" s="1"/>
  <c r="I3205" i="2"/>
  <c r="K3205" i="2" s="1"/>
  <c r="I3204" i="2"/>
  <c r="K3204" i="2" s="1"/>
  <c r="I3203" i="2"/>
  <c r="K3203" i="2" s="1"/>
  <c r="I3202" i="2"/>
  <c r="K3202" i="2" s="1"/>
  <c r="G158" i="2"/>
  <c r="H158" i="2"/>
  <c r="I3201" i="2"/>
  <c r="K3201" i="2" s="1"/>
  <c r="I3200" i="2"/>
  <c r="K3200" i="2" s="1"/>
  <c r="I3199" i="2"/>
  <c r="K3199" i="2" s="1"/>
  <c r="I3198" i="2"/>
  <c r="K3198" i="2" s="1"/>
  <c r="I3197" i="2"/>
  <c r="K3197" i="2" s="1"/>
  <c r="I3196" i="2"/>
  <c r="K3196" i="2" s="1"/>
  <c r="I3195" i="2"/>
  <c r="K3195" i="2" s="1"/>
  <c r="I3194" i="2"/>
  <c r="K3194" i="2" s="1"/>
  <c r="I3193" i="2"/>
  <c r="K3193" i="2" s="1"/>
  <c r="I3192" i="2"/>
  <c r="K3192" i="2" s="1"/>
  <c r="I3191" i="2"/>
  <c r="K3191" i="2" s="1"/>
  <c r="I3190" i="2"/>
  <c r="K3190" i="2" s="1"/>
  <c r="I3189" i="2"/>
  <c r="K3189" i="2" s="1"/>
  <c r="I3188" i="2"/>
  <c r="K3188" i="2" s="1"/>
  <c r="I3187" i="2"/>
  <c r="K3187" i="2" s="1"/>
  <c r="I3186" i="2"/>
  <c r="K3186" i="2" s="1"/>
  <c r="I3185" i="2"/>
  <c r="K3185" i="2" s="1"/>
  <c r="I3184" i="2"/>
  <c r="K3184" i="2" s="1"/>
  <c r="I3183" i="2"/>
  <c r="K3183" i="2" s="1"/>
  <c r="I3182" i="2"/>
  <c r="K3182" i="2" s="1"/>
  <c r="I3181" i="2"/>
  <c r="K3181" i="2" s="1"/>
  <c r="I3180" i="2"/>
  <c r="K3180" i="2" s="1"/>
  <c r="I3179" i="2"/>
  <c r="K3179" i="2" s="1"/>
  <c r="I3178" i="2"/>
  <c r="K3178" i="2" s="1"/>
  <c r="I3177" i="2"/>
  <c r="K3177" i="2" s="1"/>
  <c r="I3176" i="2"/>
  <c r="K3176" i="2" s="1"/>
  <c r="I3175" i="2"/>
  <c r="K3175" i="2" s="1"/>
  <c r="I3174" i="2"/>
  <c r="K3174" i="2" s="1"/>
  <c r="I3173" i="2"/>
  <c r="K3173" i="2" s="1"/>
  <c r="I3172" i="2"/>
  <c r="K3172" i="2" s="1"/>
  <c r="I3171" i="2"/>
  <c r="K3171" i="2" s="1"/>
  <c r="I3170" i="2"/>
  <c r="K3170" i="2" s="1"/>
  <c r="I3169" i="2"/>
  <c r="K3169" i="2" s="1"/>
  <c r="I3168" i="2"/>
  <c r="K3168" i="2" s="1"/>
  <c r="I3167" i="2"/>
  <c r="K3167" i="2" s="1"/>
  <c r="I3166" i="2"/>
  <c r="K3166" i="2" s="1"/>
  <c r="I3165" i="2"/>
  <c r="K3165" i="2" s="1"/>
  <c r="I3164" i="2"/>
  <c r="K3164" i="2" s="1"/>
  <c r="I3163" i="2"/>
  <c r="K3163" i="2" s="1"/>
  <c r="I3162" i="2"/>
  <c r="K3162" i="2" s="1"/>
  <c r="I3161" i="2"/>
  <c r="K3161" i="2" s="1"/>
  <c r="I3160" i="2"/>
  <c r="K3160" i="2" s="1"/>
  <c r="I3159" i="2"/>
  <c r="K3159" i="2" s="1"/>
  <c r="I3158" i="2"/>
  <c r="K3158" i="2" s="1"/>
  <c r="I3157" i="2"/>
  <c r="K3157" i="2" s="1"/>
  <c r="I3156" i="2"/>
  <c r="K3156" i="2" s="1"/>
  <c r="I3155" i="2"/>
  <c r="K3155" i="2" s="1"/>
  <c r="I3154" i="2"/>
  <c r="K3154" i="2" s="1"/>
  <c r="I3153" i="2"/>
  <c r="K3153" i="2" s="1"/>
  <c r="I3152" i="2"/>
  <c r="K3152" i="2" s="1"/>
  <c r="I3151" i="2"/>
  <c r="K3151" i="2" s="1"/>
  <c r="I3150" i="2"/>
  <c r="K3150" i="2" s="1"/>
  <c r="I3149" i="2"/>
  <c r="K3149" i="2" s="1"/>
  <c r="I3148" i="2"/>
  <c r="K3148" i="2" s="1"/>
  <c r="I3147" i="2"/>
  <c r="K3147" i="2" s="1"/>
  <c r="I3146" i="2"/>
  <c r="K3146" i="2" s="1"/>
  <c r="I3145" i="2"/>
  <c r="K3145" i="2" s="1"/>
  <c r="I3144" i="2"/>
  <c r="K3144" i="2" s="1"/>
  <c r="I3143" i="2"/>
  <c r="K3143" i="2" s="1"/>
  <c r="I3142" i="2"/>
  <c r="K3142" i="2" s="1"/>
  <c r="I3141" i="2"/>
  <c r="K3141" i="2" s="1"/>
  <c r="I3140" i="2"/>
  <c r="K3140" i="2" s="1"/>
  <c r="I3139" i="2"/>
  <c r="K3139" i="2" s="1"/>
  <c r="I3138" i="2"/>
  <c r="K3138" i="2" s="1"/>
  <c r="I3137" i="2"/>
  <c r="K3137" i="2" s="1"/>
  <c r="I3136" i="2"/>
  <c r="K3136" i="2" s="1"/>
  <c r="I3135" i="2"/>
  <c r="K3135" i="2" s="1"/>
  <c r="I3134" i="2"/>
  <c r="K3134" i="2" s="1"/>
  <c r="I3133" i="2"/>
  <c r="K3133" i="2" s="1"/>
  <c r="I3132" i="2"/>
  <c r="K3132" i="2" s="1"/>
  <c r="I3131" i="2"/>
  <c r="K3131" i="2" s="1"/>
  <c r="I3130" i="2"/>
  <c r="K3130" i="2" s="1"/>
  <c r="I3129" i="2"/>
  <c r="K3129" i="2" s="1"/>
  <c r="I3128" i="2"/>
  <c r="K3128" i="2" s="1"/>
  <c r="I3127" i="2"/>
  <c r="K3127" i="2" s="1"/>
  <c r="I3126" i="2"/>
  <c r="K3126" i="2" s="1"/>
  <c r="I3125" i="2"/>
  <c r="K3125" i="2" s="1"/>
  <c r="I3124" i="2"/>
  <c r="K3124" i="2" s="1"/>
  <c r="I3123" i="2"/>
  <c r="K3123" i="2" s="1"/>
  <c r="I3122" i="2"/>
  <c r="K3122" i="2" s="1"/>
  <c r="I3121" i="2"/>
  <c r="K3121" i="2" s="1"/>
  <c r="I3120" i="2"/>
  <c r="K3120" i="2" s="1"/>
  <c r="I3119" i="2"/>
  <c r="K3119" i="2" s="1"/>
  <c r="I3118" i="2"/>
  <c r="K3118" i="2" s="1"/>
  <c r="I3117" i="2"/>
  <c r="K3117" i="2" s="1"/>
  <c r="I3116" i="2"/>
  <c r="K3116" i="2" s="1"/>
  <c r="I3115" i="2"/>
  <c r="K3115" i="2" s="1"/>
  <c r="I3114" i="2"/>
  <c r="K3114" i="2" s="1"/>
  <c r="I3113" i="2"/>
  <c r="K3113" i="2" s="1"/>
  <c r="I3112" i="2"/>
  <c r="K3112" i="2" s="1"/>
  <c r="I3111" i="2"/>
  <c r="K3111" i="2" s="1"/>
  <c r="I3110" i="2"/>
  <c r="K3110" i="2" s="1"/>
  <c r="I3109" i="2"/>
  <c r="K3109" i="2" s="1"/>
  <c r="I3108" i="2"/>
  <c r="K3108" i="2" s="1"/>
  <c r="I3107" i="2"/>
  <c r="K3107" i="2" s="1"/>
  <c r="I3106" i="2"/>
  <c r="K3106" i="2" s="1"/>
  <c r="I3105" i="2"/>
  <c r="K3105" i="2" s="1"/>
  <c r="I3104" i="2"/>
  <c r="K3104" i="2" s="1"/>
  <c r="I3103" i="2"/>
  <c r="K3103" i="2" s="1"/>
  <c r="I3102" i="2"/>
  <c r="K3102" i="2" s="1"/>
  <c r="I3101" i="2"/>
  <c r="K3101" i="2" s="1"/>
  <c r="I3100" i="2"/>
  <c r="K3100" i="2" s="1"/>
  <c r="I3099" i="2"/>
  <c r="K3099" i="2" s="1"/>
  <c r="I3098" i="2"/>
  <c r="K3098" i="2" s="1"/>
  <c r="I3097" i="2"/>
  <c r="K3097" i="2" s="1"/>
  <c r="I3096" i="2"/>
  <c r="K3096" i="2" s="1"/>
  <c r="I3095" i="2"/>
  <c r="K3095" i="2" s="1"/>
  <c r="I3094" i="2"/>
  <c r="K3094" i="2" s="1"/>
  <c r="I3093" i="2"/>
  <c r="K3093" i="2" s="1"/>
  <c r="I3092" i="2"/>
  <c r="K3092" i="2" s="1"/>
  <c r="I3091" i="2"/>
  <c r="K3091" i="2" s="1"/>
  <c r="I3090" i="2"/>
  <c r="K3090" i="2" s="1"/>
  <c r="I3089" i="2"/>
  <c r="K3089" i="2" s="1"/>
  <c r="I3088" i="2"/>
  <c r="K3088" i="2" s="1"/>
  <c r="I3087" i="2"/>
  <c r="K3087" i="2" s="1"/>
  <c r="I3086" i="2"/>
  <c r="K3086" i="2" s="1"/>
  <c r="I3085" i="2"/>
  <c r="K3085" i="2" s="1"/>
  <c r="I3084" i="2"/>
  <c r="K3084" i="2" s="1"/>
  <c r="I3083" i="2"/>
  <c r="K3083" i="2" s="1"/>
  <c r="I3082" i="2"/>
  <c r="K3082" i="2" s="1"/>
  <c r="I3081" i="2"/>
  <c r="K3081" i="2" s="1"/>
  <c r="I3080" i="2"/>
  <c r="K3080" i="2" s="1"/>
  <c r="I3079" i="2"/>
  <c r="K3079" i="2" s="1"/>
  <c r="I3078" i="2"/>
  <c r="K3078" i="2" s="1"/>
  <c r="I3077" i="2"/>
  <c r="K3077" i="2" s="1"/>
  <c r="I3076" i="2"/>
  <c r="K3076" i="2" s="1"/>
  <c r="I3075" i="2"/>
  <c r="K3075" i="2" s="1"/>
  <c r="I3074" i="2"/>
  <c r="K3074" i="2" s="1"/>
  <c r="I3073" i="2"/>
  <c r="K3073" i="2" s="1"/>
  <c r="I3072" i="2"/>
  <c r="K3072" i="2" s="1"/>
  <c r="I3071" i="2"/>
  <c r="K3071" i="2" s="1"/>
  <c r="I3070" i="2"/>
  <c r="K3070" i="2" s="1"/>
  <c r="I3069" i="2"/>
  <c r="K3069" i="2" s="1"/>
  <c r="I3068" i="2"/>
  <c r="K3068" i="2" s="1"/>
  <c r="I3067" i="2"/>
  <c r="K3067" i="2" s="1"/>
  <c r="I3066" i="2"/>
  <c r="K3066" i="2" s="1"/>
  <c r="I3065" i="2"/>
  <c r="K3065" i="2" s="1"/>
  <c r="I3064" i="2"/>
  <c r="K3064" i="2" s="1"/>
  <c r="I3063" i="2"/>
  <c r="K3063" i="2" s="1"/>
  <c r="I3062" i="2"/>
  <c r="K3062" i="2" s="1"/>
  <c r="I3061" i="2"/>
  <c r="K3061" i="2" s="1"/>
  <c r="I3060" i="2"/>
  <c r="K3060" i="2" s="1"/>
  <c r="I3059" i="2"/>
  <c r="K3059" i="2" s="1"/>
  <c r="I3058" i="2"/>
  <c r="K3058" i="2" s="1"/>
  <c r="H665" i="2"/>
  <c r="G665" i="2"/>
  <c r="I3057" i="2"/>
  <c r="K3057" i="2" s="1"/>
  <c r="I3056" i="2"/>
  <c r="K3056" i="2" s="1"/>
  <c r="I3055" i="2"/>
  <c r="K3055" i="2" s="1"/>
  <c r="I3054" i="2"/>
  <c r="K3054" i="2" s="1"/>
  <c r="I3053" i="2"/>
  <c r="K3053" i="2" s="1"/>
  <c r="I3052" i="2"/>
  <c r="K3052" i="2" s="1"/>
  <c r="I3051" i="2"/>
  <c r="K3051" i="2" s="1"/>
  <c r="I3050" i="2"/>
  <c r="K3050" i="2" s="1"/>
  <c r="I3049" i="2"/>
  <c r="K3049" i="2" s="1"/>
  <c r="I3048" i="2"/>
  <c r="K3048" i="2" s="1"/>
  <c r="I3047" i="2"/>
  <c r="K3047" i="2" s="1"/>
  <c r="I3046" i="2"/>
  <c r="K3046" i="2" s="1"/>
  <c r="I3045" i="2"/>
  <c r="K3045" i="2" s="1"/>
  <c r="I3044" i="2"/>
  <c r="K3044" i="2" s="1"/>
  <c r="I3043" i="2"/>
  <c r="K3043" i="2" s="1"/>
  <c r="I3042" i="2"/>
  <c r="K3042" i="2" s="1"/>
  <c r="H157" i="2"/>
  <c r="G157" i="2"/>
  <c r="I3041" i="2"/>
  <c r="K3041" i="2" s="1"/>
  <c r="I3040" i="2"/>
  <c r="K3040" i="2" s="1"/>
  <c r="I3039" i="2"/>
  <c r="K3039" i="2" s="1"/>
  <c r="I3038" i="2"/>
  <c r="K3038" i="2" s="1"/>
  <c r="I3037" i="2"/>
  <c r="K3037" i="2" s="1"/>
  <c r="I3036" i="2"/>
  <c r="K3036" i="2" s="1"/>
  <c r="I3035" i="2"/>
  <c r="K3035" i="2" s="1"/>
  <c r="I3034" i="2"/>
  <c r="K3034" i="2" s="1"/>
  <c r="I3033" i="2"/>
  <c r="K3033" i="2" s="1"/>
  <c r="I3032" i="2"/>
  <c r="K3032" i="2" s="1"/>
  <c r="I3031" i="2"/>
  <c r="K3031" i="2" s="1"/>
  <c r="I3030" i="2"/>
  <c r="K3030" i="2" s="1"/>
  <c r="I3029" i="2"/>
  <c r="K3029" i="2" s="1"/>
  <c r="I3028" i="2"/>
  <c r="K3028" i="2" s="1"/>
  <c r="I3027" i="2"/>
  <c r="K3027" i="2" s="1"/>
  <c r="I3026" i="2"/>
  <c r="K3026" i="2" s="1"/>
  <c r="I3025" i="2"/>
  <c r="K3025" i="2" s="1"/>
  <c r="I3024" i="2"/>
  <c r="K3024" i="2" s="1"/>
  <c r="I3023" i="2"/>
  <c r="K3023" i="2" s="1"/>
  <c r="I3022" i="2"/>
  <c r="K3022" i="2" s="1"/>
  <c r="I3021" i="2"/>
  <c r="K3021" i="2" s="1"/>
  <c r="I3020" i="2"/>
  <c r="K3020" i="2" s="1"/>
  <c r="I3019" i="2"/>
  <c r="K3019" i="2" s="1"/>
  <c r="I3018" i="2"/>
  <c r="K3018" i="2" s="1"/>
  <c r="I3017" i="2"/>
  <c r="K3017" i="2" s="1"/>
  <c r="I3016" i="2"/>
  <c r="K3016" i="2" s="1"/>
  <c r="I3015" i="2"/>
  <c r="K3015" i="2" s="1"/>
  <c r="I3014" i="2"/>
  <c r="K3014" i="2" s="1"/>
  <c r="I3013" i="2"/>
  <c r="K3013" i="2" s="1"/>
  <c r="I3012" i="2"/>
  <c r="K3012" i="2" s="1"/>
  <c r="I3011" i="2"/>
  <c r="K3011" i="2" s="1"/>
  <c r="I3010" i="2"/>
  <c r="K3010" i="2" s="1"/>
  <c r="I3009" i="2"/>
  <c r="K3009" i="2" s="1"/>
  <c r="I3008" i="2"/>
  <c r="K3008" i="2" s="1"/>
  <c r="I3007" i="2"/>
  <c r="K3007" i="2" s="1"/>
  <c r="I3006" i="2"/>
  <c r="K3006" i="2" s="1"/>
  <c r="I3005" i="2"/>
  <c r="K3005" i="2" s="1"/>
  <c r="I3004" i="2"/>
  <c r="K3004" i="2" s="1"/>
  <c r="I3003" i="2"/>
  <c r="K3003" i="2" s="1"/>
  <c r="I3002" i="2"/>
  <c r="K3002" i="2" s="1"/>
  <c r="I3001" i="2"/>
  <c r="K3001" i="2" s="1"/>
  <c r="I3000" i="2"/>
  <c r="K3000" i="2" s="1"/>
  <c r="I2999" i="2"/>
  <c r="K2999" i="2" s="1"/>
  <c r="I2998" i="2"/>
  <c r="K2998" i="2" s="1"/>
  <c r="I2997" i="2"/>
  <c r="K2997" i="2" s="1"/>
  <c r="I2996" i="2"/>
  <c r="K2996" i="2" s="1"/>
  <c r="I2995" i="2"/>
  <c r="K2995" i="2" s="1"/>
  <c r="I2994" i="2"/>
  <c r="K2994" i="2" s="1"/>
  <c r="I2993" i="2"/>
  <c r="K2993" i="2" s="1"/>
  <c r="I2992" i="2"/>
  <c r="K2992" i="2" s="1"/>
  <c r="I2991" i="2"/>
  <c r="K2991" i="2" s="1"/>
  <c r="I2990" i="2"/>
  <c r="K2990" i="2" s="1"/>
  <c r="I2989" i="2"/>
  <c r="K2989" i="2" s="1"/>
  <c r="I2988" i="2"/>
  <c r="K2988" i="2" s="1"/>
  <c r="I2987" i="2"/>
  <c r="K2987" i="2" s="1"/>
  <c r="I2986" i="2"/>
  <c r="K2986" i="2" s="1"/>
  <c r="I2985" i="2"/>
  <c r="K2985" i="2" s="1"/>
  <c r="I2984" i="2"/>
  <c r="K2984" i="2" s="1"/>
  <c r="I2983" i="2"/>
  <c r="K2983" i="2" s="1"/>
  <c r="I2982" i="2"/>
  <c r="K2982" i="2" s="1"/>
  <c r="I2981" i="2"/>
  <c r="K2981" i="2" s="1"/>
  <c r="I2980" i="2"/>
  <c r="K2980" i="2" s="1"/>
  <c r="I2979" i="2"/>
  <c r="K2979" i="2" s="1"/>
  <c r="I2978" i="2"/>
  <c r="K2978" i="2" s="1"/>
  <c r="I2977" i="2"/>
  <c r="K2977" i="2" s="1"/>
  <c r="I2976" i="2"/>
  <c r="K2976" i="2" s="1"/>
  <c r="I2975" i="2"/>
  <c r="K2975" i="2" s="1"/>
  <c r="I2974" i="2"/>
  <c r="K2974" i="2" s="1"/>
  <c r="I2973" i="2"/>
  <c r="K2973" i="2" s="1"/>
  <c r="I2972" i="2"/>
  <c r="K2972" i="2" s="1"/>
  <c r="I2971" i="2"/>
  <c r="K2971" i="2" s="1"/>
  <c r="I2970" i="2"/>
  <c r="K2970" i="2" s="1"/>
  <c r="I2969" i="2"/>
  <c r="K2969" i="2" s="1"/>
  <c r="I2968" i="2"/>
  <c r="K2968" i="2" s="1"/>
  <c r="I2967" i="2"/>
  <c r="K2967" i="2" s="1"/>
  <c r="I2966" i="2"/>
  <c r="K2966" i="2" s="1"/>
  <c r="I2965" i="2"/>
  <c r="K2965" i="2" s="1"/>
  <c r="I2964" i="2"/>
  <c r="K2964" i="2" s="1"/>
  <c r="I2963" i="2"/>
  <c r="K2963" i="2" s="1"/>
  <c r="I2962" i="2"/>
  <c r="K2962" i="2" s="1"/>
  <c r="I2961" i="2"/>
  <c r="K2961" i="2" s="1"/>
  <c r="I2960" i="2"/>
  <c r="K2960" i="2" s="1"/>
  <c r="I2959" i="2"/>
  <c r="K2959" i="2" s="1"/>
  <c r="I2958" i="2"/>
  <c r="K2958" i="2" s="1"/>
  <c r="I2957" i="2"/>
  <c r="K2957" i="2" s="1"/>
  <c r="I2956" i="2"/>
  <c r="K2956" i="2" s="1"/>
  <c r="I2955" i="2"/>
  <c r="K2955" i="2" s="1"/>
  <c r="I2954" i="2"/>
  <c r="K2954" i="2" s="1"/>
  <c r="I2953" i="2"/>
  <c r="K2953" i="2" s="1"/>
  <c r="I2952" i="2"/>
  <c r="K2952" i="2" s="1"/>
  <c r="I2951" i="2"/>
  <c r="K2951" i="2" s="1"/>
  <c r="I2950" i="2"/>
  <c r="K2950" i="2" s="1"/>
  <c r="I2949" i="2"/>
  <c r="K2949" i="2" s="1"/>
  <c r="I2948" i="2"/>
  <c r="K2948" i="2" s="1"/>
  <c r="I2947" i="2"/>
  <c r="K2947" i="2" s="1"/>
  <c r="I2946" i="2"/>
  <c r="K2946" i="2" s="1"/>
  <c r="L1168" i="2"/>
  <c r="L1167" i="2"/>
  <c r="L1166" i="2"/>
  <c r="L1165" i="2"/>
  <c r="L1164" i="2"/>
  <c r="L1163" i="2"/>
  <c r="L1162" i="2"/>
  <c r="L1161" i="2"/>
  <c r="L1160" i="2"/>
  <c r="L1159" i="2"/>
  <c r="L1158" i="2"/>
  <c r="L1157" i="2"/>
  <c r="L1156" i="2"/>
  <c r="L1155" i="2"/>
  <c r="L1154" i="2"/>
  <c r="G1575" i="2"/>
  <c r="G539" i="2"/>
  <c r="H539" i="2"/>
  <c r="I2945" i="2"/>
  <c r="K2945" i="2" s="1"/>
  <c r="I2944" i="2"/>
  <c r="K2944" i="2" s="1"/>
  <c r="I2943" i="2"/>
  <c r="K2943" i="2" s="1"/>
  <c r="I2942" i="2"/>
  <c r="K2942" i="2" s="1"/>
  <c r="I2941" i="2"/>
  <c r="K2941" i="2" s="1"/>
  <c r="I2940" i="2"/>
  <c r="K2940" i="2" s="1"/>
  <c r="I2939" i="2"/>
  <c r="K2939" i="2" s="1"/>
  <c r="I2938" i="2"/>
  <c r="K2938" i="2" s="1"/>
  <c r="I2937" i="2"/>
  <c r="K2937" i="2" s="1"/>
  <c r="I2936" i="2"/>
  <c r="K2936" i="2" s="1"/>
  <c r="I2935" i="2"/>
  <c r="K2935" i="2" s="1"/>
  <c r="I2934" i="2"/>
  <c r="K2934" i="2" s="1"/>
  <c r="I2933" i="2"/>
  <c r="K2933" i="2" s="1"/>
  <c r="I2932" i="2"/>
  <c r="K2932" i="2" s="1"/>
  <c r="I2931" i="2"/>
  <c r="K2931" i="2" s="1"/>
  <c r="I2930" i="2"/>
  <c r="K2930" i="2" s="1"/>
  <c r="I2929" i="2"/>
  <c r="K2929" i="2" s="1"/>
  <c r="I2928" i="2"/>
  <c r="K2928" i="2" s="1"/>
  <c r="I2927" i="2"/>
  <c r="K2927" i="2" s="1"/>
  <c r="I2926" i="2"/>
  <c r="K2926" i="2" s="1"/>
  <c r="I2925" i="2"/>
  <c r="K2925" i="2" s="1"/>
  <c r="I2924" i="2"/>
  <c r="K2924" i="2" s="1"/>
  <c r="I2923" i="2"/>
  <c r="K2923" i="2" s="1"/>
  <c r="I2922" i="2"/>
  <c r="K2922" i="2" s="1"/>
  <c r="I2921" i="2"/>
  <c r="K2921" i="2" s="1"/>
  <c r="I2920" i="2"/>
  <c r="K2920" i="2" s="1"/>
  <c r="I2919" i="2"/>
  <c r="K2919" i="2" s="1"/>
  <c r="I2918" i="2"/>
  <c r="K2918" i="2" s="1"/>
  <c r="I2917" i="2"/>
  <c r="K2917" i="2" s="1"/>
  <c r="I2916" i="2"/>
  <c r="K2916" i="2" s="1"/>
  <c r="I2915" i="2"/>
  <c r="K2915" i="2" s="1"/>
  <c r="I2914" i="2"/>
  <c r="K2914" i="2" s="1"/>
  <c r="I2913" i="2"/>
  <c r="K2913" i="2" s="1"/>
  <c r="I2912" i="2"/>
  <c r="K2912" i="2" s="1"/>
  <c r="I2911" i="2"/>
  <c r="K2911" i="2" s="1"/>
  <c r="I2910" i="2"/>
  <c r="K2910" i="2" s="1"/>
  <c r="I2909" i="2"/>
  <c r="K2909" i="2" s="1"/>
  <c r="I2908" i="2"/>
  <c r="K2908" i="2" s="1"/>
  <c r="I2907" i="2"/>
  <c r="K2907" i="2" s="1"/>
  <c r="I2906" i="2"/>
  <c r="K2906" i="2" s="1"/>
  <c r="I2905" i="2"/>
  <c r="K2905" i="2" s="1"/>
  <c r="I2904" i="2"/>
  <c r="K2904" i="2" s="1"/>
  <c r="I2903" i="2"/>
  <c r="K2903" i="2" s="1"/>
  <c r="I2902" i="2"/>
  <c r="K2902" i="2" s="1"/>
  <c r="I2901" i="2"/>
  <c r="K2901" i="2" s="1"/>
  <c r="I2900" i="2"/>
  <c r="K2900" i="2" s="1"/>
  <c r="I2899" i="2"/>
  <c r="K2899" i="2" s="1"/>
  <c r="I2898" i="2"/>
  <c r="J2898" i="2" s="1"/>
  <c r="I2897" i="2"/>
  <c r="K2897" i="2" s="1"/>
  <c r="I2896" i="2"/>
  <c r="K2896" i="2" s="1"/>
  <c r="I2895" i="2"/>
  <c r="K2895" i="2" s="1"/>
  <c r="I2894" i="2"/>
  <c r="K2894" i="2" s="1"/>
  <c r="I2893" i="2"/>
  <c r="K2893" i="2" s="1"/>
  <c r="I2892" i="2"/>
  <c r="K2892" i="2" s="1"/>
  <c r="I2891" i="2"/>
  <c r="K2891" i="2" s="1"/>
  <c r="I2890" i="2"/>
  <c r="K2890" i="2" s="1"/>
  <c r="I2889" i="2"/>
  <c r="K2889" i="2" s="1"/>
  <c r="I2888" i="2"/>
  <c r="K2888" i="2" s="1"/>
  <c r="I2887" i="2"/>
  <c r="K2887" i="2" s="1"/>
  <c r="I2886" i="2"/>
  <c r="K2886" i="2" s="1"/>
  <c r="I2885" i="2"/>
  <c r="K2885" i="2" s="1"/>
  <c r="I2884" i="2"/>
  <c r="K2884" i="2" s="1"/>
  <c r="I2883" i="2"/>
  <c r="K2883" i="2" s="1"/>
  <c r="I2882" i="2"/>
  <c r="K2882" i="2" s="1"/>
  <c r="I2881" i="2"/>
  <c r="K2881" i="2" s="1"/>
  <c r="I2880" i="2"/>
  <c r="K2880" i="2" s="1"/>
  <c r="I2879" i="2"/>
  <c r="K2879" i="2" s="1"/>
  <c r="I2878" i="2"/>
  <c r="K2878" i="2" s="1"/>
  <c r="I2877" i="2"/>
  <c r="K2877" i="2" s="1"/>
  <c r="I2876" i="2"/>
  <c r="K2876" i="2" s="1"/>
  <c r="I2875" i="2"/>
  <c r="K2875" i="2" s="1"/>
  <c r="I2874" i="2"/>
  <c r="K2874" i="2" s="1"/>
  <c r="I2873" i="2"/>
  <c r="K2873" i="2" s="1"/>
  <c r="I2872" i="2"/>
  <c r="K2872" i="2" s="1"/>
  <c r="I2871" i="2"/>
  <c r="K2871" i="2" s="1"/>
  <c r="I2870" i="2"/>
  <c r="K2870" i="2" s="1"/>
  <c r="I2869" i="2"/>
  <c r="K2869" i="2" s="1"/>
  <c r="I2868" i="2"/>
  <c r="K2868" i="2" s="1"/>
  <c r="I2867" i="2"/>
  <c r="K2867" i="2" s="1"/>
  <c r="I2866" i="2"/>
  <c r="K2866" i="2" s="1"/>
  <c r="H313" i="2"/>
  <c r="G313" i="2"/>
  <c r="I2865" i="2"/>
  <c r="K2865" i="2" s="1"/>
  <c r="I2864" i="2"/>
  <c r="K2864" i="2" s="1"/>
  <c r="I2863" i="2"/>
  <c r="K2863" i="2" s="1"/>
  <c r="I2862" i="2"/>
  <c r="K2862" i="2" s="1"/>
  <c r="I2861" i="2"/>
  <c r="K2861" i="2" s="1"/>
  <c r="I2860" i="2"/>
  <c r="K2860" i="2" s="1"/>
  <c r="I2859" i="2"/>
  <c r="K2859" i="2" s="1"/>
  <c r="I2858" i="2"/>
  <c r="K2858" i="2" s="1"/>
  <c r="I2857" i="2"/>
  <c r="K2857" i="2" s="1"/>
  <c r="I2856" i="2"/>
  <c r="K2856" i="2" s="1"/>
  <c r="I2855" i="2"/>
  <c r="K2855" i="2" s="1"/>
  <c r="I2854" i="2"/>
  <c r="K2854" i="2" s="1"/>
  <c r="I2853" i="2"/>
  <c r="K2853" i="2" s="1"/>
  <c r="I2852" i="2"/>
  <c r="K2852" i="2" s="1"/>
  <c r="I2851" i="2"/>
  <c r="K2851" i="2" s="1"/>
  <c r="I2850" i="2"/>
  <c r="K2850" i="2" s="1"/>
  <c r="I2849" i="2"/>
  <c r="K2849" i="2" s="1"/>
  <c r="I2848" i="2"/>
  <c r="K2848" i="2" s="1"/>
  <c r="I2847" i="2"/>
  <c r="K2847" i="2" s="1"/>
  <c r="I2846" i="2"/>
  <c r="K2846" i="2" s="1"/>
  <c r="I2845" i="2"/>
  <c r="K2845" i="2" s="1"/>
  <c r="I2844" i="2"/>
  <c r="K2844" i="2" s="1"/>
  <c r="I2843" i="2"/>
  <c r="K2843" i="2" s="1"/>
  <c r="I2842" i="2"/>
  <c r="K2842" i="2" s="1"/>
  <c r="I2841" i="2"/>
  <c r="K2841" i="2" s="1"/>
  <c r="I2840" i="2"/>
  <c r="K2840" i="2" s="1"/>
  <c r="I2839" i="2"/>
  <c r="K2839" i="2" s="1"/>
  <c r="I2838" i="2"/>
  <c r="K2838" i="2" s="1"/>
  <c r="I2837" i="2"/>
  <c r="K2837" i="2" s="1"/>
  <c r="I2836" i="2"/>
  <c r="K2836" i="2" s="1"/>
  <c r="I2835" i="2"/>
  <c r="K2835" i="2" s="1"/>
  <c r="I2834" i="2"/>
  <c r="K2834" i="2" s="1"/>
  <c r="I2833" i="2"/>
  <c r="K2833" i="2" s="1"/>
  <c r="I2832" i="2"/>
  <c r="K2832" i="2" s="1"/>
  <c r="I2831" i="2"/>
  <c r="K2831" i="2" s="1"/>
  <c r="I2830" i="2"/>
  <c r="K2830" i="2" s="1"/>
  <c r="I2829" i="2"/>
  <c r="K2829" i="2" s="1"/>
  <c r="I2828" i="2"/>
  <c r="K2828" i="2" s="1"/>
  <c r="I2827" i="2"/>
  <c r="K2827" i="2" s="1"/>
  <c r="I2826" i="2"/>
  <c r="K2826" i="2" s="1"/>
  <c r="I2825" i="2"/>
  <c r="K2825" i="2" s="1"/>
  <c r="I2824" i="2"/>
  <c r="K2824" i="2" s="1"/>
  <c r="I2823" i="2"/>
  <c r="K2823" i="2" s="1"/>
  <c r="I2822" i="2"/>
  <c r="K2822" i="2" s="1"/>
  <c r="I2821" i="2"/>
  <c r="K2821" i="2" s="1"/>
  <c r="I2820" i="2"/>
  <c r="K2820" i="2" s="1"/>
  <c r="I2819" i="2"/>
  <c r="K2819" i="2" s="1"/>
  <c r="I2818" i="2"/>
  <c r="K2818" i="2" s="1"/>
  <c r="I2817" i="2"/>
  <c r="K2817" i="2" s="1"/>
  <c r="I2816" i="2"/>
  <c r="K2816" i="2" s="1"/>
  <c r="I2815" i="2"/>
  <c r="K2815" i="2" s="1"/>
  <c r="I2814" i="2"/>
  <c r="K2814" i="2" s="1"/>
  <c r="I2813" i="2"/>
  <c r="K2813" i="2" s="1"/>
  <c r="I2812" i="2"/>
  <c r="K2812" i="2" s="1"/>
  <c r="I2811" i="2"/>
  <c r="K2811" i="2" s="1"/>
  <c r="I2810" i="2"/>
  <c r="K2810" i="2" s="1"/>
  <c r="I2809" i="2"/>
  <c r="K2809" i="2" s="1"/>
  <c r="I2808" i="2"/>
  <c r="K2808" i="2" s="1"/>
  <c r="I2807" i="2"/>
  <c r="K2807" i="2" s="1"/>
  <c r="I2806" i="2"/>
  <c r="K2806" i="2" s="1"/>
  <c r="I2805" i="2"/>
  <c r="K2805" i="2" s="1"/>
  <c r="I2804" i="2"/>
  <c r="K2804" i="2" s="1"/>
  <c r="I2803" i="2"/>
  <c r="K2803" i="2" s="1"/>
  <c r="I2802" i="2"/>
  <c r="J2802" i="2" s="1"/>
  <c r="I2786" i="2"/>
  <c r="J2786" i="2" s="1"/>
  <c r="I2787" i="2"/>
  <c r="K2787" i="2" s="1"/>
  <c r="I2788" i="2"/>
  <c r="K2788" i="2" s="1"/>
  <c r="I2789" i="2"/>
  <c r="K2789" i="2" s="1"/>
  <c r="I2790" i="2"/>
  <c r="K2790" i="2" s="1"/>
  <c r="I2791" i="2"/>
  <c r="K2791" i="2" s="1"/>
  <c r="I2792" i="2"/>
  <c r="K2792" i="2" s="1"/>
  <c r="I2793" i="2"/>
  <c r="K2793" i="2" s="1"/>
  <c r="I2794" i="2"/>
  <c r="K2794" i="2" s="1"/>
  <c r="I2795" i="2"/>
  <c r="K2795" i="2" s="1"/>
  <c r="I2796" i="2"/>
  <c r="K2796" i="2" s="1"/>
  <c r="I2797" i="2"/>
  <c r="K2797" i="2" s="1"/>
  <c r="I2798" i="2"/>
  <c r="K2798" i="2" s="1"/>
  <c r="I2799" i="2"/>
  <c r="K2799" i="2" s="1"/>
  <c r="I2800" i="2"/>
  <c r="K2800" i="2" s="1"/>
  <c r="I2801" i="2"/>
  <c r="K2801" i="2" s="1"/>
  <c r="I2770" i="2"/>
  <c r="K2770" i="2" s="1"/>
  <c r="I2771" i="2"/>
  <c r="K2771" i="2" s="1"/>
  <c r="I2772" i="2"/>
  <c r="K2772" i="2" s="1"/>
  <c r="I2773" i="2"/>
  <c r="K2773" i="2" s="1"/>
  <c r="I2774" i="2"/>
  <c r="K2774" i="2" s="1"/>
  <c r="I2775" i="2"/>
  <c r="K2775" i="2" s="1"/>
  <c r="I2776" i="2"/>
  <c r="K2776" i="2" s="1"/>
  <c r="I2777" i="2"/>
  <c r="K2777" i="2" s="1"/>
  <c r="I2778" i="2"/>
  <c r="K2778" i="2" s="1"/>
  <c r="I2779" i="2"/>
  <c r="K2779" i="2" s="1"/>
  <c r="I2780" i="2"/>
  <c r="K2780" i="2" s="1"/>
  <c r="I2781" i="2"/>
  <c r="K2781" i="2" s="1"/>
  <c r="I2782" i="2"/>
  <c r="K2782" i="2" s="1"/>
  <c r="I2783" i="2"/>
  <c r="K2783" i="2" s="1"/>
  <c r="I2784" i="2"/>
  <c r="K2784" i="2" s="1"/>
  <c r="I2785" i="2"/>
  <c r="K2785" i="2" s="1"/>
  <c r="H1781" i="2"/>
  <c r="L1781" i="2" s="1"/>
  <c r="G1781" i="2"/>
  <c r="L1779" i="2"/>
  <c r="L1780" i="2"/>
  <c r="L1782" i="2"/>
  <c r="L1783" i="2"/>
  <c r="L1784" i="2"/>
  <c r="L1785" i="2"/>
  <c r="L1786" i="2"/>
  <c r="L1787" i="2"/>
  <c r="L1788" i="2"/>
  <c r="L1789" i="2"/>
  <c r="L1790" i="2"/>
  <c r="L1791" i="2"/>
  <c r="L1792" i="2"/>
  <c r="L1778" i="2"/>
  <c r="I2609" i="2"/>
  <c r="I2608" i="2"/>
  <c r="K2608" i="2" s="1"/>
  <c r="I2607" i="2"/>
  <c r="K2607" i="2" s="1"/>
  <c r="I2606" i="2"/>
  <c r="K2606" i="2" s="1"/>
  <c r="I2605" i="2"/>
  <c r="K2605" i="2" s="1"/>
  <c r="I2604" i="2"/>
  <c r="K2604" i="2" s="1"/>
  <c r="I2603" i="2"/>
  <c r="K2603" i="2" s="1"/>
  <c r="I2602" i="2"/>
  <c r="K2602" i="2" s="1"/>
  <c r="I2601" i="2"/>
  <c r="K2601" i="2" s="1"/>
  <c r="I2600" i="2"/>
  <c r="K2600" i="2" s="1"/>
  <c r="I2599" i="2"/>
  <c r="K2599" i="2" s="1"/>
  <c r="I2598" i="2"/>
  <c r="K2598" i="2" s="1"/>
  <c r="I2597" i="2"/>
  <c r="K2597" i="2" s="1"/>
  <c r="I2596" i="2"/>
  <c r="K2596" i="2" s="1"/>
  <c r="I2595" i="2"/>
  <c r="K2595" i="2" s="1"/>
  <c r="I2594" i="2"/>
  <c r="J2594" i="2" s="1"/>
  <c r="I2593" i="2"/>
  <c r="K2593" i="2" s="1"/>
  <c r="I2592" i="2"/>
  <c r="K2592" i="2" s="1"/>
  <c r="I2591" i="2"/>
  <c r="K2591" i="2" s="1"/>
  <c r="I2590" i="2"/>
  <c r="K2590" i="2" s="1"/>
  <c r="I2589" i="2"/>
  <c r="K2589" i="2" s="1"/>
  <c r="I2588" i="2"/>
  <c r="K2588" i="2" s="1"/>
  <c r="I2587" i="2"/>
  <c r="K2587" i="2" s="1"/>
  <c r="I2586" i="2"/>
  <c r="K2586" i="2" s="1"/>
  <c r="I2585" i="2"/>
  <c r="K2585" i="2" s="1"/>
  <c r="I2584" i="2"/>
  <c r="K2584" i="2" s="1"/>
  <c r="I2583" i="2"/>
  <c r="K2583" i="2" s="1"/>
  <c r="I2582" i="2"/>
  <c r="K2582" i="2" s="1"/>
  <c r="I2581" i="2"/>
  <c r="K2581" i="2" s="1"/>
  <c r="I2580" i="2"/>
  <c r="K2580" i="2" s="1"/>
  <c r="I2579" i="2"/>
  <c r="K2579" i="2" s="1"/>
  <c r="I2578" i="2"/>
  <c r="J2578" i="2" s="1"/>
  <c r="I2754" i="2"/>
  <c r="J2754" i="2" s="1"/>
  <c r="I2755" i="2"/>
  <c r="K2755" i="2" s="1"/>
  <c r="I2756" i="2"/>
  <c r="K2756" i="2" s="1"/>
  <c r="I2757" i="2"/>
  <c r="K2757" i="2" s="1"/>
  <c r="I2758" i="2"/>
  <c r="K2758" i="2" s="1"/>
  <c r="I2759" i="2"/>
  <c r="K2759" i="2" s="1"/>
  <c r="I2760" i="2"/>
  <c r="K2760" i="2" s="1"/>
  <c r="I2761" i="2"/>
  <c r="K2761" i="2" s="1"/>
  <c r="I2762" i="2"/>
  <c r="K2762" i="2" s="1"/>
  <c r="I2763" i="2"/>
  <c r="K2763" i="2" s="1"/>
  <c r="I2764" i="2"/>
  <c r="K2764" i="2" s="1"/>
  <c r="I2765" i="2"/>
  <c r="K2765" i="2" s="1"/>
  <c r="I2766" i="2"/>
  <c r="K2766" i="2" s="1"/>
  <c r="I2767" i="2"/>
  <c r="K2767" i="2" s="1"/>
  <c r="I2768" i="2"/>
  <c r="K2768" i="2" s="1"/>
  <c r="I2769" i="2"/>
  <c r="K2769" i="2" s="1"/>
  <c r="J130" i="2" l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50" i="2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D5" i="4" s="1"/>
  <c r="J3314" i="2"/>
  <c r="J3315" i="2" s="1"/>
  <c r="J3316" i="2" s="1"/>
  <c r="J3317" i="2" s="1"/>
  <c r="J3318" i="2" s="1"/>
  <c r="J3319" i="2" s="1"/>
  <c r="J3320" i="2" s="1"/>
  <c r="J3321" i="2" s="1"/>
  <c r="J3322" i="2" s="1"/>
  <c r="J3323" i="2" s="1"/>
  <c r="J3324" i="2" s="1"/>
  <c r="J3325" i="2" s="1"/>
  <c r="J3326" i="2" s="1"/>
  <c r="J3327" i="2" s="1"/>
  <c r="J3328" i="2" s="1"/>
  <c r="J3329" i="2" s="1"/>
  <c r="D209" i="4" s="1"/>
  <c r="J3298" i="2"/>
  <c r="J3299" i="2" s="1"/>
  <c r="J3300" i="2" s="1"/>
  <c r="J3301" i="2" s="1"/>
  <c r="J3302" i="2" s="1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D208" i="4" s="1"/>
  <c r="J3282" i="2"/>
  <c r="J3283" i="2" s="1"/>
  <c r="J3284" i="2" s="1"/>
  <c r="J3285" i="2" s="1"/>
  <c r="J3286" i="2" s="1"/>
  <c r="J3287" i="2" s="1"/>
  <c r="J3288" i="2" s="1"/>
  <c r="J3289" i="2" s="1"/>
  <c r="J3290" i="2" s="1"/>
  <c r="J3291" i="2" s="1"/>
  <c r="J3292" i="2" s="1"/>
  <c r="J3293" i="2" s="1"/>
  <c r="J3294" i="2" s="1"/>
  <c r="J3295" i="2" s="1"/>
  <c r="J3296" i="2" s="1"/>
  <c r="J3297" i="2" s="1"/>
  <c r="D207" i="4" s="1"/>
  <c r="J3266" i="2"/>
  <c r="J3267" i="2" s="1"/>
  <c r="J3268" i="2" s="1"/>
  <c r="J3269" i="2" s="1"/>
  <c r="J3270" i="2" s="1"/>
  <c r="J3271" i="2" s="1"/>
  <c r="J3272" i="2" s="1"/>
  <c r="J3273" i="2" s="1"/>
  <c r="J3274" i="2" s="1"/>
  <c r="J3275" i="2" s="1"/>
  <c r="J3276" i="2" s="1"/>
  <c r="J3277" i="2" s="1"/>
  <c r="J3278" i="2" s="1"/>
  <c r="J3279" i="2" s="1"/>
  <c r="J3280" i="2" s="1"/>
  <c r="J3281" i="2" s="1"/>
  <c r="D206" i="4" s="1"/>
  <c r="J3250" i="2"/>
  <c r="J3251" i="2" s="1"/>
  <c r="J3252" i="2" s="1"/>
  <c r="J3253" i="2" s="1"/>
  <c r="J3254" i="2" s="1"/>
  <c r="J3255" i="2" s="1"/>
  <c r="J3256" i="2" s="1"/>
  <c r="J3257" i="2" s="1"/>
  <c r="J3258" i="2" s="1"/>
  <c r="J3259" i="2" s="1"/>
  <c r="J3260" i="2" s="1"/>
  <c r="J3261" i="2" s="1"/>
  <c r="J3262" i="2" s="1"/>
  <c r="J3263" i="2" s="1"/>
  <c r="J3264" i="2" s="1"/>
  <c r="J3265" i="2" s="1"/>
  <c r="D205" i="4" s="1"/>
  <c r="J3234" i="2"/>
  <c r="J3235" i="2" s="1"/>
  <c r="J3236" i="2" s="1"/>
  <c r="J3237" i="2" s="1"/>
  <c r="J3238" i="2" s="1"/>
  <c r="J3239" i="2" s="1"/>
  <c r="J3240" i="2" s="1"/>
  <c r="J3241" i="2" s="1"/>
  <c r="J3242" i="2" s="1"/>
  <c r="J3243" i="2" s="1"/>
  <c r="J3244" i="2" s="1"/>
  <c r="J3245" i="2" s="1"/>
  <c r="J3246" i="2" s="1"/>
  <c r="J3247" i="2" s="1"/>
  <c r="J3248" i="2" s="1"/>
  <c r="J3249" i="2" s="1"/>
  <c r="D204" i="4" s="1"/>
  <c r="J3218" i="2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D203" i="4" s="1"/>
  <c r="J3202" i="2"/>
  <c r="J3203" i="2" s="1"/>
  <c r="J3204" i="2" s="1"/>
  <c r="J3205" i="2" s="1"/>
  <c r="J3206" i="2" s="1"/>
  <c r="J3207" i="2" s="1"/>
  <c r="J3208" i="2" s="1"/>
  <c r="J3209" i="2" s="1"/>
  <c r="J3210" i="2" s="1"/>
  <c r="J3211" i="2" s="1"/>
  <c r="J3212" i="2" s="1"/>
  <c r="J3213" i="2" s="1"/>
  <c r="J3214" i="2" s="1"/>
  <c r="J3215" i="2" s="1"/>
  <c r="J3216" i="2" s="1"/>
  <c r="J3217" i="2" s="1"/>
  <c r="D202" i="4" s="1"/>
  <c r="J3186" i="2"/>
  <c r="J3187" i="2" s="1"/>
  <c r="J3188" i="2" s="1"/>
  <c r="J3189" i="2" s="1"/>
  <c r="J3190" i="2" s="1"/>
  <c r="J3191" i="2" s="1"/>
  <c r="J3192" i="2" s="1"/>
  <c r="J3193" i="2" s="1"/>
  <c r="J3194" i="2" s="1"/>
  <c r="J3195" i="2" s="1"/>
  <c r="J3196" i="2" s="1"/>
  <c r="J3197" i="2" s="1"/>
  <c r="J3198" i="2" s="1"/>
  <c r="J3199" i="2" s="1"/>
  <c r="J3200" i="2" s="1"/>
  <c r="J3201" i="2" s="1"/>
  <c r="D201" i="4" s="1"/>
  <c r="J3170" i="2"/>
  <c r="J3171" i="2" s="1"/>
  <c r="J3172" i="2" s="1"/>
  <c r="J3173" i="2" s="1"/>
  <c r="J3174" i="2" s="1"/>
  <c r="J3175" i="2" s="1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D200" i="4" s="1"/>
  <c r="J3154" i="2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J3166" i="2" s="1"/>
  <c r="J3167" i="2" s="1"/>
  <c r="J3168" i="2" s="1"/>
  <c r="J3169" i="2" s="1"/>
  <c r="D199" i="4" s="1"/>
  <c r="J3138" i="2"/>
  <c r="J3139" i="2" s="1"/>
  <c r="J3140" i="2" s="1"/>
  <c r="J3141" i="2" s="1"/>
  <c r="J3142" i="2" s="1"/>
  <c r="J3143" i="2" s="1"/>
  <c r="J3144" i="2" s="1"/>
  <c r="J3145" i="2" s="1"/>
  <c r="J3146" i="2" s="1"/>
  <c r="J3147" i="2" s="1"/>
  <c r="J3148" i="2" s="1"/>
  <c r="J3149" i="2" s="1"/>
  <c r="J3150" i="2" s="1"/>
  <c r="J3151" i="2" s="1"/>
  <c r="J3152" i="2" s="1"/>
  <c r="J3153" i="2" s="1"/>
  <c r="D198" i="4" s="1"/>
  <c r="J3122" i="2"/>
  <c r="J3123" i="2" s="1"/>
  <c r="J3124" i="2" s="1"/>
  <c r="J3125" i="2" s="1"/>
  <c r="J3126" i="2" s="1"/>
  <c r="J3127" i="2" s="1"/>
  <c r="J3128" i="2" s="1"/>
  <c r="J3129" i="2" s="1"/>
  <c r="J3130" i="2" s="1"/>
  <c r="J3131" i="2" s="1"/>
  <c r="J3132" i="2" s="1"/>
  <c r="J3133" i="2" s="1"/>
  <c r="J3134" i="2" s="1"/>
  <c r="J3135" i="2" s="1"/>
  <c r="J3136" i="2" s="1"/>
  <c r="J3137" i="2" s="1"/>
  <c r="D197" i="4" s="1"/>
  <c r="J3106" i="2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J3117" i="2" s="1"/>
  <c r="J3118" i="2" s="1"/>
  <c r="J3119" i="2" s="1"/>
  <c r="J3120" i="2" s="1"/>
  <c r="J3121" i="2" s="1"/>
  <c r="D196" i="4" s="1"/>
  <c r="J3090" i="2"/>
  <c r="J3091" i="2" s="1"/>
  <c r="J3092" i="2" s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D195" i="4" s="1"/>
  <c r="J3074" i="2"/>
  <c r="J3075" i="2" s="1"/>
  <c r="J3076" i="2" s="1"/>
  <c r="J3077" i="2" s="1"/>
  <c r="J3078" i="2" s="1"/>
  <c r="J3079" i="2" s="1"/>
  <c r="J3080" i="2" s="1"/>
  <c r="J3081" i="2" s="1"/>
  <c r="J3082" i="2" s="1"/>
  <c r="J3083" i="2" s="1"/>
  <c r="J3084" i="2" s="1"/>
  <c r="J3085" i="2" s="1"/>
  <c r="J3086" i="2" s="1"/>
  <c r="J3087" i="2" s="1"/>
  <c r="J3088" i="2" s="1"/>
  <c r="J3089" i="2" s="1"/>
  <c r="D194" i="4" s="1"/>
  <c r="J3058" i="2"/>
  <c r="J3059" i="2" s="1"/>
  <c r="J3060" i="2" s="1"/>
  <c r="J3061" i="2" s="1"/>
  <c r="J3062" i="2" s="1"/>
  <c r="J3063" i="2" s="1"/>
  <c r="J3064" i="2" s="1"/>
  <c r="J3065" i="2" s="1"/>
  <c r="J3066" i="2" s="1"/>
  <c r="J3067" i="2" s="1"/>
  <c r="J3068" i="2" s="1"/>
  <c r="J3069" i="2" s="1"/>
  <c r="J3070" i="2" s="1"/>
  <c r="J3071" i="2" s="1"/>
  <c r="J3072" i="2" s="1"/>
  <c r="J3073" i="2" s="1"/>
  <c r="D193" i="4" s="1"/>
  <c r="J3042" i="2"/>
  <c r="J3043" i="2" s="1"/>
  <c r="J3044" i="2" s="1"/>
  <c r="J3045" i="2" s="1"/>
  <c r="J3046" i="2" s="1"/>
  <c r="J3047" i="2" s="1"/>
  <c r="J3048" i="2" s="1"/>
  <c r="J3049" i="2" s="1"/>
  <c r="J3050" i="2" s="1"/>
  <c r="J3051" i="2" s="1"/>
  <c r="J3052" i="2" s="1"/>
  <c r="J3053" i="2" s="1"/>
  <c r="J3054" i="2" s="1"/>
  <c r="J3055" i="2" s="1"/>
  <c r="J3056" i="2" s="1"/>
  <c r="J3057" i="2" s="1"/>
  <c r="D192" i="4" s="1"/>
  <c r="J3026" i="2"/>
  <c r="J3027" i="2" s="1"/>
  <c r="J3028" i="2" s="1"/>
  <c r="J3029" i="2" s="1"/>
  <c r="J3030" i="2" s="1"/>
  <c r="J3031" i="2" s="1"/>
  <c r="J3032" i="2" s="1"/>
  <c r="J3033" i="2" s="1"/>
  <c r="J3034" i="2" s="1"/>
  <c r="J3035" i="2" s="1"/>
  <c r="J3036" i="2" s="1"/>
  <c r="J3037" i="2" s="1"/>
  <c r="J3038" i="2" s="1"/>
  <c r="J3039" i="2" s="1"/>
  <c r="J3040" i="2" s="1"/>
  <c r="J3041" i="2" s="1"/>
  <c r="D191" i="4" s="1"/>
  <c r="J3010" i="2"/>
  <c r="J3011" i="2" s="1"/>
  <c r="J3012" i="2" s="1"/>
  <c r="J3013" i="2" s="1"/>
  <c r="J3014" i="2" s="1"/>
  <c r="J3015" i="2" s="1"/>
  <c r="J3016" i="2" s="1"/>
  <c r="J3017" i="2" s="1"/>
  <c r="J3018" i="2" s="1"/>
  <c r="J3019" i="2" s="1"/>
  <c r="J3020" i="2" s="1"/>
  <c r="J3021" i="2" s="1"/>
  <c r="J3022" i="2" s="1"/>
  <c r="J3023" i="2" s="1"/>
  <c r="J3024" i="2" s="1"/>
  <c r="J3025" i="2" s="1"/>
  <c r="D190" i="4" s="1"/>
  <c r="J2994" i="2"/>
  <c r="J2995" i="2" s="1"/>
  <c r="J2996" i="2" s="1"/>
  <c r="J2997" i="2" s="1"/>
  <c r="J2998" i="2" s="1"/>
  <c r="J2999" i="2" s="1"/>
  <c r="J3000" i="2" s="1"/>
  <c r="J3001" i="2" s="1"/>
  <c r="J3002" i="2" s="1"/>
  <c r="J3003" i="2" s="1"/>
  <c r="J3004" i="2" s="1"/>
  <c r="J3005" i="2" s="1"/>
  <c r="J3006" i="2" s="1"/>
  <c r="J3007" i="2" s="1"/>
  <c r="J3008" i="2" s="1"/>
  <c r="J3009" i="2" s="1"/>
  <c r="D189" i="4" s="1"/>
  <c r="J2978" i="2"/>
  <c r="J2979" i="2" s="1"/>
  <c r="J2980" i="2" s="1"/>
  <c r="J2981" i="2" s="1"/>
  <c r="J2982" i="2" s="1"/>
  <c r="J2983" i="2" s="1"/>
  <c r="J2984" i="2" s="1"/>
  <c r="J2985" i="2" s="1"/>
  <c r="J2986" i="2" s="1"/>
  <c r="J2987" i="2" s="1"/>
  <c r="J2988" i="2" s="1"/>
  <c r="J2989" i="2" s="1"/>
  <c r="J2990" i="2" s="1"/>
  <c r="J2991" i="2" s="1"/>
  <c r="J2992" i="2" s="1"/>
  <c r="J2993" i="2" s="1"/>
  <c r="D188" i="4" s="1"/>
  <c r="J2962" i="2"/>
  <c r="J2963" i="2" s="1"/>
  <c r="J2964" i="2" s="1"/>
  <c r="J2965" i="2" s="1"/>
  <c r="J2966" i="2" s="1"/>
  <c r="J2967" i="2" s="1"/>
  <c r="J2968" i="2" s="1"/>
  <c r="J2969" i="2" s="1"/>
  <c r="J2970" i="2" s="1"/>
  <c r="J2971" i="2" s="1"/>
  <c r="J2972" i="2" s="1"/>
  <c r="J2973" i="2" s="1"/>
  <c r="J2974" i="2" s="1"/>
  <c r="J2975" i="2" s="1"/>
  <c r="J2976" i="2" s="1"/>
  <c r="J2977" i="2" s="1"/>
  <c r="D187" i="4" s="1"/>
  <c r="J2946" i="2"/>
  <c r="J2947" i="2" s="1"/>
  <c r="J2948" i="2" s="1"/>
  <c r="J2949" i="2" s="1"/>
  <c r="J2950" i="2" s="1"/>
  <c r="J2951" i="2" s="1"/>
  <c r="J2952" i="2" s="1"/>
  <c r="J2953" i="2" s="1"/>
  <c r="J2954" i="2" s="1"/>
  <c r="J2955" i="2" s="1"/>
  <c r="J2956" i="2" s="1"/>
  <c r="J2957" i="2" s="1"/>
  <c r="J2958" i="2" s="1"/>
  <c r="J2959" i="2" s="1"/>
  <c r="J2960" i="2" s="1"/>
  <c r="J2961" i="2" s="1"/>
  <c r="D186" i="4" s="1"/>
  <c r="J2930" i="2"/>
  <c r="J2931" i="2" s="1"/>
  <c r="J2932" i="2" s="1"/>
  <c r="J2933" i="2" s="1"/>
  <c r="J2934" i="2" s="1"/>
  <c r="J2935" i="2" s="1"/>
  <c r="J2936" i="2" s="1"/>
  <c r="J2937" i="2" s="1"/>
  <c r="J2938" i="2" s="1"/>
  <c r="J2939" i="2" s="1"/>
  <c r="J2940" i="2" s="1"/>
  <c r="J2941" i="2" s="1"/>
  <c r="J2942" i="2" s="1"/>
  <c r="J2943" i="2" s="1"/>
  <c r="J2944" i="2" s="1"/>
  <c r="J2945" i="2" s="1"/>
  <c r="D185" i="4" s="1"/>
  <c r="J2914" i="2"/>
  <c r="J2915" i="2" s="1"/>
  <c r="J2916" i="2" s="1"/>
  <c r="J2917" i="2" s="1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D184" i="4" s="1"/>
  <c r="K2898" i="2"/>
  <c r="J2899" i="2"/>
  <c r="J2900" i="2" s="1"/>
  <c r="J2901" i="2" s="1"/>
  <c r="J2902" i="2" s="1"/>
  <c r="J2903" i="2" s="1"/>
  <c r="J2904" i="2" s="1"/>
  <c r="J2905" i="2" s="1"/>
  <c r="J2906" i="2" s="1"/>
  <c r="J2907" i="2" s="1"/>
  <c r="J2908" i="2" s="1"/>
  <c r="J2909" i="2" s="1"/>
  <c r="J2910" i="2" s="1"/>
  <c r="J2911" i="2" s="1"/>
  <c r="J2912" i="2" s="1"/>
  <c r="J2913" i="2" s="1"/>
  <c r="D183" i="4" s="1"/>
  <c r="J2882" i="2"/>
  <c r="J2883" i="2" s="1"/>
  <c r="J2884" i="2" s="1"/>
  <c r="J2885" i="2" s="1"/>
  <c r="J2886" i="2" s="1"/>
  <c r="J2887" i="2" s="1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D182" i="4" s="1"/>
  <c r="J2866" i="2"/>
  <c r="J2867" i="2" s="1"/>
  <c r="J2868" i="2" s="1"/>
  <c r="J2869" i="2" s="1"/>
  <c r="J2870" i="2" s="1"/>
  <c r="J2871" i="2" s="1"/>
  <c r="J2872" i="2" s="1"/>
  <c r="J2873" i="2" s="1"/>
  <c r="J2874" i="2" s="1"/>
  <c r="J2875" i="2" s="1"/>
  <c r="J2876" i="2" s="1"/>
  <c r="J2877" i="2" s="1"/>
  <c r="J2878" i="2" s="1"/>
  <c r="J2879" i="2" s="1"/>
  <c r="J2880" i="2" s="1"/>
  <c r="J2881" i="2" s="1"/>
  <c r="D181" i="4" s="1"/>
  <c r="J2850" i="2"/>
  <c r="J2851" i="2" s="1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D180" i="4" s="1"/>
  <c r="J2834" i="2"/>
  <c r="J2835" i="2" s="1"/>
  <c r="J2836" i="2" s="1"/>
  <c r="J2837" i="2" s="1"/>
  <c r="J2838" i="2" s="1"/>
  <c r="J2839" i="2" s="1"/>
  <c r="J2840" i="2" s="1"/>
  <c r="J2841" i="2" s="1"/>
  <c r="J2842" i="2" s="1"/>
  <c r="J2843" i="2" s="1"/>
  <c r="J2844" i="2" s="1"/>
  <c r="J2845" i="2" s="1"/>
  <c r="J2846" i="2" s="1"/>
  <c r="J2847" i="2" s="1"/>
  <c r="J2848" i="2" s="1"/>
  <c r="J2849" i="2" s="1"/>
  <c r="D179" i="4" s="1"/>
  <c r="J2803" i="2"/>
  <c r="J2804" i="2" s="1"/>
  <c r="J2805" i="2" s="1"/>
  <c r="J2806" i="2" s="1"/>
  <c r="J2807" i="2" s="1"/>
  <c r="J2808" i="2" s="1"/>
  <c r="J2809" i="2" s="1"/>
  <c r="J2810" i="2" s="1"/>
  <c r="J2811" i="2" s="1"/>
  <c r="J2812" i="2" s="1"/>
  <c r="J2813" i="2" s="1"/>
  <c r="J2814" i="2" s="1"/>
  <c r="J2815" i="2" s="1"/>
  <c r="J2816" i="2" s="1"/>
  <c r="J2817" i="2" s="1"/>
  <c r="D177" i="4" s="1"/>
  <c r="J2818" i="2"/>
  <c r="J2819" i="2" s="1"/>
  <c r="J2820" i="2" s="1"/>
  <c r="J2821" i="2" s="1"/>
  <c r="J2822" i="2" s="1"/>
  <c r="J2823" i="2" s="1"/>
  <c r="J2824" i="2" s="1"/>
  <c r="J2825" i="2" s="1"/>
  <c r="J2826" i="2" s="1"/>
  <c r="J2827" i="2" s="1"/>
  <c r="J2828" i="2" s="1"/>
  <c r="J2829" i="2" s="1"/>
  <c r="J2830" i="2" s="1"/>
  <c r="J2831" i="2" s="1"/>
  <c r="J2832" i="2" s="1"/>
  <c r="J2833" i="2" s="1"/>
  <c r="D178" i="4" s="1"/>
  <c r="K2802" i="2"/>
  <c r="J2787" i="2"/>
  <c r="J2788" i="2" s="1"/>
  <c r="J2789" i="2" s="1"/>
  <c r="J2790" i="2" s="1"/>
  <c r="J2791" i="2" s="1"/>
  <c r="J2792" i="2" s="1"/>
  <c r="J2793" i="2" s="1"/>
  <c r="J2794" i="2" s="1"/>
  <c r="J2795" i="2" s="1"/>
  <c r="J2796" i="2" s="1"/>
  <c r="J2797" i="2" s="1"/>
  <c r="J2798" i="2" s="1"/>
  <c r="J2799" i="2" s="1"/>
  <c r="J2800" i="2" s="1"/>
  <c r="J2801" i="2" s="1"/>
  <c r="D176" i="4" s="1"/>
  <c r="K2786" i="2"/>
  <c r="J2595" i="2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D164" i="4" s="1"/>
  <c r="J2770" i="2"/>
  <c r="J2771" i="2" s="1"/>
  <c r="J2772" i="2" s="1"/>
  <c r="J2773" i="2" s="1"/>
  <c r="J2774" i="2" s="1"/>
  <c r="J2775" i="2" s="1"/>
  <c r="J2776" i="2" s="1"/>
  <c r="J2777" i="2" s="1"/>
  <c r="J2778" i="2" s="1"/>
  <c r="J2779" i="2" s="1"/>
  <c r="J2780" i="2" s="1"/>
  <c r="J2781" i="2" s="1"/>
  <c r="J2782" i="2" s="1"/>
  <c r="J2783" i="2" s="1"/>
  <c r="J2784" i="2" s="1"/>
  <c r="J2785" i="2" s="1"/>
  <c r="D175" i="4" s="1"/>
  <c r="K2594" i="2"/>
  <c r="J2579" i="2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D163" i="4" s="1"/>
  <c r="K2578" i="2"/>
  <c r="J2755" i="2"/>
  <c r="J2756" i="2" s="1"/>
  <c r="J2757" i="2" s="1"/>
  <c r="J2758" i="2" s="1"/>
  <c r="J2759" i="2" s="1"/>
  <c r="J2760" i="2" s="1"/>
  <c r="J2761" i="2" s="1"/>
  <c r="J2762" i="2" s="1"/>
  <c r="J2763" i="2" s="1"/>
  <c r="J2764" i="2" s="1"/>
  <c r="J2765" i="2" s="1"/>
  <c r="J2766" i="2" s="1"/>
  <c r="J2767" i="2" s="1"/>
  <c r="J2768" i="2" s="1"/>
  <c r="J2769" i="2" s="1"/>
  <c r="D174" i="4" s="1"/>
  <c r="K2754" i="2"/>
  <c r="I2738" i="2"/>
  <c r="J2738" i="2" s="1"/>
  <c r="I2739" i="2"/>
  <c r="K2739" i="2" s="1"/>
  <c r="I2740" i="2"/>
  <c r="K2740" i="2" s="1"/>
  <c r="I2741" i="2"/>
  <c r="K2741" i="2" s="1"/>
  <c r="I2742" i="2"/>
  <c r="K2742" i="2" s="1"/>
  <c r="I2743" i="2"/>
  <c r="K2743" i="2" s="1"/>
  <c r="I2744" i="2"/>
  <c r="K2744" i="2" s="1"/>
  <c r="I2745" i="2"/>
  <c r="K2745" i="2" s="1"/>
  <c r="I2746" i="2"/>
  <c r="K2746" i="2" s="1"/>
  <c r="I2747" i="2"/>
  <c r="K2747" i="2" s="1"/>
  <c r="I2748" i="2"/>
  <c r="K2748" i="2" s="1"/>
  <c r="I2749" i="2"/>
  <c r="K2749" i="2" s="1"/>
  <c r="I2750" i="2"/>
  <c r="K2750" i="2" s="1"/>
  <c r="I2751" i="2"/>
  <c r="K2751" i="2" s="1"/>
  <c r="I2752" i="2"/>
  <c r="K2752" i="2" s="1"/>
  <c r="I2753" i="2"/>
  <c r="K2753" i="2" s="1"/>
  <c r="I2722" i="2"/>
  <c r="J2722" i="2" s="1"/>
  <c r="I2723" i="2"/>
  <c r="K2723" i="2" s="1"/>
  <c r="I2724" i="2"/>
  <c r="K2724" i="2" s="1"/>
  <c r="I2725" i="2"/>
  <c r="K2725" i="2" s="1"/>
  <c r="I2726" i="2"/>
  <c r="K2726" i="2" s="1"/>
  <c r="I2727" i="2"/>
  <c r="K2727" i="2" s="1"/>
  <c r="I2728" i="2"/>
  <c r="K2728" i="2" s="1"/>
  <c r="I2729" i="2"/>
  <c r="K2729" i="2" s="1"/>
  <c r="I2730" i="2"/>
  <c r="K2730" i="2" s="1"/>
  <c r="I2731" i="2"/>
  <c r="K2731" i="2" s="1"/>
  <c r="I2732" i="2"/>
  <c r="K2732" i="2" s="1"/>
  <c r="I2733" i="2"/>
  <c r="K2733" i="2" s="1"/>
  <c r="I2734" i="2"/>
  <c r="K2734" i="2" s="1"/>
  <c r="I2735" i="2"/>
  <c r="K2735" i="2" s="1"/>
  <c r="I2736" i="2"/>
  <c r="K2736" i="2" s="1"/>
  <c r="I2737" i="2"/>
  <c r="K2737" i="2" s="1"/>
  <c r="I2706" i="2"/>
  <c r="K2706" i="2" s="1"/>
  <c r="I2707" i="2"/>
  <c r="K2707" i="2" s="1"/>
  <c r="I2708" i="2"/>
  <c r="K2708" i="2" s="1"/>
  <c r="I2709" i="2"/>
  <c r="K2709" i="2" s="1"/>
  <c r="I2710" i="2"/>
  <c r="K2710" i="2" s="1"/>
  <c r="I2711" i="2"/>
  <c r="K2711" i="2" s="1"/>
  <c r="I2712" i="2"/>
  <c r="K2712" i="2" s="1"/>
  <c r="I2713" i="2"/>
  <c r="K2713" i="2" s="1"/>
  <c r="I2714" i="2"/>
  <c r="K2714" i="2" s="1"/>
  <c r="I2715" i="2"/>
  <c r="K2715" i="2" s="1"/>
  <c r="I2716" i="2"/>
  <c r="K2716" i="2" s="1"/>
  <c r="I2717" i="2"/>
  <c r="K2717" i="2" s="1"/>
  <c r="I2718" i="2"/>
  <c r="K2718" i="2" s="1"/>
  <c r="I2719" i="2"/>
  <c r="K2719" i="2" s="1"/>
  <c r="I2720" i="2"/>
  <c r="K2720" i="2" s="1"/>
  <c r="I2721" i="2"/>
  <c r="K2721" i="2" s="1"/>
  <c r="I2690" i="2"/>
  <c r="J2690" i="2" s="1"/>
  <c r="I2691" i="2"/>
  <c r="K2691" i="2" s="1"/>
  <c r="I2692" i="2"/>
  <c r="K2692" i="2" s="1"/>
  <c r="I2693" i="2"/>
  <c r="K2693" i="2" s="1"/>
  <c r="I2694" i="2"/>
  <c r="K2694" i="2" s="1"/>
  <c r="I2695" i="2"/>
  <c r="K2695" i="2" s="1"/>
  <c r="I2696" i="2"/>
  <c r="K2696" i="2" s="1"/>
  <c r="I2697" i="2"/>
  <c r="K2697" i="2" s="1"/>
  <c r="I2698" i="2"/>
  <c r="K2698" i="2" s="1"/>
  <c r="I2699" i="2"/>
  <c r="K2699" i="2" s="1"/>
  <c r="I2700" i="2"/>
  <c r="K2700" i="2" s="1"/>
  <c r="I2701" i="2"/>
  <c r="K2701" i="2" s="1"/>
  <c r="I2702" i="2"/>
  <c r="K2702" i="2" s="1"/>
  <c r="I2703" i="2"/>
  <c r="K2703" i="2" s="1"/>
  <c r="I2704" i="2"/>
  <c r="K2704" i="2" s="1"/>
  <c r="I2705" i="2"/>
  <c r="K2705" i="2" s="1"/>
  <c r="I2674" i="2"/>
  <c r="K2674" i="2" s="1"/>
  <c r="I2675" i="2"/>
  <c r="K2675" i="2" s="1"/>
  <c r="I2676" i="2"/>
  <c r="K2676" i="2" s="1"/>
  <c r="I2677" i="2"/>
  <c r="K2677" i="2" s="1"/>
  <c r="I2678" i="2"/>
  <c r="K2678" i="2" s="1"/>
  <c r="I2679" i="2"/>
  <c r="K2679" i="2" s="1"/>
  <c r="I2680" i="2"/>
  <c r="K2680" i="2" s="1"/>
  <c r="I2681" i="2"/>
  <c r="K2681" i="2" s="1"/>
  <c r="I2682" i="2"/>
  <c r="K2682" i="2" s="1"/>
  <c r="I2683" i="2"/>
  <c r="K2683" i="2" s="1"/>
  <c r="I2684" i="2"/>
  <c r="K2684" i="2" s="1"/>
  <c r="I2685" i="2"/>
  <c r="K2685" i="2" s="1"/>
  <c r="I2686" i="2"/>
  <c r="K2686" i="2" s="1"/>
  <c r="I2687" i="2"/>
  <c r="K2687" i="2" s="1"/>
  <c r="I2688" i="2"/>
  <c r="K2688" i="2" s="1"/>
  <c r="I2689" i="2"/>
  <c r="K2689" i="2" s="1"/>
  <c r="I2658" i="2"/>
  <c r="K2658" i="2" s="1"/>
  <c r="I2659" i="2"/>
  <c r="K2659" i="2" s="1"/>
  <c r="I2660" i="2"/>
  <c r="K2660" i="2" s="1"/>
  <c r="I2661" i="2"/>
  <c r="K2661" i="2" s="1"/>
  <c r="I2662" i="2"/>
  <c r="K2662" i="2" s="1"/>
  <c r="I2663" i="2"/>
  <c r="K2663" i="2" s="1"/>
  <c r="I2664" i="2"/>
  <c r="K2664" i="2" s="1"/>
  <c r="I2665" i="2"/>
  <c r="K2665" i="2" s="1"/>
  <c r="I2666" i="2"/>
  <c r="K2666" i="2" s="1"/>
  <c r="I2667" i="2"/>
  <c r="K2667" i="2" s="1"/>
  <c r="I2668" i="2"/>
  <c r="K2668" i="2" s="1"/>
  <c r="I2669" i="2"/>
  <c r="K2669" i="2" s="1"/>
  <c r="I2670" i="2"/>
  <c r="K2670" i="2" s="1"/>
  <c r="I2671" i="2"/>
  <c r="K2671" i="2" s="1"/>
  <c r="I2672" i="2"/>
  <c r="K2672" i="2" s="1"/>
  <c r="I2673" i="2"/>
  <c r="K2673" i="2" s="1"/>
  <c r="I2643" i="2"/>
  <c r="K2643" i="2" s="1"/>
  <c r="I2644" i="2"/>
  <c r="K2644" i="2" s="1"/>
  <c r="I2645" i="2"/>
  <c r="K2645" i="2" s="1"/>
  <c r="I2646" i="2"/>
  <c r="K2646" i="2" s="1"/>
  <c r="I2647" i="2"/>
  <c r="K2647" i="2" s="1"/>
  <c r="I2648" i="2"/>
  <c r="K2648" i="2" s="1"/>
  <c r="I2649" i="2"/>
  <c r="K2649" i="2" s="1"/>
  <c r="I2650" i="2"/>
  <c r="K2650" i="2" s="1"/>
  <c r="I2651" i="2"/>
  <c r="K2651" i="2" s="1"/>
  <c r="I2652" i="2"/>
  <c r="K2652" i="2" s="1"/>
  <c r="I2653" i="2"/>
  <c r="K2653" i="2" s="1"/>
  <c r="I2654" i="2"/>
  <c r="K2654" i="2" s="1"/>
  <c r="I2655" i="2"/>
  <c r="K2655" i="2" s="1"/>
  <c r="I2656" i="2"/>
  <c r="K2656" i="2" s="1"/>
  <c r="I2657" i="2"/>
  <c r="K2657" i="2" s="1"/>
  <c r="I2627" i="2"/>
  <c r="K2627" i="2" s="1"/>
  <c r="I2628" i="2"/>
  <c r="K2628" i="2" s="1"/>
  <c r="I2629" i="2"/>
  <c r="K2629" i="2" s="1"/>
  <c r="I2630" i="2"/>
  <c r="K2630" i="2" s="1"/>
  <c r="I2631" i="2"/>
  <c r="K2631" i="2" s="1"/>
  <c r="I2632" i="2"/>
  <c r="K2632" i="2" s="1"/>
  <c r="I2633" i="2"/>
  <c r="K2633" i="2" s="1"/>
  <c r="I2634" i="2"/>
  <c r="K2634" i="2" s="1"/>
  <c r="I2635" i="2"/>
  <c r="K2635" i="2" s="1"/>
  <c r="I2636" i="2"/>
  <c r="K2636" i="2" s="1"/>
  <c r="I2637" i="2"/>
  <c r="K2637" i="2" s="1"/>
  <c r="I2638" i="2"/>
  <c r="K2638" i="2" s="1"/>
  <c r="I2639" i="2"/>
  <c r="K2639" i="2" s="1"/>
  <c r="I2640" i="2"/>
  <c r="K2640" i="2" s="1"/>
  <c r="I2641" i="2"/>
  <c r="K2641" i="2" s="1"/>
  <c r="I2626" i="2"/>
  <c r="J2626" i="2" s="1"/>
  <c r="I2642" i="2"/>
  <c r="K2642" i="2" s="1"/>
  <c r="I2610" i="2"/>
  <c r="J2610" i="2" s="1"/>
  <c r="I2611" i="2"/>
  <c r="K2611" i="2" s="1"/>
  <c r="I2612" i="2"/>
  <c r="K2612" i="2" s="1"/>
  <c r="I2613" i="2"/>
  <c r="K2613" i="2" s="1"/>
  <c r="I2614" i="2"/>
  <c r="K2614" i="2" s="1"/>
  <c r="I2615" i="2"/>
  <c r="K2615" i="2" s="1"/>
  <c r="I2616" i="2"/>
  <c r="K2616" i="2" s="1"/>
  <c r="I2617" i="2"/>
  <c r="K2617" i="2" s="1"/>
  <c r="I2618" i="2"/>
  <c r="K2618" i="2" s="1"/>
  <c r="I2619" i="2"/>
  <c r="K2619" i="2" s="1"/>
  <c r="I2620" i="2"/>
  <c r="K2620" i="2" s="1"/>
  <c r="I2621" i="2"/>
  <c r="K2621" i="2" s="1"/>
  <c r="I2622" i="2"/>
  <c r="K2622" i="2" s="1"/>
  <c r="I2623" i="2"/>
  <c r="K2623" i="2" s="1"/>
  <c r="I2624" i="2"/>
  <c r="K2624" i="2" s="1"/>
  <c r="I2625" i="2"/>
  <c r="K2625" i="2" s="1"/>
  <c r="I2562" i="2"/>
  <c r="J2562" i="2" s="1"/>
  <c r="I2563" i="2"/>
  <c r="K2563" i="2" s="1"/>
  <c r="I2564" i="2"/>
  <c r="K2564" i="2" s="1"/>
  <c r="I2565" i="2"/>
  <c r="K2565" i="2" s="1"/>
  <c r="I2566" i="2"/>
  <c r="K2566" i="2" s="1"/>
  <c r="I2567" i="2"/>
  <c r="K2567" i="2" s="1"/>
  <c r="I2568" i="2"/>
  <c r="K2568" i="2" s="1"/>
  <c r="I2569" i="2"/>
  <c r="K2569" i="2" s="1"/>
  <c r="I2570" i="2"/>
  <c r="K2570" i="2" s="1"/>
  <c r="I2571" i="2"/>
  <c r="K2571" i="2" s="1"/>
  <c r="I2572" i="2"/>
  <c r="K2572" i="2" s="1"/>
  <c r="I2573" i="2"/>
  <c r="K2573" i="2" s="1"/>
  <c r="I2574" i="2"/>
  <c r="K2574" i="2" s="1"/>
  <c r="I2575" i="2"/>
  <c r="K2575" i="2" s="1"/>
  <c r="I2576" i="2"/>
  <c r="K2576" i="2" s="1"/>
  <c r="I2577" i="2"/>
  <c r="K2577" i="2" s="1"/>
  <c r="I2546" i="2"/>
  <c r="K2546" i="2" s="1"/>
  <c r="I2547" i="2"/>
  <c r="K2547" i="2" s="1"/>
  <c r="I2548" i="2"/>
  <c r="K2548" i="2" s="1"/>
  <c r="I2549" i="2"/>
  <c r="K2549" i="2" s="1"/>
  <c r="I2550" i="2"/>
  <c r="K2550" i="2" s="1"/>
  <c r="I2551" i="2"/>
  <c r="K2551" i="2" s="1"/>
  <c r="I2552" i="2"/>
  <c r="K2552" i="2" s="1"/>
  <c r="I2553" i="2"/>
  <c r="K2553" i="2" s="1"/>
  <c r="I2554" i="2"/>
  <c r="K2554" i="2" s="1"/>
  <c r="I2555" i="2"/>
  <c r="K2555" i="2" s="1"/>
  <c r="I2556" i="2"/>
  <c r="K2556" i="2" s="1"/>
  <c r="I2557" i="2"/>
  <c r="K2557" i="2" s="1"/>
  <c r="I2558" i="2"/>
  <c r="K2558" i="2" s="1"/>
  <c r="I2559" i="2"/>
  <c r="K2559" i="2" s="1"/>
  <c r="I2560" i="2"/>
  <c r="K2560" i="2" s="1"/>
  <c r="I2561" i="2"/>
  <c r="K2561" i="2" s="1"/>
  <c r="I2530" i="2"/>
  <c r="J2530" i="2" s="1"/>
  <c r="I2531" i="2"/>
  <c r="K2531" i="2" s="1"/>
  <c r="I2532" i="2"/>
  <c r="K2532" i="2" s="1"/>
  <c r="I2533" i="2"/>
  <c r="K2533" i="2" s="1"/>
  <c r="I2534" i="2"/>
  <c r="K2534" i="2" s="1"/>
  <c r="I2535" i="2"/>
  <c r="K2535" i="2" s="1"/>
  <c r="I2536" i="2"/>
  <c r="K2536" i="2" s="1"/>
  <c r="I2537" i="2"/>
  <c r="K2537" i="2" s="1"/>
  <c r="I2538" i="2"/>
  <c r="K2538" i="2" s="1"/>
  <c r="I2539" i="2"/>
  <c r="K2539" i="2" s="1"/>
  <c r="I2540" i="2"/>
  <c r="K2540" i="2" s="1"/>
  <c r="I2541" i="2"/>
  <c r="K2541" i="2" s="1"/>
  <c r="I2542" i="2"/>
  <c r="K2542" i="2" s="1"/>
  <c r="I2543" i="2"/>
  <c r="K2543" i="2" s="1"/>
  <c r="I2544" i="2"/>
  <c r="K2544" i="2" s="1"/>
  <c r="I2545" i="2"/>
  <c r="K2545" i="2" s="1"/>
  <c r="I2514" i="2"/>
  <c r="K2514" i="2" s="1"/>
  <c r="I2515" i="2"/>
  <c r="K2515" i="2" s="1"/>
  <c r="I2516" i="2"/>
  <c r="K2516" i="2" s="1"/>
  <c r="I2517" i="2"/>
  <c r="K2517" i="2" s="1"/>
  <c r="I2518" i="2"/>
  <c r="K2518" i="2" s="1"/>
  <c r="I2519" i="2"/>
  <c r="K2519" i="2" s="1"/>
  <c r="I2520" i="2"/>
  <c r="K2520" i="2" s="1"/>
  <c r="I2521" i="2"/>
  <c r="K2521" i="2" s="1"/>
  <c r="I2522" i="2"/>
  <c r="K2522" i="2" s="1"/>
  <c r="I2523" i="2"/>
  <c r="K2523" i="2" s="1"/>
  <c r="I2524" i="2"/>
  <c r="K2524" i="2" s="1"/>
  <c r="I2525" i="2"/>
  <c r="K2525" i="2" s="1"/>
  <c r="I2526" i="2"/>
  <c r="K2526" i="2" s="1"/>
  <c r="I2527" i="2"/>
  <c r="K2527" i="2" s="1"/>
  <c r="I2528" i="2"/>
  <c r="K2528" i="2" s="1"/>
  <c r="I2529" i="2"/>
  <c r="K2529" i="2" s="1"/>
  <c r="I2498" i="2"/>
  <c r="K2498" i="2" s="1"/>
  <c r="I2499" i="2"/>
  <c r="K2499" i="2" s="1"/>
  <c r="I2500" i="2"/>
  <c r="K2500" i="2" s="1"/>
  <c r="I2501" i="2"/>
  <c r="K2501" i="2" s="1"/>
  <c r="I2502" i="2"/>
  <c r="K2502" i="2" s="1"/>
  <c r="I2503" i="2"/>
  <c r="K2503" i="2" s="1"/>
  <c r="I2504" i="2"/>
  <c r="K2504" i="2" s="1"/>
  <c r="I2505" i="2"/>
  <c r="K2505" i="2" s="1"/>
  <c r="I2506" i="2"/>
  <c r="K2506" i="2" s="1"/>
  <c r="I2507" i="2"/>
  <c r="K2507" i="2" s="1"/>
  <c r="I2508" i="2"/>
  <c r="K2508" i="2" s="1"/>
  <c r="I2509" i="2"/>
  <c r="K2509" i="2" s="1"/>
  <c r="I2510" i="2"/>
  <c r="K2510" i="2" s="1"/>
  <c r="I2511" i="2"/>
  <c r="K2511" i="2" s="1"/>
  <c r="I2512" i="2"/>
  <c r="K2512" i="2" s="1"/>
  <c r="I2513" i="2"/>
  <c r="K2513" i="2" s="1"/>
  <c r="I2482" i="2"/>
  <c r="J2482" i="2" s="1"/>
  <c r="I2483" i="2"/>
  <c r="K2483" i="2" s="1"/>
  <c r="I2484" i="2"/>
  <c r="K2484" i="2" s="1"/>
  <c r="I2485" i="2"/>
  <c r="K2485" i="2" s="1"/>
  <c r="I2486" i="2"/>
  <c r="K2486" i="2" s="1"/>
  <c r="I2487" i="2"/>
  <c r="K2487" i="2" s="1"/>
  <c r="I2488" i="2"/>
  <c r="K2488" i="2" s="1"/>
  <c r="I2489" i="2"/>
  <c r="K2489" i="2" s="1"/>
  <c r="I2490" i="2"/>
  <c r="K2490" i="2" s="1"/>
  <c r="I2491" i="2"/>
  <c r="K2491" i="2" s="1"/>
  <c r="I2492" i="2"/>
  <c r="K2492" i="2" s="1"/>
  <c r="I2493" i="2"/>
  <c r="K2493" i="2" s="1"/>
  <c r="I2494" i="2"/>
  <c r="K2494" i="2" s="1"/>
  <c r="I2495" i="2"/>
  <c r="K2495" i="2" s="1"/>
  <c r="I2496" i="2"/>
  <c r="K2496" i="2" s="1"/>
  <c r="I2497" i="2"/>
  <c r="K2497" i="2" s="1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I2466" i="2"/>
  <c r="K2466" i="2" s="1"/>
  <c r="I2467" i="2"/>
  <c r="K2467" i="2" s="1"/>
  <c r="I2468" i="2"/>
  <c r="K2468" i="2" s="1"/>
  <c r="I2469" i="2"/>
  <c r="K2469" i="2" s="1"/>
  <c r="I2470" i="2"/>
  <c r="K2470" i="2" s="1"/>
  <c r="I2471" i="2"/>
  <c r="K2471" i="2" s="1"/>
  <c r="I2472" i="2"/>
  <c r="K2472" i="2" s="1"/>
  <c r="I2473" i="2"/>
  <c r="K2473" i="2" s="1"/>
  <c r="I2474" i="2"/>
  <c r="K2474" i="2" s="1"/>
  <c r="I2475" i="2"/>
  <c r="K2475" i="2" s="1"/>
  <c r="I2476" i="2"/>
  <c r="K2476" i="2" s="1"/>
  <c r="I2477" i="2"/>
  <c r="K2477" i="2" s="1"/>
  <c r="I2478" i="2"/>
  <c r="K2478" i="2" s="1"/>
  <c r="I2479" i="2"/>
  <c r="K2479" i="2" s="1"/>
  <c r="I2480" i="2"/>
  <c r="K2480" i="2" s="1"/>
  <c r="I2481" i="2"/>
  <c r="K2481" i="2" s="1"/>
  <c r="I2450" i="2"/>
  <c r="J2450" i="2" s="1"/>
  <c r="I2451" i="2"/>
  <c r="K2451" i="2" s="1"/>
  <c r="I2452" i="2"/>
  <c r="K2452" i="2" s="1"/>
  <c r="I2453" i="2"/>
  <c r="K2453" i="2" s="1"/>
  <c r="I2454" i="2"/>
  <c r="K2454" i="2" s="1"/>
  <c r="I2455" i="2"/>
  <c r="K2455" i="2" s="1"/>
  <c r="I2456" i="2"/>
  <c r="K2456" i="2" s="1"/>
  <c r="I2457" i="2"/>
  <c r="K2457" i="2" s="1"/>
  <c r="I2458" i="2"/>
  <c r="K2458" i="2" s="1"/>
  <c r="I2459" i="2"/>
  <c r="K2459" i="2" s="1"/>
  <c r="I2460" i="2"/>
  <c r="K2460" i="2" s="1"/>
  <c r="I2461" i="2"/>
  <c r="K2461" i="2" s="1"/>
  <c r="I2462" i="2"/>
  <c r="K2462" i="2" s="1"/>
  <c r="I2463" i="2"/>
  <c r="K2463" i="2" s="1"/>
  <c r="I2464" i="2"/>
  <c r="K2464" i="2" s="1"/>
  <c r="I2465" i="2"/>
  <c r="K2465" i="2" s="1"/>
  <c r="I2418" i="2"/>
  <c r="K2418" i="2" s="1"/>
  <c r="I2419" i="2"/>
  <c r="K2419" i="2" s="1"/>
  <c r="I2420" i="2"/>
  <c r="K2420" i="2" s="1"/>
  <c r="I2421" i="2"/>
  <c r="K2421" i="2" s="1"/>
  <c r="I2422" i="2"/>
  <c r="K2422" i="2" s="1"/>
  <c r="I2423" i="2"/>
  <c r="K2423" i="2" s="1"/>
  <c r="I2424" i="2"/>
  <c r="K2424" i="2" s="1"/>
  <c r="I2425" i="2"/>
  <c r="K2425" i="2" s="1"/>
  <c r="I2426" i="2"/>
  <c r="K2426" i="2" s="1"/>
  <c r="I2427" i="2"/>
  <c r="K2427" i="2" s="1"/>
  <c r="I2428" i="2"/>
  <c r="K2428" i="2" s="1"/>
  <c r="I2429" i="2"/>
  <c r="K2429" i="2" s="1"/>
  <c r="I2430" i="2"/>
  <c r="K2430" i="2" s="1"/>
  <c r="I2431" i="2"/>
  <c r="K2431" i="2" s="1"/>
  <c r="I2432" i="2"/>
  <c r="K2432" i="2" s="1"/>
  <c r="I2433" i="2"/>
  <c r="K2433" i="2" s="1"/>
  <c r="I2386" i="2"/>
  <c r="J2386" i="2" s="1"/>
  <c r="I2387" i="2"/>
  <c r="K2387" i="2" s="1"/>
  <c r="I2388" i="2"/>
  <c r="K2388" i="2" s="1"/>
  <c r="I2389" i="2"/>
  <c r="K2389" i="2" s="1"/>
  <c r="I2390" i="2"/>
  <c r="K2390" i="2" s="1"/>
  <c r="I2391" i="2"/>
  <c r="K2391" i="2" s="1"/>
  <c r="I2392" i="2"/>
  <c r="K2392" i="2" s="1"/>
  <c r="I2393" i="2"/>
  <c r="K2393" i="2" s="1"/>
  <c r="I2394" i="2"/>
  <c r="K2394" i="2" s="1"/>
  <c r="I2395" i="2"/>
  <c r="K2395" i="2" s="1"/>
  <c r="I2396" i="2"/>
  <c r="K2396" i="2" s="1"/>
  <c r="I2397" i="2"/>
  <c r="K2397" i="2" s="1"/>
  <c r="I2398" i="2"/>
  <c r="K2398" i="2" s="1"/>
  <c r="I2399" i="2"/>
  <c r="K2399" i="2" s="1"/>
  <c r="I2400" i="2"/>
  <c r="K2400" i="2" s="1"/>
  <c r="I2401" i="2"/>
  <c r="K2401" i="2" s="1"/>
  <c r="I2370" i="2"/>
  <c r="J2370" i="2" s="1"/>
  <c r="I2371" i="2"/>
  <c r="K2371" i="2" s="1"/>
  <c r="I2372" i="2"/>
  <c r="K2372" i="2" s="1"/>
  <c r="I2373" i="2"/>
  <c r="K2373" i="2" s="1"/>
  <c r="I2374" i="2"/>
  <c r="K2374" i="2" s="1"/>
  <c r="I2375" i="2"/>
  <c r="K2375" i="2" s="1"/>
  <c r="I2376" i="2"/>
  <c r="K2376" i="2" s="1"/>
  <c r="I2377" i="2"/>
  <c r="K2377" i="2" s="1"/>
  <c r="I2378" i="2"/>
  <c r="K2378" i="2" s="1"/>
  <c r="I2379" i="2"/>
  <c r="K2379" i="2" s="1"/>
  <c r="I2380" i="2"/>
  <c r="K2380" i="2" s="1"/>
  <c r="I2381" i="2"/>
  <c r="K2381" i="2" s="1"/>
  <c r="I2382" i="2"/>
  <c r="K2382" i="2" s="1"/>
  <c r="I2383" i="2"/>
  <c r="K2383" i="2" s="1"/>
  <c r="I2384" i="2"/>
  <c r="K2384" i="2" s="1"/>
  <c r="I2385" i="2"/>
  <c r="K2385" i="2" s="1"/>
  <c r="I2402" i="2"/>
  <c r="K2402" i="2" s="1"/>
  <c r="I2403" i="2"/>
  <c r="K2403" i="2" s="1"/>
  <c r="I2404" i="2"/>
  <c r="K2404" i="2" s="1"/>
  <c r="I2405" i="2"/>
  <c r="K2405" i="2" s="1"/>
  <c r="I2406" i="2"/>
  <c r="K2406" i="2" s="1"/>
  <c r="I2407" i="2"/>
  <c r="K2407" i="2" s="1"/>
  <c r="I2408" i="2"/>
  <c r="K2408" i="2" s="1"/>
  <c r="I2409" i="2"/>
  <c r="K2409" i="2" s="1"/>
  <c r="I2410" i="2"/>
  <c r="K2410" i="2" s="1"/>
  <c r="I2411" i="2"/>
  <c r="K2411" i="2" s="1"/>
  <c r="I2412" i="2"/>
  <c r="K2412" i="2" s="1"/>
  <c r="I2413" i="2"/>
  <c r="K2413" i="2" s="1"/>
  <c r="I2414" i="2"/>
  <c r="K2414" i="2" s="1"/>
  <c r="I2415" i="2"/>
  <c r="K2415" i="2" s="1"/>
  <c r="I2416" i="2"/>
  <c r="K2416" i="2" s="1"/>
  <c r="I2417" i="2"/>
  <c r="K2417" i="2" s="1"/>
  <c r="I2434" i="2"/>
  <c r="J2434" i="2" s="1"/>
  <c r="I2435" i="2"/>
  <c r="K2435" i="2" s="1"/>
  <c r="I2436" i="2"/>
  <c r="K2436" i="2" s="1"/>
  <c r="I2437" i="2"/>
  <c r="K2437" i="2" s="1"/>
  <c r="I2438" i="2"/>
  <c r="K2438" i="2" s="1"/>
  <c r="I2439" i="2"/>
  <c r="K2439" i="2" s="1"/>
  <c r="I2440" i="2"/>
  <c r="K2440" i="2" s="1"/>
  <c r="I2441" i="2"/>
  <c r="K2441" i="2" s="1"/>
  <c r="I2442" i="2"/>
  <c r="K2442" i="2" s="1"/>
  <c r="I2443" i="2"/>
  <c r="K2443" i="2" s="1"/>
  <c r="I2444" i="2"/>
  <c r="K2444" i="2" s="1"/>
  <c r="I2445" i="2"/>
  <c r="K2445" i="2" s="1"/>
  <c r="I2446" i="2"/>
  <c r="K2446" i="2" s="1"/>
  <c r="I2447" i="2"/>
  <c r="K2447" i="2" s="1"/>
  <c r="I2448" i="2"/>
  <c r="K2448" i="2" s="1"/>
  <c r="I2449" i="2"/>
  <c r="K2449" i="2" s="1"/>
  <c r="I2354" i="2"/>
  <c r="J2354" i="2" s="1"/>
  <c r="I2355" i="2"/>
  <c r="K2355" i="2" s="1"/>
  <c r="I2356" i="2"/>
  <c r="K2356" i="2" s="1"/>
  <c r="I2357" i="2"/>
  <c r="K2357" i="2" s="1"/>
  <c r="I2358" i="2"/>
  <c r="K2358" i="2" s="1"/>
  <c r="I2359" i="2"/>
  <c r="K2359" i="2" s="1"/>
  <c r="I2360" i="2"/>
  <c r="K2360" i="2" s="1"/>
  <c r="I2361" i="2"/>
  <c r="K2361" i="2" s="1"/>
  <c r="I2362" i="2"/>
  <c r="K2362" i="2" s="1"/>
  <c r="I2363" i="2"/>
  <c r="K2363" i="2" s="1"/>
  <c r="I2364" i="2"/>
  <c r="K2364" i="2" s="1"/>
  <c r="I2365" i="2"/>
  <c r="K2365" i="2" s="1"/>
  <c r="I2366" i="2"/>
  <c r="K2366" i="2" s="1"/>
  <c r="I2367" i="2"/>
  <c r="K2367" i="2" s="1"/>
  <c r="I2368" i="2"/>
  <c r="K2368" i="2" s="1"/>
  <c r="I2369" i="2"/>
  <c r="K2369" i="2" s="1"/>
  <c r="I2338" i="2"/>
  <c r="K2338" i="2" s="1"/>
  <c r="I2339" i="2"/>
  <c r="K2339" i="2" s="1"/>
  <c r="I2340" i="2"/>
  <c r="K2340" i="2" s="1"/>
  <c r="I2341" i="2"/>
  <c r="K2341" i="2" s="1"/>
  <c r="I2342" i="2"/>
  <c r="K2342" i="2" s="1"/>
  <c r="I2343" i="2"/>
  <c r="K2343" i="2" s="1"/>
  <c r="I2344" i="2"/>
  <c r="K2344" i="2" s="1"/>
  <c r="I2345" i="2"/>
  <c r="K2345" i="2" s="1"/>
  <c r="I2346" i="2"/>
  <c r="K2346" i="2" s="1"/>
  <c r="I2347" i="2"/>
  <c r="K2347" i="2" s="1"/>
  <c r="I2348" i="2"/>
  <c r="K2348" i="2" s="1"/>
  <c r="I2349" i="2"/>
  <c r="K2349" i="2" s="1"/>
  <c r="I2350" i="2"/>
  <c r="K2350" i="2" s="1"/>
  <c r="I2351" i="2"/>
  <c r="K2351" i="2" s="1"/>
  <c r="I2352" i="2"/>
  <c r="K2352" i="2" s="1"/>
  <c r="I2353" i="2"/>
  <c r="K2353" i="2" s="1"/>
  <c r="I2290" i="2"/>
  <c r="J2290" i="2" s="1"/>
  <c r="I2291" i="2"/>
  <c r="K2291" i="2" s="1"/>
  <c r="I2292" i="2"/>
  <c r="K2292" i="2" s="1"/>
  <c r="I2293" i="2"/>
  <c r="K2293" i="2" s="1"/>
  <c r="I2294" i="2"/>
  <c r="K2294" i="2" s="1"/>
  <c r="I2295" i="2"/>
  <c r="K2295" i="2" s="1"/>
  <c r="I2296" i="2"/>
  <c r="K2296" i="2" s="1"/>
  <c r="I2297" i="2"/>
  <c r="K2297" i="2" s="1"/>
  <c r="I2298" i="2"/>
  <c r="K2298" i="2" s="1"/>
  <c r="I2299" i="2"/>
  <c r="K2299" i="2" s="1"/>
  <c r="I2300" i="2"/>
  <c r="K2300" i="2" s="1"/>
  <c r="I2301" i="2"/>
  <c r="K2301" i="2" s="1"/>
  <c r="I2302" i="2"/>
  <c r="K2302" i="2" s="1"/>
  <c r="I2303" i="2"/>
  <c r="K2303" i="2" s="1"/>
  <c r="I2304" i="2"/>
  <c r="K2304" i="2" s="1"/>
  <c r="I2305" i="2"/>
  <c r="K2305" i="2" s="1"/>
  <c r="I2274" i="2"/>
  <c r="J2274" i="2" s="1"/>
  <c r="I2275" i="2"/>
  <c r="K2275" i="2" s="1"/>
  <c r="I2276" i="2"/>
  <c r="K2276" i="2" s="1"/>
  <c r="I2277" i="2"/>
  <c r="K2277" i="2" s="1"/>
  <c r="I2278" i="2"/>
  <c r="K2278" i="2" s="1"/>
  <c r="I2279" i="2"/>
  <c r="K2279" i="2" s="1"/>
  <c r="I2280" i="2"/>
  <c r="K2280" i="2" s="1"/>
  <c r="I2281" i="2"/>
  <c r="K2281" i="2" s="1"/>
  <c r="I2282" i="2"/>
  <c r="K2282" i="2" s="1"/>
  <c r="I2283" i="2"/>
  <c r="K2283" i="2" s="1"/>
  <c r="I2284" i="2"/>
  <c r="K2284" i="2" s="1"/>
  <c r="I2285" i="2"/>
  <c r="K2285" i="2" s="1"/>
  <c r="I2286" i="2"/>
  <c r="K2286" i="2" s="1"/>
  <c r="I2287" i="2"/>
  <c r="K2287" i="2" s="1"/>
  <c r="I2288" i="2"/>
  <c r="K2288" i="2" s="1"/>
  <c r="I2289" i="2"/>
  <c r="K2289" i="2" s="1"/>
  <c r="I2242" i="2"/>
  <c r="K2242" i="2" s="1"/>
  <c r="I2243" i="2"/>
  <c r="K2243" i="2" s="1"/>
  <c r="I2244" i="2"/>
  <c r="K2244" i="2" s="1"/>
  <c r="I2245" i="2"/>
  <c r="K2245" i="2" s="1"/>
  <c r="I2246" i="2"/>
  <c r="K2246" i="2" s="1"/>
  <c r="I2247" i="2"/>
  <c r="K2247" i="2" s="1"/>
  <c r="I2248" i="2"/>
  <c r="K2248" i="2" s="1"/>
  <c r="I2249" i="2"/>
  <c r="K2249" i="2" s="1"/>
  <c r="I2250" i="2"/>
  <c r="K2250" i="2" s="1"/>
  <c r="I2251" i="2"/>
  <c r="K2251" i="2" s="1"/>
  <c r="I2252" i="2"/>
  <c r="K2252" i="2" s="1"/>
  <c r="I2253" i="2"/>
  <c r="K2253" i="2" s="1"/>
  <c r="I2254" i="2"/>
  <c r="K2254" i="2" s="1"/>
  <c r="I2255" i="2"/>
  <c r="K2255" i="2" s="1"/>
  <c r="I2256" i="2"/>
  <c r="K2256" i="2" s="1"/>
  <c r="I2257" i="2"/>
  <c r="K2257" i="2" s="1"/>
  <c r="I2226" i="2"/>
  <c r="J2226" i="2" s="1"/>
  <c r="I2227" i="2"/>
  <c r="K2227" i="2" s="1"/>
  <c r="I2228" i="2"/>
  <c r="K2228" i="2" s="1"/>
  <c r="I2229" i="2"/>
  <c r="K2229" i="2" s="1"/>
  <c r="I2230" i="2"/>
  <c r="K2230" i="2" s="1"/>
  <c r="I2231" i="2"/>
  <c r="K2231" i="2" s="1"/>
  <c r="I2232" i="2"/>
  <c r="K2232" i="2" s="1"/>
  <c r="I2233" i="2"/>
  <c r="K2233" i="2" s="1"/>
  <c r="I2234" i="2"/>
  <c r="K2234" i="2" s="1"/>
  <c r="I2235" i="2"/>
  <c r="K2235" i="2" s="1"/>
  <c r="I2236" i="2"/>
  <c r="K2236" i="2" s="1"/>
  <c r="I2237" i="2"/>
  <c r="K2237" i="2" s="1"/>
  <c r="I2238" i="2"/>
  <c r="K2238" i="2" s="1"/>
  <c r="I2239" i="2"/>
  <c r="K2239" i="2" s="1"/>
  <c r="I2240" i="2"/>
  <c r="K2240" i="2" s="1"/>
  <c r="I2241" i="2"/>
  <c r="K2241" i="2" s="1"/>
  <c r="I2306" i="2"/>
  <c r="J2306" i="2" s="1"/>
  <c r="I2307" i="2"/>
  <c r="K2307" i="2" s="1"/>
  <c r="I2308" i="2"/>
  <c r="K2308" i="2" s="1"/>
  <c r="I2309" i="2"/>
  <c r="K2309" i="2" s="1"/>
  <c r="I2310" i="2"/>
  <c r="K2310" i="2" s="1"/>
  <c r="I2311" i="2"/>
  <c r="K2311" i="2" s="1"/>
  <c r="I2312" i="2"/>
  <c r="K2312" i="2" s="1"/>
  <c r="I2313" i="2"/>
  <c r="K2313" i="2" s="1"/>
  <c r="I2314" i="2"/>
  <c r="K2314" i="2" s="1"/>
  <c r="I2315" i="2"/>
  <c r="K2315" i="2" s="1"/>
  <c r="I2316" i="2"/>
  <c r="K2316" i="2" s="1"/>
  <c r="I2317" i="2"/>
  <c r="K2317" i="2" s="1"/>
  <c r="I2318" i="2"/>
  <c r="K2318" i="2" s="1"/>
  <c r="I2319" i="2"/>
  <c r="K2319" i="2" s="1"/>
  <c r="I2320" i="2"/>
  <c r="K2320" i="2" s="1"/>
  <c r="I2321" i="2"/>
  <c r="K2321" i="2" s="1"/>
  <c r="I2210" i="2"/>
  <c r="J2210" i="2" s="1"/>
  <c r="I2211" i="2"/>
  <c r="K2211" i="2" s="1"/>
  <c r="I2212" i="2"/>
  <c r="K2212" i="2" s="1"/>
  <c r="I2213" i="2"/>
  <c r="K2213" i="2" s="1"/>
  <c r="I2214" i="2"/>
  <c r="K2214" i="2" s="1"/>
  <c r="I2215" i="2"/>
  <c r="K2215" i="2" s="1"/>
  <c r="I2216" i="2"/>
  <c r="K2216" i="2" s="1"/>
  <c r="I2217" i="2"/>
  <c r="K2217" i="2" s="1"/>
  <c r="I2218" i="2"/>
  <c r="K2218" i="2" s="1"/>
  <c r="I2219" i="2"/>
  <c r="K2219" i="2" s="1"/>
  <c r="I2220" i="2"/>
  <c r="K2220" i="2" s="1"/>
  <c r="I2221" i="2"/>
  <c r="K2221" i="2" s="1"/>
  <c r="I2222" i="2"/>
  <c r="K2222" i="2" s="1"/>
  <c r="I2223" i="2"/>
  <c r="K2223" i="2" s="1"/>
  <c r="I2224" i="2"/>
  <c r="K2224" i="2" s="1"/>
  <c r="I2225" i="2"/>
  <c r="K2225" i="2" s="1"/>
  <c r="I2324" i="2"/>
  <c r="K2324" i="2" s="1"/>
  <c r="I2325" i="2"/>
  <c r="K2325" i="2" s="1"/>
  <c r="I2326" i="2"/>
  <c r="K2326" i="2" s="1"/>
  <c r="I2327" i="2"/>
  <c r="K2327" i="2" s="1"/>
  <c r="I2328" i="2"/>
  <c r="K2328" i="2" s="1"/>
  <c r="I2329" i="2"/>
  <c r="K2329" i="2" s="1"/>
  <c r="I2330" i="2"/>
  <c r="K2330" i="2" s="1"/>
  <c r="I2331" i="2"/>
  <c r="K2331" i="2" s="1"/>
  <c r="I2332" i="2"/>
  <c r="K2332" i="2" s="1"/>
  <c r="I2333" i="2"/>
  <c r="K2333" i="2" s="1"/>
  <c r="I2334" i="2"/>
  <c r="K2334" i="2" s="1"/>
  <c r="I2335" i="2"/>
  <c r="K2335" i="2" s="1"/>
  <c r="I2336" i="2"/>
  <c r="K2336" i="2" s="1"/>
  <c r="I2337" i="2"/>
  <c r="K2337" i="2" s="1"/>
  <c r="I2323" i="2"/>
  <c r="K2323" i="2" s="1"/>
  <c r="I2322" i="2"/>
  <c r="J2322" i="2" s="1"/>
  <c r="I2258" i="2"/>
  <c r="J2258" i="2" s="1"/>
  <c r="I2259" i="2"/>
  <c r="K2259" i="2" s="1"/>
  <c r="I2260" i="2"/>
  <c r="K2260" i="2" s="1"/>
  <c r="I2261" i="2"/>
  <c r="K2261" i="2" s="1"/>
  <c r="I2262" i="2"/>
  <c r="K2262" i="2" s="1"/>
  <c r="I2263" i="2"/>
  <c r="K2263" i="2" s="1"/>
  <c r="I2264" i="2"/>
  <c r="K2264" i="2" s="1"/>
  <c r="I2265" i="2"/>
  <c r="K2265" i="2" s="1"/>
  <c r="I2266" i="2"/>
  <c r="K2266" i="2" s="1"/>
  <c r="I2267" i="2"/>
  <c r="K2267" i="2" s="1"/>
  <c r="I2268" i="2"/>
  <c r="K2268" i="2" s="1"/>
  <c r="I2269" i="2"/>
  <c r="K2269" i="2" s="1"/>
  <c r="I2270" i="2"/>
  <c r="K2270" i="2" s="1"/>
  <c r="I2271" i="2"/>
  <c r="K2271" i="2" s="1"/>
  <c r="I2272" i="2"/>
  <c r="K2272" i="2" s="1"/>
  <c r="I2273" i="2"/>
  <c r="K2273" i="2" s="1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33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12" i="2"/>
  <c r="L13" i="2"/>
  <c r="L14" i="2"/>
  <c r="L15" i="2"/>
  <c r="L16" i="2"/>
  <c r="L17" i="2"/>
  <c r="L3" i="2"/>
  <c r="L4" i="2"/>
  <c r="L5" i="2"/>
  <c r="L6" i="2"/>
  <c r="L7" i="2"/>
  <c r="L8" i="2"/>
  <c r="L9" i="2"/>
  <c r="L10" i="2"/>
  <c r="L11" i="2"/>
  <c r="L2" i="2"/>
  <c r="I2194" i="2"/>
  <c r="K2194" i="2" s="1"/>
  <c r="I2195" i="2"/>
  <c r="K2195" i="2" s="1"/>
  <c r="I2196" i="2"/>
  <c r="K2196" i="2" s="1"/>
  <c r="I2197" i="2"/>
  <c r="K2197" i="2" s="1"/>
  <c r="I2198" i="2"/>
  <c r="K2198" i="2" s="1"/>
  <c r="I2199" i="2"/>
  <c r="K2199" i="2" s="1"/>
  <c r="I2200" i="2"/>
  <c r="K2200" i="2" s="1"/>
  <c r="I2201" i="2"/>
  <c r="K2201" i="2" s="1"/>
  <c r="I2202" i="2"/>
  <c r="K2202" i="2" s="1"/>
  <c r="I2203" i="2"/>
  <c r="K2203" i="2" s="1"/>
  <c r="I2204" i="2"/>
  <c r="K2204" i="2" s="1"/>
  <c r="I2205" i="2"/>
  <c r="K2205" i="2" s="1"/>
  <c r="I2206" i="2"/>
  <c r="K2206" i="2" s="1"/>
  <c r="I2207" i="2"/>
  <c r="K2207" i="2" s="1"/>
  <c r="I2208" i="2"/>
  <c r="K2208" i="2" s="1"/>
  <c r="I2209" i="2"/>
  <c r="K2209" i="2" s="1"/>
  <c r="I2178" i="2"/>
  <c r="K2178" i="2" s="1"/>
  <c r="I2179" i="2"/>
  <c r="K2179" i="2" s="1"/>
  <c r="I2180" i="2"/>
  <c r="K2180" i="2" s="1"/>
  <c r="I2181" i="2"/>
  <c r="K2181" i="2" s="1"/>
  <c r="I2182" i="2"/>
  <c r="K2182" i="2" s="1"/>
  <c r="I2183" i="2"/>
  <c r="K2183" i="2" s="1"/>
  <c r="I2184" i="2"/>
  <c r="K2184" i="2" s="1"/>
  <c r="I2185" i="2"/>
  <c r="K2185" i="2" s="1"/>
  <c r="I2186" i="2"/>
  <c r="K2186" i="2" s="1"/>
  <c r="I2187" i="2"/>
  <c r="K2187" i="2" s="1"/>
  <c r="I2188" i="2"/>
  <c r="K2188" i="2" s="1"/>
  <c r="I2189" i="2"/>
  <c r="K2189" i="2" s="1"/>
  <c r="I2190" i="2"/>
  <c r="K2190" i="2" s="1"/>
  <c r="I2191" i="2"/>
  <c r="K2191" i="2" s="1"/>
  <c r="I2192" i="2"/>
  <c r="K2192" i="2" s="1"/>
  <c r="I2193" i="2"/>
  <c r="K2193" i="2" s="1"/>
  <c r="I2162" i="2"/>
  <c r="K2162" i="2" s="1"/>
  <c r="I2163" i="2"/>
  <c r="K2163" i="2" s="1"/>
  <c r="I2164" i="2"/>
  <c r="K2164" i="2" s="1"/>
  <c r="I2165" i="2"/>
  <c r="K2165" i="2" s="1"/>
  <c r="I2166" i="2"/>
  <c r="K2166" i="2" s="1"/>
  <c r="I2167" i="2"/>
  <c r="K2167" i="2" s="1"/>
  <c r="I2168" i="2"/>
  <c r="K2168" i="2" s="1"/>
  <c r="I2169" i="2"/>
  <c r="K2169" i="2" s="1"/>
  <c r="I2170" i="2"/>
  <c r="K2170" i="2" s="1"/>
  <c r="I2171" i="2"/>
  <c r="K2171" i="2" s="1"/>
  <c r="I2172" i="2"/>
  <c r="K2172" i="2" s="1"/>
  <c r="I2173" i="2"/>
  <c r="K2173" i="2" s="1"/>
  <c r="I2174" i="2"/>
  <c r="K2174" i="2" s="1"/>
  <c r="I2175" i="2"/>
  <c r="K2175" i="2" s="1"/>
  <c r="I2176" i="2"/>
  <c r="K2176" i="2" s="1"/>
  <c r="I2177" i="2"/>
  <c r="K2177" i="2" s="1"/>
  <c r="I2146" i="2"/>
  <c r="K2146" i="2" s="1"/>
  <c r="I2147" i="2"/>
  <c r="K2147" i="2" s="1"/>
  <c r="I2148" i="2"/>
  <c r="K2148" i="2" s="1"/>
  <c r="I2149" i="2"/>
  <c r="K2149" i="2" s="1"/>
  <c r="I2150" i="2"/>
  <c r="K2150" i="2" s="1"/>
  <c r="I2151" i="2"/>
  <c r="K2151" i="2" s="1"/>
  <c r="I2152" i="2"/>
  <c r="K2152" i="2" s="1"/>
  <c r="I2153" i="2"/>
  <c r="K2153" i="2" s="1"/>
  <c r="I2154" i="2"/>
  <c r="K2154" i="2" s="1"/>
  <c r="I2155" i="2"/>
  <c r="K2155" i="2" s="1"/>
  <c r="I2156" i="2"/>
  <c r="K2156" i="2" s="1"/>
  <c r="I2157" i="2"/>
  <c r="K2157" i="2" s="1"/>
  <c r="I2158" i="2"/>
  <c r="K2158" i="2" s="1"/>
  <c r="I2159" i="2"/>
  <c r="K2159" i="2" s="1"/>
  <c r="I2160" i="2"/>
  <c r="K2160" i="2" s="1"/>
  <c r="I2161" i="2"/>
  <c r="K2161" i="2" s="1"/>
  <c r="I2130" i="2"/>
  <c r="J2130" i="2" s="1"/>
  <c r="I2131" i="2"/>
  <c r="K2131" i="2" s="1"/>
  <c r="I2132" i="2"/>
  <c r="K2132" i="2" s="1"/>
  <c r="I2133" i="2"/>
  <c r="K2133" i="2" s="1"/>
  <c r="I2134" i="2"/>
  <c r="K2134" i="2" s="1"/>
  <c r="I2135" i="2"/>
  <c r="K2135" i="2" s="1"/>
  <c r="I2136" i="2"/>
  <c r="K2136" i="2" s="1"/>
  <c r="I2137" i="2"/>
  <c r="K2137" i="2" s="1"/>
  <c r="I2138" i="2"/>
  <c r="K2138" i="2" s="1"/>
  <c r="I2139" i="2"/>
  <c r="K2139" i="2" s="1"/>
  <c r="I2140" i="2"/>
  <c r="K2140" i="2" s="1"/>
  <c r="I2141" i="2"/>
  <c r="K2141" i="2" s="1"/>
  <c r="I2142" i="2"/>
  <c r="K2142" i="2" s="1"/>
  <c r="I2143" i="2"/>
  <c r="K2143" i="2" s="1"/>
  <c r="I2144" i="2"/>
  <c r="K2144" i="2" s="1"/>
  <c r="I2145" i="2"/>
  <c r="K2145" i="2" s="1"/>
  <c r="I1729" i="2"/>
  <c r="K1729" i="2" s="1"/>
  <c r="I1728" i="2"/>
  <c r="K1728" i="2" s="1"/>
  <c r="I1727" i="2"/>
  <c r="K1727" i="2" s="1"/>
  <c r="I1726" i="2"/>
  <c r="K1726" i="2" s="1"/>
  <c r="I1725" i="2"/>
  <c r="K1725" i="2" s="1"/>
  <c r="I1724" i="2"/>
  <c r="K1724" i="2" s="1"/>
  <c r="I1723" i="2"/>
  <c r="K1723" i="2" s="1"/>
  <c r="I1722" i="2"/>
  <c r="K1722" i="2" s="1"/>
  <c r="I1721" i="2"/>
  <c r="K1721" i="2" s="1"/>
  <c r="I1720" i="2"/>
  <c r="K1720" i="2" s="1"/>
  <c r="I1719" i="2"/>
  <c r="K1719" i="2" s="1"/>
  <c r="I1718" i="2"/>
  <c r="K1718" i="2" s="1"/>
  <c r="I1717" i="2"/>
  <c r="K1717" i="2" s="1"/>
  <c r="I1716" i="2"/>
  <c r="K1716" i="2" s="1"/>
  <c r="I1715" i="2"/>
  <c r="K1715" i="2" s="1"/>
  <c r="I1714" i="2"/>
  <c r="K1714" i="2" s="1"/>
  <c r="I2114" i="2"/>
  <c r="J2114" i="2" s="1"/>
  <c r="I2115" i="2"/>
  <c r="K2115" i="2" s="1"/>
  <c r="I2116" i="2"/>
  <c r="K2116" i="2" s="1"/>
  <c r="I2117" i="2"/>
  <c r="K2117" i="2" s="1"/>
  <c r="I2118" i="2"/>
  <c r="K2118" i="2" s="1"/>
  <c r="I2119" i="2"/>
  <c r="K2119" i="2" s="1"/>
  <c r="I2120" i="2"/>
  <c r="K2120" i="2" s="1"/>
  <c r="I2121" i="2"/>
  <c r="K2121" i="2" s="1"/>
  <c r="I2122" i="2"/>
  <c r="K2122" i="2" s="1"/>
  <c r="I2123" i="2"/>
  <c r="K2123" i="2" s="1"/>
  <c r="I2124" i="2"/>
  <c r="K2124" i="2" s="1"/>
  <c r="I2125" i="2"/>
  <c r="K2125" i="2" s="1"/>
  <c r="I2126" i="2"/>
  <c r="K2126" i="2" s="1"/>
  <c r="I2127" i="2"/>
  <c r="K2127" i="2" s="1"/>
  <c r="I2128" i="2"/>
  <c r="K2128" i="2" s="1"/>
  <c r="I2129" i="2"/>
  <c r="K2129" i="2" s="1"/>
  <c r="I2098" i="2"/>
  <c r="K2098" i="2" s="1"/>
  <c r="I2099" i="2"/>
  <c r="K2099" i="2" s="1"/>
  <c r="I2100" i="2"/>
  <c r="K2100" i="2" s="1"/>
  <c r="I2101" i="2"/>
  <c r="K2101" i="2" s="1"/>
  <c r="I2102" i="2"/>
  <c r="K2102" i="2" s="1"/>
  <c r="I2103" i="2"/>
  <c r="K2103" i="2" s="1"/>
  <c r="I2104" i="2"/>
  <c r="K2104" i="2" s="1"/>
  <c r="I2105" i="2"/>
  <c r="K2105" i="2" s="1"/>
  <c r="I2106" i="2"/>
  <c r="K2106" i="2" s="1"/>
  <c r="I2107" i="2"/>
  <c r="K2107" i="2" s="1"/>
  <c r="I2108" i="2"/>
  <c r="I2109" i="2"/>
  <c r="I2110" i="2"/>
  <c r="I2111" i="2"/>
  <c r="I2112" i="2"/>
  <c r="I2113" i="2"/>
  <c r="I2082" i="2"/>
  <c r="K2082" i="2" s="1"/>
  <c r="I2083" i="2"/>
  <c r="K2083" i="2" s="1"/>
  <c r="I2084" i="2"/>
  <c r="K2084" i="2" s="1"/>
  <c r="I2085" i="2"/>
  <c r="K2085" i="2" s="1"/>
  <c r="I2086" i="2"/>
  <c r="K2086" i="2" s="1"/>
  <c r="I2087" i="2"/>
  <c r="K2087" i="2" s="1"/>
  <c r="I2088" i="2"/>
  <c r="K2088" i="2" s="1"/>
  <c r="I2089" i="2"/>
  <c r="K2089" i="2" s="1"/>
  <c r="I2090" i="2"/>
  <c r="K2090" i="2" s="1"/>
  <c r="I2091" i="2"/>
  <c r="K2091" i="2" s="1"/>
  <c r="I2092" i="2"/>
  <c r="K2092" i="2" s="1"/>
  <c r="I2093" i="2"/>
  <c r="K2093" i="2" s="1"/>
  <c r="I2094" i="2"/>
  <c r="K2094" i="2" s="1"/>
  <c r="I2095" i="2"/>
  <c r="K2095" i="2" s="1"/>
  <c r="I2096" i="2"/>
  <c r="K2096" i="2" s="1"/>
  <c r="I2097" i="2"/>
  <c r="I2066" i="2"/>
  <c r="J2066" i="2" s="1"/>
  <c r="I2067" i="2"/>
  <c r="K2067" i="2" s="1"/>
  <c r="I2068" i="2"/>
  <c r="K2068" i="2" s="1"/>
  <c r="I2069" i="2"/>
  <c r="K2069" i="2" s="1"/>
  <c r="I2070" i="2"/>
  <c r="K2070" i="2" s="1"/>
  <c r="I2071" i="2"/>
  <c r="K2071" i="2" s="1"/>
  <c r="I2072" i="2"/>
  <c r="K2072" i="2" s="1"/>
  <c r="I2073" i="2"/>
  <c r="K2073" i="2" s="1"/>
  <c r="I2074" i="2"/>
  <c r="K2074" i="2" s="1"/>
  <c r="I2075" i="2"/>
  <c r="I2076" i="2"/>
  <c r="I2077" i="2"/>
  <c r="I2078" i="2"/>
  <c r="I2079" i="2"/>
  <c r="I2080" i="2"/>
  <c r="I2081" i="2"/>
  <c r="I2050" i="2"/>
  <c r="K2050" i="2" s="1"/>
  <c r="I2051" i="2"/>
  <c r="K2051" i="2" s="1"/>
  <c r="I2052" i="2"/>
  <c r="K2052" i="2" s="1"/>
  <c r="I2053" i="2"/>
  <c r="K2053" i="2" s="1"/>
  <c r="I2054" i="2"/>
  <c r="K2054" i="2" s="1"/>
  <c r="I2055" i="2"/>
  <c r="K2055" i="2" s="1"/>
  <c r="I2056" i="2"/>
  <c r="K2056" i="2" s="1"/>
  <c r="I2057" i="2"/>
  <c r="K2057" i="2" s="1"/>
  <c r="I2058" i="2"/>
  <c r="K2058" i="2" s="1"/>
  <c r="I2059" i="2"/>
  <c r="K2059" i="2" s="1"/>
  <c r="I2060" i="2"/>
  <c r="K2060" i="2" s="1"/>
  <c r="I2061" i="2"/>
  <c r="K2061" i="2" s="1"/>
  <c r="I2062" i="2"/>
  <c r="K2062" i="2" s="1"/>
  <c r="I2063" i="2"/>
  <c r="K2063" i="2" s="1"/>
  <c r="I2064" i="2"/>
  <c r="K2064" i="2" s="1"/>
  <c r="I2065" i="2"/>
  <c r="I2034" i="2"/>
  <c r="K2034" i="2" s="1"/>
  <c r="I2035" i="2"/>
  <c r="K2035" i="2" s="1"/>
  <c r="I2036" i="2"/>
  <c r="K2036" i="2" s="1"/>
  <c r="I2037" i="2"/>
  <c r="K2037" i="2" s="1"/>
  <c r="I2038" i="2"/>
  <c r="K2038" i="2" s="1"/>
  <c r="I2039" i="2"/>
  <c r="K2039" i="2" s="1"/>
  <c r="I2040" i="2"/>
  <c r="K2040" i="2" s="1"/>
  <c r="I2041" i="2"/>
  <c r="K2041" i="2" s="1"/>
  <c r="I2042" i="2"/>
  <c r="K2042" i="2" s="1"/>
  <c r="I2043" i="2"/>
  <c r="K2043" i="2" s="1"/>
  <c r="I2044" i="2"/>
  <c r="K2044" i="2" s="1"/>
  <c r="I2045" i="2"/>
  <c r="K2045" i="2" s="1"/>
  <c r="I2046" i="2"/>
  <c r="K2046" i="2" s="1"/>
  <c r="I2047" i="2"/>
  <c r="K2047" i="2" s="1"/>
  <c r="I2048" i="2"/>
  <c r="K2048" i="2" s="1"/>
  <c r="I2049" i="2"/>
  <c r="I2018" i="2"/>
  <c r="K2018" i="2" s="1"/>
  <c r="I2019" i="2"/>
  <c r="K2019" i="2" s="1"/>
  <c r="I2020" i="2"/>
  <c r="K2020" i="2" s="1"/>
  <c r="I2021" i="2"/>
  <c r="K2021" i="2" s="1"/>
  <c r="I2022" i="2"/>
  <c r="K2022" i="2" s="1"/>
  <c r="I2023" i="2"/>
  <c r="K2023" i="2" s="1"/>
  <c r="I2024" i="2"/>
  <c r="K2024" i="2" s="1"/>
  <c r="I2025" i="2"/>
  <c r="K2025" i="2" s="1"/>
  <c r="I2026" i="2"/>
  <c r="K2026" i="2" s="1"/>
  <c r="I2027" i="2"/>
  <c r="K2027" i="2" s="1"/>
  <c r="I2028" i="2"/>
  <c r="K2028" i="2" s="1"/>
  <c r="I2029" i="2"/>
  <c r="K2029" i="2" s="1"/>
  <c r="I2030" i="2"/>
  <c r="K2030" i="2" s="1"/>
  <c r="I2031" i="2"/>
  <c r="K2031" i="2" s="1"/>
  <c r="I2032" i="2"/>
  <c r="K2032" i="2" s="1"/>
  <c r="I2033" i="2"/>
  <c r="I1985" i="2"/>
  <c r="I1984" i="2"/>
  <c r="K1984" i="2" s="1"/>
  <c r="I1983" i="2"/>
  <c r="K1983" i="2" s="1"/>
  <c r="I1982" i="2"/>
  <c r="K1982" i="2" s="1"/>
  <c r="I1981" i="2"/>
  <c r="K1981" i="2" s="1"/>
  <c r="I1980" i="2"/>
  <c r="K1980" i="2" s="1"/>
  <c r="I1979" i="2"/>
  <c r="K1979" i="2" s="1"/>
  <c r="I1978" i="2"/>
  <c r="K1978" i="2" s="1"/>
  <c r="I1977" i="2"/>
  <c r="K1977" i="2" s="1"/>
  <c r="I1976" i="2"/>
  <c r="K1976" i="2" s="1"/>
  <c r="I1975" i="2"/>
  <c r="K1975" i="2" s="1"/>
  <c r="I1974" i="2"/>
  <c r="K1974" i="2" s="1"/>
  <c r="I1973" i="2"/>
  <c r="K1973" i="2" s="1"/>
  <c r="I1972" i="2"/>
  <c r="K1972" i="2" s="1"/>
  <c r="I1971" i="2"/>
  <c r="K1971" i="2" s="1"/>
  <c r="I1970" i="2"/>
  <c r="K1970" i="2" s="1"/>
  <c r="I2001" i="2"/>
  <c r="I2000" i="2"/>
  <c r="K2000" i="2" s="1"/>
  <c r="I1999" i="2"/>
  <c r="K1999" i="2" s="1"/>
  <c r="I1998" i="2"/>
  <c r="K1998" i="2" s="1"/>
  <c r="I1997" i="2"/>
  <c r="K1997" i="2" s="1"/>
  <c r="I1996" i="2"/>
  <c r="K1996" i="2" s="1"/>
  <c r="I1995" i="2"/>
  <c r="K1995" i="2" s="1"/>
  <c r="I1994" i="2"/>
  <c r="K1994" i="2" s="1"/>
  <c r="I1993" i="2"/>
  <c r="K1993" i="2" s="1"/>
  <c r="I1992" i="2"/>
  <c r="K1992" i="2" s="1"/>
  <c r="I1991" i="2"/>
  <c r="K1991" i="2" s="1"/>
  <c r="I1990" i="2"/>
  <c r="K1990" i="2" s="1"/>
  <c r="I1989" i="2"/>
  <c r="K1989" i="2" s="1"/>
  <c r="I1988" i="2"/>
  <c r="K1988" i="2" s="1"/>
  <c r="I1987" i="2"/>
  <c r="K1987" i="2" s="1"/>
  <c r="I1986" i="2"/>
  <c r="K1986" i="2" s="1"/>
  <c r="I2002" i="2"/>
  <c r="K2002" i="2" s="1"/>
  <c r="I2003" i="2"/>
  <c r="K2003" i="2" s="1"/>
  <c r="I2004" i="2"/>
  <c r="K2004" i="2" s="1"/>
  <c r="I2005" i="2"/>
  <c r="K2005" i="2" s="1"/>
  <c r="I2006" i="2"/>
  <c r="K2006" i="2" s="1"/>
  <c r="I2007" i="2"/>
  <c r="K2007" i="2" s="1"/>
  <c r="I2008" i="2"/>
  <c r="K2008" i="2" s="1"/>
  <c r="I2009" i="2"/>
  <c r="K2009" i="2" s="1"/>
  <c r="I2010" i="2"/>
  <c r="K2010" i="2" s="1"/>
  <c r="I2011" i="2"/>
  <c r="K2011" i="2" s="1"/>
  <c r="I2012" i="2"/>
  <c r="K2012" i="2" s="1"/>
  <c r="I2013" i="2"/>
  <c r="K2013" i="2" s="1"/>
  <c r="I2014" i="2"/>
  <c r="K2014" i="2" s="1"/>
  <c r="I2015" i="2"/>
  <c r="K2015" i="2" s="1"/>
  <c r="I2016" i="2"/>
  <c r="K2016" i="2" s="1"/>
  <c r="I2017" i="2"/>
  <c r="I1954" i="2"/>
  <c r="J1954" i="2" s="1"/>
  <c r="I1955" i="2"/>
  <c r="K1955" i="2" s="1"/>
  <c r="I1956" i="2"/>
  <c r="K1956" i="2" s="1"/>
  <c r="I1957" i="2"/>
  <c r="K1957" i="2" s="1"/>
  <c r="I1958" i="2"/>
  <c r="K1958" i="2" s="1"/>
  <c r="I1959" i="2"/>
  <c r="K1959" i="2" s="1"/>
  <c r="I1960" i="2"/>
  <c r="K1960" i="2" s="1"/>
  <c r="I1961" i="2"/>
  <c r="K1961" i="2" s="1"/>
  <c r="I1962" i="2"/>
  <c r="K1962" i="2" s="1"/>
  <c r="I1963" i="2"/>
  <c r="K1963" i="2" s="1"/>
  <c r="I1964" i="2"/>
  <c r="K1964" i="2" s="1"/>
  <c r="I1965" i="2"/>
  <c r="K1965" i="2" s="1"/>
  <c r="I1966" i="2"/>
  <c r="K1966" i="2" s="1"/>
  <c r="I1967" i="2"/>
  <c r="K1967" i="2" s="1"/>
  <c r="I1968" i="2"/>
  <c r="K1968" i="2" s="1"/>
  <c r="I1969" i="2"/>
  <c r="I1938" i="2"/>
  <c r="J1938" i="2" s="1"/>
  <c r="I1939" i="2"/>
  <c r="K1939" i="2" s="1"/>
  <c r="I1940" i="2"/>
  <c r="K1940" i="2" s="1"/>
  <c r="I1941" i="2"/>
  <c r="K1941" i="2" s="1"/>
  <c r="I1942" i="2"/>
  <c r="K1942" i="2" s="1"/>
  <c r="I1943" i="2"/>
  <c r="K1943" i="2" s="1"/>
  <c r="I1944" i="2"/>
  <c r="K1944" i="2" s="1"/>
  <c r="I1945" i="2"/>
  <c r="K1945" i="2" s="1"/>
  <c r="I1946" i="2"/>
  <c r="K1946" i="2" s="1"/>
  <c r="I1947" i="2"/>
  <c r="K1947" i="2" s="1"/>
  <c r="I1948" i="2"/>
  <c r="K1948" i="2" s="1"/>
  <c r="I1949" i="2"/>
  <c r="K1949" i="2" s="1"/>
  <c r="I1950" i="2"/>
  <c r="K1950" i="2" s="1"/>
  <c r="I1951" i="2"/>
  <c r="K1951" i="2" s="1"/>
  <c r="I1952" i="2"/>
  <c r="K1952" i="2" s="1"/>
  <c r="I1953" i="2"/>
  <c r="I1922" i="2"/>
  <c r="J1922" i="2" s="1"/>
  <c r="I1923" i="2"/>
  <c r="K1923" i="2" s="1"/>
  <c r="I1924" i="2"/>
  <c r="K1924" i="2" s="1"/>
  <c r="I1925" i="2"/>
  <c r="K1925" i="2" s="1"/>
  <c r="I1926" i="2"/>
  <c r="K1926" i="2" s="1"/>
  <c r="I1927" i="2"/>
  <c r="K1927" i="2" s="1"/>
  <c r="I1928" i="2"/>
  <c r="K1928" i="2" s="1"/>
  <c r="I1929" i="2"/>
  <c r="K1929" i="2" s="1"/>
  <c r="I1930" i="2"/>
  <c r="K1930" i="2" s="1"/>
  <c r="I1931" i="2"/>
  <c r="K1931" i="2" s="1"/>
  <c r="I1932" i="2"/>
  <c r="K1932" i="2" s="1"/>
  <c r="I1933" i="2"/>
  <c r="K1933" i="2" s="1"/>
  <c r="I1934" i="2"/>
  <c r="K1934" i="2" s="1"/>
  <c r="I1935" i="2"/>
  <c r="K1935" i="2" s="1"/>
  <c r="I1936" i="2"/>
  <c r="K1936" i="2" s="1"/>
  <c r="I1937" i="2"/>
  <c r="I1906" i="2"/>
  <c r="J1906" i="2" s="1"/>
  <c r="I1907" i="2"/>
  <c r="K1907" i="2" s="1"/>
  <c r="I1908" i="2"/>
  <c r="K1908" i="2" s="1"/>
  <c r="I1909" i="2"/>
  <c r="K1909" i="2" s="1"/>
  <c r="I1910" i="2"/>
  <c r="K1910" i="2" s="1"/>
  <c r="I1911" i="2"/>
  <c r="K1911" i="2" s="1"/>
  <c r="I1912" i="2"/>
  <c r="K1912" i="2" s="1"/>
  <c r="I1913" i="2"/>
  <c r="K1913" i="2" s="1"/>
  <c r="I1914" i="2"/>
  <c r="K1914" i="2" s="1"/>
  <c r="I1915" i="2"/>
  <c r="K1915" i="2" s="1"/>
  <c r="I1916" i="2"/>
  <c r="K1916" i="2" s="1"/>
  <c r="I1917" i="2"/>
  <c r="K1917" i="2" s="1"/>
  <c r="I1918" i="2"/>
  <c r="K1918" i="2" s="1"/>
  <c r="I1919" i="2"/>
  <c r="K1919" i="2" s="1"/>
  <c r="I1920" i="2"/>
  <c r="K1920" i="2" s="1"/>
  <c r="I1921" i="2"/>
  <c r="I1890" i="2"/>
  <c r="J1890" i="2" s="1"/>
  <c r="I1891" i="2"/>
  <c r="K1891" i="2" s="1"/>
  <c r="I1892" i="2"/>
  <c r="K1892" i="2" s="1"/>
  <c r="I1893" i="2"/>
  <c r="K1893" i="2" s="1"/>
  <c r="I1894" i="2"/>
  <c r="K1894" i="2" s="1"/>
  <c r="I1895" i="2"/>
  <c r="K1895" i="2" s="1"/>
  <c r="I1896" i="2"/>
  <c r="K1896" i="2" s="1"/>
  <c r="I1897" i="2"/>
  <c r="K1897" i="2" s="1"/>
  <c r="I1898" i="2"/>
  <c r="K1898" i="2" s="1"/>
  <c r="I1899" i="2"/>
  <c r="K1899" i="2" s="1"/>
  <c r="I1900" i="2"/>
  <c r="K1900" i="2" s="1"/>
  <c r="I1901" i="2"/>
  <c r="K1901" i="2" s="1"/>
  <c r="I1902" i="2"/>
  <c r="K1902" i="2" s="1"/>
  <c r="I1903" i="2"/>
  <c r="K1903" i="2" s="1"/>
  <c r="I1904" i="2"/>
  <c r="K1904" i="2" s="1"/>
  <c r="I1905" i="2"/>
  <c r="I1874" i="2"/>
  <c r="K1874" i="2" s="1"/>
  <c r="I1875" i="2"/>
  <c r="K1875" i="2" s="1"/>
  <c r="I1876" i="2"/>
  <c r="K1876" i="2" s="1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58" i="2"/>
  <c r="J1858" i="2" s="1"/>
  <c r="I1859" i="2"/>
  <c r="K1859" i="2" s="1"/>
  <c r="I1860" i="2"/>
  <c r="K1860" i="2" s="1"/>
  <c r="I1861" i="2"/>
  <c r="K1861" i="2" s="1"/>
  <c r="I1862" i="2"/>
  <c r="K1862" i="2" s="1"/>
  <c r="I1863" i="2"/>
  <c r="K1863" i="2" s="1"/>
  <c r="I1864" i="2"/>
  <c r="K1864" i="2" s="1"/>
  <c r="I1865" i="2"/>
  <c r="K1865" i="2" s="1"/>
  <c r="I1866" i="2"/>
  <c r="K1866" i="2" s="1"/>
  <c r="I1867" i="2"/>
  <c r="K1867" i="2" s="1"/>
  <c r="I1868" i="2"/>
  <c r="K1868" i="2" s="1"/>
  <c r="I1869" i="2"/>
  <c r="K1869" i="2" s="1"/>
  <c r="I1870" i="2"/>
  <c r="K1870" i="2" s="1"/>
  <c r="I1871" i="2"/>
  <c r="K1871" i="2" s="1"/>
  <c r="I1872" i="2"/>
  <c r="K1872" i="2" s="1"/>
  <c r="I1873" i="2"/>
  <c r="I1842" i="2"/>
  <c r="J1842" i="2" s="1"/>
  <c r="I1843" i="2"/>
  <c r="K1843" i="2" s="1"/>
  <c r="I1844" i="2"/>
  <c r="K1844" i="2" s="1"/>
  <c r="I1845" i="2"/>
  <c r="K1845" i="2" s="1"/>
  <c r="I1846" i="2"/>
  <c r="K1846" i="2" s="1"/>
  <c r="I1847" i="2"/>
  <c r="K1847" i="2" s="1"/>
  <c r="I1848" i="2"/>
  <c r="K1848" i="2" s="1"/>
  <c r="I1849" i="2"/>
  <c r="K1849" i="2" s="1"/>
  <c r="I1850" i="2"/>
  <c r="K1850" i="2" s="1"/>
  <c r="I1851" i="2"/>
  <c r="K1851" i="2" s="1"/>
  <c r="I1852" i="2"/>
  <c r="K1852" i="2" s="1"/>
  <c r="I1853" i="2"/>
  <c r="K1853" i="2" s="1"/>
  <c r="I1854" i="2"/>
  <c r="K1854" i="2" s="1"/>
  <c r="I1855" i="2"/>
  <c r="K1855" i="2" s="1"/>
  <c r="I1856" i="2"/>
  <c r="K1856" i="2" s="1"/>
  <c r="I1857" i="2"/>
  <c r="I1826" i="2"/>
  <c r="K1826" i="2" s="1"/>
  <c r="I1827" i="2"/>
  <c r="K1827" i="2" s="1"/>
  <c r="I1828" i="2"/>
  <c r="K1828" i="2" s="1"/>
  <c r="I1829" i="2"/>
  <c r="K1829" i="2" s="1"/>
  <c r="I1830" i="2"/>
  <c r="K1830" i="2" s="1"/>
  <c r="I1831" i="2"/>
  <c r="K1831" i="2" s="1"/>
  <c r="I1832" i="2"/>
  <c r="K1832" i="2" s="1"/>
  <c r="I1833" i="2"/>
  <c r="K1833" i="2" s="1"/>
  <c r="I1834" i="2"/>
  <c r="K1834" i="2" s="1"/>
  <c r="I1835" i="2"/>
  <c r="K1835" i="2" s="1"/>
  <c r="I1836" i="2"/>
  <c r="K1836" i="2" s="1"/>
  <c r="I1837" i="2"/>
  <c r="K1837" i="2" s="1"/>
  <c r="I1838" i="2"/>
  <c r="K1838" i="2" s="1"/>
  <c r="I1839" i="2"/>
  <c r="K1839" i="2" s="1"/>
  <c r="I1840" i="2"/>
  <c r="K1840" i="2" s="1"/>
  <c r="I1841" i="2"/>
  <c r="I1778" i="2"/>
  <c r="K1778" i="2" s="1"/>
  <c r="I1779" i="2"/>
  <c r="K1779" i="2" s="1"/>
  <c r="I1780" i="2"/>
  <c r="K1780" i="2" s="1"/>
  <c r="I1781" i="2"/>
  <c r="K1781" i="2" s="1"/>
  <c r="I1782" i="2"/>
  <c r="K1782" i="2" s="1"/>
  <c r="I1783" i="2"/>
  <c r="K1783" i="2" s="1"/>
  <c r="I1784" i="2"/>
  <c r="K1784" i="2" s="1"/>
  <c r="I1785" i="2"/>
  <c r="K1785" i="2" s="1"/>
  <c r="I1786" i="2"/>
  <c r="K1786" i="2" s="1"/>
  <c r="I1787" i="2"/>
  <c r="K1787" i="2" s="1"/>
  <c r="I1788" i="2"/>
  <c r="K1788" i="2" s="1"/>
  <c r="I1789" i="2"/>
  <c r="K1789" i="2" s="1"/>
  <c r="I1790" i="2"/>
  <c r="K1790" i="2" s="1"/>
  <c r="I1791" i="2"/>
  <c r="K1791" i="2" s="1"/>
  <c r="I1792" i="2"/>
  <c r="K1792" i="2" s="1"/>
  <c r="I1793" i="2"/>
  <c r="I1762" i="2"/>
  <c r="K1762" i="2" s="1"/>
  <c r="I1763" i="2"/>
  <c r="K1763" i="2" s="1"/>
  <c r="I1764" i="2"/>
  <c r="K1764" i="2" s="1"/>
  <c r="I1765" i="2"/>
  <c r="K1765" i="2" s="1"/>
  <c r="I1766" i="2"/>
  <c r="K1766" i="2" s="1"/>
  <c r="I1767" i="2"/>
  <c r="K1767" i="2" s="1"/>
  <c r="I1768" i="2"/>
  <c r="K1768" i="2" s="1"/>
  <c r="I1769" i="2"/>
  <c r="K1769" i="2" s="1"/>
  <c r="I1770" i="2"/>
  <c r="K1770" i="2" s="1"/>
  <c r="I1771" i="2"/>
  <c r="K1771" i="2" s="1"/>
  <c r="I1772" i="2"/>
  <c r="K1772" i="2" s="1"/>
  <c r="I1773" i="2"/>
  <c r="K1773" i="2" s="1"/>
  <c r="I1774" i="2"/>
  <c r="K1774" i="2" s="1"/>
  <c r="I1775" i="2"/>
  <c r="K1775" i="2" s="1"/>
  <c r="I1776" i="2"/>
  <c r="K1776" i="2" s="1"/>
  <c r="I1777" i="2"/>
  <c r="I1698" i="2"/>
  <c r="J1698" i="2" s="1"/>
  <c r="I1699" i="2"/>
  <c r="K1699" i="2" s="1"/>
  <c r="I1700" i="2"/>
  <c r="K1700" i="2" s="1"/>
  <c r="I1701" i="2"/>
  <c r="K1701" i="2" s="1"/>
  <c r="I1702" i="2"/>
  <c r="K1702" i="2" s="1"/>
  <c r="I1703" i="2"/>
  <c r="K1703" i="2" s="1"/>
  <c r="I1704" i="2"/>
  <c r="K1704" i="2" s="1"/>
  <c r="I1705" i="2"/>
  <c r="K1705" i="2" s="1"/>
  <c r="I1706" i="2"/>
  <c r="K1706" i="2" s="1"/>
  <c r="I1707" i="2"/>
  <c r="K1707" i="2" s="1"/>
  <c r="I1708" i="2"/>
  <c r="K1708" i="2" s="1"/>
  <c r="I1709" i="2"/>
  <c r="K1709" i="2" s="1"/>
  <c r="I1710" i="2"/>
  <c r="K1710" i="2" s="1"/>
  <c r="I1711" i="2"/>
  <c r="K1711" i="2" s="1"/>
  <c r="I1712" i="2"/>
  <c r="K1712" i="2" s="1"/>
  <c r="I1713" i="2"/>
  <c r="I1635" i="2"/>
  <c r="K1635" i="2" s="1"/>
  <c r="I1636" i="2"/>
  <c r="K1636" i="2" s="1"/>
  <c r="I1637" i="2"/>
  <c r="K1637" i="2" s="1"/>
  <c r="I1638" i="2"/>
  <c r="K1638" i="2" s="1"/>
  <c r="I1639" i="2"/>
  <c r="K1639" i="2" s="1"/>
  <c r="I1640" i="2"/>
  <c r="K1640" i="2" s="1"/>
  <c r="I1641" i="2"/>
  <c r="K1641" i="2" s="1"/>
  <c r="I1642" i="2"/>
  <c r="K1642" i="2" s="1"/>
  <c r="I1643" i="2"/>
  <c r="K1643" i="2" s="1"/>
  <c r="I1644" i="2"/>
  <c r="K1644" i="2" s="1"/>
  <c r="I1645" i="2"/>
  <c r="K1645" i="2" s="1"/>
  <c r="I1646" i="2"/>
  <c r="K1646" i="2" s="1"/>
  <c r="I1647" i="2"/>
  <c r="K1647" i="2" s="1"/>
  <c r="I1648" i="2"/>
  <c r="K1648" i="2" s="1"/>
  <c r="I1649" i="2"/>
  <c r="I1634" i="2"/>
  <c r="K1634" i="2" s="1"/>
  <c r="I1730" i="2"/>
  <c r="K1730" i="2" s="1"/>
  <c r="I1731" i="2"/>
  <c r="K1731" i="2" s="1"/>
  <c r="I1732" i="2"/>
  <c r="K1732" i="2" s="1"/>
  <c r="I1733" i="2"/>
  <c r="K1733" i="2" s="1"/>
  <c r="I1734" i="2"/>
  <c r="K1734" i="2" s="1"/>
  <c r="I1735" i="2"/>
  <c r="K1735" i="2" s="1"/>
  <c r="I1736" i="2"/>
  <c r="K1736" i="2" s="1"/>
  <c r="I1737" i="2"/>
  <c r="K1737" i="2" s="1"/>
  <c r="I1738" i="2"/>
  <c r="K1738" i="2" s="1"/>
  <c r="I1739" i="2"/>
  <c r="K1739" i="2" s="1"/>
  <c r="I1740" i="2"/>
  <c r="K1740" i="2" s="1"/>
  <c r="I1741" i="2"/>
  <c r="K1741" i="2" s="1"/>
  <c r="I1742" i="2"/>
  <c r="K1742" i="2" s="1"/>
  <c r="I1743" i="2"/>
  <c r="K1743" i="2" s="1"/>
  <c r="I1744" i="2"/>
  <c r="K1744" i="2" s="1"/>
  <c r="I1745" i="2"/>
  <c r="I1794" i="2"/>
  <c r="K1794" i="2" s="1"/>
  <c r="I1795" i="2"/>
  <c r="K1795" i="2" s="1"/>
  <c r="I1796" i="2"/>
  <c r="K1796" i="2" s="1"/>
  <c r="I1797" i="2"/>
  <c r="K1797" i="2" s="1"/>
  <c r="I1798" i="2"/>
  <c r="K1798" i="2" s="1"/>
  <c r="I1799" i="2"/>
  <c r="K1799" i="2" s="1"/>
  <c r="I1800" i="2"/>
  <c r="K1800" i="2" s="1"/>
  <c r="I1801" i="2"/>
  <c r="K1801" i="2" s="1"/>
  <c r="I1802" i="2"/>
  <c r="K1802" i="2" s="1"/>
  <c r="I1803" i="2"/>
  <c r="K1803" i="2" s="1"/>
  <c r="I1804" i="2"/>
  <c r="K1804" i="2" s="1"/>
  <c r="I1805" i="2"/>
  <c r="K1805" i="2" s="1"/>
  <c r="I1806" i="2"/>
  <c r="K1806" i="2" s="1"/>
  <c r="I1807" i="2"/>
  <c r="K1807" i="2" s="1"/>
  <c r="I1808" i="2"/>
  <c r="K1808" i="2" s="1"/>
  <c r="I1809" i="2"/>
  <c r="I1810" i="2"/>
  <c r="K1810" i="2" s="1"/>
  <c r="I1811" i="2"/>
  <c r="K1811" i="2" s="1"/>
  <c r="I1812" i="2"/>
  <c r="K1812" i="2" s="1"/>
  <c r="I1813" i="2"/>
  <c r="K1813" i="2" s="1"/>
  <c r="I1814" i="2"/>
  <c r="K1814" i="2" s="1"/>
  <c r="I1815" i="2"/>
  <c r="K1815" i="2" s="1"/>
  <c r="I1816" i="2"/>
  <c r="K1816" i="2" s="1"/>
  <c r="I1817" i="2"/>
  <c r="K1817" i="2" s="1"/>
  <c r="I1818" i="2"/>
  <c r="K1818" i="2" s="1"/>
  <c r="I1819" i="2"/>
  <c r="K1819" i="2" s="1"/>
  <c r="I1820" i="2"/>
  <c r="K1820" i="2" s="1"/>
  <c r="I1821" i="2"/>
  <c r="K1821" i="2" s="1"/>
  <c r="I1822" i="2"/>
  <c r="K1822" i="2" s="1"/>
  <c r="I1823" i="2"/>
  <c r="K1823" i="2" s="1"/>
  <c r="I1824" i="2"/>
  <c r="K1824" i="2" s="1"/>
  <c r="I1825" i="2"/>
  <c r="I1412" i="2"/>
  <c r="K1412" i="2" s="1"/>
  <c r="I1413" i="2"/>
  <c r="K1413" i="2" s="1"/>
  <c r="I1414" i="2"/>
  <c r="K1414" i="2" s="1"/>
  <c r="I1415" i="2"/>
  <c r="K1415" i="2" s="1"/>
  <c r="I1416" i="2"/>
  <c r="K1416" i="2" s="1"/>
  <c r="I1417" i="2"/>
  <c r="K1417" i="2" s="1"/>
  <c r="I1418" i="2"/>
  <c r="K1418" i="2" s="1"/>
  <c r="I1419" i="2"/>
  <c r="K1419" i="2" s="1"/>
  <c r="I1420" i="2"/>
  <c r="K1420" i="2" s="1"/>
  <c r="I1421" i="2"/>
  <c r="K1421" i="2" s="1"/>
  <c r="I1422" i="2"/>
  <c r="K1422" i="2" s="1"/>
  <c r="I1423" i="2"/>
  <c r="K1423" i="2" s="1"/>
  <c r="I1424" i="2"/>
  <c r="K1424" i="2" s="1"/>
  <c r="I1425" i="2"/>
  <c r="I1411" i="2"/>
  <c r="K1411" i="2" s="1"/>
  <c r="I1410" i="2"/>
  <c r="K1410" i="2" s="1"/>
  <c r="I1746" i="2"/>
  <c r="K1746" i="2" s="1"/>
  <c r="I1747" i="2"/>
  <c r="K1747" i="2" s="1"/>
  <c r="I1748" i="2"/>
  <c r="K1748" i="2" s="1"/>
  <c r="I1749" i="2"/>
  <c r="K1749" i="2" s="1"/>
  <c r="I1750" i="2"/>
  <c r="K1750" i="2" s="1"/>
  <c r="I1751" i="2"/>
  <c r="K1751" i="2" s="1"/>
  <c r="I1752" i="2"/>
  <c r="K1752" i="2" s="1"/>
  <c r="I1753" i="2"/>
  <c r="K1753" i="2" s="1"/>
  <c r="I1754" i="2"/>
  <c r="K1754" i="2" s="1"/>
  <c r="I1755" i="2"/>
  <c r="K1755" i="2" s="1"/>
  <c r="I1756" i="2"/>
  <c r="K1756" i="2" s="1"/>
  <c r="I1757" i="2"/>
  <c r="K1757" i="2" s="1"/>
  <c r="I1758" i="2"/>
  <c r="K1758" i="2" s="1"/>
  <c r="I1759" i="2"/>
  <c r="K1759" i="2" s="1"/>
  <c r="I1760" i="2"/>
  <c r="K1760" i="2" s="1"/>
  <c r="I1761" i="2"/>
  <c r="I1666" i="2"/>
  <c r="K1666" i="2" s="1"/>
  <c r="I1667" i="2"/>
  <c r="K1667" i="2" s="1"/>
  <c r="I1668" i="2"/>
  <c r="K1668" i="2" s="1"/>
  <c r="I1669" i="2"/>
  <c r="K1669" i="2" s="1"/>
  <c r="I1670" i="2"/>
  <c r="K1670" i="2" s="1"/>
  <c r="I1671" i="2"/>
  <c r="K1671" i="2" s="1"/>
  <c r="I1672" i="2"/>
  <c r="K1672" i="2" s="1"/>
  <c r="I1673" i="2"/>
  <c r="K1673" i="2" s="1"/>
  <c r="I1674" i="2"/>
  <c r="K1674" i="2" s="1"/>
  <c r="I1675" i="2"/>
  <c r="K1675" i="2" s="1"/>
  <c r="I1676" i="2"/>
  <c r="K1676" i="2" s="1"/>
  <c r="I1677" i="2"/>
  <c r="K1677" i="2" s="1"/>
  <c r="I1678" i="2"/>
  <c r="K1678" i="2" s="1"/>
  <c r="I1679" i="2"/>
  <c r="K1679" i="2" s="1"/>
  <c r="I1680" i="2"/>
  <c r="K1680" i="2" s="1"/>
  <c r="I1681" i="2"/>
  <c r="I1682" i="2"/>
  <c r="K1682" i="2" s="1"/>
  <c r="I1683" i="2"/>
  <c r="K1683" i="2" s="1"/>
  <c r="I1684" i="2"/>
  <c r="K1684" i="2" s="1"/>
  <c r="I1685" i="2"/>
  <c r="K1685" i="2" s="1"/>
  <c r="I1686" i="2"/>
  <c r="K1686" i="2" s="1"/>
  <c r="I1687" i="2"/>
  <c r="K1687" i="2" s="1"/>
  <c r="I1688" i="2"/>
  <c r="K1688" i="2" s="1"/>
  <c r="I1689" i="2"/>
  <c r="K1689" i="2" s="1"/>
  <c r="I1690" i="2"/>
  <c r="K1690" i="2" s="1"/>
  <c r="I1691" i="2"/>
  <c r="K1691" i="2" s="1"/>
  <c r="I1692" i="2"/>
  <c r="K1692" i="2" s="1"/>
  <c r="I1693" i="2"/>
  <c r="K1693" i="2" s="1"/>
  <c r="I1694" i="2"/>
  <c r="K1694" i="2" s="1"/>
  <c r="I1695" i="2"/>
  <c r="K1695" i="2" s="1"/>
  <c r="I1696" i="2"/>
  <c r="K1696" i="2" s="1"/>
  <c r="I1697" i="2"/>
  <c r="I1650" i="2"/>
  <c r="K1650" i="2" s="1"/>
  <c r="I1651" i="2"/>
  <c r="K1651" i="2" s="1"/>
  <c r="I1652" i="2"/>
  <c r="K1652" i="2" s="1"/>
  <c r="I1653" i="2"/>
  <c r="K1653" i="2" s="1"/>
  <c r="I1654" i="2"/>
  <c r="K1654" i="2" s="1"/>
  <c r="I1655" i="2"/>
  <c r="K1655" i="2" s="1"/>
  <c r="I1656" i="2"/>
  <c r="K1656" i="2" s="1"/>
  <c r="I1657" i="2"/>
  <c r="K1657" i="2" s="1"/>
  <c r="I1658" i="2"/>
  <c r="K1658" i="2" s="1"/>
  <c r="I1659" i="2"/>
  <c r="K1659" i="2" s="1"/>
  <c r="I1660" i="2"/>
  <c r="K1660" i="2" s="1"/>
  <c r="I1661" i="2"/>
  <c r="K1661" i="2" s="1"/>
  <c r="I1662" i="2"/>
  <c r="K1662" i="2" s="1"/>
  <c r="I1663" i="2"/>
  <c r="K1663" i="2" s="1"/>
  <c r="I1664" i="2"/>
  <c r="K1664" i="2" s="1"/>
  <c r="I1665" i="2"/>
  <c r="I1315" i="2"/>
  <c r="K1315" i="2" s="1"/>
  <c r="I1316" i="2"/>
  <c r="K1316" i="2" s="1"/>
  <c r="I1317" i="2"/>
  <c r="K1317" i="2" s="1"/>
  <c r="I1318" i="2"/>
  <c r="K1318" i="2" s="1"/>
  <c r="I1319" i="2"/>
  <c r="K1319" i="2" s="1"/>
  <c r="I1320" i="2"/>
  <c r="K1320" i="2" s="1"/>
  <c r="I1321" i="2"/>
  <c r="K1321" i="2" s="1"/>
  <c r="I1322" i="2"/>
  <c r="K1322" i="2" s="1"/>
  <c r="I1323" i="2"/>
  <c r="K1323" i="2" s="1"/>
  <c r="I1324" i="2"/>
  <c r="K1324" i="2" s="1"/>
  <c r="I1325" i="2"/>
  <c r="K1325" i="2" s="1"/>
  <c r="I1326" i="2"/>
  <c r="K1326" i="2" s="1"/>
  <c r="I1327" i="2"/>
  <c r="K1327" i="2" s="1"/>
  <c r="I1328" i="2"/>
  <c r="K1328" i="2" s="1"/>
  <c r="I1329" i="2"/>
  <c r="I1314" i="2"/>
  <c r="K1314" i="2" s="1"/>
  <c r="J2691" i="2" l="1"/>
  <c r="J2692" i="2" s="1"/>
  <c r="J2693" i="2" s="1"/>
  <c r="J2694" i="2" s="1"/>
  <c r="J2695" i="2" s="1"/>
  <c r="J2696" i="2" s="1"/>
  <c r="J2697" i="2" s="1"/>
  <c r="J2698" i="2" s="1"/>
  <c r="J2699" i="2" s="1"/>
  <c r="J2700" i="2" s="1"/>
  <c r="J2701" i="2" s="1"/>
  <c r="J2702" i="2" s="1"/>
  <c r="J2703" i="2" s="1"/>
  <c r="J2704" i="2" s="1"/>
  <c r="J2705" i="2" s="1"/>
  <c r="D170" i="4" s="1"/>
  <c r="J2739" i="2"/>
  <c r="J2740" i="2" s="1"/>
  <c r="J2741" i="2" s="1"/>
  <c r="J2742" i="2" s="1"/>
  <c r="J2743" i="2" s="1"/>
  <c r="J2744" i="2" s="1"/>
  <c r="J2745" i="2" s="1"/>
  <c r="J2746" i="2" s="1"/>
  <c r="J2747" i="2" s="1"/>
  <c r="J2748" i="2" s="1"/>
  <c r="J2749" i="2" s="1"/>
  <c r="J2750" i="2" s="1"/>
  <c r="J2751" i="2" s="1"/>
  <c r="J2752" i="2" s="1"/>
  <c r="J2753" i="2" s="1"/>
  <c r="D173" i="4" s="1"/>
  <c r="J2723" i="2"/>
  <c r="J2724" i="2" s="1"/>
  <c r="J2725" i="2" s="1"/>
  <c r="J2726" i="2" s="1"/>
  <c r="J2727" i="2" s="1"/>
  <c r="J2728" i="2" s="1"/>
  <c r="J2729" i="2" s="1"/>
  <c r="J2730" i="2" s="1"/>
  <c r="J2731" i="2" s="1"/>
  <c r="J2732" i="2" s="1"/>
  <c r="J2733" i="2" s="1"/>
  <c r="J2734" i="2" s="1"/>
  <c r="J2735" i="2" s="1"/>
  <c r="J2736" i="2" s="1"/>
  <c r="J2737" i="2" s="1"/>
  <c r="D172" i="4" s="1"/>
  <c r="K2722" i="2"/>
  <c r="K2738" i="2"/>
  <c r="K2690" i="2"/>
  <c r="J2706" i="2"/>
  <c r="J2707" i="2" s="1"/>
  <c r="J2708" i="2" s="1"/>
  <c r="J2709" i="2" s="1"/>
  <c r="J2710" i="2" s="1"/>
  <c r="J2711" i="2" s="1"/>
  <c r="J2712" i="2" s="1"/>
  <c r="J2713" i="2" s="1"/>
  <c r="J2714" i="2" s="1"/>
  <c r="J2715" i="2" s="1"/>
  <c r="J2716" i="2" s="1"/>
  <c r="J2717" i="2" s="1"/>
  <c r="J2718" i="2" s="1"/>
  <c r="J2719" i="2" s="1"/>
  <c r="J2720" i="2" s="1"/>
  <c r="J2721" i="2" s="1"/>
  <c r="D171" i="4" s="1"/>
  <c r="J2674" i="2"/>
  <c r="J2675" i="2" s="1"/>
  <c r="J2676" i="2" s="1"/>
  <c r="J2677" i="2" s="1"/>
  <c r="J2678" i="2" s="1"/>
  <c r="J2679" i="2" s="1"/>
  <c r="J2680" i="2" s="1"/>
  <c r="J2681" i="2" s="1"/>
  <c r="J2682" i="2" s="1"/>
  <c r="J2683" i="2" s="1"/>
  <c r="J2684" i="2" s="1"/>
  <c r="J2685" i="2" s="1"/>
  <c r="J2686" i="2" s="1"/>
  <c r="J2687" i="2" s="1"/>
  <c r="J2688" i="2" s="1"/>
  <c r="J2689" i="2" s="1"/>
  <c r="D169" i="4" s="1"/>
  <c r="J2658" i="2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D168" i="4" s="1"/>
  <c r="J2642" i="2"/>
  <c r="J2643" i="2" s="1"/>
  <c r="J2644" i="2" s="1"/>
  <c r="J2645" i="2" s="1"/>
  <c r="J2646" i="2" s="1"/>
  <c r="J2647" i="2" s="1"/>
  <c r="J2648" i="2" s="1"/>
  <c r="J2649" i="2" s="1"/>
  <c r="J2650" i="2" s="1"/>
  <c r="J2651" i="2" s="1"/>
  <c r="J2652" i="2" s="1"/>
  <c r="J2653" i="2" s="1"/>
  <c r="J2654" i="2" s="1"/>
  <c r="J2655" i="2" s="1"/>
  <c r="J2656" i="2" s="1"/>
  <c r="J2657" i="2" s="1"/>
  <c r="D167" i="4" s="1"/>
  <c r="J2627" i="2"/>
  <c r="J2628" i="2" s="1"/>
  <c r="J2629" i="2" s="1"/>
  <c r="J2630" i="2" s="1"/>
  <c r="J2631" i="2" s="1"/>
  <c r="J2632" i="2" s="1"/>
  <c r="J2633" i="2" s="1"/>
  <c r="J2634" i="2" s="1"/>
  <c r="J2635" i="2" s="1"/>
  <c r="J2636" i="2" s="1"/>
  <c r="J2637" i="2" s="1"/>
  <c r="J2638" i="2" s="1"/>
  <c r="J2639" i="2" s="1"/>
  <c r="J2640" i="2" s="1"/>
  <c r="J2641" i="2" s="1"/>
  <c r="D166" i="4" s="1"/>
  <c r="K2626" i="2"/>
  <c r="J2611" i="2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J2622" i="2" s="1"/>
  <c r="J2623" i="2" s="1"/>
  <c r="J2624" i="2" s="1"/>
  <c r="J2625" i="2" s="1"/>
  <c r="D165" i="4" s="1"/>
  <c r="K2610" i="2"/>
  <c r="J2563" i="2"/>
  <c r="J2564" i="2" s="1"/>
  <c r="J2565" i="2" s="1"/>
  <c r="J2566" i="2" s="1"/>
  <c r="J2567" i="2" s="1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D162" i="4" s="1"/>
  <c r="K2562" i="2"/>
  <c r="J2546" i="2"/>
  <c r="J2547" i="2" s="1"/>
  <c r="J2548" i="2" s="1"/>
  <c r="J2549" i="2" s="1"/>
  <c r="J2550" i="2" s="1"/>
  <c r="J2551" i="2" s="1"/>
  <c r="J2552" i="2" s="1"/>
  <c r="J2553" i="2" s="1"/>
  <c r="J2554" i="2" s="1"/>
  <c r="J2555" i="2" s="1"/>
  <c r="J2556" i="2" s="1"/>
  <c r="J2557" i="2" s="1"/>
  <c r="J2558" i="2" s="1"/>
  <c r="J2559" i="2" s="1"/>
  <c r="J2560" i="2" s="1"/>
  <c r="J2561" i="2" s="1"/>
  <c r="D161" i="4" s="1"/>
  <c r="J2531" i="2"/>
  <c r="J2532" i="2" s="1"/>
  <c r="J2533" i="2" s="1"/>
  <c r="J2534" i="2" s="1"/>
  <c r="J2535" i="2" s="1"/>
  <c r="J2536" i="2" s="1"/>
  <c r="J2537" i="2" s="1"/>
  <c r="J2538" i="2" s="1"/>
  <c r="J2539" i="2" s="1"/>
  <c r="J2540" i="2" s="1"/>
  <c r="J2541" i="2" s="1"/>
  <c r="J2542" i="2" s="1"/>
  <c r="J2543" i="2" s="1"/>
  <c r="J2544" i="2" s="1"/>
  <c r="J2545" i="2" s="1"/>
  <c r="D160" i="4" s="1"/>
  <c r="K2530" i="2"/>
  <c r="J2451" i="2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D155" i="4" s="1"/>
  <c r="J2483" i="2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D157" i="4" s="1"/>
  <c r="J2498" i="2"/>
  <c r="J2499" i="2" s="1"/>
  <c r="J2500" i="2" s="1"/>
  <c r="J2501" i="2" s="1"/>
  <c r="J2502" i="2" s="1"/>
  <c r="J2503" i="2" s="1"/>
  <c r="J2504" i="2" s="1"/>
  <c r="J2505" i="2" s="1"/>
  <c r="J2506" i="2" s="1"/>
  <c r="J2507" i="2" s="1"/>
  <c r="J2508" i="2" s="1"/>
  <c r="J2509" i="2" s="1"/>
  <c r="J2510" i="2" s="1"/>
  <c r="J2511" i="2" s="1"/>
  <c r="J2512" i="2" s="1"/>
  <c r="J2513" i="2" s="1"/>
  <c r="D158" i="4" s="1"/>
  <c r="K2482" i="2"/>
  <c r="J2514" i="2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D159" i="4" s="1"/>
  <c r="K2450" i="2"/>
  <c r="J2466" i="2"/>
  <c r="J2467" i="2" s="1"/>
  <c r="J2468" i="2" s="1"/>
  <c r="J2469" i="2" s="1"/>
  <c r="J2470" i="2" s="1"/>
  <c r="J2471" i="2" s="1"/>
  <c r="J2472" i="2" s="1"/>
  <c r="J2473" i="2" s="1"/>
  <c r="J2474" i="2" s="1"/>
  <c r="J2475" i="2" s="1"/>
  <c r="J2476" i="2" s="1"/>
  <c r="J2477" i="2" s="1"/>
  <c r="J2478" i="2" s="1"/>
  <c r="J2479" i="2" s="1"/>
  <c r="J2480" i="2" s="1"/>
  <c r="J2481" i="2" s="1"/>
  <c r="D156" i="4" s="1"/>
  <c r="J2418" i="2"/>
  <c r="J2419" i="2" s="1"/>
  <c r="J2420" i="2" s="1"/>
  <c r="J2421" i="2" s="1"/>
  <c r="J2422" i="2" s="1"/>
  <c r="J2423" i="2" s="1"/>
  <c r="J2424" i="2" s="1"/>
  <c r="J2425" i="2" s="1"/>
  <c r="J2426" i="2" s="1"/>
  <c r="J2427" i="2" s="1"/>
  <c r="J2428" i="2" s="1"/>
  <c r="J2429" i="2" s="1"/>
  <c r="J2430" i="2" s="1"/>
  <c r="J2431" i="2" s="1"/>
  <c r="J2432" i="2" s="1"/>
  <c r="J2433" i="2" s="1"/>
  <c r="D153" i="4" s="1"/>
  <c r="J2387" i="2"/>
  <c r="J2388" i="2" s="1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D151" i="4" s="1"/>
  <c r="K2386" i="2"/>
  <c r="J2371" i="2"/>
  <c r="J2372" i="2" s="1"/>
  <c r="J2373" i="2" s="1"/>
  <c r="J2374" i="2" s="1"/>
  <c r="J2375" i="2" s="1"/>
  <c r="J2376" i="2" s="1"/>
  <c r="J2377" i="2" s="1"/>
  <c r="J2378" i="2" s="1"/>
  <c r="J2379" i="2" s="1"/>
  <c r="J2380" i="2" s="1"/>
  <c r="J2381" i="2" s="1"/>
  <c r="J2382" i="2" s="1"/>
  <c r="J2383" i="2" s="1"/>
  <c r="J2384" i="2" s="1"/>
  <c r="J2385" i="2" s="1"/>
  <c r="D150" i="4" s="1"/>
  <c r="K2370" i="2"/>
  <c r="J2403" i="2"/>
  <c r="J2404" i="2" s="1"/>
  <c r="J2405" i="2" s="1"/>
  <c r="J2406" i="2" s="1"/>
  <c r="J2407" i="2" s="1"/>
  <c r="J2408" i="2" s="1"/>
  <c r="J2409" i="2" s="1"/>
  <c r="J2410" i="2" s="1"/>
  <c r="J2411" i="2" s="1"/>
  <c r="J2412" i="2" s="1"/>
  <c r="J2413" i="2" s="1"/>
  <c r="J2414" i="2" s="1"/>
  <c r="J2415" i="2" s="1"/>
  <c r="J2416" i="2" s="1"/>
  <c r="J2417" i="2" s="1"/>
  <c r="D152" i="4" s="1"/>
  <c r="J2435" i="2"/>
  <c r="J2436" i="2" s="1"/>
  <c r="J2437" i="2" s="1"/>
  <c r="J2438" i="2" s="1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D154" i="4" s="1"/>
  <c r="K2290" i="2"/>
  <c r="J2291" i="2"/>
  <c r="J2292" i="2" s="1"/>
  <c r="J2293" i="2" s="1"/>
  <c r="J2294" i="2" s="1"/>
  <c r="J2295" i="2" s="1"/>
  <c r="J2296" i="2" s="1"/>
  <c r="J2297" i="2" s="1"/>
  <c r="J2298" i="2" s="1"/>
  <c r="J2299" i="2" s="1"/>
  <c r="J2300" i="2" s="1"/>
  <c r="J2301" i="2" s="1"/>
  <c r="J2302" i="2" s="1"/>
  <c r="J2303" i="2" s="1"/>
  <c r="J2304" i="2" s="1"/>
  <c r="J2305" i="2" s="1"/>
  <c r="D145" i="4" s="1"/>
  <c r="J2355" i="2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D149" i="4" s="1"/>
  <c r="K2354" i="2"/>
  <c r="K2434" i="2"/>
  <c r="J2338" i="2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D148" i="4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D144" i="4" s="1"/>
  <c r="K2274" i="2"/>
  <c r="J2242" i="2"/>
  <c r="J2243" i="2" s="1"/>
  <c r="J2244" i="2" s="1"/>
  <c r="J2245" i="2" s="1"/>
  <c r="J2246" i="2" s="1"/>
  <c r="J2247" i="2" s="1"/>
  <c r="J2248" i="2" s="1"/>
  <c r="J2249" i="2" s="1"/>
  <c r="J2250" i="2" s="1"/>
  <c r="J2251" i="2" s="1"/>
  <c r="J2252" i="2" s="1"/>
  <c r="J2253" i="2" s="1"/>
  <c r="J2254" i="2" s="1"/>
  <c r="J2255" i="2" s="1"/>
  <c r="J2256" i="2" s="1"/>
  <c r="J2257" i="2" s="1"/>
  <c r="D142" i="4" s="1"/>
  <c r="J2227" i="2"/>
  <c r="J2228" i="2" s="1"/>
  <c r="J2229" i="2" s="1"/>
  <c r="J2230" i="2" s="1"/>
  <c r="J2231" i="2" s="1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D141" i="4" s="1"/>
  <c r="K2226" i="2"/>
  <c r="J2307" i="2"/>
  <c r="J2308" i="2" s="1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D146" i="4" s="1"/>
  <c r="K2306" i="2"/>
  <c r="J2211" i="2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225" i="2" s="1"/>
  <c r="D140" i="4" s="1"/>
  <c r="K2210" i="2"/>
  <c r="J2259" i="2"/>
  <c r="J2260" i="2" s="1"/>
  <c r="J2261" i="2" s="1"/>
  <c r="J2262" i="2" s="1"/>
  <c r="J2263" i="2" s="1"/>
  <c r="J2264" i="2" s="1"/>
  <c r="J2265" i="2" s="1"/>
  <c r="J2266" i="2" s="1"/>
  <c r="J2267" i="2" s="1"/>
  <c r="J2268" i="2" s="1"/>
  <c r="J2269" i="2" s="1"/>
  <c r="J2270" i="2" s="1"/>
  <c r="J2271" i="2" s="1"/>
  <c r="J2272" i="2" s="1"/>
  <c r="J2273" i="2" s="1"/>
  <c r="D143" i="4" s="1"/>
  <c r="K2322" i="2"/>
  <c r="J2323" i="2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D147" i="4" s="1"/>
  <c r="K2258" i="2"/>
  <c r="J2131" i="2"/>
  <c r="J2132" i="2" s="1"/>
  <c r="J2133" i="2" s="1"/>
  <c r="J2134" i="2" s="1"/>
  <c r="J2135" i="2" s="1"/>
  <c r="J2136" i="2" s="1"/>
  <c r="J2137" i="2" s="1"/>
  <c r="J2138" i="2" s="1"/>
  <c r="J2139" i="2" s="1"/>
  <c r="J2140" i="2" s="1"/>
  <c r="J2141" i="2" s="1"/>
  <c r="J2142" i="2" s="1"/>
  <c r="J2143" i="2" s="1"/>
  <c r="J2144" i="2" s="1"/>
  <c r="J2145" i="2" s="1"/>
  <c r="D135" i="4" s="1"/>
  <c r="J2194" i="2"/>
  <c r="J2195" i="2" s="1"/>
  <c r="J2196" i="2" s="1"/>
  <c r="J2197" i="2" s="1"/>
  <c r="J2198" i="2" s="1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D139" i="4" s="1"/>
  <c r="K2130" i="2"/>
  <c r="K2114" i="2"/>
  <c r="J2178" i="2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J2191" i="2" s="1"/>
  <c r="J2192" i="2" s="1"/>
  <c r="J2193" i="2" s="1"/>
  <c r="D138" i="4" s="1"/>
  <c r="J2146" i="2"/>
  <c r="J2147" i="2" s="1"/>
  <c r="J2148" i="2" s="1"/>
  <c r="J2149" i="2" s="1"/>
  <c r="J2150" i="2" s="1"/>
  <c r="J2151" i="2" s="1"/>
  <c r="J2152" i="2" s="1"/>
  <c r="J2153" i="2" s="1"/>
  <c r="J2154" i="2" s="1"/>
  <c r="J2155" i="2" s="1"/>
  <c r="J2156" i="2" s="1"/>
  <c r="J2157" i="2" s="1"/>
  <c r="J2158" i="2" s="1"/>
  <c r="J2159" i="2" s="1"/>
  <c r="J2160" i="2" s="1"/>
  <c r="J2161" i="2" s="1"/>
  <c r="D136" i="4" s="1"/>
  <c r="J2162" i="2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D137" i="4" s="1"/>
  <c r="J1714" i="2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D109" i="4" s="1"/>
  <c r="J2067" i="2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D131" i="4" s="1"/>
  <c r="J2115" i="2"/>
  <c r="J2116" i="2" s="1"/>
  <c r="J2117" i="2" s="1"/>
  <c r="J2118" i="2" s="1"/>
  <c r="J2119" i="2" s="1"/>
  <c r="J2120" i="2" s="1"/>
  <c r="J2121" i="2" s="1"/>
  <c r="J2122" i="2" s="1"/>
  <c r="J2123" i="2" s="1"/>
  <c r="J2124" i="2" s="1"/>
  <c r="J2125" i="2" s="1"/>
  <c r="J2126" i="2" s="1"/>
  <c r="J2127" i="2" s="1"/>
  <c r="J2128" i="2" s="1"/>
  <c r="J2129" i="2" s="1"/>
  <c r="D134" i="4" s="1"/>
  <c r="K2066" i="2"/>
  <c r="J1986" i="2"/>
  <c r="J1987" i="2" s="1"/>
  <c r="J1988" i="2" s="1"/>
  <c r="J1989" i="2" s="1"/>
  <c r="J1990" i="2" s="1"/>
  <c r="J1991" i="2" s="1"/>
  <c r="J1992" i="2" s="1"/>
  <c r="J1993" i="2" s="1"/>
  <c r="J1994" i="2" s="1"/>
  <c r="J1995" i="2" s="1"/>
  <c r="J1996" i="2" s="1"/>
  <c r="J1997" i="2" s="1"/>
  <c r="J1998" i="2" s="1"/>
  <c r="J1999" i="2" s="1"/>
  <c r="J2000" i="2" s="1"/>
  <c r="J2001" i="2" s="1"/>
  <c r="D126" i="4" s="1"/>
  <c r="J2082" i="2"/>
  <c r="J2083" i="2" s="1"/>
  <c r="J2084" i="2" s="1"/>
  <c r="J2085" i="2" s="1"/>
  <c r="J2086" i="2" s="1"/>
  <c r="J2087" i="2" s="1"/>
  <c r="J2088" i="2" s="1"/>
  <c r="J2089" i="2" s="1"/>
  <c r="J2090" i="2" s="1"/>
  <c r="J2091" i="2" s="1"/>
  <c r="J2092" i="2" s="1"/>
  <c r="J2093" i="2" s="1"/>
  <c r="J2094" i="2" s="1"/>
  <c r="J2095" i="2" s="1"/>
  <c r="J2096" i="2" s="1"/>
  <c r="J2097" i="2" s="1"/>
  <c r="D132" i="4" s="1"/>
  <c r="J2018" i="2"/>
  <c r="J2019" i="2" s="1"/>
  <c r="J2020" i="2" s="1"/>
  <c r="J2021" i="2" s="1"/>
  <c r="J2022" i="2" s="1"/>
  <c r="J2023" i="2" s="1"/>
  <c r="J2024" i="2" s="1"/>
  <c r="J2025" i="2" s="1"/>
  <c r="J2026" i="2" s="1"/>
  <c r="J2027" i="2" s="1"/>
  <c r="J2028" i="2" s="1"/>
  <c r="J2029" i="2" s="1"/>
  <c r="J2030" i="2" s="1"/>
  <c r="J2031" i="2" s="1"/>
  <c r="J2032" i="2" s="1"/>
  <c r="J2033" i="2" s="1"/>
  <c r="D128" i="4" s="1"/>
  <c r="J2034" i="2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49" i="2" s="1"/>
  <c r="D129" i="4" s="1"/>
  <c r="J2050" i="2"/>
  <c r="J2051" i="2" s="1"/>
  <c r="J2052" i="2" s="1"/>
  <c r="J2053" i="2" s="1"/>
  <c r="J2054" i="2" s="1"/>
  <c r="J2055" i="2" s="1"/>
  <c r="J2056" i="2" s="1"/>
  <c r="J2057" i="2" s="1"/>
  <c r="J2058" i="2" s="1"/>
  <c r="J2059" i="2" s="1"/>
  <c r="J2060" i="2" s="1"/>
  <c r="J2061" i="2" s="1"/>
  <c r="J2062" i="2" s="1"/>
  <c r="J2063" i="2" s="1"/>
  <c r="J2064" i="2" s="1"/>
  <c r="J2065" i="2" s="1"/>
  <c r="D130" i="4" s="1"/>
  <c r="J1970" i="2"/>
  <c r="J1971" i="2" s="1"/>
  <c r="J1972" i="2" s="1"/>
  <c r="J1973" i="2" s="1"/>
  <c r="J1974" i="2" s="1"/>
  <c r="J1975" i="2" s="1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D125" i="4" s="1"/>
  <c r="J2002" i="2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J2013" i="2" s="1"/>
  <c r="J2014" i="2" s="1"/>
  <c r="J2015" i="2" s="1"/>
  <c r="J2016" i="2" s="1"/>
  <c r="J2017" i="2" s="1"/>
  <c r="D127" i="4" s="1"/>
  <c r="J1859" i="2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J1870" i="2" s="1"/>
  <c r="J1871" i="2" s="1"/>
  <c r="J1872" i="2" s="1"/>
  <c r="J1873" i="2" s="1"/>
  <c r="D118" i="4" s="1"/>
  <c r="J1907" i="2"/>
  <c r="J1908" i="2" s="1"/>
  <c r="J1909" i="2" s="1"/>
  <c r="J1910" i="2" s="1"/>
  <c r="J1911" i="2" s="1"/>
  <c r="J1912" i="2" s="1"/>
  <c r="J1913" i="2" s="1"/>
  <c r="J1914" i="2" s="1"/>
  <c r="J1915" i="2" s="1"/>
  <c r="J1916" i="2" s="1"/>
  <c r="J1917" i="2" s="1"/>
  <c r="J1918" i="2" s="1"/>
  <c r="J1919" i="2" s="1"/>
  <c r="J1920" i="2" s="1"/>
  <c r="J1921" i="2" s="1"/>
  <c r="D121" i="4" s="1"/>
  <c r="J1955" i="2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1969" i="2" s="1"/>
  <c r="D124" i="4" s="1"/>
  <c r="J1891" i="2"/>
  <c r="J1892" i="2" s="1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1904" i="2" s="1"/>
  <c r="J1905" i="2" s="1"/>
  <c r="D120" i="4" s="1"/>
  <c r="J1923" i="2"/>
  <c r="J1924" i="2" s="1"/>
  <c r="J1925" i="2" s="1"/>
  <c r="J1926" i="2" s="1"/>
  <c r="J1927" i="2" s="1"/>
  <c r="J1928" i="2" s="1"/>
  <c r="J1929" i="2" s="1"/>
  <c r="J1930" i="2" s="1"/>
  <c r="J1931" i="2" s="1"/>
  <c r="J1932" i="2" s="1"/>
  <c r="J1933" i="2" s="1"/>
  <c r="J1934" i="2" s="1"/>
  <c r="J1935" i="2" s="1"/>
  <c r="J1936" i="2" s="1"/>
  <c r="J1937" i="2" s="1"/>
  <c r="D122" i="4" s="1"/>
  <c r="J1843" i="2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D117" i="4" s="1"/>
  <c r="J1939" i="2"/>
  <c r="J1940" i="2" s="1"/>
  <c r="J1941" i="2" s="1"/>
  <c r="J1942" i="2" s="1"/>
  <c r="J1943" i="2" s="1"/>
  <c r="J1944" i="2" s="1"/>
  <c r="J1945" i="2" s="1"/>
  <c r="J1946" i="2" s="1"/>
  <c r="J1947" i="2" s="1"/>
  <c r="J1948" i="2" s="1"/>
  <c r="J1949" i="2" s="1"/>
  <c r="J1950" i="2" s="1"/>
  <c r="J1951" i="2" s="1"/>
  <c r="J1952" i="2" s="1"/>
  <c r="J1953" i="2" s="1"/>
  <c r="D123" i="4" s="1"/>
  <c r="K1938" i="2"/>
  <c r="K1890" i="2"/>
  <c r="K1954" i="2"/>
  <c r="K1858" i="2"/>
  <c r="K1922" i="2"/>
  <c r="J1778" i="2"/>
  <c r="J1779" i="2" s="1"/>
  <c r="J1780" i="2" s="1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D113" i="4" s="1"/>
  <c r="J1874" i="2"/>
  <c r="J1875" i="2" s="1"/>
  <c r="J1876" i="2" s="1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87" i="2" s="1"/>
  <c r="J1888" i="2" s="1"/>
  <c r="J1889" i="2" s="1"/>
  <c r="D119" i="4" s="1"/>
  <c r="K1842" i="2"/>
  <c r="K1906" i="2"/>
  <c r="J1826" i="2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J1839" i="2" s="1"/>
  <c r="J1840" i="2" s="1"/>
  <c r="J1841" i="2" s="1"/>
  <c r="D116" i="4" s="1"/>
  <c r="J1762" i="2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D112" i="4" s="1"/>
  <c r="J1699" i="2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D108" i="4" s="1"/>
  <c r="K1698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D104" i="4" s="1"/>
  <c r="J1730" i="2"/>
  <c r="J1731" i="2" s="1"/>
  <c r="J1732" i="2" s="1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D110" i="4" s="1"/>
  <c r="J1794" i="2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J1808" i="2" s="1"/>
  <c r="J1809" i="2" s="1"/>
  <c r="D114" i="4" s="1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D115" i="4" s="1"/>
  <c r="J1410" i="2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D90" i="4" s="1"/>
  <c r="J1746" i="2"/>
  <c r="J1747" i="2" s="1"/>
  <c r="J1748" i="2" s="1"/>
  <c r="J1749" i="2" s="1"/>
  <c r="J1750" i="2" s="1"/>
  <c r="J1751" i="2" s="1"/>
  <c r="J1752" i="2" s="1"/>
  <c r="J1753" i="2" s="1"/>
  <c r="J1754" i="2" s="1"/>
  <c r="J1755" i="2" s="1"/>
  <c r="J1756" i="2" s="1"/>
  <c r="J1757" i="2" s="1"/>
  <c r="J1758" i="2" s="1"/>
  <c r="J1759" i="2" s="1"/>
  <c r="J1760" i="2" s="1"/>
  <c r="J1761" i="2" s="1"/>
  <c r="D111" i="4" s="1"/>
  <c r="J1666" i="2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77" i="2" s="1"/>
  <c r="J1678" i="2" s="1"/>
  <c r="J1679" i="2" s="1"/>
  <c r="J1680" i="2" s="1"/>
  <c r="J1681" i="2" s="1"/>
  <c r="D106" i="4" s="1"/>
  <c r="J1682" i="2"/>
  <c r="J1683" i="2" s="1"/>
  <c r="J1684" i="2" s="1"/>
  <c r="J1685" i="2" s="1"/>
  <c r="J1686" i="2" s="1"/>
  <c r="J1687" i="2" s="1"/>
  <c r="J1688" i="2" s="1"/>
  <c r="J1689" i="2" s="1"/>
  <c r="J1690" i="2" s="1"/>
  <c r="J1691" i="2" s="1"/>
  <c r="J1692" i="2" s="1"/>
  <c r="J1693" i="2" s="1"/>
  <c r="J1694" i="2" s="1"/>
  <c r="J1695" i="2" s="1"/>
  <c r="J1696" i="2" s="1"/>
  <c r="J1697" i="2" s="1"/>
  <c r="D107" i="4" s="1"/>
  <c r="J1650" i="2"/>
  <c r="J1651" i="2" s="1"/>
  <c r="J1652" i="2" s="1"/>
  <c r="J1653" i="2" s="1"/>
  <c r="J1654" i="2" s="1"/>
  <c r="J1655" i="2" s="1"/>
  <c r="J1656" i="2" s="1"/>
  <c r="J1657" i="2" s="1"/>
  <c r="J1658" i="2" s="1"/>
  <c r="J1659" i="2" s="1"/>
  <c r="J1660" i="2" s="1"/>
  <c r="J1661" i="2" s="1"/>
  <c r="J1662" i="2" s="1"/>
  <c r="J1663" i="2" s="1"/>
  <c r="J1664" i="2" s="1"/>
  <c r="J1665" i="2" s="1"/>
  <c r="D105" i="4" s="1"/>
  <c r="J1314" i="2"/>
  <c r="J1315" i="2" s="1"/>
  <c r="J1316" i="2" s="1"/>
  <c r="J1317" i="2" s="1"/>
  <c r="J1318" i="2" s="1"/>
  <c r="J1319" i="2" s="1"/>
  <c r="J1320" i="2" s="1"/>
  <c r="J1321" i="2" s="1"/>
  <c r="J1322" i="2" s="1"/>
  <c r="J1323" i="2" s="1"/>
  <c r="J1324" i="2" s="1"/>
  <c r="J1325" i="2" s="1"/>
  <c r="J1326" i="2" s="1"/>
  <c r="J1327" i="2" s="1"/>
  <c r="J1328" i="2" s="1"/>
  <c r="J1329" i="2" s="1"/>
  <c r="D84" i="4" s="1"/>
  <c r="I1618" i="2"/>
  <c r="K1618" i="2" s="1"/>
  <c r="I1619" i="2"/>
  <c r="K1619" i="2" s="1"/>
  <c r="I1620" i="2"/>
  <c r="K1620" i="2" s="1"/>
  <c r="I1621" i="2"/>
  <c r="K1621" i="2" s="1"/>
  <c r="I1622" i="2"/>
  <c r="K1622" i="2" s="1"/>
  <c r="I1623" i="2"/>
  <c r="K1623" i="2" s="1"/>
  <c r="I1624" i="2"/>
  <c r="K1624" i="2" s="1"/>
  <c r="I1625" i="2"/>
  <c r="K1625" i="2" s="1"/>
  <c r="I1626" i="2"/>
  <c r="K1626" i="2" s="1"/>
  <c r="I1627" i="2"/>
  <c r="K1627" i="2" s="1"/>
  <c r="I1628" i="2"/>
  <c r="K1628" i="2" s="1"/>
  <c r="I1629" i="2"/>
  <c r="K1629" i="2" s="1"/>
  <c r="I1630" i="2"/>
  <c r="K1630" i="2" s="1"/>
  <c r="I1631" i="2"/>
  <c r="K1631" i="2" s="1"/>
  <c r="I1632" i="2"/>
  <c r="K1632" i="2" s="1"/>
  <c r="I1633" i="2"/>
  <c r="I1602" i="2"/>
  <c r="J1602" i="2" s="1"/>
  <c r="I1603" i="2"/>
  <c r="K1603" i="2" s="1"/>
  <c r="I1604" i="2"/>
  <c r="K1604" i="2" s="1"/>
  <c r="I1605" i="2"/>
  <c r="K1605" i="2" s="1"/>
  <c r="I1606" i="2"/>
  <c r="K1606" i="2" s="1"/>
  <c r="I1607" i="2"/>
  <c r="K1607" i="2" s="1"/>
  <c r="I1608" i="2"/>
  <c r="K1608" i="2" s="1"/>
  <c r="I1609" i="2"/>
  <c r="K1609" i="2" s="1"/>
  <c r="I1610" i="2"/>
  <c r="K1610" i="2" s="1"/>
  <c r="I1611" i="2"/>
  <c r="K1611" i="2" s="1"/>
  <c r="I1612" i="2"/>
  <c r="K1612" i="2" s="1"/>
  <c r="I1613" i="2"/>
  <c r="I1614" i="2"/>
  <c r="I1615" i="2"/>
  <c r="I1616" i="2"/>
  <c r="I1617" i="2"/>
  <c r="I1586" i="2"/>
  <c r="K1586" i="2" s="1"/>
  <c r="I1587" i="2"/>
  <c r="K1587" i="2" s="1"/>
  <c r="I1588" i="2"/>
  <c r="K1588" i="2" s="1"/>
  <c r="I1589" i="2"/>
  <c r="K1589" i="2" s="1"/>
  <c r="I1590" i="2"/>
  <c r="K1590" i="2" s="1"/>
  <c r="I1591" i="2"/>
  <c r="K1591" i="2" s="1"/>
  <c r="I1592" i="2"/>
  <c r="K1592" i="2" s="1"/>
  <c r="I1593" i="2"/>
  <c r="K1593" i="2" s="1"/>
  <c r="I1594" i="2"/>
  <c r="K1594" i="2" s="1"/>
  <c r="I1595" i="2"/>
  <c r="K1595" i="2" s="1"/>
  <c r="I1596" i="2"/>
  <c r="K1596" i="2" s="1"/>
  <c r="I1597" i="2"/>
  <c r="I1598" i="2"/>
  <c r="I1599" i="2"/>
  <c r="I1600" i="2"/>
  <c r="I1601" i="2"/>
  <c r="I1570" i="2"/>
  <c r="K1570" i="2" s="1"/>
  <c r="I1571" i="2"/>
  <c r="K1571" i="2" s="1"/>
  <c r="I1572" i="2"/>
  <c r="K1572" i="2" s="1"/>
  <c r="I1573" i="2"/>
  <c r="K1573" i="2" s="1"/>
  <c r="I1574" i="2"/>
  <c r="K1574" i="2" s="1"/>
  <c r="I1575" i="2"/>
  <c r="K1575" i="2" s="1"/>
  <c r="I1576" i="2"/>
  <c r="K1576" i="2" s="1"/>
  <c r="I1577" i="2"/>
  <c r="K1577" i="2" s="1"/>
  <c r="I1578" i="2"/>
  <c r="K1578" i="2" s="1"/>
  <c r="I1579" i="2"/>
  <c r="K1579" i="2" s="1"/>
  <c r="I1580" i="2"/>
  <c r="K1580" i="2" s="1"/>
  <c r="I1581" i="2"/>
  <c r="K1581" i="2" s="1"/>
  <c r="I1582" i="2"/>
  <c r="K1582" i="2" s="1"/>
  <c r="I1583" i="2"/>
  <c r="K1583" i="2" s="1"/>
  <c r="I1584" i="2"/>
  <c r="K1584" i="2" s="1"/>
  <c r="I1585" i="2"/>
  <c r="I1554" i="2"/>
  <c r="K1554" i="2" s="1"/>
  <c r="I1555" i="2"/>
  <c r="K1555" i="2" s="1"/>
  <c r="I1556" i="2"/>
  <c r="K1556" i="2" s="1"/>
  <c r="I1557" i="2"/>
  <c r="K1557" i="2" s="1"/>
  <c r="I1558" i="2"/>
  <c r="K1558" i="2" s="1"/>
  <c r="I1559" i="2"/>
  <c r="K1559" i="2" s="1"/>
  <c r="I1560" i="2"/>
  <c r="K1560" i="2" s="1"/>
  <c r="I1561" i="2"/>
  <c r="K1561" i="2" s="1"/>
  <c r="I1562" i="2"/>
  <c r="K1562" i="2" s="1"/>
  <c r="I1563" i="2"/>
  <c r="K1563" i="2" s="1"/>
  <c r="I1564" i="2"/>
  <c r="K1564" i="2" s="1"/>
  <c r="I1565" i="2"/>
  <c r="K1565" i="2" s="1"/>
  <c r="I1566" i="2"/>
  <c r="K1566" i="2" s="1"/>
  <c r="I1567" i="2"/>
  <c r="K1567" i="2" s="1"/>
  <c r="I1568" i="2"/>
  <c r="K1568" i="2" s="1"/>
  <c r="I1569" i="2"/>
  <c r="I1538" i="2"/>
  <c r="K1538" i="2" s="1"/>
  <c r="I1539" i="2"/>
  <c r="K1539" i="2" s="1"/>
  <c r="I1540" i="2"/>
  <c r="K1540" i="2" s="1"/>
  <c r="I1541" i="2"/>
  <c r="K1541" i="2" s="1"/>
  <c r="I1542" i="2"/>
  <c r="K1542" i="2" s="1"/>
  <c r="I1543" i="2"/>
  <c r="K1543" i="2" s="1"/>
  <c r="I1544" i="2"/>
  <c r="K1544" i="2" s="1"/>
  <c r="I1545" i="2"/>
  <c r="K1545" i="2" s="1"/>
  <c r="I1546" i="2"/>
  <c r="K1546" i="2" s="1"/>
  <c r="I1547" i="2"/>
  <c r="K1547" i="2" s="1"/>
  <c r="I1548" i="2"/>
  <c r="K1548" i="2" s="1"/>
  <c r="I1549" i="2"/>
  <c r="K1549" i="2" s="1"/>
  <c r="I1550" i="2"/>
  <c r="K1550" i="2" s="1"/>
  <c r="I1551" i="2"/>
  <c r="K1551" i="2" s="1"/>
  <c r="I1552" i="2"/>
  <c r="K1552" i="2" s="1"/>
  <c r="I1553" i="2"/>
  <c r="I1522" i="2"/>
  <c r="K1522" i="2" s="1"/>
  <c r="I1523" i="2"/>
  <c r="K1523" i="2" s="1"/>
  <c r="I1524" i="2"/>
  <c r="K1524" i="2" s="1"/>
  <c r="I1525" i="2"/>
  <c r="K1525" i="2" s="1"/>
  <c r="I1526" i="2"/>
  <c r="K1526" i="2" s="1"/>
  <c r="I1527" i="2"/>
  <c r="K1527" i="2" s="1"/>
  <c r="I1528" i="2"/>
  <c r="K1528" i="2" s="1"/>
  <c r="I1529" i="2"/>
  <c r="K1529" i="2" s="1"/>
  <c r="I1530" i="2"/>
  <c r="K1530" i="2" s="1"/>
  <c r="I1531" i="2"/>
  <c r="K1531" i="2" s="1"/>
  <c r="I1532" i="2"/>
  <c r="K1532" i="2" s="1"/>
  <c r="I1533" i="2"/>
  <c r="K1533" i="2" s="1"/>
  <c r="I1534" i="2"/>
  <c r="K1534" i="2" s="1"/>
  <c r="I1535" i="2"/>
  <c r="K1535" i="2" s="1"/>
  <c r="I1536" i="2"/>
  <c r="K1536" i="2" s="1"/>
  <c r="I1537" i="2"/>
  <c r="I533" i="2"/>
  <c r="K533" i="2" s="1"/>
  <c r="J2098" i="2" l="1"/>
  <c r="J2099" i="2" s="1"/>
  <c r="J2100" i="2" s="1"/>
  <c r="J2101" i="2" s="1"/>
  <c r="J2102" i="2" s="1"/>
  <c r="J2103" i="2" s="1"/>
  <c r="J2104" i="2" s="1"/>
  <c r="J2105" i="2" s="1"/>
  <c r="J2106" i="2" s="1"/>
  <c r="J2107" i="2" s="1"/>
  <c r="J2108" i="2" s="1"/>
  <c r="J2109" i="2" s="1"/>
  <c r="J2110" i="2" s="1"/>
  <c r="J2111" i="2" s="1"/>
  <c r="J2112" i="2" s="1"/>
  <c r="J2113" i="2" s="1"/>
  <c r="D133" i="4" s="1"/>
  <c r="K1602" i="2"/>
  <c r="J1538" i="2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1" i="2" s="1"/>
  <c r="J1552" i="2" s="1"/>
  <c r="J1553" i="2" s="1"/>
  <c r="D98" i="4" s="1"/>
  <c r="J1554" i="2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D99" i="4" s="1"/>
  <c r="J1603" i="2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D102" i="4" s="1"/>
  <c r="J1522" i="2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D97" i="4" s="1"/>
  <c r="J1618" i="2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J1632" i="2" s="1"/>
  <c r="J1633" i="2" s="1"/>
  <c r="D103" i="4" s="1"/>
  <c r="J1570" i="2"/>
  <c r="J1571" i="2" s="1"/>
  <c r="J1572" i="2" s="1"/>
  <c r="J1573" i="2" s="1"/>
  <c r="J1574" i="2" s="1"/>
  <c r="J1575" i="2" s="1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D100" i="4" s="1"/>
  <c r="J1586" i="2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D101" i="4" s="1"/>
  <c r="I1506" i="2"/>
  <c r="J1506" i="2" s="1"/>
  <c r="I1507" i="2"/>
  <c r="K1507" i="2" s="1"/>
  <c r="I1508" i="2"/>
  <c r="K1508" i="2" s="1"/>
  <c r="I1509" i="2"/>
  <c r="K1509" i="2" s="1"/>
  <c r="I1510" i="2"/>
  <c r="K1510" i="2" s="1"/>
  <c r="I1511" i="2"/>
  <c r="K1511" i="2" s="1"/>
  <c r="I1512" i="2"/>
  <c r="K1512" i="2" s="1"/>
  <c r="I1513" i="2"/>
  <c r="K1513" i="2" s="1"/>
  <c r="I1514" i="2"/>
  <c r="K1514" i="2" s="1"/>
  <c r="I1515" i="2"/>
  <c r="K1515" i="2" s="1"/>
  <c r="I1516" i="2"/>
  <c r="K1516" i="2" s="1"/>
  <c r="I1517" i="2"/>
  <c r="K1517" i="2" s="1"/>
  <c r="I1518" i="2"/>
  <c r="K1518" i="2" s="1"/>
  <c r="I1519" i="2"/>
  <c r="K1519" i="2" s="1"/>
  <c r="I1520" i="2"/>
  <c r="K1520" i="2" s="1"/>
  <c r="I1521" i="2"/>
  <c r="I1490" i="2"/>
  <c r="K1490" i="2" s="1"/>
  <c r="I1491" i="2"/>
  <c r="K1491" i="2" s="1"/>
  <c r="I1492" i="2"/>
  <c r="K1492" i="2" s="1"/>
  <c r="I1493" i="2"/>
  <c r="K1493" i="2" s="1"/>
  <c r="I1494" i="2"/>
  <c r="K1494" i="2" s="1"/>
  <c r="I1495" i="2"/>
  <c r="K1495" i="2" s="1"/>
  <c r="I1496" i="2"/>
  <c r="K1496" i="2" s="1"/>
  <c r="I1497" i="2"/>
  <c r="K1497" i="2" s="1"/>
  <c r="I1498" i="2"/>
  <c r="K1498" i="2" s="1"/>
  <c r="I1499" i="2"/>
  <c r="K1499" i="2" s="1"/>
  <c r="I1500" i="2"/>
  <c r="K1500" i="2" s="1"/>
  <c r="I1501" i="2"/>
  <c r="K1501" i="2" s="1"/>
  <c r="I1502" i="2"/>
  <c r="K1502" i="2" s="1"/>
  <c r="I1503" i="2"/>
  <c r="K1503" i="2" s="1"/>
  <c r="I1504" i="2"/>
  <c r="K1504" i="2" s="1"/>
  <c r="I1505" i="2"/>
  <c r="I1474" i="2"/>
  <c r="K1474" i="2" s="1"/>
  <c r="I1475" i="2"/>
  <c r="K1475" i="2" s="1"/>
  <c r="I1476" i="2"/>
  <c r="K1476" i="2" s="1"/>
  <c r="I1477" i="2"/>
  <c r="K1477" i="2" s="1"/>
  <c r="I1478" i="2"/>
  <c r="K1478" i="2" s="1"/>
  <c r="I1479" i="2"/>
  <c r="K1479" i="2" s="1"/>
  <c r="I1480" i="2"/>
  <c r="K1480" i="2" s="1"/>
  <c r="I1481" i="2"/>
  <c r="K1481" i="2" s="1"/>
  <c r="I1482" i="2"/>
  <c r="K1482" i="2" s="1"/>
  <c r="I1483" i="2"/>
  <c r="K1483" i="2" s="1"/>
  <c r="I1484" i="2"/>
  <c r="K1484" i="2" s="1"/>
  <c r="I1485" i="2"/>
  <c r="K1485" i="2" s="1"/>
  <c r="I1486" i="2"/>
  <c r="K1486" i="2" s="1"/>
  <c r="I1487" i="2"/>
  <c r="K1487" i="2" s="1"/>
  <c r="I1488" i="2"/>
  <c r="K1488" i="2" s="1"/>
  <c r="I1489" i="2"/>
  <c r="I1458" i="2"/>
  <c r="J1458" i="2" s="1"/>
  <c r="I1459" i="2"/>
  <c r="K1459" i="2" s="1"/>
  <c r="I1460" i="2"/>
  <c r="K1460" i="2" s="1"/>
  <c r="I1461" i="2"/>
  <c r="K1461" i="2" s="1"/>
  <c r="I1462" i="2"/>
  <c r="K1462" i="2" s="1"/>
  <c r="I1463" i="2"/>
  <c r="K1463" i="2" s="1"/>
  <c r="I1464" i="2"/>
  <c r="K1464" i="2" s="1"/>
  <c r="I1465" i="2"/>
  <c r="K1465" i="2" s="1"/>
  <c r="I1466" i="2"/>
  <c r="K1466" i="2" s="1"/>
  <c r="I1467" i="2"/>
  <c r="K1467" i="2" s="1"/>
  <c r="I1468" i="2"/>
  <c r="K1468" i="2" s="1"/>
  <c r="I1469" i="2"/>
  <c r="K1469" i="2" s="1"/>
  <c r="I1470" i="2"/>
  <c r="K1470" i="2" s="1"/>
  <c r="I1471" i="2"/>
  <c r="K1471" i="2" s="1"/>
  <c r="I1472" i="2"/>
  <c r="K1472" i="2" s="1"/>
  <c r="I1473" i="2"/>
  <c r="I1442" i="2"/>
  <c r="K1442" i="2" s="1"/>
  <c r="I1443" i="2"/>
  <c r="K1443" i="2" s="1"/>
  <c r="I1444" i="2"/>
  <c r="K1444" i="2" s="1"/>
  <c r="I1445" i="2"/>
  <c r="K1445" i="2" s="1"/>
  <c r="I1446" i="2"/>
  <c r="K1446" i="2" s="1"/>
  <c r="I1447" i="2"/>
  <c r="K1447" i="2" s="1"/>
  <c r="I1448" i="2"/>
  <c r="K1448" i="2" s="1"/>
  <c r="I1449" i="2"/>
  <c r="K1449" i="2" s="1"/>
  <c r="I1450" i="2"/>
  <c r="K1450" i="2" s="1"/>
  <c r="I1451" i="2"/>
  <c r="K1451" i="2" s="1"/>
  <c r="I1452" i="2"/>
  <c r="K1452" i="2" s="1"/>
  <c r="I1453" i="2"/>
  <c r="K1453" i="2" s="1"/>
  <c r="I1454" i="2"/>
  <c r="K1454" i="2" s="1"/>
  <c r="I1455" i="2"/>
  <c r="K1455" i="2" s="1"/>
  <c r="I1456" i="2"/>
  <c r="K1456" i="2" s="1"/>
  <c r="I1457" i="2"/>
  <c r="I1426" i="2"/>
  <c r="K1426" i="2" s="1"/>
  <c r="I1427" i="2"/>
  <c r="K1427" i="2" s="1"/>
  <c r="I1428" i="2"/>
  <c r="K1428" i="2" s="1"/>
  <c r="I1429" i="2"/>
  <c r="K1429" i="2" s="1"/>
  <c r="I1430" i="2"/>
  <c r="K1430" i="2" s="1"/>
  <c r="I1431" i="2"/>
  <c r="K1431" i="2" s="1"/>
  <c r="I1432" i="2"/>
  <c r="K1432" i="2" s="1"/>
  <c r="I1433" i="2"/>
  <c r="K1433" i="2" s="1"/>
  <c r="I1434" i="2"/>
  <c r="K1434" i="2" s="1"/>
  <c r="I1435" i="2"/>
  <c r="K1435" i="2" s="1"/>
  <c r="I1436" i="2"/>
  <c r="K1436" i="2" s="1"/>
  <c r="I1437" i="2"/>
  <c r="K1437" i="2" s="1"/>
  <c r="I1438" i="2"/>
  <c r="K1438" i="2" s="1"/>
  <c r="I1439" i="2"/>
  <c r="K1439" i="2" s="1"/>
  <c r="I1440" i="2"/>
  <c r="K1440" i="2" s="1"/>
  <c r="I1441" i="2"/>
  <c r="I1394" i="2"/>
  <c r="J1394" i="2" s="1"/>
  <c r="I1395" i="2"/>
  <c r="K1395" i="2" s="1"/>
  <c r="I1396" i="2"/>
  <c r="K1396" i="2" s="1"/>
  <c r="I1397" i="2"/>
  <c r="K1397" i="2" s="1"/>
  <c r="I1398" i="2"/>
  <c r="K1398" i="2" s="1"/>
  <c r="I1399" i="2"/>
  <c r="K1399" i="2" s="1"/>
  <c r="I1400" i="2"/>
  <c r="K1400" i="2" s="1"/>
  <c r="I1401" i="2"/>
  <c r="K1401" i="2" s="1"/>
  <c r="I1402" i="2"/>
  <c r="K1402" i="2" s="1"/>
  <c r="I1403" i="2"/>
  <c r="K1403" i="2" s="1"/>
  <c r="I1404" i="2"/>
  <c r="K1404" i="2" s="1"/>
  <c r="I1405" i="2"/>
  <c r="K1405" i="2" s="1"/>
  <c r="I1406" i="2"/>
  <c r="K1406" i="2" s="1"/>
  <c r="I1407" i="2"/>
  <c r="K1407" i="2" s="1"/>
  <c r="I1408" i="2"/>
  <c r="K1408" i="2" s="1"/>
  <c r="I1409" i="2"/>
  <c r="I1378" i="2"/>
  <c r="K1378" i="2" s="1"/>
  <c r="I1379" i="2"/>
  <c r="K1379" i="2" s="1"/>
  <c r="I1380" i="2"/>
  <c r="K1380" i="2" s="1"/>
  <c r="I1381" i="2"/>
  <c r="K1381" i="2" s="1"/>
  <c r="I1382" i="2"/>
  <c r="K1382" i="2" s="1"/>
  <c r="I1383" i="2"/>
  <c r="K1383" i="2" s="1"/>
  <c r="I1384" i="2"/>
  <c r="K1384" i="2" s="1"/>
  <c r="I1385" i="2"/>
  <c r="K1385" i="2" s="1"/>
  <c r="I1386" i="2"/>
  <c r="K1386" i="2" s="1"/>
  <c r="I1387" i="2"/>
  <c r="K1387" i="2" s="1"/>
  <c r="I1388" i="2"/>
  <c r="K1388" i="2" s="1"/>
  <c r="I1389" i="2"/>
  <c r="K1389" i="2" s="1"/>
  <c r="I1390" i="2"/>
  <c r="K1390" i="2" s="1"/>
  <c r="I1391" i="2"/>
  <c r="K1391" i="2" s="1"/>
  <c r="I1392" i="2"/>
  <c r="K1392" i="2" s="1"/>
  <c r="I1393" i="2"/>
  <c r="I1362" i="2"/>
  <c r="K1362" i="2" s="1"/>
  <c r="I1363" i="2"/>
  <c r="K1363" i="2" s="1"/>
  <c r="I1364" i="2"/>
  <c r="K1364" i="2" s="1"/>
  <c r="I1365" i="2"/>
  <c r="K1365" i="2" s="1"/>
  <c r="I1366" i="2"/>
  <c r="K1366" i="2" s="1"/>
  <c r="I1367" i="2"/>
  <c r="K1367" i="2" s="1"/>
  <c r="I1368" i="2"/>
  <c r="K1368" i="2" s="1"/>
  <c r="I1369" i="2"/>
  <c r="K1369" i="2" s="1"/>
  <c r="I1370" i="2"/>
  <c r="K1370" i="2" s="1"/>
  <c r="I1371" i="2"/>
  <c r="K1371" i="2" s="1"/>
  <c r="I1372" i="2"/>
  <c r="K1372" i="2" s="1"/>
  <c r="I1373" i="2"/>
  <c r="K1373" i="2" s="1"/>
  <c r="I1374" i="2"/>
  <c r="K1374" i="2" s="1"/>
  <c r="I1375" i="2"/>
  <c r="K1375" i="2" s="1"/>
  <c r="I1376" i="2"/>
  <c r="K1376" i="2" s="1"/>
  <c r="I1377" i="2"/>
  <c r="I1346" i="2"/>
  <c r="J1346" i="2" s="1"/>
  <c r="I1347" i="2"/>
  <c r="K1347" i="2" s="1"/>
  <c r="I1348" i="2"/>
  <c r="K1348" i="2" s="1"/>
  <c r="I1349" i="2"/>
  <c r="K1349" i="2" s="1"/>
  <c r="I1350" i="2"/>
  <c r="K1350" i="2" s="1"/>
  <c r="I1351" i="2"/>
  <c r="K1351" i="2" s="1"/>
  <c r="I1352" i="2"/>
  <c r="K1352" i="2" s="1"/>
  <c r="I1353" i="2"/>
  <c r="K1353" i="2" s="1"/>
  <c r="I1354" i="2"/>
  <c r="K1354" i="2" s="1"/>
  <c r="I1355" i="2"/>
  <c r="K1355" i="2" s="1"/>
  <c r="I1356" i="2"/>
  <c r="K1356" i="2" s="1"/>
  <c r="I1357" i="2"/>
  <c r="K1357" i="2" s="1"/>
  <c r="I1358" i="2"/>
  <c r="K1358" i="2" s="1"/>
  <c r="I1359" i="2"/>
  <c r="K1359" i="2" s="1"/>
  <c r="I1360" i="2"/>
  <c r="K1360" i="2" s="1"/>
  <c r="I1361" i="2"/>
  <c r="I1330" i="2"/>
  <c r="K1330" i="2" s="1"/>
  <c r="I1331" i="2"/>
  <c r="K1331" i="2" s="1"/>
  <c r="I1332" i="2"/>
  <c r="K1332" i="2" s="1"/>
  <c r="I1333" i="2"/>
  <c r="K1333" i="2" s="1"/>
  <c r="I1334" i="2"/>
  <c r="K1334" i="2" s="1"/>
  <c r="I1335" i="2"/>
  <c r="K1335" i="2" s="1"/>
  <c r="I1336" i="2"/>
  <c r="K1336" i="2" s="1"/>
  <c r="I1337" i="2"/>
  <c r="K1337" i="2" s="1"/>
  <c r="I1338" i="2"/>
  <c r="K1338" i="2" s="1"/>
  <c r="I1339" i="2"/>
  <c r="K1339" i="2" s="1"/>
  <c r="I1340" i="2"/>
  <c r="K1340" i="2" s="1"/>
  <c r="I1341" i="2"/>
  <c r="K1341" i="2" s="1"/>
  <c r="I1342" i="2"/>
  <c r="K1342" i="2" s="1"/>
  <c r="I1343" i="2"/>
  <c r="K1343" i="2" s="1"/>
  <c r="I1344" i="2"/>
  <c r="K1344" i="2" s="1"/>
  <c r="I1345" i="2"/>
  <c r="I1298" i="2"/>
  <c r="J1298" i="2" s="1"/>
  <c r="I1299" i="2"/>
  <c r="K1299" i="2" s="1"/>
  <c r="I1300" i="2"/>
  <c r="K1300" i="2" s="1"/>
  <c r="I1301" i="2"/>
  <c r="K1301" i="2" s="1"/>
  <c r="I1302" i="2"/>
  <c r="K1302" i="2" s="1"/>
  <c r="I1303" i="2"/>
  <c r="K1303" i="2" s="1"/>
  <c r="I1304" i="2"/>
  <c r="K1304" i="2" s="1"/>
  <c r="I1305" i="2"/>
  <c r="K1305" i="2" s="1"/>
  <c r="I1306" i="2"/>
  <c r="K1306" i="2" s="1"/>
  <c r="I1307" i="2"/>
  <c r="K1307" i="2" s="1"/>
  <c r="I1308" i="2"/>
  <c r="K1308" i="2" s="1"/>
  <c r="I1309" i="2"/>
  <c r="K1309" i="2" s="1"/>
  <c r="I1310" i="2"/>
  <c r="K1310" i="2" s="1"/>
  <c r="I1311" i="2"/>
  <c r="K1311" i="2" s="1"/>
  <c r="I1312" i="2"/>
  <c r="K1312" i="2" s="1"/>
  <c r="I1313" i="2"/>
  <c r="I1218" i="2"/>
  <c r="K1218" i="2" s="1"/>
  <c r="I1219" i="2"/>
  <c r="K1219" i="2" s="1"/>
  <c r="I1220" i="2"/>
  <c r="K1220" i="2" s="1"/>
  <c r="I1221" i="2"/>
  <c r="K1221" i="2" s="1"/>
  <c r="I1222" i="2"/>
  <c r="K1222" i="2" s="1"/>
  <c r="I1223" i="2"/>
  <c r="K1223" i="2" s="1"/>
  <c r="I1224" i="2"/>
  <c r="K1224" i="2" s="1"/>
  <c r="I1225" i="2"/>
  <c r="K1225" i="2" s="1"/>
  <c r="I1226" i="2"/>
  <c r="K1226" i="2" s="1"/>
  <c r="I1227" i="2"/>
  <c r="K1227" i="2" s="1"/>
  <c r="I1228" i="2"/>
  <c r="K1228" i="2" s="1"/>
  <c r="I1229" i="2"/>
  <c r="K1229" i="2" s="1"/>
  <c r="I1230" i="2"/>
  <c r="K1230" i="2" s="1"/>
  <c r="I1231" i="2"/>
  <c r="K1231" i="2" s="1"/>
  <c r="I1232" i="2"/>
  <c r="K1232" i="2" s="1"/>
  <c r="I1233" i="2"/>
  <c r="I1234" i="2"/>
  <c r="J1234" i="2" s="1"/>
  <c r="I1235" i="2"/>
  <c r="K1235" i="2" s="1"/>
  <c r="I1236" i="2"/>
  <c r="K1236" i="2" s="1"/>
  <c r="I1237" i="2"/>
  <c r="K1237" i="2" s="1"/>
  <c r="I1238" i="2"/>
  <c r="K1238" i="2" s="1"/>
  <c r="I1239" i="2"/>
  <c r="K1239" i="2" s="1"/>
  <c r="I1240" i="2"/>
  <c r="K1240" i="2" s="1"/>
  <c r="I1241" i="2"/>
  <c r="K1241" i="2" s="1"/>
  <c r="I1242" i="2"/>
  <c r="K1242" i="2" s="1"/>
  <c r="I1243" i="2"/>
  <c r="K1243" i="2" s="1"/>
  <c r="I1244" i="2"/>
  <c r="K1244" i="2" s="1"/>
  <c r="I1245" i="2"/>
  <c r="K1245" i="2" s="1"/>
  <c r="I1246" i="2"/>
  <c r="K1246" i="2" s="1"/>
  <c r="I1247" i="2"/>
  <c r="K1247" i="2" s="1"/>
  <c r="I1248" i="2"/>
  <c r="K1248" i="2" s="1"/>
  <c r="I1249" i="2"/>
  <c r="I1250" i="2"/>
  <c r="K1250" i="2" s="1"/>
  <c r="I1251" i="2"/>
  <c r="K1251" i="2" s="1"/>
  <c r="I1252" i="2"/>
  <c r="K1252" i="2" s="1"/>
  <c r="I1253" i="2"/>
  <c r="K1253" i="2" s="1"/>
  <c r="I1254" i="2"/>
  <c r="K1254" i="2" s="1"/>
  <c r="I1255" i="2"/>
  <c r="K1255" i="2" s="1"/>
  <c r="I1256" i="2"/>
  <c r="K1256" i="2" s="1"/>
  <c r="I1257" i="2"/>
  <c r="K1257" i="2" s="1"/>
  <c r="I1258" i="2"/>
  <c r="K1258" i="2" s="1"/>
  <c r="I1259" i="2"/>
  <c r="K1259" i="2" s="1"/>
  <c r="I1260" i="2"/>
  <c r="K1260" i="2" s="1"/>
  <c r="I1261" i="2"/>
  <c r="K1261" i="2" s="1"/>
  <c r="I1262" i="2"/>
  <c r="K1262" i="2" s="1"/>
  <c r="I1263" i="2"/>
  <c r="K1263" i="2" s="1"/>
  <c r="I1264" i="2"/>
  <c r="K1264" i="2" s="1"/>
  <c r="I1265" i="2"/>
  <c r="I1266" i="2"/>
  <c r="J1266" i="2" s="1"/>
  <c r="I1267" i="2"/>
  <c r="K1267" i="2" s="1"/>
  <c r="I1268" i="2"/>
  <c r="K1268" i="2" s="1"/>
  <c r="I1269" i="2"/>
  <c r="K1269" i="2" s="1"/>
  <c r="I1270" i="2"/>
  <c r="K1270" i="2" s="1"/>
  <c r="I1271" i="2"/>
  <c r="K1271" i="2" s="1"/>
  <c r="I1272" i="2"/>
  <c r="K1272" i="2" s="1"/>
  <c r="I1273" i="2"/>
  <c r="K1273" i="2" s="1"/>
  <c r="I1274" i="2"/>
  <c r="K1274" i="2" s="1"/>
  <c r="I1275" i="2"/>
  <c r="K1275" i="2" s="1"/>
  <c r="I1276" i="2"/>
  <c r="K1276" i="2" s="1"/>
  <c r="I1277" i="2"/>
  <c r="K1277" i="2" s="1"/>
  <c r="I1278" i="2"/>
  <c r="K1278" i="2" s="1"/>
  <c r="I1279" i="2"/>
  <c r="K1279" i="2" s="1"/>
  <c r="I1280" i="2"/>
  <c r="K1280" i="2" s="1"/>
  <c r="I1281" i="2"/>
  <c r="I1282" i="2"/>
  <c r="J1282" i="2" s="1"/>
  <c r="I1283" i="2"/>
  <c r="K1283" i="2" s="1"/>
  <c r="I1284" i="2"/>
  <c r="K1284" i="2" s="1"/>
  <c r="I1285" i="2"/>
  <c r="K1285" i="2" s="1"/>
  <c r="I1286" i="2"/>
  <c r="K1286" i="2" s="1"/>
  <c r="I1287" i="2"/>
  <c r="K1287" i="2" s="1"/>
  <c r="I1288" i="2"/>
  <c r="K1288" i="2" s="1"/>
  <c r="I1289" i="2"/>
  <c r="K1289" i="2" s="1"/>
  <c r="I1290" i="2"/>
  <c r="K1290" i="2" s="1"/>
  <c r="I1291" i="2"/>
  <c r="K1291" i="2" s="1"/>
  <c r="I1292" i="2"/>
  <c r="K1292" i="2" s="1"/>
  <c r="I1293" i="2"/>
  <c r="K1293" i="2" s="1"/>
  <c r="I1294" i="2"/>
  <c r="K1294" i="2" s="1"/>
  <c r="I1295" i="2"/>
  <c r="K1295" i="2" s="1"/>
  <c r="I1296" i="2"/>
  <c r="K1296" i="2" s="1"/>
  <c r="I1297" i="2"/>
  <c r="I1202" i="2"/>
  <c r="K1202" i="2" s="1"/>
  <c r="I1203" i="2"/>
  <c r="K1203" i="2" s="1"/>
  <c r="I1204" i="2"/>
  <c r="K1204" i="2" s="1"/>
  <c r="I1205" i="2"/>
  <c r="K1205" i="2" s="1"/>
  <c r="I1206" i="2"/>
  <c r="K1206" i="2" s="1"/>
  <c r="I1207" i="2"/>
  <c r="K1207" i="2" s="1"/>
  <c r="I1208" i="2"/>
  <c r="K1208" i="2" s="1"/>
  <c r="I1209" i="2"/>
  <c r="K1209" i="2" s="1"/>
  <c r="I1210" i="2"/>
  <c r="K1210" i="2" s="1"/>
  <c r="I1211" i="2"/>
  <c r="K1211" i="2" s="1"/>
  <c r="I1212" i="2"/>
  <c r="K1212" i="2" s="1"/>
  <c r="I1213" i="2"/>
  <c r="K1213" i="2" s="1"/>
  <c r="I1214" i="2"/>
  <c r="K1214" i="2" s="1"/>
  <c r="I1215" i="2"/>
  <c r="K1215" i="2" s="1"/>
  <c r="I1216" i="2"/>
  <c r="K1216" i="2" s="1"/>
  <c r="I1217" i="2"/>
  <c r="I1186" i="2"/>
  <c r="J1186" i="2" s="1"/>
  <c r="I1187" i="2"/>
  <c r="K1187" i="2" s="1"/>
  <c r="I1188" i="2"/>
  <c r="K1188" i="2" s="1"/>
  <c r="I1189" i="2"/>
  <c r="K1189" i="2" s="1"/>
  <c r="I1190" i="2"/>
  <c r="K1190" i="2" s="1"/>
  <c r="I1191" i="2"/>
  <c r="K1191" i="2" s="1"/>
  <c r="I1192" i="2"/>
  <c r="K1192" i="2" s="1"/>
  <c r="I1193" i="2"/>
  <c r="K1193" i="2" s="1"/>
  <c r="I1194" i="2"/>
  <c r="K1194" i="2" s="1"/>
  <c r="I1195" i="2"/>
  <c r="K1195" i="2" s="1"/>
  <c r="I1196" i="2"/>
  <c r="K1196" i="2" s="1"/>
  <c r="I1197" i="2"/>
  <c r="K1197" i="2" s="1"/>
  <c r="I1198" i="2"/>
  <c r="K1198" i="2" s="1"/>
  <c r="I1199" i="2"/>
  <c r="K1199" i="2" s="1"/>
  <c r="I1200" i="2"/>
  <c r="K1200" i="2" s="1"/>
  <c r="I1201" i="2"/>
  <c r="I1154" i="2"/>
  <c r="K1154" i="2" s="1"/>
  <c r="I1155" i="2"/>
  <c r="K1155" i="2" s="1"/>
  <c r="I1156" i="2"/>
  <c r="K1156" i="2" s="1"/>
  <c r="I1157" i="2"/>
  <c r="K1157" i="2" s="1"/>
  <c r="I1158" i="2"/>
  <c r="K1158" i="2" s="1"/>
  <c r="I1159" i="2"/>
  <c r="K1159" i="2" s="1"/>
  <c r="I1160" i="2"/>
  <c r="K1160" i="2" s="1"/>
  <c r="I1161" i="2"/>
  <c r="K1161" i="2" s="1"/>
  <c r="I1162" i="2"/>
  <c r="K1162" i="2" s="1"/>
  <c r="I1163" i="2"/>
  <c r="K1163" i="2" s="1"/>
  <c r="I1164" i="2"/>
  <c r="K1164" i="2" s="1"/>
  <c r="I1165" i="2"/>
  <c r="K1165" i="2" s="1"/>
  <c r="I1166" i="2"/>
  <c r="K1166" i="2" s="1"/>
  <c r="I1167" i="2"/>
  <c r="K1167" i="2" s="1"/>
  <c r="I1168" i="2"/>
  <c r="K1168" i="2" s="1"/>
  <c r="I1169" i="2"/>
  <c r="I1153" i="2"/>
  <c r="I1152" i="2"/>
  <c r="I1151" i="2"/>
  <c r="I1150" i="2"/>
  <c r="I1149" i="2"/>
  <c r="I1148" i="2"/>
  <c r="I1147" i="2"/>
  <c r="K1147" i="2" s="1"/>
  <c r="I1146" i="2"/>
  <c r="K1146" i="2" s="1"/>
  <c r="I1145" i="2"/>
  <c r="K1145" i="2" s="1"/>
  <c r="I1144" i="2"/>
  <c r="K1144" i="2" s="1"/>
  <c r="I1143" i="2"/>
  <c r="K1143" i="2" s="1"/>
  <c r="I1142" i="2"/>
  <c r="K1142" i="2" s="1"/>
  <c r="I1141" i="2"/>
  <c r="K1141" i="2" s="1"/>
  <c r="I1140" i="2"/>
  <c r="K1140" i="2" s="1"/>
  <c r="I1139" i="2"/>
  <c r="K1139" i="2" s="1"/>
  <c r="I1138" i="2"/>
  <c r="K1138" i="2" s="1"/>
  <c r="I1121" i="2"/>
  <c r="I1120" i="2"/>
  <c r="K1120" i="2" s="1"/>
  <c r="I1119" i="2"/>
  <c r="K1119" i="2" s="1"/>
  <c r="I1118" i="2"/>
  <c r="K1118" i="2" s="1"/>
  <c r="I1117" i="2"/>
  <c r="K1117" i="2" s="1"/>
  <c r="I1116" i="2"/>
  <c r="K1116" i="2" s="1"/>
  <c r="I1115" i="2"/>
  <c r="K1115" i="2" s="1"/>
  <c r="I1114" i="2"/>
  <c r="K1114" i="2" s="1"/>
  <c r="I1113" i="2"/>
  <c r="K1113" i="2" s="1"/>
  <c r="I1112" i="2"/>
  <c r="K1112" i="2" s="1"/>
  <c r="I1111" i="2"/>
  <c r="K1111" i="2" s="1"/>
  <c r="I1110" i="2"/>
  <c r="K1110" i="2" s="1"/>
  <c r="I1109" i="2"/>
  <c r="K1109" i="2" s="1"/>
  <c r="I1108" i="2"/>
  <c r="K1108" i="2" s="1"/>
  <c r="I1107" i="2"/>
  <c r="K1107" i="2" s="1"/>
  <c r="I1106" i="2"/>
  <c r="J1106" i="2" s="1"/>
  <c r="I1076" i="2"/>
  <c r="K1076" i="2" s="1"/>
  <c r="I1077" i="2"/>
  <c r="K1077" i="2" s="1"/>
  <c r="I1078" i="2"/>
  <c r="K1078" i="2" s="1"/>
  <c r="I1079" i="2"/>
  <c r="K1079" i="2" s="1"/>
  <c r="I1080" i="2"/>
  <c r="K1080" i="2" s="1"/>
  <c r="I1081" i="2"/>
  <c r="K1081" i="2" s="1"/>
  <c r="I1082" i="2"/>
  <c r="K1082" i="2" s="1"/>
  <c r="I1083" i="2"/>
  <c r="K1083" i="2" s="1"/>
  <c r="I1084" i="2"/>
  <c r="K1084" i="2" s="1"/>
  <c r="I1085" i="2"/>
  <c r="K1085" i="2" s="1"/>
  <c r="I1086" i="2"/>
  <c r="K1086" i="2" s="1"/>
  <c r="I1087" i="2"/>
  <c r="K1087" i="2" s="1"/>
  <c r="I1088" i="2"/>
  <c r="K1088" i="2" s="1"/>
  <c r="I1089" i="2"/>
  <c r="I1090" i="2"/>
  <c r="J1090" i="2" s="1"/>
  <c r="I1091" i="2"/>
  <c r="K1091" i="2" s="1"/>
  <c r="I1092" i="2"/>
  <c r="K1092" i="2" s="1"/>
  <c r="I1093" i="2"/>
  <c r="K1093" i="2" s="1"/>
  <c r="I1094" i="2"/>
  <c r="K1094" i="2" s="1"/>
  <c r="I1095" i="2"/>
  <c r="K1095" i="2" s="1"/>
  <c r="I1096" i="2"/>
  <c r="K1096" i="2" s="1"/>
  <c r="I1097" i="2"/>
  <c r="K1097" i="2" s="1"/>
  <c r="I1098" i="2"/>
  <c r="K1098" i="2" s="1"/>
  <c r="I1099" i="2"/>
  <c r="K1099" i="2" s="1"/>
  <c r="I1100" i="2"/>
  <c r="K1100" i="2" s="1"/>
  <c r="I1101" i="2"/>
  <c r="K1101" i="2" s="1"/>
  <c r="I1102" i="2"/>
  <c r="I1103" i="2"/>
  <c r="I1104" i="2"/>
  <c r="I1105" i="2"/>
  <c r="I1074" i="2"/>
  <c r="J1074" i="2" s="1"/>
  <c r="I1075" i="2"/>
  <c r="K1075" i="2" s="1"/>
  <c r="I1170" i="2"/>
  <c r="K1170" i="2" s="1"/>
  <c r="I1171" i="2"/>
  <c r="K1171" i="2" s="1"/>
  <c r="I1172" i="2"/>
  <c r="K1172" i="2" s="1"/>
  <c r="I1173" i="2"/>
  <c r="K1173" i="2" s="1"/>
  <c r="I1174" i="2"/>
  <c r="K1174" i="2" s="1"/>
  <c r="I1175" i="2"/>
  <c r="K1175" i="2" s="1"/>
  <c r="I1176" i="2"/>
  <c r="K1176" i="2" s="1"/>
  <c r="I1177" i="2"/>
  <c r="K1177" i="2" s="1"/>
  <c r="I1178" i="2"/>
  <c r="K1178" i="2" s="1"/>
  <c r="I1179" i="2"/>
  <c r="K1179" i="2" s="1"/>
  <c r="I1180" i="2"/>
  <c r="K1180" i="2" s="1"/>
  <c r="I1181" i="2"/>
  <c r="K1181" i="2" s="1"/>
  <c r="I1182" i="2"/>
  <c r="K1182" i="2" s="1"/>
  <c r="I1183" i="2"/>
  <c r="K1183" i="2" s="1"/>
  <c r="I1184" i="2"/>
  <c r="K1184" i="2" s="1"/>
  <c r="I1185" i="2"/>
  <c r="I1122" i="2"/>
  <c r="K1122" i="2" s="1"/>
  <c r="I1123" i="2"/>
  <c r="K1123" i="2" s="1"/>
  <c r="I1124" i="2"/>
  <c r="K1124" i="2" s="1"/>
  <c r="I1125" i="2"/>
  <c r="K1125" i="2" s="1"/>
  <c r="I1126" i="2"/>
  <c r="K1126" i="2" s="1"/>
  <c r="I1127" i="2"/>
  <c r="K1127" i="2" s="1"/>
  <c r="I1128" i="2"/>
  <c r="K1128" i="2" s="1"/>
  <c r="I1129" i="2"/>
  <c r="K1129" i="2" s="1"/>
  <c r="I1130" i="2"/>
  <c r="K1130" i="2" s="1"/>
  <c r="I1131" i="2"/>
  <c r="I1132" i="2"/>
  <c r="I1133" i="2"/>
  <c r="I1134" i="2"/>
  <c r="I1135" i="2"/>
  <c r="I1136" i="2"/>
  <c r="I1137" i="2"/>
  <c r="I1058" i="2"/>
  <c r="K1058" i="2" s="1"/>
  <c r="I1059" i="2"/>
  <c r="K1059" i="2" s="1"/>
  <c r="I1060" i="2"/>
  <c r="K1060" i="2" s="1"/>
  <c r="I1061" i="2"/>
  <c r="K1061" i="2" s="1"/>
  <c r="I1062" i="2"/>
  <c r="K1062" i="2" s="1"/>
  <c r="I1063" i="2"/>
  <c r="K1063" i="2" s="1"/>
  <c r="I1064" i="2"/>
  <c r="K1064" i="2" s="1"/>
  <c r="I1065" i="2"/>
  <c r="K1065" i="2" s="1"/>
  <c r="I1066" i="2"/>
  <c r="K1066" i="2" s="1"/>
  <c r="I1067" i="2"/>
  <c r="K1067" i="2" s="1"/>
  <c r="I1068" i="2"/>
  <c r="I1069" i="2"/>
  <c r="I1070" i="2"/>
  <c r="I1071" i="2"/>
  <c r="I1072" i="2"/>
  <c r="I1073" i="2"/>
  <c r="I1042" i="2"/>
  <c r="K1042" i="2" s="1"/>
  <c r="I1043" i="2"/>
  <c r="K1043" i="2" s="1"/>
  <c r="I1044" i="2"/>
  <c r="K1044" i="2" s="1"/>
  <c r="I1045" i="2"/>
  <c r="K1045" i="2" s="1"/>
  <c r="I1046" i="2"/>
  <c r="K1046" i="2" s="1"/>
  <c r="I1047" i="2"/>
  <c r="K1047" i="2" s="1"/>
  <c r="I1048" i="2"/>
  <c r="K1048" i="2" s="1"/>
  <c r="I1049" i="2"/>
  <c r="K1049" i="2" s="1"/>
  <c r="I1050" i="2"/>
  <c r="K1050" i="2" s="1"/>
  <c r="I1051" i="2"/>
  <c r="K1051" i="2" s="1"/>
  <c r="I1052" i="2"/>
  <c r="K1052" i="2" s="1"/>
  <c r="I1053" i="2"/>
  <c r="K1053" i="2" s="1"/>
  <c r="I1054" i="2"/>
  <c r="K1054" i="2" s="1"/>
  <c r="I1055" i="2"/>
  <c r="K1055" i="2" s="1"/>
  <c r="I1056" i="2"/>
  <c r="K1056" i="2" s="1"/>
  <c r="I1057" i="2"/>
  <c r="J1267" i="2" l="1"/>
  <c r="J1268" i="2" s="1"/>
  <c r="J1269" i="2" s="1"/>
  <c r="J1270" i="2" s="1"/>
  <c r="J1271" i="2" s="1"/>
  <c r="J1272" i="2" s="1"/>
  <c r="J1273" i="2" s="1"/>
  <c r="J1274" i="2" s="1"/>
  <c r="J1275" i="2" s="1"/>
  <c r="J1276" i="2" s="1"/>
  <c r="J1277" i="2" s="1"/>
  <c r="J1278" i="2" s="1"/>
  <c r="J1279" i="2" s="1"/>
  <c r="J1280" i="2" s="1"/>
  <c r="J1281" i="2" s="1"/>
  <c r="D81" i="4" s="1"/>
  <c r="J1507" i="2"/>
  <c r="J1508" i="2" s="1"/>
  <c r="J1509" i="2" s="1"/>
  <c r="J1510" i="2" s="1"/>
  <c r="J1511" i="2" s="1"/>
  <c r="J1512" i="2" s="1"/>
  <c r="J1513" i="2" s="1"/>
  <c r="J1514" i="2" s="1"/>
  <c r="J1515" i="2" s="1"/>
  <c r="J1516" i="2" s="1"/>
  <c r="J1517" i="2" s="1"/>
  <c r="J1518" i="2" s="1"/>
  <c r="J1519" i="2" s="1"/>
  <c r="J1520" i="2" s="1"/>
  <c r="J1521" i="2" s="1"/>
  <c r="D96" i="4" s="1"/>
  <c r="K1506" i="2"/>
  <c r="K1266" i="2"/>
  <c r="J1250" i="2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J1265" i="2" s="1"/>
  <c r="D80" i="4" s="1"/>
  <c r="J1395" i="2"/>
  <c r="J1396" i="2" s="1"/>
  <c r="J1397" i="2" s="1"/>
  <c r="J1398" i="2" s="1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D89" i="4" s="1"/>
  <c r="J1459" i="2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1481" i="2" s="1"/>
  <c r="J1482" i="2" s="1"/>
  <c r="J1483" i="2" s="1"/>
  <c r="J1484" i="2" s="1"/>
  <c r="J1485" i="2" s="1"/>
  <c r="J1486" i="2" s="1"/>
  <c r="J1487" i="2" s="1"/>
  <c r="J1488" i="2" s="1"/>
  <c r="J1489" i="2" s="1"/>
  <c r="D94" i="4" s="1"/>
  <c r="J1330" i="2"/>
  <c r="J1331" i="2" s="1"/>
  <c r="J1332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D85" i="4" s="1"/>
  <c r="J1347" i="2"/>
  <c r="J1348" i="2" s="1"/>
  <c r="J1349" i="2" s="1"/>
  <c r="J1350" i="2" s="1"/>
  <c r="J1351" i="2" s="1"/>
  <c r="J1352" i="2" s="1"/>
  <c r="J1353" i="2" s="1"/>
  <c r="J1354" i="2" s="1"/>
  <c r="J1355" i="2" s="1"/>
  <c r="J1356" i="2" s="1"/>
  <c r="J1357" i="2" s="1"/>
  <c r="J1358" i="2" s="1"/>
  <c r="J1359" i="2" s="1"/>
  <c r="J1360" i="2" s="1"/>
  <c r="J1361" i="2" s="1"/>
  <c r="D86" i="4" s="1"/>
  <c r="K1458" i="2"/>
  <c r="J1299" i="2"/>
  <c r="J1300" i="2" s="1"/>
  <c r="J1301" i="2" s="1"/>
  <c r="J1302" i="2" s="1"/>
  <c r="J1303" i="2" s="1"/>
  <c r="J1304" i="2" s="1"/>
  <c r="J1305" i="2" s="1"/>
  <c r="J1306" i="2" s="1"/>
  <c r="J1307" i="2" s="1"/>
  <c r="J1308" i="2" s="1"/>
  <c r="J1309" i="2" s="1"/>
  <c r="J1310" i="2" s="1"/>
  <c r="J1311" i="2" s="1"/>
  <c r="J1312" i="2" s="1"/>
  <c r="J1313" i="2" s="1"/>
  <c r="D83" i="4" s="1"/>
  <c r="J1490" i="2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D95" i="4" s="1"/>
  <c r="J1283" i="2"/>
  <c r="J1284" i="2" s="1"/>
  <c r="J1285" i="2" s="1"/>
  <c r="J1286" i="2" s="1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D82" i="4" s="1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J1436" i="2" s="1"/>
  <c r="J1437" i="2" s="1"/>
  <c r="J1438" i="2" s="1"/>
  <c r="J1439" i="2" s="1"/>
  <c r="J1440" i="2" s="1"/>
  <c r="J1441" i="2" s="1"/>
  <c r="D91" i="4" s="1"/>
  <c r="K1394" i="2"/>
  <c r="J1442" i="2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J1457" i="2" s="1"/>
  <c r="D92" i="4" s="1"/>
  <c r="J1378" i="2"/>
  <c r="J1379" i="2" s="1"/>
  <c r="J1380" i="2" s="1"/>
  <c r="J1381" i="2" s="1"/>
  <c r="J1382" i="2" s="1"/>
  <c r="J1383" i="2" s="1"/>
  <c r="J1384" i="2" s="1"/>
  <c r="J1385" i="2" s="1"/>
  <c r="J1386" i="2" s="1"/>
  <c r="J1387" i="2" s="1"/>
  <c r="J1388" i="2" s="1"/>
  <c r="J1389" i="2" s="1"/>
  <c r="J1390" i="2" s="1"/>
  <c r="J1391" i="2" s="1"/>
  <c r="J1392" i="2" s="1"/>
  <c r="J1393" i="2" s="1"/>
  <c r="D88" i="4" s="1"/>
  <c r="J1107" i="2"/>
  <c r="J1108" i="2" s="1"/>
  <c r="J1109" i="2" s="1"/>
  <c r="J1110" i="2" s="1"/>
  <c r="J1111" i="2" s="1"/>
  <c r="J1112" i="2" s="1"/>
  <c r="J1113" i="2" s="1"/>
  <c r="J1114" i="2" s="1"/>
  <c r="J1115" i="2" s="1"/>
  <c r="J1116" i="2" s="1"/>
  <c r="J1117" i="2" s="1"/>
  <c r="J1118" i="2" s="1"/>
  <c r="J1119" i="2" s="1"/>
  <c r="J1120" i="2" s="1"/>
  <c r="J1121" i="2" s="1"/>
  <c r="D71" i="4" s="1"/>
  <c r="J1362" i="2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J1373" i="2" s="1"/>
  <c r="J1374" i="2" s="1"/>
  <c r="J1375" i="2" s="1"/>
  <c r="J1376" i="2" s="1"/>
  <c r="J1377" i="2" s="1"/>
  <c r="D87" i="4" s="1"/>
  <c r="J1235" i="2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D79" i="4" s="1"/>
  <c r="K1346" i="2"/>
  <c r="J1187" i="2"/>
  <c r="J1188" i="2" s="1"/>
  <c r="J1189" i="2" s="1"/>
  <c r="J1190" i="2" s="1"/>
  <c r="J1191" i="2" s="1"/>
  <c r="J1192" i="2" s="1"/>
  <c r="J1193" i="2" s="1"/>
  <c r="J1194" i="2" s="1"/>
  <c r="J1195" i="2" s="1"/>
  <c r="J1196" i="2" s="1"/>
  <c r="J1197" i="2" s="1"/>
  <c r="J1198" i="2" s="1"/>
  <c r="J1199" i="2" s="1"/>
  <c r="J1200" i="2" s="1"/>
  <c r="J1201" i="2" s="1"/>
  <c r="D76" i="4" s="1"/>
  <c r="K1298" i="2"/>
  <c r="K1282" i="2"/>
  <c r="J1218" i="2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D78" i="4" s="1"/>
  <c r="K1234" i="2"/>
  <c r="J1202" i="2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D77" i="4" s="1"/>
  <c r="J1154" i="2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J1165" i="2" s="1"/>
  <c r="J1166" i="2" s="1"/>
  <c r="J1167" i="2" s="1"/>
  <c r="J1168" i="2" s="1"/>
  <c r="J1169" i="2" s="1"/>
  <c r="D74" i="4" s="1"/>
  <c r="K1186" i="2"/>
  <c r="J1138" i="2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D73" i="4" s="1"/>
  <c r="K1106" i="2"/>
  <c r="J1075" i="2"/>
  <c r="J1076" i="2" s="1"/>
  <c r="J1077" i="2" s="1"/>
  <c r="J1078" i="2" s="1"/>
  <c r="J1079" i="2" s="1"/>
  <c r="J1080" i="2" s="1"/>
  <c r="J1081" i="2" s="1"/>
  <c r="J1082" i="2" s="1"/>
  <c r="J1083" i="2" s="1"/>
  <c r="J1084" i="2" s="1"/>
  <c r="J1085" i="2" s="1"/>
  <c r="J1086" i="2" s="1"/>
  <c r="J1087" i="2" s="1"/>
  <c r="J1088" i="2" s="1"/>
  <c r="J1089" i="2" s="1"/>
  <c r="D69" i="4" s="1"/>
  <c r="K1074" i="2"/>
  <c r="J1091" i="2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D70" i="4" s="1"/>
  <c r="K1090" i="2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1055" i="2" s="1"/>
  <c r="J1056" i="2" s="1"/>
  <c r="J1057" i="2" s="1"/>
  <c r="D67" i="4" s="1"/>
  <c r="J1058" i="2"/>
  <c r="J1059" i="2" s="1"/>
  <c r="J1060" i="2" s="1"/>
  <c r="J1061" i="2" s="1"/>
  <c r="J1062" i="2" s="1"/>
  <c r="J1063" i="2" s="1"/>
  <c r="J1064" i="2" s="1"/>
  <c r="J1065" i="2" s="1"/>
  <c r="J1066" i="2" s="1"/>
  <c r="J1067" i="2" s="1"/>
  <c r="J1068" i="2" s="1"/>
  <c r="J1069" i="2" s="1"/>
  <c r="J1070" i="2" s="1"/>
  <c r="J1071" i="2" s="1"/>
  <c r="J1072" i="2" s="1"/>
  <c r="J1073" i="2" s="1"/>
  <c r="D68" i="4" s="1"/>
  <c r="J1170" i="2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D75" i="4" s="1"/>
  <c r="J1122" i="2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D72" i="4" s="1"/>
  <c r="D93" i="4" l="1"/>
  <c r="I1026" i="2"/>
  <c r="K1026" i="2" s="1"/>
  <c r="I1027" i="2"/>
  <c r="K1027" i="2" s="1"/>
  <c r="I1028" i="2"/>
  <c r="K1028" i="2" s="1"/>
  <c r="I1029" i="2"/>
  <c r="K1029" i="2" s="1"/>
  <c r="I1030" i="2"/>
  <c r="K1030" i="2" s="1"/>
  <c r="I1031" i="2"/>
  <c r="K1031" i="2" s="1"/>
  <c r="I1032" i="2"/>
  <c r="K1032" i="2" s="1"/>
  <c r="I1033" i="2"/>
  <c r="K1033" i="2" s="1"/>
  <c r="I1034" i="2"/>
  <c r="K1034" i="2" s="1"/>
  <c r="I1035" i="2"/>
  <c r="K1035" i="2" s="1"/>
  <c r="I1036" i="2"/>
  <c r="K1036" i="2" s="1"/>
  <c r="I1037" i="2"/>
  <c r="K1037" i="2" s="1"/>
  <c r="I1038" i="2"/>
  <c r="K1038" i="2" s="1"/>
  <c r="I1039" i="2"/>
  <c r="K1039" i="2" s="1"/>
  <c r="I1040" i="2"/>
  <c r="K1040" i="2" s="1"/>
  <c r="I1041" i="2"/>
  <c r="I1010" i="2"/>
  <c r="K1010" i="2" s="1"/>
  <c r="I1011" i="2"/>
  <c r="K1011" i="2" s="1"/>
  <c r="I1012" i="2"/>
  <c r="K1012" i="2" s="1"/>
  <c r="I1013" i="2"/>
  <c r="K1013" i="2" s="1"/>
  <c r="I1014" i="2"/>
  <c r="K1014" i="2" s="1"/>
  <c r="I1015" i="2"/>
  <c r="K1015" i="2" s="1"/>
  <c r="I1016" i="2"/>
  <c r="K1016" i="2" s="1"/>
  <c r="I1017" i="2"/>
  <c r="K1017" i="2" s="1"/>
  <c r="I1018" i="2"/>
  <c r="K1018" i="2" s="1"/>
  <c r="I1019" i="2"/>
  <c r="K1019" i="2" s="1"/>
  <c r="I1020" i="2"/>
  <c r="K1020" i="2" s="1"/>
  <c r="I1021" i="2"/>
  <c r="K1021" i="2" s="1"/>
  <c r="I1022" i="2"/>
  <c r="K1022" i="2" s="1"/>
  <c r="I1023" i="2"/>
  <c r="K1023" i="2" s="1"/>
  <c r="I1024" i="2"/>
  <c r="K1024" i="2" s="1"/>
  <c r="I1025" i="2"/>
  <c r="I994" i="2"/>
  <c r="K994" i="2" s="1"/>
  <c r="I995" i="2"/>
  <c r="K995" i="2" s="1"/>
  <c r="I996" i="2"/>
  <c r="K996" i="2" s="1"/>
  <c r="I997" i="2"/>
  <c r="K997" i="2" s="1"/>
  <c r="I998" i="2"/>
  <c r="K998" i="2" s="1"/>
  <c r="I999" i="2"/>
  <c r="K999" i="2" s="1"/>
  <c r="I1000" i="2"/>
  <c r="K1000" i="2" s="1"/>
  <c r="I1001" i="2"/>
  <c r="K1001" i="2" s="1"/>
  <c r="I1002" i="2"/>
  <c r="K1002" i="2" s="1"/>
  <c r="I1003" i="2"/>
  <c r="K1003" i="2" s="1"/>
  <c r="I1004" i="2"/>
  <c r="K1004" i="2" s="1"/>
  <c r="I1005" i="2"/>
  <c r="K1005" i="2" s="1"/>
  <c r="I1006" i="2"/>
  <c r="K1006" i="2" s="1"/>
  <c r="I1007" i="2"/>
  <c r="K1007" i="2" s="1"/>
  <c r="I1008" i="2"/>
  <c r="K1008" i="2" s="1"/>
  <c r="I1009" i="2"/>
  <c r="I978" i="2"/>
  <c r="K978" i="2" s="1"/>
  <c r="I979" i="2"/>
  <c r="K979" i="2" s="1"/>
  <c r="I980" i="2"/>
  <c r="K980" i="2" s="1"/>
  <c r="I981" i="2"/>
  <c r="K981" i="2" s="1"/>
  <c r="I982" i="2"/>
  <c r="K982" i="2" s="1"/>
  <c r="I983" i="2"/>
  <c r="K983" i="2" s="1"/>
  <c r="I984" i="2"/>
  <c r="K984" i="2" s="1"/>
  <c r="I985" i="2"/>
  <c r="K985" i="2" s="1"/>
  <c r="I986" i="2"/>
  <c r="K986" i="2" s="1"/>
  <c r="I987" i="2"/>
  <c r="K987" i="2" s="1"/>
  <c r="I988" i="2"/>
  <c r="K988" i="2" s="1"/>
  <c r="I989" i="2"/>
  <c r="K989" i="2" s="1"/>
  <c r="I990" i="2"/>
  <c r="K990" i="2" s="1"/>
  <c r="I991" i="2"/>
  <c r="K991" i="2" s="1"/>
  <c r="I992" i="2"/>
  <c r="K992" i="2" s="1"/>
  <c r="I993" i="2"/>
  <c r="I962" i="2"/>
  <c r="K962" i="2" s="1"/>
  <c r="I963" i="2"/>
  <c r="K963" i="2" s="1"/>
  <c r="I964" i="2"/>
  <c r="K964" i="2" s="1"/>
  <c r="I965" i="2"/>
  <c r="K965" i="2" s="1"/>
  <c r="I966" i="2"/>
  <c r="K966" i="2" s="1"/>
  <c r="I967" i="2"/>
  <c r="K967" i="2" s="1"/>
  <c r="I968" i="2"/>
  <c r="K968" i="2" s="1"/>
  <c r="I969" i="2"/>
  <c r="K969" i="2" s="1"/>
  <c r="I970" i="2"/>
  <c r="K970" i="2" s="1"/>
  <c r="I971" i="2"/>
  <c r="K971" i="2" s="1"/>
  <c r="I972" i="2"/>
  <c r="K972" i="2" s="1"/>
  <c r="I973" i="2"/>
  <c r="K973" i="2" s="1"/>
  <c r="I974" i="2"/>
  <c r="K974" i="2" s="1"/>
  <c r="I975" i="2"/>
  <c r="K975" i="2" s="1"/>
  <c r="I976" i="2"/>
  <c r="K976" i="2" s="1"/>
  <c r="I977" i="2"/>
  <c r="I961" i="2"/>
  <c r="I946" i="2"/>
  <c r="K946" i="2" s="1"/>
  <c r="I947" i="2"/>
  <c r="K947" i="2" s="1"/>
  <c r="I948" i="2"/>
  <c r="K948" i="2" s="1"/>
  <c r="I949" i="2"/>
  <c r="K949" i="2" s="1"/>
  <c r="I950" i="2"/>
  <c r="K950" i="2" s="1"/>
  <c r="I951" i="2"/>
  <c r="K951" i="2" s="1"/>
  <c r="I952" i="2"/>
  <c r="K952" i="2" s="1"/>
  <c r="I953" i="2"/>
  <c r="K953" i="2" s="1"/>
  <c r="I954" i="2"/>
  <c r="K954" i="2" s="1"/>
  <c r="I955" i="2"/>
  <c r="K955" i="2" s="1"/>
  <c r="I956" i="2"/>
  <c r="I957" i="2"/>
  <c r="I958" i="2"/>
  <c r="I959" i="2"/>
  <c r="I960" i="2"/>
  <c r="I930" i="2"/>
  <c r="J930" i="2" s="1"/>
  <c r="I931" i="2"/>
  <c r="K931" i="2" s="1"/>
  <c r="I932" i="2"/>
  <c r="K932" i="2" s="1"/>
  <c r="I933" i="2"/>
  <c r="K933" i="2" s="1"/>
  <c r="I934" i="2"/>
  <c r="K934" i="2" s="1"/>
  <c r="I935" i="2"/>
  <c r="K935" i="2" s="1"/>
  <c r="I936" i="2"/>
  <c r="K936" i="2" s="1"/>
  <c r="I937" i="2"/>
  <c r="K937" i="2" s="1"/>
  <c r="I938" i="2"/>
  <c r="K938" i="2" s="1"/>
  <c r="I939" i="2"/>
  <c r="K939" i="2" s="1"/>
  <c r="I940" i="2"/>
  <c r="K940" i="2" s="1"/>
  <c r="I941" i="2"/>
  <c r="K941" i="2" s="1"/>
  <c r="I942" i="2"/>
  <c r="K942" i="2" s="1"/>
  <c r="I943" i="2"/>
  <c r="K943" i="2" s="1"/>
  <c r="I944" i="2"/>
  <c r="K944" i="2" s="1"/>
  <c r="I945" i="2"/>
  <c r="I914" i="2"/>
  <c r="J914" i="2" s="1"/>
  <c r="I915" i="2"/>
  <c r="K915" i="2" s="1"/>
  <c r="I916" i="2"/>
  <c r="K916" i="2" s="1"/>
  <c r="I917" i="2"/>
  <c r="K917" i="2" s="1"/>
  <c r="I918" i="2"/>
  <c r="K918" i="2" s="1"/>
  <c r="I919" i="2"/>
  <c r="K919" i="2" s="1"/>
  <c r="I920" i="2"/>
  <c r="K920" i="2" s="1"/>
  <c r="I921" i="2"/>
  <c r="K921" i="2" s="1"/>
  <c r="I922" i="2"/>
  <c r="K922" i="2" s="1"/>
  <c r="I923" i="2"/>
  <c r="K923" i="2" s="1"/>
  <c r="I924" i="2"/>
  <c r="K924" i="2" s="1"/>
  <c r="I925" i="2"/>
  <c r="K925" i="2" s="1"/>
  <c r="I926" i="2"/>
  <c r="K926" i="2" s="1"/>
  <c r="I927" i="2"/>
  <c r="K927" i="2" s="1"/>
  <c r="I928" i="2"/>
  <c r="K928" i="2" s="1"/>
  <c r="I929" i="2"/>
  <c r="I898" i="2"/>
  <c r="K898" i="2" s="1"/>
  <c r="I899" i="2"/>
  <c r="K899" i="2" s="1"/>
  <c r="I900" i="2"/>
  <c r="K900" i="2" s="1"/>
  <c r="I901" i="2"/>
  <c r="K901" i="2" s="1"/>
  <c r="I902" i="2"/>
  <c r="K902" i="2" s="1"/>
  <c r="I903" i="2"/>
  <c r="K903" i="2" s="1"/>
  <c r="I904" i="2"/>
  <c r="K904" i="2" s="1"/>
  <c r="I905" i="2"/>
  <c r="K905" i="2" s="1"/>
  <c r="I906" i="2"/>
  <c r="K906" i="2" s="1"/>
  <c r="I907" i="2"/>
  <c r="K907" i="2" s="1"/>
  <c r="I908" i="2"/>
  <c r="K908" i="2" s="1"/>
  <c r="I909" i="2"/>
  <c r="K909" i="2" s="1"/>
  <c r="I910" i="2"/>
  <c r="K910" i="2" s="1"/>
  <c r="I911" i="2"/>
  <c r="K911" i="2" s="1"/>
  <c r="I912" i="2"/>
  <c r="K912" i="2" s="1"/>
  <c r="I913" i="2"/>
  <c r="I882" i="2"/>
  <c r="K882" i="2" s="1"/>
  <c r="I883" i="2"/>
  <c r="K883" i="2" s="1"/>
  <c r="I884" i="2"/>
  <c r="K884" i="2" s="1"/>
  <c r="I885" i="2"/>
  <c r="K885" i="2" s="1"/>
  <c r="I886" i="2"/>
  <c r="K886" i="2" s="1"/>
  <c r="I887" i="2"/>
  <c r="K887" i="2" s="1"/>
  <c r="I888" i="2"/>
  <c r="K888" i="2" s="1"/>
  <c r="I889" i="2"/>
  <c r="K889" i="2" s="1"/>
  <c r="I890" i="2"/>
  <c r="I891" i="2"/>
  <c r="I892" i="2"/>
  <c r="I893" i="2"/>
  <c r="I894" i="2"/>
  <c r="I895" i="2"/>
  <c r="I896" i="2"/>
  <c r="I897" i="2"/>
  <c r="I866" i="2"/>
  <c r="K866" i="2" s="1"/>
  <c r="I867" i="2"/>
  <c r="K867" i="2" s="1"/>
  <c r="I868" i="2"/>
  <c r="K868" i="2" s="1"/>
  <c r="I869" i="2"/>
  <c r="K869" i="2" s="1"/>
  <c r="I870" i="2"/>
  <c r="K870" i="2" s="1"/>
  <c r="I871" i="2"/>
  <c r="K871" i="2" s="1"/>
  <c r="I872" i="2"/>
  <c r="K872" i="2" s="1"/>
  <c r="I873" i="2"/>
  <c r="K873" i="2" s="1"/>
  <c r="I874" i="2"/>
  <c r="K874" i="2" s="1"/>
  <c r="I875" i="2"/>
  <c r="K875" i="2" s="1"/>
  <c r="I876" i="2"/>
  <c r="K876" i="2" s="1"/>
  <c r="I877" i="2"/>
  <c r="K877" i="2" s="1"/>
  <c r="I878" i="2"/>
  <c r="K878" i="2" s="1"/>
  <c r="I879" i="2"/>
  <c r="K879" i="2" s="1"/>
  <c r="I880" i="2"/>
  <c r="K880" i="2" s="1"/>
  <c r="I881" i="2"/>
  <c r="I850" i="2"/>
  <c r="K850" i="2" s="1"/>
  <c r="I851" i="2"/>
  <c r="K851" i="2" s="1"/>
  <c r="I852" i="2"/>
  <c r="K852" i="2" s="1"/>
  <c r="I853" i="2"/>
  <c r="K853" i="2" s="1"/>
  <c r="I854" i="2"/>
  <c r="K854" i="2" s="1"/>
  <c r="I855" i="2"/>
  <c r="K855" i="2" s="1"/>
  <c r="I856" i="2"/>
  <c r="K856" i="2" s="1"/>
  <c r="I857" i="2"/>
  <c r="K857" i="2" s="1"/>
  <c r="I858" i="2"/>
  <c r="K858" i="2" s="1"/>
  <c r="I859" i="2"/>
  <c r="K859" i="2" s="1"/>
  <c r="I860" i="2"/>
  <c r="K860" i="2" s="1"/>
  <c r="I861" i="2"/>
  <c r="K861" i="2" s="1"/>
  <c r="I862" i="2"/>
  <c r="K862" i="2" s="1"/>
  <c r="I863" i="2"/>
  <c r="K863" i="2" s="1"/>
  <c r="I864" i="2"/>
  <c r="K864" i="2" s="1"/>
  <c r="I865" i="2"/>
  <c r="I834" i="2"/>
  <c r="J834" i="2" s="1"/>
  <c r="I835" i="2"/>
  <c r="K835" i="2" s="1"/>
  <c r="I836" i="2"/>
  <c r="K836" i="2" s="1"/>
  <c r="I837" i="2"/>
  <c r="K837" i="2" s="1"/>
  <c r="I838" i="2"/>
  <c r="K838" i="2" s="1"/>
  <c r="I839" i="2"/>
  <c r="K839" i="2" s="1"/>
  <c r="I840" i="2"/>
  <c r="K840" i="2" s="1"/>
  <c r="I841" i="2"/>
  <c r="K841" i="2" s="1"/>
  <c r="I842" i="2"/>
  <c r="K842" i="2" s="1"/>
  <c r="I843" i="2"/>
  <c r="K843" i="2" s="1"/>
  <c r="I844" i="2"/>
  <c r="K844" i="2" s="1"/>
  <c r="I845" i="2"/>
  <c r="K845" i="2" s="1"/>
  <c r="I846" i="2"/>
  <c r="K846" i="2" s="1"/>
  <c r="I847" i="2"/>
  <c r="K847" i="2" s="1"/>
  <c r="I848" i="2"/>
  <c r="K848" i="2" s="1"/>
  <c r="I849" i="2"/>
  <c r="I818" i="2"/>
  <c r="K818" i="2" s="1"/>
  <c r="I819" i="2"/>
  <c r="K819" i="2" s="1"/>
  <c r="I820" i="2"/>
  <c r="K820" i="2" s="1"/>
  <c r="I821" i="2"/>
  <c r="K821" i="2" s="1"/>
  <c r="I822" i="2"/>
  <c r="K822" i="2" s="1"/>
  <c r="I823" i="2"/>
  <c r="K823" i="2" s="1"/>
  <c r="I824" i="2"/>
  <c r="K824" i="2" s="1"/>
  <c r="I825" i="2"/>
  <c r="K825" i="2" s="1"/>
  <c r="I826" i="2"/>
  <c r="K826" i="2" s="1"/>
  <c r="I827" i="2"/>
  <c r="K827" i="2" s="1"/>
  <c r="I828" i="2"/>
  <c r="K828" i="2" s="1"/>
  <c r="I829" i="2"/>
  <c r="K829" i="2" s="1"/>
  <c r="I830" i="2"/>
  <c r="K830" i="2" s="1"/>
  <c r="I831" i="2"/>
  <c r="K831" i="2" s="1"/>
  <c r="I832" i="2"/>
  <c r="K832" i="2" s="1"/>
  <c r="I833" i="2"/>
  <c r="I802" i="2"/>
  <c r="J802" i="2" s="1"/>
  <c r="I803" i="2"/>
  <c r="I804" i="2"/>
  <c r="K804" i="2" s="1"/>
  <c r="I805" i="2"/>
  <c r="K805" i="2" s="1"/>
  <c r="I806" i="2"/>
  <c r="K806" i="2" s="1"/>
  <c r="I807" i="2"/>
  <c r="K807" i="2" s="1"/>
  <c r="I808" i="2"/>
  <c r="K808" i="2" s="1"/>
  <c r="I809" i="2"/>
  <c r="K809" i="2" s="1"/>
  <c r="I810" i="2"/>
  <c r="K810" i="2" s="1"/>
  <c r="I811" i="2"/>
  <c r="K811" i="2" s="1"/>
  <c r="I812" i="2"/>
  <c r="K812" i="2" s="1"/>
  <c r="I813" i="2"/>
  <c r="K813" i="2" s="1"/>
  <c r="I814" i="2"/>
  <c r="K814" i="2" s="1"/>
  <c r="I815" i="2"/>
  <c r="K815" i="2" s="1"/>
  <c r="I816" i="2"/>
  <c r="K816" i="2" s="1"/>
  <c r="I817" i="2"/>
  <c r="I786" i="2"/>
  <c r="K786" i="2" s="1"/>
  <c r="I787" i="2"/>
  <c r="K787" i="2" s="1"/>
  <c r="I788" i="2"/>
  <c r="K788" i="2" s="1"/>
  <c r="I789" i="2"/>
  <c r="K789" i="2" s="1"/>
  <c r="I790" i="2"/>
  <c r="K790" i="2" s="1"/>
  <c r="I791" i="2"/>
  <c r="K791" i="2" s="1"/>
  <c r="I792" i="2"/>
  <c r="K792" i="2" s="1"/>
  <c r="I793" i="2"/>
  <c r="K793" i="2" s="1"/>
  <c r="I794" i="2"/>
  <c r="K794" i="2" s="1"/>
  <c r="I795" i="2"/>
  <c r="K795" i="2" s="1"/>
  <c r="I796" i="2"/>
  <c r="K796" i="2" s="1"/>
  <c r="I797" i="2"/>
  <c r="K797" i="2" s="1"/>
  <c r="I798" i="2"/>
  <c r="K798" i="2" s="1"/>
  <c r="I799" i="2"/>
  <c r="K799" i="2" s="1"/>
  <c r="I800" i="2"/>
  <c r="K800" i="2" s="1"/>
  <c r="I801" i="2"/>
  <c r="I770" i="2"/>
  <c r="K770" i="2" s="1"/>
  <c r="I771" i="2"/>
  <c r="I772" i="2"/>
  <c r="K772" i="2" s="1"/>
  <c r="I773" i="2"/>
  <c r="K773" i="2" s="1"/>
  <c r="I774" i="2"/>
  <c r="K774" i="2" s="1"/>
  <c r="I775" i="2"/>
  <c r="K775" i="2" s="1"/>
  <c r="I776" i="2"/>
  <c r="K776" i="2" s="1"/>
  <c r="I777" i="2"/>
  <c r="K777" i="2" s="1"/>
  <c r="I778" i="2"/>
  <c r="K778" i="2" s="1"/>
  <c r="I779" i="2"/>
  <c r="K779" i="2" s="1"/>
  <c r="I780" i="2"/>
  <c r="K780" i="2" s="1"/>
  <c r="I781" i="2"/>
  <c r="K781" i="2" s="1"/>
  <c r="I782" i="2"/>
  <c r="K782" i="2" s="1"/>
  <c r="I783" i="2"/>
  <c r="K783" i="2" s="1"/>
  <c r="I784" i="2"/>
  <c r="K784" i="2" s="1"/>
  <c r="I785" i="2"/>
  <c r="I754" i="2"/>
  <c r="J754" i="2" s="1"/>
  <c r="I755" i="2"/>
  <c r="K755" i="2" s="1"/>
  <c r="I756" i="2"/>
  <c r="K756" i="2" s="1"/>
  <c r="I757" i="2"/>
  <c r="K757" i="2" s="1"/>
  <c r="I758" i="2"/>
  <c r="K758" i="2" s="1"/>
  <c r="I759" i="2"/>
  <c r="K759" i="2" s="1"/>
  <c r="I760" i="2"/>
  <c r="K760" i="2" s="1"/>
  <c r="I761" i="2"/>
  <c r="K761" i="2" s="1"/>
  <c r="I762" i="2"/>
  <c r="K762" i="2" s="1"/>
  <c r="I763" i="2"/>
  <c r="K763" i="2" s="1"/>
  <c r="I764" i="2"/>
  <c r="K764" i="2" s="1"/>
  <c r="I765" i="2"/>
  <c r="K765" i="2" s="1"/>
  <c r="I766" i="2"/>
  <c r="K766" i="2" s="1"/>
  <c r="I767" i="2"/>
  <c r="K767" i="2" s="1"/>
  <c r="I768" i="2"/>
  <c r="K768" i="2" s="1"/>
  <c r="I769" i="2"/>
  <c r="I738" i="2"/>
  <c r="K738" i="2" s="1"/>
  <c r="I739" i="2"/>
  <c r="K739" i="2" s="1"/>
  <c r="I740" i="2"/>
  <c r="K740" i="2" s="1"/>
  <c r="I741" i="2"/>
  <c r="K741" i="2" s="1"/>
  <c r="I742" i="2"/>
  <c r="K742" i="2" s="1"/>
  <c r="I743" i="2"/>
  <c r="K743" i="2" s="1"/>
  <c r="I744" i="2"/>
  <c r="K744" i="2" s="1"/>
  <c r="I745" i="2"/>
  <c r="K745" i="2" s="1"/>
  <c r="I746" i="2"/>
  <c r="K746" i="2" s="1"/>
  <c r="I747" i="2"/>
  <c r="K747" i="2" s="1"/>
  <c r="I748" i="2"/>
  <c r="K748" i="2" s="1"/>
  <c r="I749" i="2"/>
  <c r="K749" i="2" s="1"/>
  <c r="I750" i="2"/>
  <c r="K750" i="2" s="1"/>
  <c r="I751" i="2"/>
  <c r="K751" i="2" s="1"/>
  <c r="I752" i="2"/>
  <c r="K752" i="2" s="1"/>
  <c r="I753" i="2"/>
  <c r="I722" i="2"/>
  <c r="K722" i="2" s="1"/>
  <c r="I723" i="2"/>
  <c r="K723" i="2" s="1"/>
  <c r="I724" i="2"/>
  <c r="K724" i="2" s="1"/>
  <c r="I725" i="2"/>
  <c r="K725" i="2" s="1"/>
  <c r="I726" i="2"/>
  <c r="K726" i="2" s="1"/>
  <c r="I727" i="2"/>
  <c r="K727" i="2" s="1"/>
  <c r="I728" i="2"/>
  <c r="K728" i="2" s="1"/>
  <c r="I729" i="2"/>
  <c r="K729" i="2" s="1"/>
  <c r="I730" i="2"/>
  <c r="K730" i="2" s="1"/>
  <c r="I731" i="2"/>
  <c r="K731" i="2" s="1"/>
  <c r="I732" i="2"/>
  <c r="K732" i="2" s="1"/>
  <c r="I733" i="2"/>
  <c r="K733" i="2" s="1"/>
  <c r="I734" i="2"/>
  <c r="K734" i="2" s="1"/>
  <c r="I735" i="2"/>
  <c r="K735" i="2" s="1"/>
  <c r="I736" i="2"/>
  <c r="K736" i="2" s="1"/>
  <c r="I737" i="2"/>
  <c r="I708" i="2"/>
  <c r="K708" i="2" s="1"/>
  <c r="I709" i="2"/>
  <c r="K709" i="2" s="1"/>
  <c r="I710" i="2"/>
  <c r="K710" i="2" s="1"/>
  <c r="I711" i="2"/>
  <c r="K711" i="2" s="1"/>
  <c r="I712" i="2"/>
  <c r="K712" i="2" s="1"/>
  <c r="I713" i="2"/>
  <c r="K713" i="2" s="1"/>
  <c r="I714" i="2"/>
  <c r="K714" i="2" s="1"/>
  <c r="I715" i="2"/>
  <c r="K715" i="2" s="1"/>
  <c r="I716" i="2"/>
  <c r="K716" i="2" s="1"/>
  <c r="I717" i="2"/>
  <c r="K717" i="2" s="1"/>
  <c r="I718" i="2"/>
  <c r="K718" i="2" s="1"/>
  <c r="I719" i="2"/>
  <c r="K719" i="2" s="1"/>
  <c r="I720" i="2"/>
  <c r="K720" i="2" s="1"/>
  <c r="I721" i="2"/>
  <c r="I706" i="2"/>
  <c r="K706" i="2" s="1"/>
  <c r="I707" i="2"/>
  <c r="K707" i="2" s="1"/>
  <c r="I690" i="2"/>
  <c r="K690" i="2" s="1"/>
  <c r="I691" i="2"/>
  <c r="K691" i="2" s="1"/>
  <c r="I692" i="2"/>
  <c r="K692" i="2" s="1"/>
  <c r="I693" i="2"/>
  <c r="K693" i="2" s="1"/>
  <c r="I694" i="2"/>
  <c r="K694" i="2" s="1"/>
  <c r="I695" i="2"/>
  <c r="K695" i="2" s="1"/>
  <c r="I696" i="2"/>
  <c r="K696" i="2" s="1"/>
  <c r="I697" i="2"/>
  <c r="K697" i="2" s="1"/>
  <c r="I698" i="2"/>
  <c r="K698" i="2" s="1"/>
  <c r="I699" i="2"/>
  <c r="K699" i="2" s="1"/>
  <c r="I700" i="2"/>
  <c r="K700" i="2" s="1"/>
  <c r="I701" i="2"/>
  <c r="K701" i="2" s="1"/>
  <c r="I702" i="2"/>
  <c r="K702" i="2" s="1"/>
  <c r="I703" i="2"/>
  <c r="K703" i="2" s="1"/>
  <c r="I704" i="2"/>
  <c r="K704" i="2" s="1"/>
  <c r="I705" i="2"/>
  <c r="I673" i="2"/>
  <c r="I674" i="2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J684" i="2" s="1"/>
  <c r="J685" i="2" s="1"/>
  <c r="J686" i="2" s="1"/>
  <c r="J687" i="2" s="1"/>
  <c r="J688" i="2" s="1"/>
  <c r="J689" i="2" s="1"/>
  <c r="D44" i="4" s="1"/>
  <c r="I675" i="2"/>
  <c r="K675" i="2" s="1"/>
  <c r="I676" i="2"/>
  <c r="K676" i="2" s="1"/>
  <c r="I677" i="2"/>
  <c r="K677" i="2" s="1"/>
  <c r="I678" i="2"/>
  <c r="K678" i="2" s="1"/>
  <c r="I679" i="2"/>
  <c r="K679" i="2" s="1"/>
  <c r="I680" i="2"/>
  <c r="K680" i="2" s="1"/>
  <c r="I681" i="2"/>
  <c r="K681" i="2" s="1"/>
  <c r="I682" i="2"/>
  <c r="K682" i="2" s="1"/>
  <c r="I683" i="2"/>
  <c r="K683" i="2" s="1"/>
  <c r="I684" i="2"/>
  <c r="K684" i="2" s="1"/>
  <c r="I685" i="2"/>
  <c r="K685" i="2" s="1"/>
  <c r="I686" i="2"/>
  <c r="K686" i="2" s="1"/>
  <c r="I687" i="2"/>
  <c r="K687" i="2" s="1"/>
  <c r="I688" i="2"/>
  <c r="K688" i="2" s="1"/>
  <c r="I689" i="2"/>
  <c r="I658" i="2"/>
  <c r="K658" i="2" s="1"/>
  <c r="I659" i="2"/>
  <c r="K659" i="2" s="1"/>
  <c r="I660" i="2"/>
  <c r="K660" i="2" s="1"/>
  <c r="I661" i="2"/>
  <c r="K661" i="2" s="1"/>
  <c r="I662" i="2"/>
  <c r="K662" i="2" s="1"/>
  <c r="I663" i="2"/>
  <c r="K663" i="2" s="1"/>
  <c r="I664" i="2"/>
  <c r="K664" i="2" s="1"/>
  <c r="I665" i="2"/>
  <c r="K665" i="2" s="1"/>
  <c r="I666" i="2"/>
  <c r="K666" i="2" s="1"/>
  <c r="I667" i="2"/>
  <c r="K667" i="2" s="1"/>
  <c r="I668" i="2"/>
  <c r="K668" i="2" s="1"/>
  <c r="I669" i="2"/>
  <c r="K669" i="2" s="1"/>
  <c r="I670" i="2"/>
  <c r="K670" i="2" s="1"/>
  <c r="I671" i="2"/>
  <c r="K671" i="2" s="1"/>
  <c r="I672" i="2"/>
  <c r="K672" i="2" s="1"/>
  <c r="I642" i="2"/>
  <c r="J642" i="2" s="1"/>
  <c r="I643" i="2"/>
  <c r="K643" i="2" s="1"/>
  <c r="I644" i="2"/>
  <c r="K644" i="2" s="1"/>
  <c r="I645" i="2"/>
  <c r="K645" i="2" s="1"/>
  <c r="I646" i="2"/>
  <c r="K646" i="2" s="1"/>
  <c r="I647" i="2"/>
  <c r="K647" i="2" s="1"/>
  <c r="I648" i="2"/>
  <c r="K648" i="2" s="1"/>
  <c r="I649" i="2"/>
  <c r="K649" i="2" s="1"/>
  <c r="I650" i="2"/>
  <c r="K650" i="2" s="1"/>
  <c r="I651" i="2"/>
  <c r="K651" i="2" s="1"/>
  <c r="I652" i="2"/>
  <c r="K652" i="2" s="1"/>
  <c r="I653" i="2"/>
  <c r="K653" i="2" s="1"/>
  <c r="I654" i="2"/>
  <c r="K654" i="2" s="1"/>
  <c r="I655" i="2"/>
  <c r="K655" i="2" s="1"/>
  <c r="I656" i="2"/>
  <c r="I657" i="2"/>
  <c r="I627" i="2"/>
  <c r="K627" i="2" s="1"/>
  <c r="I628" i="2"/>
  <c r="K628" i="2" s="1"/>
  <c r="I629" i="2"/>
  <c r="K629" i="2" s="1"/>
  <c r="I630" i="2"/>
  <c r="K630" i="2" s="1"/>
  <c r="I631" i="2"/>
  <c r="K631" i="2" s="1"/>
  <c r="I632" i="2"/>
  <c r="K632" i="2" s="1"/>
  <c r="I633" i="2"/>
  <c r="K633" i="2" s="1"/>
  <c r="I634" i="2"/>
  <c r="K634" i="2" s="1"/>
  <c r="I635" i="2"/>
  <c r="K635" i="2" s="1"/>
  <c r="I636" i="2"/>
  <c r="K636" i="2" s="1"/>
  <c r="I637" i="2"/>
  <c r="I638" i="2"/>
  <c r="I639" i="2"/>
  <c r="I640" i="2"/>
  <c r="I641" i="2"/>
  <c r="I626" i="2"/>
  <c r="K626" i="2" s="1"/>
  <c r="I610" i="2"/>
  <c r="J610" i="2" s="1"/>
  <c r="I611" i="2"/>
  <c r="K611" i="2" s="1"/>
  <c r="I612" i="2"/>
  <c r="K612" i="2" s="1"/>
  <c r="I613" i="2"/>
  <c r="K613" i="2" s="1"/>
  <c r="I614" i="2"/>
  <c r="K614" i="2" s="1"/>
  <c r="I615" i="2"/>
  <c r="K615" i="2" s="1"/>
  <c r="I616" i="2"/>
  <c r="K616" i="2" s="1"/>
  <c r="I617" i="2"/>
  <c r="K617" i="2" s="1"/>
  <c r="I618" i="2"/>
  <c r="K618" i="2" s="1"/>
  <c r="I619" i="2"/>
  <c r="K619" i="2" s="1"/>
  <c r="I620" i="2"/>
  <c r="K620" i="2" s="1"/>
  <c r="I621" i="2"/>
  <c r="K621" i="2" s="1"/>
  <c r="I622" i="2"/>
  <c r="K622" i="2" s="1"/>
  <c r="I623" i="2"/>
  <c r="K623" i="2" s="1"/>
  <c r="I624" i="2"/>
  <c r="K624" i="2" s="1"/>
  <c r="I625" i="2"/>
  <c r="K754" i="2" l="1"/>
  <c r="J643" i="2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D42" i="4" s="1"/>
  <c r="J706" i="2"/>
  <c r="J707" i="2" s="1"/>
  <c r="J708" i="2" s="1"/>
  <c r="J709" i="2" s="1"/>
  <c r="J710" i="2" s="1"/>
  <c r="J711" i="2" s="1"/>
  <c r="J712" i="2" s="1"/>
  <c r="J713" i="2" s="1"/>
  <c r="J714" i="2" s="1"/>
  <c r="J715" i="2" s="1"/>
  <c r="J716" i="2" s="1"/>
  <c r="J717" i="2" s="1"/>
  <c r="J718" i="2" s="1"/>
  <c r="J719" i="2" s="1"/>
  <c r="J720" i="2" s="1"/>
  <c r="J721" i="2" s="1"/>
  <c r="D46" i="4" s="1"/>
  <c r="K642" i="2"/>
  <c r="K674" i="2"/>
  <c r="K802" i="2"/>
  <c r="J835" i="2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D54" i="4" s="1"/>
  <c r="K834" i="2"/>
  <c r="J611" i="2"/>
  <c r="J612" i="2" s="1"/>
  <c r="J613" i="2" s="1"/>
  <c r="J614" i="2" s="1"/>
  <c r="J615" i="2" s="1"/>
  <c r="J616" i="2" s="1"/>
  <c r="J617" i="2" s="1"/>
  <c r="J618" i="2" s="1"/>
  <c r="J619" i="2" s="1"/>
  <c r="J620" i="2" s="1"/>
  <c r="J621" i="2" s="1"/>
  <c r="J622" i="2" s="1"/>
  <c r="J623" i="2" s="1"/>
  <c r="J624" i="2" s="1"/>
  <c r="J625" i="2" s="1"/>
  <c r="D40" i="4" s="1"/>
  <c r="J978" i="2"/>
  <c r="J979" i="2" s="1"/>
  <c r="J980" i="2" s="1"/>
  <c r="J981" i="2" s="1"/>
  <c r="J982" i="2" s="1"/>
  <c r="J983" i="2" s="1"/>
  <c r="J984" i="2" s="1"/>
  <c r="J985" i="2" s="1"/>
  <c r="J986" i="2" s="1"/>
  <c r="J987" i="2" s="1"/>
  <c r="J988" i="2" s="1"/>
  <c r="J989" i="2" s="1"/>
  <c r="J990" i="2" s="1"/>
  <c r="J991" i="2" s="1"/>
  <c r="J992" i="2" s="1"/>
  <c r="J993" i="2" s="1"/>
  <c r="D63" i="4" s="1"/>
  <c r="K610" i="2"/>
  <c r="J738" i="2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D48" i="4" s="1"/>
  <c r="J1010" i="2"/>
  <c r="J1011" i="2" s="1"/>
  <c r="J1012" i="2" s="1"/>
  <c r="J1013" i="2" s="1"/>
  <c r="J1014" i="2" s="1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D65" i="4" s="1"/>
  <c r="J755" i="2"/>
  <c r="J756" i="2" s="1"/>
  <c r="J757" i="2" s="1"/>
  <c r="J758" i="2" s="1"/>
  <c r="J759" i="2" s="1"/>
  <c r="J760" i="2" s="1"/>
  <c r="J761" i="2" s="1"/>
  <c r="J762" i="2" s="1"/>
  <c r="J763" i="2" s="1"/>
  <c r="J764" i="2" s="1"/>
  <c r="J765" i="2" s="1"/>
  <c r="J766" i="2" s="1"/>
  <c r="J767" i="2" s="1"/>
  <c r="J768" i="2" s="1"/>
  <c r="J769" i="2" s="1"/>
  <c r="D49" i="4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J831" i="2" s="1"/>
  <c r="J832" i="2" s="1"/>
  <c r="J833" i="2" s="1"/>
  <c r="D53" i="4" s="1"/>
  <c r="J770" i="2"/>
  <c r="J771" i="2" s="1"/>
  <c r="J772" i="2" s="1"/>
  <c r="J773" i="2" s="1"/>
  <c r="J774" i="2" s="1"/>
  <c r="J775" i="2" s="1"/>
  <c r="J776" i="2" s="1"/>
  <c r="J777" i="2" s="1"/>
  <c r="J778" i="2" s="1"/>
  <c r="J779" i="2" s="1"/>
  <c r="J780" i="2" s="1"/>
  <c r="J781" i="2" s="1"/>
  <c r="J782" i="2" s="1"/>
  <c r="J783" i="2" s="1"/>
  <c r="J784" i="2" s="1"/>
  <c r="J785" i="2" s="1"/>
  <c r="D50" i="4" s="1"/>
  <c r="J915" i="2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D59" i="4" s="1"/>
  <c r="J931" i="2"/>
  <c r="J932" i="2" s="1"/>
  <c r="J933" i="2" s="1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D60" i="4" s="1"/>
  <c r="J626" i="2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J637" i="2" s="1"/>
  <c r="J638" i="2" s="1"/>
  <c r="J639" i="2" s="1"/>
  <c r="J640" i="2" s="1"/>
  <c r="J641" i="2" s="1"/>
  <c r="D41" i="4" s="1"/>
  <c r="J690" i="2"/>
  <c r="J691" i="2" s="1"/>
  <c r="J692" i="2" s="1"/>
  <c r="J693" i="2" s="1"/>
  <c r="J694" i="2" s="1"/>
  <c r="J695" i="2" s="1"/>
  <c r="J696" i="2" s="1"/>
  <c r="J697" i="2" s="1"/>
  <c r="J698" i="2" s="1"/>
  <c r="J699" i="2" s="1"/>
  <c r="J700" i="2" s="1"/>
  <c r="J701" i="2" s="1"/>
  <c r="J702" i="2" s="1"/>
  <c r="J703" i="2" s="1"/>
  <c r="J704" i="2" s="1"/>
  <c r="J705" i="2" s="1"/>
  <c r="D45" i="4" s="1"/>
  <c r="J722" i="2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D47" i="4" s="1"/>
  <c r="J946" i="2"/>
  <c r="J947" i="2" s="1"/>
  <c r="J948" i="2" s="1"/>
  <c r="J949" i="2" s="1"/>
  <c r="J950" i="2" s="1"/>
  <c r="J951" i="2" s="1"/>
  <c r="J952" i="2" s="1"/>
  <c r="J953" i="2" s="1"/>
  <c r="J954" i="2" s="1"/>
  <c r="J955" i="2" s="1"/>
  <c r="J956" i="2" s="1"/>
  <c r="J957" i="2" s="1"/>
  <c r="J958" i="2" s="1"/>
  <c r="J959" i="2" s="1"/>
  <c r="J960" i="2" s="1"/>
  <c r="J961" i="2" s="1"/>
  <c r="D61" i="4" s="1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D43" i="4" s="1"/>
  <c r="J786" i="2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D51" i="4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J1008" i="2" s="1"/>
  <c r="J1009" i="2" s="1"/>
  <c r="D64" i="4" s="1"/>
  <c r="J1026" i="2"/>
  <c r="J1027" i="2" s="1"/>
  <c r="J1028" i="2" s="1"/>
  <c r="J1029" i="2" s="1"/>
  <c r="J1030" i="2" s="1"/>
  <c r="J1031" i="2" s="1"/>
  <c r="J1032" i="2" s="1"/>
  <c r="J1033" i="2" s="1"/>
  <c r="J1034" i="2" s="1"/>
  <c r="J1035" i="2" s="1"/>
  <c r="J1036" i="2" s="1"/>
  <c r="J1037" i="2" s="1"/>
  <c r="J1038" i="2" s="1"/>
  <c r="J1039" i="2" s="1"/>
  <c r="J1040" i="2" s="1"/>
  <c r="J1041" i="2" s="1"/>
  <c r="D66" i="4" s="1"/>
  <c r="J803" i="2"/>
  <c r="J804" i="2" s="1"/>
  <c r="J805" i="2" s="1"/>
  <c r="J806" i="2" s="1"/>
  <c r="J807" i="2" s="1"/>
  <c r="J808" i="2" s="1"/>
  <c r="J809" i="2" s="1"/>
  <c r="J810" i="2" s="1"/>
  <c r="J811" i="2" s="1"/>
  <c r="J812" i="2" s="1"/>
  <c r="J813" i="2" s="1"/>
  <c r="J814" i="2" s="1"/>
  <c r="J815" i="2" s="1"/>
  <c r="J816" i="2" s="1"/>
  <c r="J817" i="2" s="1"/>
  <c r="D52" i="4" s="1"/>
  <c r="K803" i="2"/>
  <c r="K930" i="2"/>
  <c r="K914" i="2"/>
  <c r="J962" i="2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D62" i="4" s="1"/>
  <c r="J898" i="2"/>
  <c r="J899" i="2" s="1"/>
  <c r="J900" i="2" s="1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D58" i="4" s="1"/>
  <c r="J882" i="2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D57" i="4" s="1"/>
  <c r="J866" i="2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J878" i="2" s="1"/>
  <c r="J879" i="2" s="1"/>
  <c r="J880" i="2" s="1"/>
  <c r="J881" i="2" s="1"/>
  <c r="D56" i="4" s="1"/>
  <c r="J850" i="2"/>
  <c r="J851" i="2" s="1"/>
  <c r="J852" i="2" s="1"/>
  <c r="J853" i="2" s="1"/>
  <c r="J854" i="2" s="1"/>
  <c r="J855" i="2" s="1"/>
  <c r="J856" i="2" s="1"/>
  <c r="J857" i="2" s="1"/>
  <c r="J858" i="2" s="1"/>
  <c r="J859" i="2" s="1"/>
  <c r="J860" i="2" s="1"/>
  <c r="J861" i="2" s="1"/>
  <c r="J862" i="2" s="1"/>
  <c r="J863" i="2" s="1"/>
  <c r="J864" i="2" s="1"/>
  <c r="J865" i="2" s="1"/>
  <c r="D55" i="4" s="1"/>
  <c r="K771" i="2"/>
  <c r="I594" i="2" l="1"/>
  <c r="K594" i="2" s="1"/>
  <c r="I595" i="2"/>
  <c r="K595" i="2" s="1"/>
  <c r="I596" i="2"/>
  <c r="K596" i="2" s="1"/>
  <c r="I597" i="2"/>
  <c r="K597" i="2" s="1"/>
  <c r="I598" i="2"/>
  <c r="K598" i="2" s="1"/>
  <c r="I599" i="2"/>
  <c r="K599" i="2" s="1"/>
  <c r="I600" i="2"/>
  <c r="K600" i="2" s="1"/>
  <c r="I601" i="2"/>
  <c r="K601" i="2" s="1"/>
  <c r="I602" i="2"/>
  <c r="K602" i="2" s="1"/>
  <c r="I603" i="2"/>
  <c r="K603" i="2" s="1"/>
  <c r="I604" i="2"/>
  <c r="K604" i="2" s="1"/>
  <c r="I605" i="2"/>
  <c r="K605" i="2" s="1"/>
  <c r="I606" i="2"/>
  <c r="K606" i="2" s="1"/>
  <c r="I607" i="2"/>
  <c r="K607" i="2" s="1"/>
  <c r="I608" i="2"/>
  <c r="I609" i="2"/>
  <c r="I578" i="2"/>
  <c r="J578" i="2" s="1"/>
  <c r="I579" i="2"/>
  <c r="K579" i="2" s="1"/>
  <c r="I580" i="2"/>
  <c r="K580" i="2" s="1"/>
  <c r="I581" i="2"/>
  <c r="K581" i="2" s="1"/>
  <c r="I582" i="2"/>
  <c r="K582" i="2" s="1"/>
  <c r="I583" i="2"/>
  <c r="K583" i="2" s="1"/>
  <c r="I584" i="2"/>
  <c r="K584" i="2" s="1"/>
  <c r="I585" i="2"/>
  <c r="K585" i="2" s="1"/>
  <c r="I586" i="2"/>
  <c r="K586" i="2" s="1"/>
  <c r="I587" i="2"/>
  <c r="K587" i="2" s="1"/>
  <c r="I588" i="2"/>
  <c r="K588" i="2" s="1"/>
  <c r="I589" i="2"/>
  <c r="K589" i="2" s="1"/>
  <c r="I590" i="2"/>
  <c r="K590" i="2" s="1"/>
  <c r="I591" i="2"/>
  <c r="K591" i="2" s="1"/>
  <c r="I592" i="2"/>
  <c r="I593" i="2"/>
  <c r="I562" i="2"/>
  <c r="K562" i="2" s="1"/>
  <c r="I563" i="2"/>
  <c r="K563" i="2" s="1"/>
  <c r="I564" i="2"/>
  <c r="I565" i="2"/>
  <c r="K565" i="2" s="1"/>
  <c r="I566" i="2"/>
  <c r="K566" i="2" s="1"/>
  <c r="I567" i="2"/>
  <c r="K567" i="2" s="1"/>
  <c r="I568" i="2"/>
  <c r="K568" i="2" s="1"/>
  <c r="I569" i="2"/>
  <c r="K569" i="2" s="1"/>
  <c r="I570" i="2"/>
  <c r="K570" i="2" s="1"/>
  <c r="I571" i="2"/>
  <c r="K571" i="2" s="1"/>
  <c r="I572" i="2"/>
  <c r="K572" i="2" s="1"/>
  <c r="I573" i="2"/>
  <c r="K573" i="2" s="1"/>
  <c r="I574" i="2"/>
  <c r="K574" i="2" s="1"/>
  <c r="I575" i="2"/>
  <c r="K575" i="2" s="1"/>
  <c r="I576" i="2"/>
  <c r="K576" i="2" s="1"/>
  <c r="I577" i="2"/>
  <c r="I546" i="2"/>
  <c r="J546" i="2" s="1"/>
  <c r="I547" i="2"/>
  <c r="K547" i="2" s="1"/>
  <c r="I548" i="2"/>
  <c r="I549" i="2"/>
  <c r="K549" i="2" s="1"/>
  <c r="I550" i="2"/>
  <c r="K550" i="2" s="1"/>
  <c r="I551" i="2"/>
  <c r="K551" i="2" s="1"/>
  <c r="I552" i="2"/>
  <c r="K552" i="2" s="1"/>
  <c r="I553" i="2"/>
  <c r="K553" i="2" s="1"/>
  <c r="I554" i="2"/>
  <c r="K554" i="2" s="1"/>
  <c r="I555" i="2"/>
  <c r="K555" i="2" s="1"/>
  <c r="I556" i="2"/>
  <c r="K556" i="2" s="1"/>
  <c r="I557" i="2"/>
  <c r="K557" i="2" s="1"/>
  <c r="I558" i="2"/>
  <c r="K558" i="2" s="1"/>
  <c r="I559" i="2"/>
  <c r="K559" i="2" s="1"/>
  <c r="I560" i="2"/>
  <c r="K560" i="2" s="1"/>
  <c r="I561" i="2"/>
  <c r="I530" i="2"/>
  <c r="K530" i="2" s="1"/>
  <c r="I531" i="2"/>
  <c r="K531" i="2" s="1"/>
  <c r="I532" i="2"/>
  <c r="K532" i="2" s="1"/>
  <c r="I534" i="2"/>
  <c r="K534" i="2" s="1"/>
  <c r="I535" i="2"/>
  <c r="K535" i="2" s="1"/>
  <c r="I536" i="2"/>
  <c r="K536" i="2" s="1"/>
  <c r="I537" i="2"/>
  <c r="K537" i="2" s="1"/>
  <c r="I538" i="2"/>
  <c r="K538" i="2" s="1"/>
  <c r="I539" i="2"/>
  <c r="K539" i="2" s="1"/>
  <c r="I540" i="2"/>
  <c r="K540" i="2" s="1"/>
  <c r="I541" i="2"/>
  <c r="K541" i="2" s="1"/>
  <c r="I542" i="2"/>
  <c r="K542" i="2" s="1"/>
  <c r="I543" i="2"/>
  <c r="K543" i="2" s="1"/>
  <c r="I544" i="2"/>
  <c r="K544" i="2" s="1"/>
  <c r="I545" i="2"/>
  <c r="I514" i="2"/>
  <c r="K514" i="2" s="1"/>
  <c r="I515" i="2"/>
  <c r="K515" i="2" s="1"/>
  <c r="I516" i="2"/>
  <c r="I517" i="2"/>
  <c r="K517" i="2" s="1"/>
  <c r="I518" i="2"/>
  <c r="K518" i="2" s="1"/>
  <c r="I519" i="2"/>
  <c r="K519" i="2" s="1"/>
  <c r="I520" i="2"/>
  <c r="K520" i="2" s="1"/>
  <c r="I521" i="2"/>
  <c r="K521" i="2" s="1"/>
  <c r="I522" i="2"/>
  <c r="K522" i="2" s="1"/>
  <c r="I523" i="2"/>
  <c r="K523" i="2" s="1"/>
  <c r="I524" i="2"/>
  <c r="K524" i="2" s="1"/>
  <c r="I525" i="2"/>
  <c r="K525" i="2" s="1"/>
  <c r="I526" i="2"/>
  <c r="K526" i="2" s="1"/>
  <c r="I527" i="2"/>
  <c r="K527" i="2" s="1"/>
  <c r="I528" i="2"/>
  <c r="K528" i="2" s="1"/>
  <c r="I529" i="2"/>
  <c r="I499" i="2"/>
  <c r="K499" i="2" s="1"/>
  <c r="I500" i="2"/>
  <c r="K500" i="2" s="1"/>
  <c r="I501" i="2"/>
  <c r="K501" i="2" s="1"/>
  <c r="I502" i="2"/>
  <c r="K502" i="2" s="1"/>
  <c r="I503" i="2"/>
  <c r="K503" i="2" s="1"/>
  <c r="I504" i="2"/>
  <c r="K504" i="2" s="1"/>
  <c r="I505" i="2"/>
  <c r="K505" i="2" s="1"/>
  <c r="I506" i="2"/>
  <c r="K506" i="2" s="1"/>
  <c r="I507" i="2"/>
  <c r="K507" i="2" s="1"/>
  <c r="I508" i="2"/>
  <c r="K508" i="2" s="1"/>
  <c r="I509" i="2"/>
  <c r="K509" i="2" s="1"/>
  <c r="I510" i="2"/>
  <c r="I511" i="2"/>
  <c r="I512" i="2"/>
  <c r="I513" i="2"/>
  <c r="I487" i="2"/>
  <c r="K487" i="2" s="1"/>
  <c r="I488" i="2"/>
  <c r="K488" i="2" s="1"/>
  <c r="I489" i="2"/>
  <c r="K489" i="2" s="1"/>
  <c r="I490" i="2"/>
  <c r="K490" i="2" s="1"/>
  <c r="I491" i="2"/>
  <c r="K491" i="2" s="1"/>
  <c r="I492" i="2"/>
  <c r="K492" i="2" s="1"/>
  <c r="I493" i="2"/>
  <c r="K493" i="2" s="1"/>
  <c r="I494" i="2"/>
  <c r="K494" i="2" s="1"/>
  <c r="I495" i="2"/>
  <c r="K495" i="2" s="1"/>
  <c r="I496" i="2"/>
  <c r="K496" i="2" s="1"/>
  <c r="I497" i="2"/>
  <c r="I498" i="2"/>
  <c r="K498" i="2" s="1"/>
  <c r="I482" i="2"/>
  <c r="K482" i="2" s="1"/>
  <c r="I483" i="2"/>
  <c r="K483" i="2" s="1"/>
  <c r="I484" i="2"/>
  <c r="I485" i="2"/>
  <c r="K485" i="2" s="1"/>
  <c r="I486" i="2"/>
  <c r="K486" i="2" s="1"/>
  <c r="I466" i="2"/>
  <c r="J466" i="2" s="1"/>
  <c r="I467" i="2"/>
  <c r="K467" i="2" s="1"/>
  <c r="I468" i="2"/>
  <c r="K468" i="2" s="1"/>
  <c r="I469" i="2"/>
  <c r="K469" i="2" s="1"/>
  <c r="I470" i="2"/>
  <c r="K470" i="2" s="1"/>
  <c r="I471" i="2"/>
  <c r="K471" i="2" s="1"/>
  <c r="I472" i="2"/>
  <c r="K472" i="2" s="1"/>
  <c r="I473" i="2"/>
  <c r="K473" i="2" s="1"/>
  <c r="I474" i="2"/>
  <c r="K474" i="2" s="1"/>
  <c r="I475" i="2"/>
  <c r="K475" i="2" s="1"/>
  <c r="I476" i="2"/>
  <c r="K476" i="2" s="1"/>
  <c r="I477" i="2"/>
  <c r="K477" i="2" s="1"/>
  <c r="I478" i="2"/>
  <c r="K478" i="2" s="1"/>
  <c r="I479" i="2"/>
  <c r="K479" i="2" s="1"/>
  <c r="I480" i="2"/>
  <c r="K480" i="2" s="1"/>
  <c r="I481" i="2"/>
  <c r="I450" i="2"/>
  <c r="K450" i="2" s="1"/>
  <c r="I451" i="2"/>
  <c r="K451" i="2" s="1"/>
  <c r="I452" i="2"/>
  <c r="I453" i="2"/>
  <c r="K453" i="2" s="1"/>
  <c r="I454" i="2"/>
  <c r="K454" i="2" s="1"/>
  <c r="I455" i="2"/>
  <c r="K455" i="2" s="1"/>
  <c r="I456" i="2"/>
  <c r="K456" i="2" s="1"/>
  <c r="I457" i="2"/>
  <c r="K457" i="2" s="1"/>
  <c r="I458" i="2"/>
  <c r="K458" i="2" s="1"/>
  <c r="I459" i="2"/>
  <c r="K459" i="2" s="1"/>
  <c r="I460" i="2"/>
  <c r="K460" i="2" s="1"/>
  <c r="I461" i="2"/>
  <c r="K461" i="2" s="1"/>
  <c r="I462" i="2"/>
  <c r="K462" i="2" s="1"/>
  <c r="I463" i="2"/>
  <c r="K463" i="2" s="1"/>
  <c r="I464" i="2"/>
  <c r="K464" i="2" s="1"/>
  <c r="I465" i="2"/>
  <c r="I434" i="2"/>
  <c r="J434" i="2" s="1"/>
  <c r="I435" i="2"/>
  <c r="K435" i="2" s="1"/>
  <c r="I436" i="2"/>
  <c r="K436" i="2" s="1"/>
  <c r="I437" i="2"/>
  <c r="K437" i="2" s="1"/>
  <c r="I438" i="2"/>
  <c r="K438" i="2" s="1"/>
  <c r="I439" i="2"/>
  <c r="K439" i="2" s="1"/>
  <c r="I440" i="2"/>
  <c r="K440" i="2" s="1"/>
  <c r="I441" i="2"/>
  <c r="K441" i="2" s="1"/>
  <c r="I442" i="2"/>
  <c r="K442" i="2" s="1"/>
  <c r="I443" i="2"/>
  <c r="K443" i="2" s="1"/>
  <c r="I444" i="2"/>
  <c r="K444" i="2" s="1"/>
  <c r="I445" i="2"/>
  <c r="K445" i="2" s="1"/>
  <c r="I446" i="2"/>
  <c r="K446" i="2" s="1"/>
  <c r="I447" i="2"/>
  <c r="I448" i="2"/>
  <c r="I449" i="2"/>
  <c r="I418" i="2"/>
  <c r="J418" i="2" s="1"/>
  <c r="I419" i="2"/>
  <c r="K419" i="2" s="1"/>
  <c r="I420" i="2"/>
  <c r="K420" i="2" s="1"/>
  <c r="I421" i="2"/>
  <c r="K421" i="2" s="1"/>
  <c r="I422" i="2"/>
  <c r="K422" i="2" s="1"/>
  <c r="I423" i="2"/>
  <c r="K423" i="2" s="1"/>
  <c r="I424" i="2"/>
  <c r="K424" i="2" s="1"/>
  <c r="I425" i="2"/>
  <c r="K425" i="2" s="1"/>
  <c r="I426" i="2"/>
  <c r="K426" i="2" s="1"/>
  <c r="I427" i="2"/>
  <c r="K427" i="2" s="1"/>
  <c r="I428" i="2"/>
  <c r="K428" i="2" s="1"/>
  <c r="I429" i="2"/>
  <c r="K429" i="2" s="1"/>
  <c r="I430" i="2"/>
  <c r="K430" i="2" s="1"/>
  <c r="I431" i="2"/>
  <c r="K431" i="2" s="1"/>
  <c r="I432" i="2"/>
  <c r="K432" i="2" s="1"/>
  <c r="I433" i="2"/>
  <c r="I402" i="2"/>
  <c r="K402" i="2" s="1"/>
  <c r="I403" i="2"/>
  <c r="K403" i="2" s="1"/>
  <c r="I404" i="2"/>
  <c r="K404" i="2" s="1"/>
  <c r="I405" i="2"/>
  <c r="K405" i="2" s="1"/>
  <c r="I406" i="2"/>
  <c r="K406" i="2" s="1"/>
  <c r="I407" i="2"/>
  <c r="K407" i="2" s="1"/>
  <c r="I408" i="2"/>
  <c r="K408" i="2" s="1"/>
  <c r="I409" i="2"/>
  <c r="K409" i="2" s="1"/>
  <c r="I410" i="2"/>
  <c r="K410" i="2" s="1"/>
  <c r="I411" i="2"/>
  <c r="K411" i="2" s="1"/>
  <c r="I412" i="2"/>
  <c r="K412" i="2" s="1"/>
  <c r="I413" i="2"/>
  <c r="K413" i="2" s="1"/>
  <c r="I414" i="2"/>
  <c r="K414" i="2" s="1"/>
  <c r="I415" i="2"/>
  <c r="K415" i="2" s="1"/>
  <c r="I416" i="2"/>
  <c r="K416" i="2" s="1"/>
  <c r="I417" i="2"/>
  <c r="I386" i="2"/>
  <c r="J386" i="2" s="1"/>
  <c r="I387" i="2"/>
  <c r="K387" i="2" s="1"/>
  <c r="I388" i="2"/>
  <c r="I389" i="2"/>
  <c r="K389" i="2" s="1"/>
  <c r="I390" i="2"/>
  <c r="K390" i="2" s="1"/>
  <c r="I391" i="2"/>
  <c r="K391" i="2" s="1"/>
  <c r="I392" i="2"/>
  <c r="K392" i="2" s="1"/>
  <c r="I393" i="2"/>
  <c r="K393" i="2" s="1"/>
  <c r="I394" i="2"/>
  <c r="K394" i="2" s="1"/>
  <c r="I395" i="2"/>
  <c r="K395" i="2" s="1"/>
  <c r="I396" i="2"/>
  <c r="K396" i="2" s="1"/>
  <c r="I397" i="2"/>
  <c r="K397" i="2" s="1"/>
  <c r="I398" i="2"/>
  <c r="K398" i="2" s="1"/>
  <c r="I399" i="2"/>
  <c r="K399" i="2" s="1"/>
  <c r="I400" i="2"/>
  <c r="K400" i="2" s="1"/>
  <c r="I401" i="2"/>
  <c r="I370" i="2"/>
  <c r="K370" i="2" s="1"/>
  <c r="I371" i="2"/>
  <c r="K371" i="2" s="1"/>
  <c r="I372" i="2"/>
  <c r="I373" i="2"/>
  <c r="K373" i="2" s="1"/>
  <c r="I374" i="2"/>
  <c r="K374" i="2" s="1"/>
  <c r="I375" i="2"/>
  <c r="K375" i="2" s="1"/>
  <c r="I376" i="2"/>
  <c r="K376" i="2" s="1"/>
  <c r="I377" i="2"/>
  <c r="K377" i="2" s="1"/>
  <c r="I378" i="2"/>
  <c r="K378" i="2" s="1"/>
  <c r="I379" i="2"/>
  <c r="K379" i="2" s="1"/>
  <c r="I380" i="2"/>
  <c r="K380" i="2" s="1"/>
  <c r="I381" i="2"/>
  <c r="K381" i="2" s="1"/>
  <c r="I382" i="2"/>
  <c r="K382" i="2" s="1"/>
  <c r="I383" i="2"/>
  <c r="K383" i="2" s="1"/>
  <c r="I384" i="2"/>
  <c r="K384" i="2" s="1"/>
  <c r="I385" i="2"/>
  <c r="I357" i="2"/>
  <c r="K357" i="2" s="1"/>
  <c r="I358" i="2"/>
  <c r="K358" i="2" s="1"/>
  <c r="I359" i="2"/>
  <c r="K359" i="2" s="1"/>
  <c r="I360" i="2"/>
  <c r="K360" i="2" s="1"/>
  <c r="I361" i="2"/>
  <c r="K361" i="2" s="1"/>
  <c r="I362" i="2"/>
  <c r="K362" i="2" s="1"/>
  <c r="I363" i="2"/>
  <c r="K363" i="2" s="1"/>
  <c r="I364" i="2"/>
  <c r="K364" i="2" s="1"/>
  <c r="I365" i="2"/>
  <c r="K365" i="2" s="1"/>
  <c r="I366" i="2"/>
  <c r="K366" i="2" s="1"/>
  <c r="I367" i="2"/>
  <c r="K367" i="2" s="1"/>
  <c r="I368" i="2"/>
  <c r="K368" i="2" s="1"/>
  <c r="I369" i="2"/>
  <c r="I354" i="2"/>
  <c r="J354" i="2" s="1"/>
  <c r="I355" i="2"/>
  <c r="K355" i="2" s="1"/>
  <c r="I356" i="2"/>
  <c r="K356" i="2" s="1"/>
  <c r="I338" i="2"/>
  <c r="K338" i="2" s="1"/>
  <c r="I339" i="2"/>
  <c r="K339" i="2" s="1"/>
  <c r="I340" i="2"/>
  <c r="K340" i="2" s="1"/>
  <c r="I341" i="2"/>
  <c r="K341" i="2" s="1"/>
  <c r="I342" i="2"/>
  <c r="K342" i="2" s="1"/>
  <c r="I343" i="2"/>
  <c r="K343" i="2" s="1"/>
  <c r="I344" i="2"/>
  <c r="K344" i="2" s="1"/>
  <c r="I345" i="2"/>
  <c r="K345" i="2" s="1"/>
  <c r="I346" i="2"/>
  <c r="K346" i="2" s="1"/>
  <c r="I347" i="2"/>
  <c r="K347" i="2" s="1"/>
  <c r="I348" i="2"/>
  <c r="K348" i="2" s="1"/>
  <c r="I349" i="2"/>
  <c r="K349" i="2" s="1"/>
  <c r="I350" i="2"/>
  <c r="K350" i="2" s="1"/>
  <c r="I351" i="2"/>
  <c r="K351" i="2" s="1"/>
  <c r="I352" i="2"/>
  <c r="K352" i="2" s="1"/>
  <c r="I353" i="2"/>
  <c r="I322" i="2"/>
  <c r="K322" i="2" s="1"/>
  <c r="I323" i="2"/>
  <c r="K323" i="2" s="1"/>
  <c r="I324" i="2"/>
  <c r="K324" i="2" s="1"/>
  <c r="I325" i="2"/>
  <c r="K325" i="2" s="1"/>
  <c r="I326" i="2"/>
  <c r="K326" i="2" s="1"/>
  <c r="I327" i="2"/>
  <c r="K327" i="2" s="1"/>
  <c r="I328" i="2"/>
  <c r="K328" i="2" s="1"/>
  <c r="I329" i="2"/>
  <c r="K329" i="2" s="1"/>
  <c r="I330" i="2"/>
  <c r="K330" i="2" s="1"/>
  <c r="I331" i="2"/>
  <c r="K331" i="2" s="1"/>
  <c r="I332" i="2"/>
  <c r="K332" i="2" s="1"/>
  <c r="I333" i="2"/>
  <c r="K333" i="2" s="1"/>
  <c r="I334" i="2"/>
  <c r="K334" i="2" s="1"/>
  <c r="I335" i="2"/>
  <c r="K335" i="2" s="1"/>
  <c r="I336" i="2"/>
  <c r="K336" i="2" s="1"/>
  <c r="I337" i="2"/>
  <c r="I306" i="2"/>
  <c r="J306" i="2" s="1"/>
  <c r="I307" i="2"/>
  <c r="K307" i="2" s="1"/>
  <c r="I308" i="2"/>
  <c r="K308" i="2" s="1"/>
  <c r="I309" i="2"/>
  <c r="K309" i="2" s="1"/>
  <c r="I310" i="2"/>
  <c r="K310" i="2" s="1"/>
  <c r="I311" i="2"/>
  <c r="K311" i="2" s="1"/>
  <c r="I312" i="2"/>
  <c r="K312" i="2" s="1"/>
  <c r="I313" i="2"/>
  <c r="K313" i="2" s="1"/>
  <c r="I314" i="2"/>
  <c r="K314" i="2" s="1"/>
  <c r="I315" i="2"/>
  <c r="K315" i="2" s="1"/>
  <c r="I316" i="2"/>
  <c r="K316" i="2" s="1"/>
  <c r="I317" i="2"/>
  <c r="K317" i="2" s="1"/>
  <c r="I318" i="2"/>
  <c r="K318" i="2" s="1"/>
  <c r="I319" i="2"/>
  <c r="K319" i="2" s="1"/>
  <c r="I320" i="2"/>
  <c r="K320" i="2" s="1"/>
  <c r="I321" i="2"/>
  <c r="I290" i="2"/>
  <c r="K290" i="2" s="1"/>
  <c r="I291" i="2"/>
  <c r="K291" i="2" s="1"/>
  <c r="I292" i="2"/>
  <c r="K292" i="2" s="1"/>
  <c r="I293" i="2"/>
  <c r="I294" i="2"/>
  <c r="K294" i="2" s="1"/>
  <c r="I295" i="2"/>
  <c r="K295" i="2" s="1"/>
  <c r="I296" i="2"/>
  <c r="K296" i="2" s="1"/>
  <c r="I297" i="2"/>
  <c r="K297" i="2" s="1"/>
  <c r="I298" i="2"/>
  <c r="K298" i="2" s="1"/>
  <c r="I299" i="2"/>
  <c r="K299" i="2" s="1"/>
  <c r="I300" i="2"/>
  <c r="K300" i="2" s="1"/>
  <c r="I301" i="2"/>
  <c r="K301" i="2" s="1"/>
  <c r="I302" i="2"/>
  <c r="K302" i="2" s="1"/>
  <c r="I303" i="2"/>
  <c r="K303" i="2" s="1"/>
  <c r="I304" i="2"/>
  <c r="K304" i="2" s="1"/>
  <c r="I305" i="2"/>
  <c r="I274" i="2"/>
  <c r="K274" i="2" s="1"/>
  <c r="I275" i="2"/>
  <c r="K275" i="2" s="1"/>
  <c r="I276" i="2"/>
  <c r="K276" i="2" s="1"/>
  <c r="I277" i="2"/>
  <c r="K277" i="2" s="1"/>
  <c r="I278" i="2"/>
  <c r="K278" i="2" s="1"/>
  <c r="I279" i="2"/>
  <c r="K279" i="2" s="1"/>
  <c r="I280" i="2"/>
  <c r="K280" i="2" s="1"/>
  <c r="I281" i="2"/>
  <c r="K281" i="2" s="1"/>
  <c r="I282" i="2"/>
  <c r="K282" i="2" s="1"/>
  <c r="I283" i="2"/>
  <c r="K283" i="2" s="1"/>
  <c r="I284" i="2"/>
  <c r="K284" i="2" s="1"/>
  <c r="I285" i="2"/>
  <c r="K285" i="2" s="1"/>
  <c r="I286" i="2"/>
  <c r="K286" i="2" s="1"/>
  <c r="I287" i="2"/>
  <c r="K287" i="2" s="1"/>
  <c r="I288" i="2"/>
  <c r="K288" i="2" s="1"/>
  <c r="I289" i="2"/>
  <c r="I258" i="2"/>
  <c r="K258" i="2" s="1"/>
  <c r="I259" i="2"/>
  <c r="K259" i="2" s="1"/>
  <c r="I260" i="2"/>
  <c r="K260" i="2" s="1"/>
  <c r="I261" i="2"/>
  <c r="K261" i="2" s="1"/>
  <c r="I262" i="2"/>
  <c r="K262" i="2" s="1"/>
  <c r="I263" i="2"/>
  <c r="K263" i="2" s="1"/>
  <c r="I264" i="2"/>
  <c r="K264" i="2" s="1"/>
  <c r="I265" i="2"/>
  <c r="K265" i="2" s="1"/>
  <c r="I266" i="2"/>
  <c r="K266" i="2" s="1"/>
  <c r="I267" i="2"/>
  <c r="K267" i="2" s="1"/>
  <c r="I268" i="2"/>
  <c r="K268" i="2" s="1"/>
  <c r="I269" i="2"/>
  <c r="K269" i="2" s="1"/>
  <c r="I270" i="2"/>
  <c r="K270" i="2" s="1"/>
  <c r="I271" i="2"/>
  <c r="K271" i="2" s="1"/>
  <c r="I272" i="2"/>
  <c r="K272" i="2" s="1"/>
  <c r="I273" i="2"/>
  <c r="I245" i="2"/>
  <c r="I246" i="2"/>
  <c r="K246" i="2" s="1"/>
  <c r="I247" i="2"/>
  <c r="K247" i="2" s="1"/>
  <c r="I248" i="2"/>
  <c r="K248" i="2" s="1"/>
  <c r="I249" i="2"/>
  <c r="K249" i="2" s="1"/>
  <c r="I250" i="2"/>
  <c r="K250" i="2" s="1"/>
  <c r="I251" i="2"/>
  <c r="K251" i="2" s="1"/>
  <c r="I252" i="2"/>
  <c r="K252" i="2" s="1"/>
  <c r="I253" i="2"/>
  <c r="K253" i="2" s="1"/>
  <c r="I254" i="2"/>
  <c r="K254" i="2" s="1"/>
  <c r="I255" i="2"/>
  <c r="K255" i="2" s="1"/>
  <c r="I256" i="2"/>
  <c r="K256" i="2" s="1"/>
  <c r="I257" i="2"/>
  <c r="I244" i="2"/>
  <c r="K244" i="2" s="1"/>
  <c r="I243" i="2"/>
  <c r="K243" i="2" s="1"/>
  <c r="I242" i="2"/>
  <c r="K242" i="2" s="1"/>
  <c r="I226" i="2"/>
  <c r="I227" i="2"/>
  <c r="I228" i="2"/>
  <c r="I229" i="2"/>
  <c r="I230" i="2"/>
  <c r="I231" i="2"/>
  <c r="I232" i="2"/>
  <c r="I233" i="2"/>
  <c r="I234" i="2"/>
  <c r="I235" i="2"/>
  <c r="I236" i="2"/>
  <c r="K236" i="2" s="1"/>
  <c r="I237" i="2"/>
  <c r="K237" i="2" s="1"/>
  <c r="I238" i="2"/>
  <c r="K238" i="2" s="1"/>
  <c r="I239" i="2"/>
  <c r="K239" i="2" s="1"/>
  <c r="I240" i="2"/>
  <c r="K240" i="2" s="1"/>
  <c r="I241" i="2"/>
  <c r="I210" i="2"/>
  <c r="K210" i="2" s="1"/>
  <c r="I211" i="2"/>
  <c r="K211" i="2" s="1"/>
  <c r="I212" i="2"/>
  <c r="K212" i="2" s="1"/>
  <c r="I213" i="2"/>
  <c r="K213" i="2" s="1"/>
  <c r="I214" i="2"/>
  <c r="K214" i="2" s="1"/>
  <c r="I215" i="2"/>
  <c r="K215" i="2" s="1"/>
  <c r="I216" i="2"/>
  <c r="K216" i="2" s="1"/>
  <c r="I217" i="2"/>
  <c r="K217" i="2" s="1"/>
  <c r="I218" i="2"/>
  <c r="K218" i="2" s="1"/>
  <c r="I219" i="2"/>
  <c r="K219" i="2" s="1"/>
  <c r="I220" i="2"/>
  <c r="K220" i="2" s="1"/>
  <c r="I221" i="2"/>
  <c r="K221" i="2" s="1"/>
  <c r="I222" i="2"/>
  <c r="K222" i="2" s="1"/>
  <c r="I223" i="2"/>
  <c r="K223" i="2" s="1"/>
  <c r="I224" i="2"/>
  <c r="K224" i="2" s="1"/>
  <c r="I225" i="2"/>
  <c r="I194" i="2"/>
  <c r="K194" i="2" s="1"/>
  <c r="I195" i="2"/>
  <c r="K195" i="2" s="1"/>
  <c r="I196" i="2"/>
  <c r="K196" i="2" s="1"/>
  <c r="I197" i="2"/>
  <c r="K197" i="2" s="1"/>
  <c r="I198" i="2"/>
  <c r="K198" i="2" s="1"/>
  <c r="I199" i="2"/>
  <c r="K199" i="2" s="1"/>
  <c r="I200" i="2"/>
  <c r="K200" i="2" s="1"/>
  <c r="I201" i="2"/>
  <c r="K201" i="2" s="1"/>
  <c r="I202" i="2"/>
  <c r="K202" i="2" s="1"/>
  <c r="I203" i="2"/>
  <c r="K203" i="2" s="1"/>
  <c r="I204" i="2"/>
  <c r="K204" i="2" s="1"/>
  <c r="I205" i="2"/>
  <c r="K205" i="2" s="1"/>
  <c r="I206" i="2"/>
  <c r="K206" i="2" s="1"/>
  <c r="I207" i="2"/>
  <c r="K207" i="2" s="1"/>
  <c r="I208" i="2"/>
  <c r="K208" i="2" s="1"/>
  <c r="I209" i="2"/>
  <c r="I178" i="2"/>
  <c r="J178" i="2" s="1"/>
  <c r="I179" i="2"/>
  <c r="K179" i="2" s="1"/>
  <c r="I180" i="2"/>
  <c r="K180" i="2" s="1"/>
  <c r="I181" i="2"/>
  <c r="K181" i="2" s="1"/>
  <c r="I182" i="2"/>
  <c r="K182" i="2" s="1"/>
  <c r="I183" i="2"/>
  <c r="K183" i="2" s="1"/>
  <c r="I184" i="2"/>
  <c r="K184" i="2" s="1"/>
  <c r="I185" i="2"/>
  <c r="K185" i="2" s="1"/>
  <c r="I186" i="2"/>
  <c r="K186" i="2" s="1"/>
  <c r="I187" i="2"/>
  <c r="K187" i="2" s="1"/>
  <c r="I188" i="2"/>
  <c r="K188" i="2" s="1"/>
  <c r="I189" i="2"/>
  <c r="K189" i="2" s="1"/>
  <c r="I190" i="2"/>
  <c r="K190" i="2" s="1"/>
  <c r="I191" i="2"/>
  <c r="K191" i="2" s="1"/>
  <c r="I192" i="2"/>
  <c r="K192" i="2" s="1"/>
  <c r="I193" i="2"/>
  <c r="K234" i="2" l="1"/>
  <c r="K230" i="2"/>
  <c r="K229" i="2"/>
  <c r="K228" i="2"/>
  <c r="K226" i="2"/>
  <c r="K233" i="2"/>
  <c r="K232" i="2"/>
  <c r="K231" i="2"/>
  <c r="K235" i="2"/>
  <c r="K227" i="2"/>
  <c r="J419" i="2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D28" i="4" s="1"/>
  <c r="J498" i="2"/>
  <c r="J499" i="2" s="1"/>
  <c r="J500" i="2" s="1"/>
  <c r="J501" i="2" s="1"/>
  <c r="J502" i="2" s="1"/>
  <c r="J503" i="2" s="1"/>
  <c r="J504" i="2" s="1"/>
  <c r="J505" i="2" s="1"/>
  <c r="J506" i="2" s="1"/>
  <c r="J507" i="2" s="1"/>
  <c r="J508" i="2" s="1"/>
  <c r="J509" i="2" s="1"/>
  <c r="J510" i="2" s="1"/>
  <c r="J511" i="2" s="1"/>
  <c r="J512" i="2" s="1"/>
  <c r="J513" i="2" s="1"/>
  <c r="D33" i="4" s="1"/>
  <c r="K418" i="2"/>
  <c r="J435" i="2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D29" i="4" s="1"/>
  <c r="K434" i="2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D36" i="4" s="1"/>
  <c r="J467" i="2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D31" i="4" s="1"/>
  <c r="K546" i="2"/>
  <c r="J387" i="2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D26" i="4" s="1"/>
  <c r="K466" i="2"/>
  <c r="J579" i="2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D38" i="4" s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D13" i="4" s="1"/>
  <c r="K386" i="2"/>
  <c r="K578" i="2"/>
  <c r="K178" i="2"/>
  <c r="J355" i="2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D24" i="4" s="1"/>
  <c r="K354" i="2"/>
  <c r="K452" i="2"/>
  <c r="J258" i="2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D18" i="4" s="1"/>
  <c r="J290" i="2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D20" i="4" s="1"/>
  <c r="J338" i="2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D23" i="4" s="1"/>
  <c r="J530" i="2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J545" i="2" s="1"/>
  <c r="D35" i="4" s="1"/>
  <c r="K245" i="2"/>
  <c r="J322" i="2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D22" i="4" s="1"/>
  <c r="J370" i="2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D25" i="4" s="1"/>
  <c r="J402" i="2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D27" i="4" s="1"/>
  <c r="J562" i="2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D37" i="4" s="1"/>
  <c r="J226" i="2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D16" i="4" s="1"/>
  <c r="J242" i="2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D17" i="4" s="1"/>
  <c r="K388" i="2"/>
  <c r="J450" i="2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D30" i="4" s="1"/>
  <c r="J594" i="2"/>
  <c r="J595" i="2" s="1"/>
  <c r="J596" i="2" s="1"/>
  <c r="J597" i="2" s="1"/>
  <c r="J598" i="2" s="1"/>
  <c r="J599" i="2" s="1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D39" i="4" s="1"/>
  <c r="J210" i="2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D15" i="4" s="1"/>
  <c r="J274" i="2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D19" i="4" s="1"/>
  <c r="K293" i="2"/>
  <c r="J482" i="2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D32" i="4" s="1"/>
  <c r="J514" i="2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D34" i="4" s="1"/>
  <c r="J194" i="2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D14" i="4" s="1"/>
  <c r="K484" i="2"/>
  <c r="J307" i="2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D21" i="4" s="1"/>
  <c r="K564" i="2"/>
  <c r="K548" i="2"/>
  <c r="K516" i="2"/>
  <c r="K372" i="2"/>
  <c r="K306" i="2"/>
  <c r="I164" i="2" l="1"/>
  <c r="K164" i="2" s="1"/>
  <c r="I162" i="2"/>
  <c r="K162" i="2" s="1"/>
  <c r="I163" i="2"/>
  <c r="K163" i="2" s="1"/>
  <c r="I165" i="2"/>
  <c r="I166" i="2"/>
  <c r="K166" i="2" s="1"/>
  <c r="I167" i="2"/>
  <c r="K167" i="2" s="1"/>
  <c r="I168" i="2"/>
  <c r="K168" i="2" s="1"/>
  <c r="I169" i="2"/>
  <c r="K169" i="2" s="1"/>
  <c r="I170" i="2"/>
  <c r="K170" i="2" s="1"/>
  <c r="I171" i="2"/>
  <c r="K171" i="2" s="1"/>
  <c r="I172" i="2"/>
  <c r="K172" i="2" s="1"/>
  <c r="I173" i="2"/>
  <c r="K173" i="2" s="1"/>
  <c r="I174" i="2"/>
  <c r="K174" i="2" s="1"/>
  <c r="I175" i="2"/>
  <c r="K175" i="2" s="1"/>
  <c r="I176" i="2"/>
  <c r="K176" i="2" s="1"/>
  <c r="I177" i="2"/>
  <c r="I146" i="2"/>
  <c r="K146" i="2" s="1"/>
  <c r="I147" i="2"/>
  <c r="K147" i="2" s="1"/>
  <c r="I148" i="2"/>
  <c r="I149" i="2"/>
  <c r="K149" i="2" s="1"/>
  <c r="I150" i="2"/>
  <c r="K150" i="2" s="1"/>
  <c r="I151" i="2"/>
  <c r="K151" i="2" s="1"/>
  <c r="I152" i="2"/>
  <c r="K152" i="2" s="1"/>
  <c r="I153" i="2"/>
  <c r="K153" i="2" s="1"/>
  <c r="I154" i="2"/>
  <c r="K154" i="2" s="1"/>
  <c r="I155" i="2"/>
  <c r="K155" i="2" s="1"/>
  <c r="I156" i="2"/>
  <c r="K156" i="2" s="1"/>
  <c r="I157" i="2"/>
  <c r="K157" i="2" s="1"/>
  <c r="I158" i="2"/>
  <c r="K158" i="2" s="1"/>
  <c r="I159" i="2"/>
  <c r="K159" i="2" s="1"/>
  <c r="I160" i="2"/>
  <c r="I161" i="2"/>
  <c r="I114" i="2"/>
  <c r="J114" i="2" s="1"/>
  <c r="I115" i="2"/>
  <c r="K115" i="2" s="1"/>
  <c r="I116" i="2"/>
  <c r="K116" i="2" s="1"/>
  <c r="I117" i="2"/>
  <c r="K117" i="2" s="1"/>
  <c r="I118" i="2"/>
  <c r="K118" i="2" s="1"/>
  <c r="I119" i="2"/>
  <c r="K119" i="2" s="1"/>
  <c r="I120" i="2"/>
  <c r="K120" i="2" s="1"/>
  <c r="I121" i="2"/>
  <c r="K121" i="2" s="1"/>
  <c r="I122" i="2"/>
  <c r="K122" i="2" s="1"/>
  <c r="I123" i="2"/>
  <c r="K123" i="2" s="1"/>
  <c r="I124" i="2"/>
  <c r="K124" i="2" s="1"/>
  <c r="I125" i="2"/>
  <c r="K125" i="2" s="1"/>
  <c r="I126" i="2"/>
  <c r="K126" i="2" s="1"/>
  <c r="I127" i="2"/>
  <c r="K127" i="2" s="1"/>
  <c r="I128" i="2"/>
  <c r="K128" i="2" s="1"/>
  <c r="I129" i="2"/>
  <c r="K129" i="2" s="1"/>
  <c r="I98" i="2"/>
  <c r="K98" i="2" s="1"/>
  <c r="I99" i="2"/>
  <c r="K99" i="2" s="1"/>
  <c r="I100" i="2"/>
  <c r="K100" i="2" s="1"/>
  <c r="I101" i="2"/>
  <c r="I102" i="2"/>
  <c r="K102" i="2" s="1"/>
  <c r="I103" i="2"/>
  <c r="K103" i="2" s="1"/>
  <c r="I104" i="2"/>
  <c r="K104" i="2" s="1"/>
  <c r="I105" i="2"/>
  <c r="K105" i="2" s="1"/>
  <c r="I106" i="2"/>
  <c r="K106" i="2" s="1"/>
  <c r="I107" i="2"/>
  <c r="K107" i="2" s="1"/>
  <c r="I108" i="2"/>
  <c r="K108" i="2" s="1"/>
  <c r="I109" i="2"/>
  <c r="K109" i="2" s="1"/>
  <c r="I110" i="2"/>
  <c r="K110" i="2" s="1"/>
  <c r="I111" i="2"/>
  <c r="K111" i="2" s="1"/>
  <c r="I112" i="2"/>
  <c r="K112" i="2" s="1"/>
  <c r="I113" i="2"/>
  <c r="I84" i="2"/>
  <c r="K84" i="2" s="1"/>
  <c r="I85" i="2"/>
  <c r="K85" i="2" s="1"/>
  <c r="I86" i="2"/>
  <c r="K86" i="2" s="1"/>
  <c r="I87" i="2"/>
  <c r="K87" i="2" s="1"/>
  <c r="I88" i="2"/>
  <c r="K88" i="2" s="1"/>
  <c r="I89" i="2"/>
  <c r="K89" i="2" s="1"/>
  <c r="I90" i="2"/>
  <c r="K90" i="2" s="1"/>
  <c r="I91" i="2"/>
  <c r="K91" i="2" s="1"/>
  <c r="I92" i="2"/>
  <c r="K92" i="2" s="1"/>
  <c r="I93" i="2"/>
  <c r="K93" i="2" s="1"/>
  <c r="I94" i="2"/>
  <c r="K94" i="2" s="1"/>
  <c r="I95" i="2"/>
  <c r="K95" i="2" s="1"/>
  <c r="I96" i="2"/>
  <c r="K96" i="2" s="1"/>
  <c r="I97" i="2"/>
  <c r="I82" i="2"/>
  <c r="K82" i="2" s="1"/>
  <c r="I83" i="2"/>
  <c r="K83" i="2" s="1"/>
  <c r="I66" i="2"/>
  <c r="K66" i="2" s="1"/>
  <c r="I67" i="2"/>
  <c r="K67" i="2" s="1"/>
  <c r="I68" i="2"/>
  <c r="K68" i="2" s="1"/>
  <c r="I69" i="2"/>
  <c r="K69" i="2" s="1"/>
  <c r="I70" i="2"/>
  <c r="K70" i="2" s="1"/>
  <c r="I71" i="2"/>
  <c r="K71" i="2" s="1"/>
  <c r="I72" i="2"/>
  <c r="K72" i="2" s="1"/>
  <c r="I73" i="2"/>
  <c r="K73" i="2" s="1"/>
  <c r="I74" i="2"/>
  <c r="K74" i="2" s="1"/>
  <c r="I75" i="2"/>
  <c r="K75" i="2" s="1"/>
  <c r="I76" i="2"/>
  <c r="K76" i="2" s="1"/>
  <c r="I77" i="2"/>
  <c r="K77" i="2" s="1"/>
  <c r="I78" i="2"/>
  <c r="K78" i="2" s="1"/>
  <c r="I79" i="2"/>
  <c r="K79" i="2" s="1"/>
  <c r="I80" i="2"/>
  <c r="K80" i="2" s="1"/>
  <c r="I81" i="2"/>
  <c r="K81" i="2" s="1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34" i="2"/>
  <c r="I22" i="2"/>
  <c r="I23" i="2"/>
  <c r="I24" i="2"/>
  <c r="I25" i="2"/>
  <c r="I26" i="2"/>
  <c r="I27" i="2"/>
  <c r="I28" i="2"/>
  <c r="I29" i="2"/>
  <c r="I30" i="2"/>
  <c r="I31" i="2"/>
  <c r="I32" i="2"/>
  <c r="I33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2" i="2"/>
  <c r="I19" i="2"/>
  <c r="I20" i="2"/>
  <c r="I21" i="2"/>
  <c r="I18" i="2"/>
  <c r="J18" i="2" l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D3" i="4" s="1"/>
  <c r="K29" i="2"/>
  <c r="J34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D4" i="4" s="1"/>
  <c r="K42" i="2"/>
  <c r="K21" i="2"/>
  <c r="K28" i="2"/>
  <c r="K49" i="2"/>
  <c r="K41" i="2"/>
  <c r="K20" i="2"/>
  <c r="K27" i="2"/>
  <c r="K48" i="2"/>
  <c r="K40" i="2"/>
  <c r="K19" i="2"/>
  <c r="K26" i="2"/>
  <c r="K47" i="2"/>
  <c r="K39" i="2"/>
  <c r="K33" i="2"/>
  <c r="K25" i="2"/>
  <c r="K46" i="2"/>
  <c r="K38" i="2"/>
  <c r="K32" i="2"/>
  <c r="K24" i="2"/>
  <c r="K45" i="2"/>
  <c r="K37" i="2"/>
  <c r="K31" i="2"/>
  <c r="K23" i="2"/>
  <c r="K44" i="2"/>
  <c r="K36" i="2"/>
  <c r="K30" i="2"/>
  <c r="K22" i="2"/>
  <c r="K43" i="2"/>
  <c r="K35" i="2"/>
  <c r="K14" i="2"/>
  <c r="K6" i="2"/>
  <c r="K13" i="2"/>
  <c r="K5" i="2"/>
  <c r="K12" i="2"/>
  <c r="K4" i="2"/>
  <c r="K11" i="2"/>
  <c r="K10" i="2"/>
  <c r="K17" i="2"/>
  <c r="K9" i="2"/>
  <c r="K16" i="2"/>
  <c r="K8" i="2"/>
  <c r="K15" i="2"/>
  <c r="K7" i="2"/>
  <c r="J82" i="2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D7" i="4" s="1"/>
  <c r="J115" i="2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D9" i="4" s="1"/>
  <c r="K114" i="2"/>
  <c r="J162" i="2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D12" i="4" s="1"/>
  <c r="K101" i="2"/>
  <c r="J146" i="2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D11" i="4" s="1"/>
  <c r="J98" i="2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D8" i="4" s="1"/>
  <c r="K148" i="2"/>
  <c r="K165" i="2"/>
  <c r="J66" i="2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D6" i="4" s="1"/>
  <c r="K3" i="2"/>
  <c r="K2" i="2"/>
  <c r="K18" i="2"/>
  <c r="K34" i="2"/>
  <c r="J2" i="2"/>
  <c r="J3" i="2" s="1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D2" i="4" s="1"/>
</calcChain>
</file>

<file path=xl/sharedStrings.xml><?xml version="1.0" encoding="utf-8"?>
<sst xmlns="http://schemas.openxmlformats.org/spreadsheetml/2006/main" count="10636" uniqueCount="420">
  <si>
    <t>MOTIVADORAS</t>
  </si>
  <si>
    <t>BRILLANTES</t>
  </si>
  <si>
    <t>GRUPO</t>
  </si>
  <si>
    <t>ID</t>
  </si>
  <si>
    <t>000002</t>
  </si>
  <si>
    <t>000001</t>
  </si>
  <si>
    <t>000003</t>
  </si>
  <si>
    <t>ACEITUNAS DE COCKTAIL</t>
  </si>
  <si>
    <t>TUTTY FRATELLY</t>
  </si>
  <si>
    <t>000005</t>
  </si>
  <si>
    <t>000007</t>
  </si>
  <si>
    <t>NUEVO COMIENZO</t>
  </si>
  <si>
    <t>000006</t>
  </si>
  <si>
    <t>LINDAS</t>
  </si>
  <si>
    <t>AHORRO ACUMULADO</t>
  </si>
  <si>
    <t>000008</t>
  </si>
  <si>
    <t>LIDERES UNIDOS</t>
  </si>
  <si>
    <t>000009</t>
  </si>
  <si>
    <t>ESPERANZA</t>
  </si>
  <si>
    <t>000010</t>
  </si>
  <si>
    <t>FRESITAS</t>
  </si>
  <si>
    <t>000011</t>
  </si>
  <si>
    <t>ECHEGUREN</t>
  </si>
  <si>
    <t>000012</t>
  </si>
  <si>
    <t>ESTRELLA</t>
  </si>
  <si>
    <t>000013</t>
  </si>
  <si>
    <t>SAN PEDRO</t>
  </si>
  <si>
    <t>000015</t>
  </si>
  <si>
    <t>GLADIOLAS</t>
  </si>
  <si>
    <t>MARGARITAS</t>
  </si>
  <si>
    <t>000016</t>
  </si>
  <si>
    <t>000017</t>
  </si>
  <si>
    <t>XOLOC</t>
  </si>
  <si>
    <t xml:space="preserve">000018 </t>
  </si>
  <si>
    <t>CRISTAL</t>
  </si>
  <si>
    <t>CERECITAS</t>
  </si>
  <si>
    <t>000020</t>
  </si>
  <si>
    <t>000022</t>
  </si>
  <si>
    <t>HACHI</t>
  </si>
  <si>
    <t>000026</t>
  </si>
  <si>
    <t>000025</t>
  </si>
  <si>
    <t>EXITOSAS DE SAN JUAN</t>
  </si>
  <si>
    <t>ANDROMEDA</t>
  </si>
  <si>
    <t>CAMPEONAS</t>
  </si>
  <si>
    <t>000028</t>
  </si>
  <si>
    <t>000029</t>
  </si>
  <si>
    <t>MOYSEN</t>
  </si>
  <si>
    <t>000030</t>
  </si>
  <si>
    <t>FLORECITAS</t>
  </si>
  <si>
    <t>000031</t>
  </si>
  <si>
    <t>NUEVA LUZ</t>
  </si>
  <si>
    <t>000032</t>
  </si>
  <si>
    <t>LOS EFECTIVOS</t>
  </si>
  <si>
    <t>000033</t>
  </si>
  <si>
    <t>CUPIDO</t>
  </si>
  <si>
    <t>000034</t>
  </si>
  <si>
    <t>SONRISA</t>
  </si>
  <si>
    <t>000035</t>
  </si>
  <si>
    <t>2 DE ABRIL</t>
  </si>
  <si>
    <t xml:space="preserve">000036 </t>
  </si>
  <si>
    <t>GARDENIAS</t>
  </si>
  <si>
    <t>000037</t>
  </si>
  <si>
    <t>FANTASTICAS</t>
  </si>
  <si>
    <t>COMETAS</t>
  </si>
  <si>
    <t>000039</t>
  </si>
  <si>
    <t>000040</t>
  </si>
  <si>
    <t>CACHU</t>
  </si>
  <si>
    <t>000041</t>
  </si>
  <si>
    <t>PUERTA DE ORO</t>
  </si>
  <si>
    <t>000042</t>
  </si>
  <si>
    <t>MARIPOSAS</t>
  </si>
  <si>
    <t>000043</t>
  </si>
  <si>
    <t>ADELITA</t>
  </si>
  <si>
    <t>ALAMOS DEL MARISCAL</t>
  </si>
  <si>
    <t>000044</t>
  </si>
  <si>
    <t>000045</t>
  </si>
  <si>
    <t>LEONIDAS 1</t>
  </si>
  <si>
    <t>000046</t>
  </si>
  <si>
    <t>LOS PEQUES</t>
  </si>
  <si>
    <t>000047</t>
  </si>
  <si>
    <t>KIRA</t>
  </si>
  <si>
    <t>000048</t>
  </si>
  <si>
    <t>UNA LUZ EN MI CAMINO</t>
  </si>
  <si>
    <t>000049</t>
  </si>
  <si>
    <t>LOS SOLTERONES</t>
  </si>
  <si>
    <t>000050</t>
  </si>
  <si>
    <t>BUGAMBILIAS</t>
  </si>
  <si>
    <t>MIS ANGELITOS</t>
  </si>
  <si>
    <t>000051</t>
  </si>
  <si>
    <t>000052</t>
  </si>
  <si>
    <t>LAS TORRES</t>
  </si>
  <si>
    <t>000053</t>
  </si>
  <si>
    <t>PATRICIA</t>
  </si>
  <si>
    <t>000054</t>
  </si>
  <si>
    <t>VALIENTES</t>
  </si>
  <si>
    <t>000055</t>
  </si>
  <si>
    <t>MAGIA</t>
  </si>
  <si>
    <t>000056</t>
  </si>
  <si>
    <t>PASTELITOS Y PANQUESITOS</t>
  </si>
  <si>
    <t>000057</t>
  </si>
  <si>
    <t>TRIUNFADORAS</t>
  </si>
  <si>
    <t>000058</t>
  </si>
  <si>
    <t>HERMOSAS FLORES</t>
  </si>
  <si>
    <t>000059</t>
  </si>
  <si>
    <t>GABANNA</t>
  </si>
  <si>
    <t xml:space="preserve">000060 </t>
  </si>
  <si>
    <t>DIAMANTES</t>
  </si>
  <si>
    <t>GRANDES SUEÑOS</t>
  </si>
  <si>
    <t>000061</t>
  </si>
  <si>
    <t>000062</t>
  </si>
  <si>
    <t>TREBOL</t>
  </si>
  <si>
    <t>000063</t>
  </si>
  <si>
    <t>FATY</t>
  </si>
  <si>
    <t>000064</t>
  </si>
  <si>
    <t>TREBOLES</t>
  </si>
  <si>
    <t>000065</t>
  </si>
  <si>
    <t>APOYATE EN MI</t>
  </si>
  <si>
    <t>000066</t>
  </si>
  <si>
    <t>ALCATRAZ</t>
  </si>
  <si>
    <t>000067</t>
  </si>
  <si>
    <t>LOS DEL VALLE</t>
  </si>
  <si>
    <t>000069</t>
  </si>
  <si>
    <t>LAS DIVINAS</t>
  </si>
  <si>
    <t>000070</t>
  </si>
  <si>
    <t>PINOS</t>
  </si>
  <si>
    <t>000071</t>
  </si>
  <si>
    <t>MUJERES IMPARABLES</t>
  </si>
  <si>
    <t>000072</t>
  </si>
  <si>
    <t>LOS GALINDO</t>
  </si>
  <si>
    <t>000073</t>
  </si>
  <si>
    <t>LENTEJUELAS</t>
  </si>
  <si>
    <t>000074</t>
  </si>
  <si>
    <t>000075</t>
  </si>
  <si>
    <t>000076</t>
  </si>
  <si>
    <t>000077</t>
  </si>
  <si>
    <t>000078</t>
  </si>
  <si>
    <t>000079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</si>
  <si>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</si>
  <si>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</si>
  <si>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</si>
  <si>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</si>
  <si>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</si>
  <si>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</si>
  <si>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</si>
  <si>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</si>
  <si>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GALERIAS</t>
  </si>
  <si>
    <t>CANELA</t>
  </si>
  <si>
    <t>JACALONES</t>
  </si>
  <si>
    <t>VORTICE</t>
  </si>
  <si>
    <t>SERPENTINA</t>
  </si>
  <si>
    <t>LAS ESTRELLAS</t>
  </si>
  <si>
    <t>REYNAS</t>
  </si>
  <si>
    <t xml:space="preserve">000080 </t>
  </si>
  <si>
    <t>CATALEYA</t>
  </si>
  <si>
    <t>INDEPENDENCIA</t>
  </si>
  <si>
    <t>SWEET CANDY</t>
  </si>
  <si>
    <t>METATRON</t>
  </si>
  <si>
    <t>VECINOS</t>
  </si>
  <si>
    <t>NUEVO AMANECER</t>
  </si>
  <si>
    <t>000089</t>
  </si>
  <si>
    <t>LUNA</t>
  </si>
  <si>
    <t>000091</t>
  </si>
  <si>
    <t>CHICAS TEZOMPA</t>
  </si>
  <si>
    <t>000093</t>
  </si>
  <si>
    <t>000094</t>
  </si>
  <si>
    <t>000095</t>
  </si>
  <si>
    <t>PALOMAS MENSAJERAS</t>
  </si>
  <si>
    <t>BIENVENIDOS</t>
  </si>
  <si>
    <t>JARDINES</t>
  </si>
  <si>
    <t>000096</t>
  </si>
  <si>
    <t>INVICTUS</t>
  </si>
  <si>
    <t>000098</t>
  </si>
  <si>
    <t>000101</t>
  </si>
  <si>
    <t>000102</t>
  </si>
  <si>
    <t>000103</t>
  </si>
  <si>
    <t>000104</t>
  </si>
  <si>
    <t>000105</t>
  </si>
  <si>
    <t>FORTALEZA</t>
  </si>
  <si>
    <t>MARAVILLA</t>
  </si>
  <si>
    <t>PEONIAS</t>
  </si>
  <si>
    <t>DUBAI</t>
  </si>
  <si>
    <t>PRECIOSAS</t>
  </si>
  <si>
    <t>CASCADA DE LUZ</t>
  </si>
  <si>
    <t>FLOR DE LIZ</t>
  </si>
  <si>
    <t>000106</t>
  </si>
  <si>
    <t>000107</t>
  </si>
  <si>
    <t>000108</t>
  </si>
  <si>
    <t>000109</t>
  </si>
  <si>
    <t>000110</t>
  </si>
  <si>
    <t>000111</t>
  </si>
  <si>
    <t>000112</t>
  </si>
  <si>
    <t>SAN PABLO</t>
  </si>
  <si>
    <t>CORAZON PARTIDO</t>
  </si>
  <si>
    <t>LAS MOSQUETERAS</t>
  </si>
  <si>
    <t>MORITA</t>
  </si>
  <si>
    <t>SANTA MARIA</t>
  </si>
  <si>
    <t>HALCONES</t>
  </si>
  <si>
    <t>000090</t>
  </si>
  <si>
    <t>LOS MISMOS DE SIEMPRE</t>
  </si>
  <si>
    <t>000114</t>
  </si>
  <si>
    <t>PIRAMIDE</t>
  </si>
  <si>
    <t>000116</t>
  </si>
  <si>
    <t>SANDIA</t>
  </si>
  <si>
    <t>000120</t>
  </si>
  <si>
    <t>000115</t>
  </si>
  <si>
    <t>LA CRUZ</t>
  </si>
  <si>
    <t>LAS COMADRES</t>
  </si>
  <si>
    <t>000097</t>
  </si>
  <si>
    <t>LAS BELLAS</t>
  </si>
  <si>
    <t>000124</t>
  </si>
  <si>
    <t>ESTRELLAS</t>
  </si>
  <si>
    <t>000125</t>
  </si>
  <si>
    <t>000126</t>
  </si>
  <si>
    <t>000127</t>
  </si>
  <si>
    <t>000128</t>
  </si>
  <si>
    <t>000129</t>
  </si>
  <si>
    <t>000130</t>
  </si>
  <si>
    <t>000131</t>
  </si>
  <si>
    <t>000132</t>
  </si>
  <si>
    <t>000133</t>
  </si>
  <si>
    <t>000123</t>
  </si>
  <si>
    <t>REBELDES</t>
  </si>
  <si>
    <t>000119</t>
  </si>
  <si>
    <t>ALIADAS</t>
  </si>
  <si>
    <t>000121</t>
  </si>
  <si>
    <t>000122</t>
  </si>
  <si>
    <t>000113</t>
  </si>
  <si>
    <t>DIAMANTINA</t>
  </si>
  <si>
    <t>000117</t>
  </si>
  <si>
    <t>GUERREROS DJ</t>
  </si>
  <si>
    <t>HOROSCOPOS</t>
  </si>
  <si>
    <t>LAS FLORECITAS</t>
  </si>
  <si>
    <t>CENTENARIOS</t>
  </si>
  <si>
    <t>LOS TRIUNFADORES</t>
  </si>
  <si>
    <t>LUPITA</t>
  </si>
  <si>
    <t>REENCUENTRO</t>
  </si>
  <si>
    <t>CALENDARIAS 2</t>
  </si>
  <si>
    <t>ARRAYANES</t>
  </si>
  <si>
    <t>000137</t>
  </si>
  <si>
    <t>LOS CAPIBARAS</t>
  </si>
  <si>
    <t>000136</t>
  </si>
  <si>
    <t>000135</t>
  </si>
  <si>
    <t>ARANDANOS</t>
  </si>
  <si>
    <t>000138</t>
  </si>
  <si>
    <t>XIMENA</t>
  </si>
  <si>
    <t>000139</t>
  </si>
  <si>
    <t>LAS VENENOSAS</t>
  </si>
  <si>
    <t>000140</t>
  </si>
  <si>
    <t>000141</t>
  </si>
  <si>
    <t>000142</t>
  </si>
  <si>
    <t>000143</t>
  </si>
  <si>
    <t>000145</t>
  </si>
  <si>
    <t>TRIBU</t>
  </si>
  <si>
    <t>IZORA</t>
  </si>
  <si>
    <t>GRUPO GIRASOL</t>
  </si>
  <si>
    <t>RENACER</t>
  </si>
  <si>
    <t>EMPRENDEDORAS</t>
  </si>
  <si>
    <t>COACALCO</t>
  </si>
  <si>
    <t>000118</t>
  </si>
  <si>
    <t>COLIBRI</t>
  </si>
  <si>
    <t>000146</t>
  </si>
  <si>
    <t>TEPIC</t>
  </si>
  <si>
    <t>000147</t>
  </si>
  <si>
    <t>000148</t>
  </si>
  <si>
    <t>000149</t>
  </si>
  <si>
    <t>000150</t>
  </si>
  <si>
    <t>CHERRY</t>
  </si>
  <si>
    <t>LA LOMA</t>
  </si>
  <si>
    <t>ESTRELLITAS</t>
  </si>
  <si>
    <t>FECHA DEL DEPOSITO</t>
  </si>
  <si>
    <t>TOTAL DEPOSITO</t>
  </si>
  <si>
    <t>PAGO CONCILIADO</t>
  </si>
  <si>
    <t>AHORRO INGRESADO</t>
  </si>
  <si>
    <t>% AHORRO INGRESADO</t>
  </si>
  <si>
    <t>CICLO</t>
  </si>
  <si>
    <t>01</t>
  </si>
  <si>
    <t>SEM</t>
  </si>
  <si>
    <t>ACUMULADO AHORRO</t>
  </si>
  <si>
    <t>PARCIALIDAD A PAGAR</t>
  </si>
  <si>
    <t>DIFERENCIA DE PAGO</t>
  </si>
  <si>
    <t>000154</t>
  </si>
  <si>
    <t>INDESTRUCTIBLES</t>
  </si>
  <si>
    <t>ORTIZ</t>
  </si>
  <si>
    <t>000159</t>
  </si>
  <si>
    <t>000151</t>
  </si>
  <si>
    <t>PLATINO</t>
  </si>
  <si>
    <t>000158</t>
  </si>
  <si>
    <t>TULIPANES</t>
  </si>
  <si>
    <t>000152</t>
  </si>
  <si>
    <t>ANGELES</t>
  </si>
  <si>
    <t>000153</t>
  </si>
  <si>
    <t>PANTERAS</t>
  </si>
  <si>
    <t>000156</t>
  </si>
  <si>
    <t>000157</t>
  </si>
  <si>
    <t>YUGOSLAVIA</t>
  </si>
  <si>
    <t>000160</t>
  </si>
  <si>
    <t>AZUCENAS</t>
  </si>
  <si>
    <t>000161</t>
  </si>
  <si>
    <t>JOYAS DEL TRIUNFO</t>
  </si>
  <si>
    <t>000166</t>
  </si>
  <si>
    <t>MUJERES TRABAJADORAS</t>
  </si>
  <si>
    <t>AURORA</t>
  </si>
  <si>
    <t>000164</t>
  </si>
  <si>
    <t>000162</t>
  </si>
  <si>
    <t>MARAGARITAS</t>
  </si>
  <si>
    <t>000163</t>
  </si>
  <si>
    <t>GOYITA</t>
  </si>
  <si>
    <t>000165</t>
  </si>
  <si>
    <t>MARAVILLAS</t>
  </si>
  <si>
    <t>HORTENSIAS</t>
  </si>
  <si>
    <t>000167</t>
  </si>
  <si>
    <t>000168</t>
  </si>
  <si>
    <t>000169</t>
  </si>
  <si>
    <t>LA GUADALUPANA</t>
  </si>
  <si>
    <t>000170</t>
  </si>
  <si>
    <t>FORTALEZA TECAMAC</t>
  </si>
  <si>
    <t>02 ORO</t>
  </si>
  <si>
    <t>000171</t>
  </si>
  <si>
    <t>000172</t>
  </si>
  <si>
    <t>TROYA</t>
  </si>
  <si>
    <t>000174</t>
  </si>
  <si>
    <t>000175</t>
  </si>
  <si>
    <t>000179</t>
  </si>
  <si>
    <t>000180</t>
  </si>
  <si>
    <t>000181</t>
  </si>
  <si>
    <t>000182</t>
  </si>
  <si>
    <t>000183</t>
  </si>
  <si>
    <t>000184</t>
  </si>
  <si>
    <t>000185</t>
  </si>
  <si>
    <t>ARBOLEDAS</t>
  </si>
  <si>
    <t>LIBELULAS</t>
  </si>
  <si>
    <t>TOVARCITO</t>
  </si>
  <si>
    <t>GARITA</t>
  </si>
  <si>
    <t>ZULA</t>
  </si>
  <si>
    <t>GRUPO ANGEL</t>
  </si>
  <si>
    <t>TULIPANES ECATEPEC</t>
  </si>
  <si>
    <t>LAS SOÑADORAS</t>
  </si>
  <si>
    <t>JOB</t>
  </si>
  <si>
    <t>000186</t>
  </si>
  <si>
    <t>VENUS</t>
  </si>
  <si>
    <t>000187</t>
  </si>
  <si>
    <t>LA ANTORCHA</t>
  </si>
  <si>
    <t>000188</t>
  </si>
  <si>
    <t>000189</t>
  </si>
  <si>
    <t>000190</t>
  </si>
  <si>
    <t>000191</t>
  </si>
  <si>
    <t>000192</t>
  </si>
  <si>
    <t>000193</t>
  </si>
  <si>
    <t>000194</t>
  </si>
  <si>
    <t>000195</t>
  </si>
  <si>
    <t>000196</t>
  </si>
  <si>
    <t>000197</t>
  </si>
  <si>
    <t>000198</t>
  </si>
  <si>
    <t>000199</t>
  </si>
  <si>
    <t>000200</t>
  </si>
  <si>
    <t>000201</t>
  </si>
  <si>
    <t>000202</t>
  </si>
  <si>
    <t>000203</t>
  </si>
  <si>
    <t>000204</t>
  </si>
  <si>
    <t>000205</t>
  </si>
  <si>
    <t>000206</t>
  </si>
  <si>
    <t>000207</t>
  </si>
  <si>
    <t>000209</t>
  </si>
  <si>
    <t>000210</t>
  </si>
  <si>
    <t>000211</t>
  </si>
  <si>
    <t>000212</t>
  </si>
  <si>
    <t>000213</t>
  </si>
  <si>
    <t>000214</t>
  </si>
  <si>
    <t>000215</t>
  </si>
  <si>
    <t>000216</t>
  </si>
  <si>
    <t>SAN FRANCISCO</t>
  </si>
  <si>
    <t>LOS SOLIDARIOS DEL VALLE</t>
  </si>
  <si>
    <t>LAS AITANAS</t>
  </si>
  <si>
    <t>COLIBRIS</t>
  </si>
  <si>
    <t>PERLA</t>
  </si>
  <si>
    <t>LOS EXITOSOS</t>
  </si>
  <si>
    <t>NUEVO RENACER</t>
  </si>
  <si>
    <t>ROOMIES DE VILLAS</t>
  </si>
  <si>
    <t>SOL</t>
  </si>
  <si>
    <t>ELOHIM</t>
  </si>
  <si>
    <t>GENESIS</t>
  </si>
  <si>
    <t>EL SUEÑO</t>
  </si>
  <si>
    <t>JUQUILA</t>
  </si>
  <si>
    <t>CONSTRUYENDO EL FUTURO</t>
  </si>
  <si>
    <t>ANGELES DE CHARLY</t>
  </si>
  <si>
    <t>AGUILAS</t>
  </si>
  <si>
    <t>PALMITAS</t>
  </si>
  <si>
    <t>SAN RAFAEL</t>
  </si>
  <si>
    <t>BOMBONES</t>
  </si>
  <si>
    <t>LAS LUNAS</t>
  </si>
  <si>
    <t>LA NOPALERA</t>
  </si>
  <si>
    <t>UNICORNIO</t>
  </si>
  <si>
    <t>LAS REBELDES</t>
  </si>
  <si>
    <t>EUROPEOS</t>
  </si>
  <si>
    <t>ABUNDANCIA</t>
  </si>
  <si>
    <t>SANTA CECILIA</t>
  </si>
  <si>
    <t>000176</t>
  </si>
  <si>
    <t>AHORROS APLICADOS</t>
  </si>
  <si>
    <t>BASE APLICADA</t>
  </si>
  <si>
    <t>DESCUENTO DE ULTIMO PAGO</t>
  </si>
  <si>
    <t>000178</t>
  </si>
  <si>
    <t>MICTLAN</t>
  </si>
  <si>
    <t>SE DESCONTO ESTE PAGO</t>
  </si>
  <si>
    <t>SE APLICO DEPOSITO</t>
  </si>
  <si>
    <t>SE APLICARON AHORROS</t>
  </si>
  <si>
    <t>SE APLICO AHORROS</t>
  </si>
  <si>
    <t>000217</t>
  </si>
  <si>
    <t>000218</t>
  </si>
  <si>
    <t>000219</t>
  </si>
  <si>
    <t>000220</t>
  </si>
  <si>
    <t>000221</t>
  </si>
  <si>
    <t>000222</t>
  </si>
  <si>
    <t>000223</t>
  </si>
  <si>
    <t>000224</t>
  </si>
  <si>
    <t>DIAMANTE</t>
  </si>
  <si>
    <t>DESPERTAR</t>
  </si>
  <si>
    <t>LOS REYES</t>
  </si>
  <si>
    <t>ANTURIOS 2</t>
  </si>
  <si>
    <t>MORITAS</t>
  </si>
  <si>
    <t>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</si>
</sst>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0">
    <xf numFmtId="0" fontId="0" fillId="0" borderId="0" xfId="0"/>
    <xf numFmtId="4" fontId="0" fillId="0" borderId="0" xfId="0" applyNumberFormat="1"/>
    <xf numFmtId="49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1" xfId="0" applyBorder="1"/>
    <xf numFmtId="4" fontId="0" fillId="0" borderId="1" xfId="0" applyNumberFormat="1" applyBorder="1"/>
    <xf numFmtId="10" fontId="2" fillId="0" borderId="0" xfId="1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49" fontId="0" fillId="0" borderId="2" xfId="0" applyNumberFormat="1" applyBorder="1"/>
    <xf numFmtId="0" fontId="0" fillId="0" borderId="2" xfId="0" applyBorder="1"/>
    <xf numFmtId="0" fontId="0" fillId="0" borderId="2" xfId="0" applyBorder="1" applyAlignment="1">
      <alignment horizontal="center"/>
    </xf>
    <xf numFmtId="4" fontId="0" fillId="0" borderId="2" xfId="0" applyNumberFormat="1" applyBorder="1"/>
    <xf numFmtId="10" fontId="2" fillId="0" borderId="2" xfId="1" applyNumberFormat="1" applyFont="1" applyBorder="1" applyAlignment="1">
      <alignment horizontal="center"/>
    </xf>
    <xf numFmtId="10" fontId="2" fillId="0" borderId="0" xfId="1" applyNumberFormat="1" applyFont="1" applyBorder="1" applyAlignment="1">
      <alignment horizontal="center"/>
    </xf>
    <xf numFmtId="49" fontId="0" fillId="0" borderId="1" xfId="0" applyNumberFormat="1" applyBorder="1"/>
    <xf numFmtId="2" fontId="0" fillId="0" borderId="0" xfId="0" applyNumberFormat="1"/>
    <xf numFmtId="49" fontId="1" fillId="2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2" fontId="0" fillId="0" borderId="2" xfId="0" applyNumberFormat="1" applyBorder="1"/>
    <xf numFmtId="0" fontId="0" fillId="0" borderId="0" xfId="0" applyAlignment="1">
      <alignment horizontal="right"/>
    </xf>
    <xf numFmtId="14" fontId="0" fillId="0" borderId="2" xfId="0" applyNumberFormat="1" applyBorder="1"/>
    <xf numFmtId="14" fontId="0" fillId="3" borderId="0" xfId="0" applyNumberFormat="1" applyFill="1"/>
    <xf numFmtId="4" fontId="0" fillId="3" borderId="0" xfId="0" applyNumberFormat="1" applyFill="1"/>
    <xf numFmtId="2" fontId="0" fillId="3" borderId="2" xfId="0" applyNumberFormat="1" applyFill="1" applyBorder="1"/>
    <xf numFmtId="4" fontId="0" fillId="3" borderId="0" xfId="0" applyNumberFormat="1" applyFill="1" applyAlignment="1">
      <alignment horizontal="center"/>
    </xf>
    <xf numFmtId="49" fontId="0" fillId="0" borderId="0" xfId="0" applyNumberFormat="1"/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0" borderId="0" xfId="0" applyBorder="1"/>
    <xf numFmtId="49" fontId="0" fillId="0" borderId="0" xfId="0" applyNumberFormat="1" applyBorder="1" applyAlignment="1">
      <alignment horizontal="center"/>
    </xf>
    <xf numFmtId="4" fontId="0" fillId="0" borderId="0" xfId="0" applyNumberFormat="1" applyBorder="1"/>
    <xf numFmtId="4" fontId="0" fillId="4" borderId="0" xfId="0" applyNumberFormat="1" applyFill="1"/>
    <xf numFmtId="2" fontId="0" fillId="4" borderId="2" xfId="0" applyNumberFormat="1" applyFill="1" applyBorder="1"/>
    <xf numFmtId="4" fontId="0" fillId="0" borderId="0" xfId="0" applyNumberFormat="1"/>
    <xf numFmtId="0" fontId="0" fillId="0" borderId="0" xfId="0"/>
    <xf numFmtId="49" fontId="0" fillId="0" borderId="0" xfId="0" applyNumberFormat="1"/>
    <xf numFmtId="4" fontId="0" fillId="0" borderId="0" xfId="0" applyNumberFormat="1"/>
    <xf numFmtId="49" fontId="0" fillId="5" borderId="0" xfId="0" applyNumberFormat="1" applyFill="1"/>
    <xf numFmtId="4" fontId="0" fillId="0" borderId="0" xfId="0" applyNumberFormat="1"/>
    <xf numFmtId="4" fontId="0" fillId="0" borderId="0" xfId="0" applyNumberFormat="1"/>
    <xf numFmtId="0" fontId="0" fillId="5" borderId="0" xfId="0" applyFill="1"/>
    <xf numFmtId="49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14" fontId="0" fillId="5" borderId="0" xfId="0" applyNumberFormat="1" applyFill="1"/>
    <xf numFmtId="4" fontId="0" fillId="5" borderId="0" xfId="0" applyNumberFormat="1" applyFill="1"/>
    <xf numFmtId="10" fontId="2" fillId="5" borderId="0" xfId="1" applyNumberFormat="1" applyFont="1" applyFill="1" applyAlignment="1">
      <alignment horizontal="center"/>
    </xf>
    <xf numFmtId="2" fontId="0" fillId="5" borderId="0" xfId="0" applyNumberFormat="1" applyFill="1"/>
    <xf numFmtId="49" fontId="0" fillId="5" borderId="2" xfId="0" applyNumberFormat="1" applyFill="1" applyBorder="1"/>
    <xf numFmtId="0" fontId="0" fillId="5" borderId="2" xfId="0" applyFill="1" applyBorder="1"/>
    <xf numFmtId="49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4" fontId="0" fillId="5" borderId="2" xfId="0" applyNumberFormat="1" applyFill="1" applyBorder="1"/>
    <xf numFmtId="2" fontId="0" fillId="5" borderId="2" xfId="0" applyNumberFormat="1" applyFill="1" applyBorder="1"/>
    <xf numFmtId="10" fontId="2" fillId="5" borderId="2" xfId="1" applyNumberFormat="1" applyFont="1" applyFill="1" applyBorder="1" applyAlignment="1">
      <alignment horizontal="center"/>
    </xf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 applyAlignment="1">
      <alignment horizontal="right"/>
    </xf>
    <xf numFmtId="14" fontId="0" fillId="3" borderId="2" xfId="0" applyNumberFormat="1" applyFill="1" applyBorder="1"/>
    <xf numFmtId="4" fontId="0" fillId="0" borderId="0" xfId="0" applyNumberFormat="1"/>
    <xf numFmtId="4" fontId="0" fillId="3" borderId="2" xfId="0" applyNumberFormat="1" applyFill="1" applyBorder="1" applyAlignment="1">
      <alignment horizontal="center"/>
    </xf>
    <xf numFmtId="4" fontId="0" fillId="3" borderId="2" xfId="0" applyNumberFormat="1" applyFill="1" applyBorder="1"/>
    <xf numFmtId="14" fontId="0" fillId="5" borderId="2" xfId="0" applyNumberFormat="1" applyFill="1" applyBorder="1"/>
    <xf numFmtId="4" fontId="0" fillId="0" borderId="2" xfId="0" applyNumberFormat="1" applyBorder="1" applyAlignment="1">
      <alignment horizontal="right"/>
    </xf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4" fontId="0" fillId="0" borderId="0" xfId="0" applyNumberFormat="1"/>
  </cellXfs>
  <cellStyles count="2"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7890B-9215-4192-817B-19E8B442AA82}">
  <dimension ref="A1:M3354"/>
  <sheetViews>
    <sheetView tabSelected="1" zoomScaleNormal="100" workbookViewId="0">
      <pane ySplit="1" topLeftCell="A703" activePane="bottomLeft" state="frozen"/>
      <selection pane="bottomLeft" activeCell="E706" sqref="E706"/>
    </sheetView>
  </sheetViews>
  <sheetFormatPr baseColWidth="10" defaultRowHeight="14.5" x14ac:dyDescent="0.35"/>
  <cols>
    <col min="1" max="1" width="8.08984375" customWidth="1"/>
    <col min="2" max="2" width="22.6328125" customWidth="1"/>
    <col min="3" max="3" width="7.26953125" style="21" customWidth="1"/>
    <col min="4" max="4" width="5.08984375" customWidth="1"/>
    <col min="5" max="5" width="15.08984375" customWidth="1"/>
    <col min="6" max="6" width="12.90625" customWidth="1"/>
    <col min="7" max="7" width="11.36328125" customWidth="1"/>
    <col min="8" max="8" width="11.81640625" customWidth="1"/>
    <col min="10" max="10" width="12.26953125" customWidth="1"/>
    <col min="12" max="12" width="13.6328125" customWidth="1"/>
  </cols>
  <sheetData>
    <row r="1" spans="1:13" ht="29" customHeight="1" x14ac:dyDescent="0.35">
      <c r="A1" s="10" t="s">
        <v>3</v>
      </c>
      <c r="B1" s="10" t="s">
        <v>2</v>
      </c>
      <c r="C1" s="20" t="s">
        <v>274</v>
      </c>
      <c r="D1" s="10" t="s">
        <v>276</v>
      </c>
      <c r="E1" s="11" t="s">
        <v>278</v>
      </c>
      <c r="F1" s="11" t="s">
        <v>269</v>
      </c>
      <c r="G1" s="11" t="s">
        <v>270</v>
      </c>
      <c r="H1" s="11" t="s">
        <v>271</v>
      </c>
      <c r="I1" s="11" t="s">
        <v>272</v>
      </c>
      <c r="J1" s="11" t="s">
        <v>277</v>
      </c>
      <c r="K1" s="11" t="s">
        <v>273</v>
      </c>
      <c r="L1" s="11" t="s">
        <v>279</v>
      </c>
    </row>
    <row r="2" spans="1:13" x14ac:dyDescent="0.35">
      <c r="A2" s="2" t="s">
        <v>5</v>
      </c>
      <c r="B2" t="s">
        <v>1</v>
      </c>
      <c r="C2" s="21" t="s">
        <v>275</v>
      </c>
      <c r="D2" s="4">
        <v>1</v>
      </c>
      <c r="E2" s="1">
        <v>10336.09</v>
      </c>
      <c r="F2" s="3">
        <v>45880</v>
      </c>
      <c r="G2" s="6">
        <v>10863</v>
      </c>
      <c r="H2" s="6">
        <v>10336.09</v>
      </c>
      <c r="I2" s="6">
        <f>G2-H2</f>
        <v>526.90999999999985</v>
      </c>
      <c r="J2" s="6">
        <f>I2</f>
        <v>526.90999999999985</v>
      </c>
      <c r="K2" s="9">
        <f>I2/H2</f>
        <v>5.0977690790231109E-2</v>
      </c>
      <c r="L2" s="19">
        <f t="shared" ref="L2:L81" si="0">E2-H2</f>
        <v>0</v>
      </c>
    </row>
    <row r="3" spans="1:13" x14ac:dyDescent="0.35">
      <c r="A3" s="2" t="s">
        <v>5</v>
      </c>
      <c r="B3" t="s">
        <v>1</v>
      </c>
      <c r="C3" s="21" t="s">
        <v>275</v>
      </c>
      <c r="D3" s="4">
        <v>2</v>
      </c>
      <c r="E3" s="1">
        <v>10336.09</v>
      </c>
      <c r="F3" s="3">
        <v>45887</v>
      </c>
      <c r="G3" s="6">
        <v>10863</v>
      </c>
      <c r="H3" s="6">
        <v>10336.09</v>
      </c>
      <c r="I3" s="6">
        <f t="shared" ref="I3:I17" si="1">G3-H3</f>
        <v>526.90999999999985</v>
      </c>
      <c r="J3" s="6">
        <f>J2+I3</f>
        <v>1053.8199999999997</v>
      </c>
      <c r="K3" s="9">
        <f t="shared" ref="K3:K17" si="2">I3/H3</f>
        <v>5.0977690790231109E-2</v>
      </c>
      <c r="L3" s="19">
        <f t="shared" si="0"/>
        <v>0</v>
      </c>
    </row>
    <row r="4" spans="1:13" x14ac:dyDescent="0.35">
      <c r="A4" s="2" t="s">
        <v>5</v>
      </c>
      <c r="B4" t="s">
        <v>1</v>
      </c>
      <c r="C4" s="21" t="s">
        <v>275</v>
      </c>
      <c r="D4" s="4">
        <v>3</v>
      </c>
      <c r="E4" s="1">
        <v>10336.09</v>
      </c>
      <c r="F4" s="3">
        <v>45894</v>
      </c>
      <c r="G4" s="6">
        <v>10863</v>
      </c>
      <c r="H4" s="6">
        <v>10336.09</v>
      </c>
      <c r="I4" s="6">
        <f t="shared" si="1"/>
        <v>526.90999999999985</v>
      </c>
      <c r="J4" s="6">
        <f t="shared" ref="J4:J17" si="3">J3+I4</f>
        <v>1580.7299999999996</v>
      </c>
      <c r="K4" s="9">
        <f t="shared" si="2"/>
        <v>5.0977690790231109E-2</v>
      </c>
      <c r="L4" s="19">
        <f t="shared" si="0"/>
        <v>0</v>
      </c>
    </row>
    <row r="5" spans="1:13" x14ac:dyDescent="0.35">
      <c r="A5" s="2" t="s">
        <v>5</v>
      </c>
      <c r="B5" t="s">
        <v>1</v>
      </c>
      <c r="C5" s="21" t="s">
        <v>275</v>
      </c>
      <c r="D5" s="4">
        <v>4</v>
      </c>
      <c r="E5" s="1">
        <v>10336.09</v>
      </c>
      <c r="F5" s="3">
        <v>45901</v>
      </c>
      <c r="G5" s="6">
        <v>10863</v>
      </c>
      <c r="H5" s="6">
        <v>10336.09</v>
      </c>
      <c r="I5" s="6">
        <f t="shared" si="1"/>
        <v>526.90999999999985</v>
      </c>
      <c r="J5" s="6">
        <f t="shared" si="3"/>
        <v>2107.6399999999994</v>
      </c>
      <c r="K5" s="9">
        <f t="shared" si="2"/>
        <v>5.0977690790231109E-2</v>
      </c>
      <c r="L5" s="19">
        <f t="shared" si="0"/>
        <v>0</v>
      </c>
    </row>
    <row r="6" spans="1:13" x14ac:dyDescent="0.35">
      <c r="A6" s="2" t="s">
        <v>5</v>
      </c>
      <c r="B6" t="s">
        <v>1</v>
      </c>
      <c r="C6" s="21" t="s">
        <v>275</v>
      </c>
      <c r="D6" s="4">
        <v>5</v>
      </c>
      <c r="E6" s="1">
        <v>10336.09</v>
      </c>
      <c r="F6" s="3">
        <v>45908</v>
      </c>
      <c r="G6" s="6">
        <v>10863</v>
      </c>
      <c r="H6" s="6">
        <v>10336.09</v>
      </c>
      <c r="I6" s="6">
        <f t="shared" si="1"/>
        <v>526.90999999999985</v>
      </c>
      <c r="J6" s="6">
        <f t="shared" si="3"/>
        <v>2634.5499999999993</v>
      </c>
      <c r="K6" s="9">
        <f t="shared" si="2"/>
        <v>5.0977690790231109E-2</v>
      </c>
      <c r="L6" s="19">
        <f t="shared" si="0"/>
        <v>0</v>
      </c>
    </row>
    <row r="7" spans="1:13" x14ac:dyDescent="0.35">
      <c r="A7" s="2" t="s">
        <v>5</v>
      </c>
      <c r="B7" t="s">
        <v>1</v>
      </c>
      <c r="C7" s="21" t="s">
        <v>275</v>
      </c>
      <c r="D7" s="4">
        <v>6</v>
      </c>
      <c r="E7" s="1">
        <v>10336.09</v>
      </c>
      <c r="F7" s="3">
        <v>45914</v>
      </c>
      <c r="G7" s="6">
        <v>10863</v>
      </c>
      <c r="H7" s="6">
        <v>10336.09</v>
      </c>
      <c r="I7" s="6">
        <f t="shared" si="1"/>
        <v>526.90999999999985</v>
      </c>
      <c r="J7" s="6">
        <f t="shared" si="3"/>
        <v>3161.4599999999991</v>
      </c>
      <c r="K7" s="9">
        <f t="shared" si="2"/>
        <v>5.0977690790231109E-2</v>
      </c>
      <c r="L7" s="19">
        <f t="shared" si="0"/>
        <v>0</v>
      </c>
    </row>
    <row r="8" spans="1:13" x14ac:dyDescent="0.35">
      <c r="A8" s="2" t="s">
        <v>5</v>
      </c>
      <c r="B8" t="s">
        <v>1</v>
      </c>
      <c r="C8" s="21" t="s">
        <v>275</v>
      </c>
      <c r="D8" s="4">
        <v>7</v>
      </c>
      <c r="E8" s="1">
        <v>10336.09</v>
      </c>
      <c r="F8" s="3">
        <v>45924</v>
      </c>
      <c r="G8" s="6">
        <v>11244</v>
      </c>
      <c r="H8" s="6">
        <v>10336.09</v>
      </c>
      <c r="I8" s="6">
        <f t="shared" si="1"/>
        <v>907.90999999999985</v>
      </c>
      <c r="J8" s="6">
        <f t="shared" si="3"/>
        <v>4069.369999999999</v>
      </c>
      <c r="K8" s="9">
        <f t="shared" si="2"/>
        <v>8.7838824932832418E-2</v>
      </c>
      <c r="L8" s="19">
        <f t="shared" si="0"/>
        <v>0</v>
      </c>
    </row>
    <row r="9" spans="1:13" x14ac:dyDescent="0.35">
      <c r="A9" s="2" t="s">
        <v>5</v>
      </c>
      <c r="B9" t="s">
        <v>1</v>
      </c>
      <c r="C9" s="21" t="s">
        <v>275</v>
      </c>
      <c r="D9" s="4">
        <v>8</v>
      </c>
      <c r="E9" s="1">
        <v>10336.09</v>
      </c>
      <c r="F9" s="3">
        <v>45929</v>
      </c>
      <c r="G9" s="6">
        <v>11244</v>
      </c>
      <c r="H9" s="6">
        <v>10336.09</v>
      </c>
      <c r="I9" s="6">
        <f t="shared" si="1"/>
        <v>907.90999999999985</v>
      </c>
      <c r="J9" s="6">
        <f t="shared" si="3"/>
        <v>4977.2799999999988</v>
      </c>
      <c r="K9" s="9">
        <f t="shared" si="2"/>
        <v>8.7838824932832418E-2</v>
      </c>
      <c r="L9" s="19">
        <f t="shared" si="0"/>
        <v>0</v>
      </c>
    </row>
    <row r="10" spans="1:13" x14ac:dyDescent="0.35">
      <c r="A10" s="2" t="s">
        <v>5</v>
      </c>
      <c r="B10" t="s">
        <v>1</v>
      </c>
      <c r="C10" s="21" t="s">
        <v>275</v>
      </c>
      <c r="D10" s="4">
        <v>9</v>
      </c>
      <c r="E10" s="1">
        <v>10336.09</v>
      </c>
      <c r="F10" s="3">
        <v>45936</v>
      </c>
      <c r="G10" s="6">
        <v>11244</v>
      </c>
      <c r="H10" s="6">
        <v>10336.09</v>
      </c>
      <c r="I10" s="6">
        <f t="shared" si="1"/>
        <v>907.90999999999985</v>
      </c>
      <c r="J10" s="6">
        <f t="shared" si="3"/>
        <v>5885.1899999999987</v>
      </c>
      <c r="K10" s="9">
        <f t="shared" si="2"/>
        <v>8.7838824932832418E-2</v>
      </c>
      <c r="L10" s="19">
        <f t="shared" si="0"/>
        <v>0</v>
      </c>
    </row>
    <row r="11" spans="1:13" x14ac:dyDescent="0.35">
      <c r="A11" s="2" t="s">
        <v>5</v>
      </c>
      <c r="B11" t="s">
        <v>1</v>
      </c>
      <c r="C11" s="21" t="s">
        <v>275</v>
      </c>
      <c r="D11" s="4">
        <v>10</v>
      </c>
      <c r="E11" s="1">
        <v>10336.09</v>
      </c>
      <c r="F11" s="3">
        <v>45943</v>
      </c>
      <c r="G11" s="6">
        <v>11244</v>
      </c>
      <c r="H11" s="6">
        <v>10336.09</v>
      </c>
      <c r="I11" s="6">
        <f t="shared" si="1"/>
        <v>907.90999999999985</v>
      </c>
      <c r="J11" s="6">
        <f t="shared" si="3"/>
        <v>6793.0999999999985</v>
      </c>
      <c r="K11" s="9">
        <f t="shared" si="2"/>
        <v>8.7838824932832418E-2</v>
      </c>
      <c r="L11" s="19">
        <f t="shared" si="0"/>
        <v>0</v>
      </c>
    </row>
    <row r="12" spans="1:13" x14ac:dyDescent="0.35">
      <c r="A12" s="2" t="s">
        <v>5</v>
      </c>
      <c r="B12" t="s">
        <v>1</v>
      </c>
      <c r="C12" s="21" t="s">
        <v>275</v>
      </c>
      <c r="D12" s="4">
        <v>11</v>
      </c>
      <c r="E12" s="1">
        <v>10336.09</v>
      </c>
      <c r="F12" s="3">
        <v>45950</v>
      </c>
      <c r="G12" s="6">
        <v>11244</v>
      </c>
      <c r="H12" s="6">
        <v>10336.09</v>
      </c>
      <c r="I12" s="6">
        <f t="shared" si="1"/>
        <v>907.90999999999985</v>
      </c>
      <c r="J12" s="6">
        <f t="shared" si="3"/>
        <v>7701.0099999999984</v>
      </c>
      <c r="K12" s="9">
        <f t="shared" si="2"/>
        <v>8.7838824932832418E-2</v>
      </c>
      <c r="L12" s="19">
        <f t="shared" si="0"/>
        <v>0</v>
      </c>
    </row>
    <row r="13" spans="1:13" x14ac:dyDescent="0.35">
      <c r="A13" s="2" t="s">
        <v>5</v>
      </c>
      <c r="B13" t="s">
        <v>1</v>
      </c>
      <c r="C13" s="21" t="s">
        <v>275</v>
      </c>
      <c r="D13" s="4">
        <v>12</v>
      </c>
      <c r="E13" s="1">
        <v>10336.09</v>
      </c>
      <c r="F13" s="3">
        <v>45957</v>
      </c>
      <c r="G13" s="6">
        <v>11244</v>
      </c>
      <c r="H13" s="6">
        <v>10336.09</v>
      </c>
      <c r="I13" s="6">
        <f t="shared" si="1"/>
        <v>907.90999999999985</v>
      </c>
      <c r="J13" s="6">
        <f t="shared" si="3"/>
        <v>8608.9199999999983</v>
      </c>
      <c r="K13" s="9">
        <f t="shared" si="2"/>
        <v>8.7838824932832418E-2</v>
      </c>
      <c r="L13" s="19">
        <f t="shared" si="0"/>
        <v>0</v>
      </c>
    </row>
    <row r="14" spans="1:13" x14ac:dyDescent="0.35">
      <c r="A14" s="2" t="s">
        <v>5</v>
      </c>
      <c r="B14" t="s">
        <v>1</v>
      </c>
      <c r="C14" s="21" t="s">
        <v>275</v>
      </c>
      <c r="D14" s="4">
        <v>13</v>
      </c>
      <c r="E14" s="1">
        <v>10336.09</v>
      </c>
      <c r="F14" s="3">
        <v>45964</v>
      </c>
      <c r="G14" s="6">
        <v>11244</v>
      </c>
      <c r="H14" s="6">
        <v>10336.09</v>
      </c>
      <c r="I14" s="6">
        <f t="shared" si="1"/>
        <v>907.90999999999985</v>
      </c>
      <c r="J14" s="6">
        <f t="shared" si="3"/>
        <v>9516.8299999999981</v>
      </c>
      <c r="K14" s="9">
        <f t="shared" si="2"/>
        <v>8.7838824932832418E-2</v>
      </c>
      <c r="L14" s="19">
        <f t="shared" si="0"/>
        <v>0</v>
      </c>
    </row>
    <row r="15" spans="1:13" x14ac:dyDescent="0.35">
      <c r="A15" s="2" t="s">
        <v>5</v>
      </c>
      <c r="B15" t="s">
        <v>1</v>
      </c>
      <c r="C15" s="21" t="s">
        <v>275</v>
      </c>
      <c r="D15" s="4">
        <v>14</v>
      </c>
      <c r="E15" s="1">
        <v>10336.09</v>
      </c>
      <c r="F15" s="27">
        <v>45968</v>
      </c>
      <c r="G15" s="30">
        <v>13600</v>
      </c>
      <c r="H15" s="30">
        <v>13600</v>
      </c>
      <c r="I15" s="6">
        <f t="shared" si="1"/>
        <v>0</v>
      </c>
      <c r="J15" s="6">
        <f t="shared" si="3"/>
        <v>9516.8299999999981</v>
      </c>
      <c r="K15" s="9">
        <f t="shared" si="2"/>
        <v>0</v>
      </c>
      <c r="L15" s="19">
        <f t="shared" si="0"/>
        <v>-3263.91</v>
      </c>
      <c r="M15" t="s">
        <v>403</v>
      </c>
    </row>
    <row r="16" spans="1:13" x14ac:dyDescent="0.35">
      <c r="A16" s="2" t="s">
        <v>5</v>
      </c>
      <c r="B16" t="s">
        <v>1</v>
      </c>
      <c r="C16" s="21" t="s">
        <v>275</v>
      </c>
      <c r="D16" s="4">
        <v>15</v>
      </c>
      <c r="E16" s="1">
        <v>10336.09</v>
      </c>
      <c r="F16" s="27">
        <v>45968</v>
      </c>
      <c r="G16" s="30">
        <v>7072.19</v>
      </c>
      <c r="H16" s="30">
        <v>7072.19</v>
      </c>
      <c r="I16" s="6">
        <f t="shared" si="1"/>
        <v>0</v>
      </c>
      <c r="J16" s="6">
        <f t="shared" si="3"/>
        <v>9516.8299999999981</v>
      </c>
      <c r="K16" s="9">
        <f t="shared" si="2"/>
        <v>0</v>
      </c>
      <c r="L16" s="19">
        <f t="shared" si="0"/>
        <v>3263.9000000000005</v>
      </c>
      <c r="M16" t="s">
        <v>405</v>
      </c>
    </row>
    <row r="17" spans="1:13" ht="15" thickBot="1" x14ac:dyDescent="0.4">
      <c r="A17" s="12" t="s">
        <v>5</v>
      </c>
      <c r="B17" s="13" t="s">
        <v>1</v>
      </c>
      <c r="C17" s="22" t="s">
        <v>275</v>
      </c>
      <c r="D17" s="14">
        <v>16</v>
      </c>
      <c r="E17" s="15">
        <v>10336.09</v>
      </c>
      <c r="F17" s="81">
        <v>45968</v>
      </c>
      <c r="G17" s="83">
        <v>10336.09</v>
      </c>
      <c r="H17" s="83">
        <v>10336.09</v>
      </c>
      <c r="I17" s="23">
        <f t="shared" si="1"/>
        <v>0</v>
      </c>
      <c r="J17" s="23">
        <f t="shared" si="3"/>
        <v>9516.8299999999981</v>
      </c>
      <c r="K17" s="16">
        <f t="shared" si="2"/>
        <v>0</v>
      </c>
      <c r="L17" s="29">
        <f t="shared" si="0"/>
        <v>0</v>
      </c>
      <c r="M17" t="s">
        <v>402</v>
      </c>
    </row>
    <row r="18" spans="1:13" x14ac:dyDescent="0.35">
      <c r="A18" s="2" t="s">
        <v>4</v>
      </c>
      <c r="B18" t="s">
        <v>0</v>
      </c>
      <c r="C18" s="21" t="s">
        <v>275</v>
      </c>
      <c r="D18" s="4">
        <v>1</v>
      </c>
      <c r="E18" s="1">
        <v>14288.130000000001</v>
      </c>
      <c r="F18" s="3">
        <v>45881</v>
      </c>
      <c r="G18" s="1">
        <v>15730</v>
      </c>
      <c r="H18" s="1">
        <v>14288.13</v>
      </c>
      <c r="I18" s="1">
        <f>G18-H18</f>
        <v>1441.8700000000008</v>
      </c>
      <c r="J18" s="1">
        <f>I18</f>
        <v>1441.8700000000008</v>
      </c>
      <c r="K18" s="9">
        <f>I18/H18</f>
        <v>0.10091383547042201</v>
      </c>
      <c r="L18" s="19">
        <f t="shared" si="0"/>
        <v>0</v>
      </c>
    </row>
    <row r="19" spans="1:13" x14ac:dyDescent="0.35">
      <c r="A19" s="2" t="s">
        <v>4</v>
      </c>
      <c r="B19" t="s">
        <v>0</v>
      </c>
      <c r="C19" s="21" t="s">
        <v>275</v>
      </c>
      <c r="D19" s="4">
        <v>2</v>
      </c>
      <c r="E19" s="1">
        <v>14288.130000000001</v>
      </c>
      <c r="F19" s="3">
        <v>45888</v>
      </c>
      <c r="G19" s="1">
        <v>15730</v>
      </c>
      <c r="H19" s="1">
        <v>14288.13</v>
      </c>
      <c r="I19" s="1">
        <f t="shared" ref="I19:I33" si="4">G19-H19</f>
        <v>1441.8700000000008</v>
      </c>
      <c r="J19" s="1">
        <f>J18+I19</f>
        <v>2883.7400000000016</v>
      </c>
      <c r="K19" s="9">
        <f t="shared" ref="K19:K27" si="5">I19/H19</f>
        <v>0.10091383547042201</v>
      </c>
      <c r="L19" s="19">
        <f t="shared" si="0"/>
        <v>0</v>
      </c>
    </row>
    <row r="20" spans="1:13" x14ac:dyDescent="0.35">
      <c r="A20" s="2" t="s">
        <v>4</v>
      </c>
      <c r="B20" t="s">
        <v>0</v>
      </c>
      <c r="C20" s="21" t="s">
        <v>275</v>
      </c>
      <c r="D20" s="4">
        <v>3</v>
      </c>
      <c r="E20" s="1">
        <v>14288.130000000001</v>
      </c>
      <c r="F20" s="3">
        <v>45895</v>
      </c>
      <c r="G20" s="1">
        <v>15730</v>
      </c>
      <c r="H20" s="1">
        <v>14288.13</v>
      </c>
      <c r="I20" s="1">
        <f t="shared" si="4"/>
        <v>1441.8700000000008</v>
      </c>
      <c r="J20" s="1">
        <f t="shared" ref="J20:J33" si="6">J19+I20</f>
        <v>4325.6100000000024</v>
      </c>
      <c r="K20" s="9">
        <f t="shared" si="5"/>
        <v>0.10091383547042201</v>
      </c>
      <c r="L20" s="19">
        <f t="shared" si="0"/>
        <v>0</v>
      </c>
    </row>
    <row r="21" spans="1:13" x14ac:dyDescent="0.35">
      <c r="A21" s="2" t="s">
        <v>4</v>
      </c>
      <c r="B21" t="s">
        <v>0</v>
      </c>
      <c r="C21" s="21" t="s">
        <v>275</v>
      </c>
      <c r="D21" s="4">
        <v>4</v>
      </c>
      <c r="E21" s="1">
        <v>14288.130000000001</v>
      </c>
      <c r="F21" s="3">
        <v>45902</v>
      </c>
      <c r="G21" s="1">
        <v>15729</v>
      </c>
      <c r="H21" s="1">
        <v>14288.13</v>
      </c>
      <c r="I21" s="1">
        <f t="shared" si="4"/>
        <v>1440.8700000000008</v>
      </c>
      <c r="J21" s="1">
        <f t="shared" si="6"/>
        <v>5766.4800000000032</v>
      </c>
      <c r="K21" s="9">
        <f t="shared" si="5"/>
        <v>0.10084384730542072</v>
      </c>
      <c r="L21" s="19">
        <f t="shared" si="0"/>
        <v>0</v>
      </c>
    </row>
    <row r="22" spans="1:13" x14ac:dyDescent="0.35">
      <c r="A22" s="2" t="s">
        <v>4</v>
      </c>
      <c r="B22" t="s">
        <v>0</v>
      </c>
      <c r="C22" s="21" t="s">
        <v>275</v>
      </c>
      <c r="D22" s="4">
        <v>5</v>
      </c>
      <c r="E22" s="1">
        <v>14288.130000000001</v>
      </c>
      <c r="F22" s="3">
        <v>45909</v>
      </c>
      <c r="G22" s="1">
        <v>15729</v>
      </c>
      <c r="H22" s="1">
        <v>14288.13</v>
      </c>
      <c r="I22" s="1">
        <f t="shared" si="4"/>
        <v>1440.8700000000008</v>
      </c>
      <c r="J22" s="1">
        <f t="shared" si="6"/>
        <v>7207.350000000004</v>
      </c>
      <c r="K22" s="9">
        <f t="shared" si="5"/>
        <v>0.10084384730542072</v>
      </c>
      <c r="L22" s="19">
        <f t="shared" si="0"/>
        <v>0</v>
      </c>
    </row>
    <row r="23" spans="1:13" x14ac:dyDescent="0.35">
      <c r="A23" s="2" t="s">
        <v>4</v>
      </c>
      <c r="B23" t="s">
        <v>0</v>
      </c>
      <c r="C23" s="21" t="s">
        <v>275</v>
      </c>
      <c r="D23" s="4">
        <v>6</v>
      </c>
      <c r="E23" s="1">
        <v>14288.130000000001</v>
      </c>
      <c r="F23" s="3">
        <v>45915</v>
      </c>
      <c r="G23" s="1">
        <v>15730</v>
      </c>
      <c r="H23" s="1">
        <v>14288.13</v>
      </c>
      <c r="I23" s="1">
        <f t="shared" si="4"/>
        <v>1441.8700000000008</v>
      </c>
      <c r="J23" s="1">
        <f t="shared" si="6"/>
        <v>8649.2200000000048</v>
      </c>
      <c r="K23" s="9">
        <f t="shared" si="5"/>
        <v>0.10091383547042201</v>
      </c>
      <c r="L23" s="19">
        <f t="shared" si="0"/>
        <v>0</v>
      </c>
    </row>
    <row r="24" spans="1:13" x14ac:dyDescent="0.35">
      <c r="A24" s="2" t="s">
        <v>4</v>
      </c>
      <c r="B24" t="s">
        <v>0</v>
      </c>
      <c r="C24" s="21" t="s">
        <v>275</v>
      </c>
      <c r="D24" s="4">
        <v>7</v>
      </c>
      <c r="E24" s="1">
        <v>14288.130000000001</v>
      </c>
      <c r="F24" s="3">
        <v>45923</v>
      </c>
      <c r="G24" s="1">
        <v>15730</v>
      </c>
      <c r="H24" s="1">
        <v>14288.13</v>
      </c>
      <c r="I24" s="1">
        <f t="shared" si="4"/>
        <v>1441.8700000000008</v>
      </c>
      <c r="J24" s="1">
        <f t="shared" si="6"/>
        <v>10091.090000000006</v>
      </c>
      <c r="K24" s="9">
        <f t="shared" si="5"/>
        <v>0.10091383547042201</v>
      </c>
      <c r="L24" s="19">
        <f t="shared" si="0"/>
        <v>0</v>
      </c>
    </row>
    <row r="25" spans="1:13" x14ac:dyDescent="0.35">
      <c r="A25" s="2" t="s">
        <v>4</v>
      </c>
      <c r="B25" t="s">
        <v>0</v>
      </c>
      <c r="C25" s="21" t="s">
        <v>275</v>
      </c>
      <c r="D25" s="4">
        <v>8</v>
      </c>
      <c r="E25" s="1">
        <v>14288.130000000001</v>
      </c>
      <c r="F25" s="3">
        <v>45930</v>
      </c>
      <c r="G25" s="1">
        <v>15730</v>
      </c>
      <c r="H25" s="1">
        <v>14288.13</v>
      </c>
      <c r="I25" s="1">
        <f t="shared" si="4"/>
        <v>1441.8700000000008</v>
      </c>
      <c r="J25" s="1">
        <f t="shared" si="6"/>
        <v>11532.960000000006</v>
      </c>
      <c r="K25" s="9">
        <f t="shared" si="5"/>
        <v>0.10091383547042201</v>
      </c>
      <c r="L25" s="19">
        <f t="shared" si="0"/>
        <v>0</v>
      </c>
    </row>
    <row r="26" spans="1:13" x14ac:dyDescent="0.35">
      <c r="A26" s="2" t="s">
        <v>4</v>
      </c>
      <c r="B26" t="s">
        <v>0</v>
      </c>
      <c r="C26" s="21" t="s">
        <v>275</v>
      </c>
      <c r="D26" s="4">
        <v>9</v>
      </c>
      <c r="E26" s="1">
        <v>14288.130000000001</v>
      </c>
      <c r="F26" s="3">
        <v>45937</v>
      </c>
      <c r="G26" s="1">
        <v>15730</v>
      </c>
      <c r="H26" s="1">
        <v>14288.13</v>
      </c>
      <c r="I26" s="1">
        <f t="shared" si="4"/>
        <v>1441.8700000000008</v>
      </c>
      <c r="J26" s="1">
        <f t="shared" si="6"/>
        <v>12974.830000000007</v>
      </c>
      <c r="K26" s="9">
        <f t="shared" si="5"/>
        <v>0.10091383547042201</v>
      </c>
      <c r="L26" s="19">
        <f t="shared" si="0"/>
        <v>0</v>
      </c>
    </row>
    <row r="27" spans="1:13" x14ac:dyDescent="0.35">
      <c r="A27" s="2" t="s">
        <v>4</v>
      </c>
      <c r="B27" t="s">
        <v>0</v>
      </c>
      <c r="C27" s="21" t="s">
        <v>275</v>
      </c>
      <c r="D27" s="4">
        <v>10</v>
      </c>
      <c r="E27" s="1">
        <v>14288.130000000001</v>
      </c>
      <c r="F27" s="3">
        <v>45944</v>
      </c>
      <c r="G27" s="1">
        <v>15730</v>
      </c>
      <c r="H27" s="1">
        <v>14288.13</v>
      </c>
      <c r="I27" s="1">
        <f t="shared" si="4"/>
        <v>1441.8700000000008</v>
      </c>
      <c r="J27" s="1">
        <f t="shared" si="6"/>
        <v>14416.700000000008</v>
      </c>
      <c r="K27" s="9">
        <f t="shared" si="5"/>
        <v>0.10091383547042201</v>
      </c>
      <c r="L27" s="19">
        <f t="shared" si="0"/>
        <v>0</v>
      </c>
    </row>
    <row r="28" spans="1:13" x14ac:dyDescent="0.35">
      <c r="A28" s="2" t="s">
        <v>4</v>
      </c>
      <c r="B28" t="s">
        <v>0</v>
      </c>
      <c r="C28" s="21" t="s">
        <v>275</v>
      </c>
      <c r="D28" s="4">
        <v>11</v>
      </c>
      <c r="E28" s="1">
        <v>14288.130000000001</v>
      </c>
      <c r="F28" s="3">
        <v>45678</v>
      </c>
      <c r="G28" s="1">
        <v>15730</v>
      </c>
      <c r="H28" s="1">
        <v>14288.13</v>
      </c>
      <c r="I28" s="1">
        <f t="shared" si="4"/>
        <v>1441.8700000000008</v>
      </c>
      <c r="J28" s="1">
        <f t="shared" si="6"/>
        <v>15858.570000000009</v>
      </c>
      <c r="K28" s="9">
        <f t="shared" ref="K28:K33" si="7">I28/H28</f>
        <v>0.10091383547042201</v>
      </c>
      <c r="L28" s="19">
        <f t="shared" si="0"/>
        <v>0</v>
      </c>
    </row>
    <row r="29" spans="1:13" x14ac:dyDescent="0.35">
      <c r="A29" s="2" t="s">
        <v>4</v>
      </c>
      <c r="B29" t="s">
        <v>0</v>
      </c>
      <c r="C29" s="21" t="s">
        <v>275</v>
      </c>
      <c r="D29" s="4">
        <v>12</v>
      </c>
      <c r="E29" s="1">
        <v>14288.130000000001</v>
      </c>
      <c r="F29" s="3">
        <v>45958</v>
      </c>
      <c r="G29" s="1">
        <v>15730</v>
      </c>
      <c r="H29" s="1">
        <v>14288.13</v>
      </c>
      <c r="I29" s="1">
        <f t="shared" si="4"/>
        <v>1441.8700000000008</v>
      </c>
      <c r="J29" s="1">
        <f t="shared" si="6"/>
        <v>17300.44000000001</v>
      </c>
      <c r="K29" s="9">
        <f t="shared" si="7"/>
        <v>0.10091383547042201</v>
      </c>
      <c r="L29" s="19">
        <f t="shared" si="0"/>
        <v>0</v>
      </c>
    </row>
    <row r="30" spans="1:13" x14ac:dyDescent="0.35">
      <c r="A30" s="2" t="s">
        <v>4</v>
      </c>
      <c r="B30" t="s">
        <v>0</v>
      </c>
      <c r="C30" s="21" t="s">
        <v>275</v>
      </c>
      <c r="D30" s="4">
        <v>13</v>
      </c>
      <c r="E30" s="1">
        <v>14288.130000000001</v>
      </c>
      <c r="F30" s="3">
        <v>45965</v>
      </c>
      <c r="G30" s="1">
        <v>15729</v>
      </c>
      <c r="H30" s="1">
        <v>14288.13</v>
      </c>
      <c r="I30" s="1">
        <f t="shared" si="4"/>
        <v>1440.8700000000008</v>
      </c>
      <c r="J30" s="1">
        <f t="shared" si="6"/>
        <v>18741.310000000012</v>
      </c>
      <c r="K30" s="9">
        <f t="shared" si="7"/>
        <v>0.10084384730542072</v>
      </c>
      <c r="L30" s="19">
        <f t="shared" si="0"/>
        <v>0</v>
      </c>
    </row>
    <row r="31" spans="1:13" x14ac:dyDescent="0.35">
      <c r="A31" s="2" t="s">
        <v>4</v>
      </c>
      <c r="B31" t="s">
        <v>0</v>
      </c>
      <c r="C31" s="21" t="s">
        <v>275</v>
      </c>
      <c r="D31" s="4">
        <v>14</v>
      </c>
      <c r="E31" s="1">
        <v>14288.130000000001</v>
      </c>
      <c r="F31" s="27">
        <v>45968</v>
      </c>
      <c r="G31" s="28">
        <v>18800</v>
      </c>
      <c r="H31" s="28">
        <v>18800</v>
      </c>
      <c r="I31" s="1">
        <f t="shared" si="4"/>
        <v>0</v>
      </c>
      <c r="J31" s="1">
        <f t="shared" si="6"/>
        <v>18741.310000000012</v>
      </c>
      <c r="K31" s="9">
        <f t="shared" si="7"/>
        <v>0</v>
      </c>
      <c r="L31" s="19">
        <f t="shared" si="0"/>
        <v>-4511.869999999999</v>
      </c>
      <c r="M31" t="s">
        <v>403</v>
      </c>
    </row>
    <row r="32" spans="1:13" x14ac:dyDescent="0.35">
      <c r="A32" s="2" t="s">
        <v>4</v>
      </c>
      <c r="B32" t="s">
        <v>0</v>
      </c>
      <c r="C32" s="21" t="s">
        <v>275</v>
      </c>
      <c r="D32" s="4">
        <v>15</v>
      </c>
      <c r="E32" s="1">
        <v>14288.130000000001</v>
      </c>
      <c r="F32" s="27">
        <v>45968</v>
      </c>
      <c r="G32" s="28">
        <v>9776.19</v>
      </c>
      <c r="H32" s="28">
        <v>9776.19</v>
      </c>
      <c r="I32" s="1">
        <f t="shared" si="4"/>
        <v>0</v>
      </c>
      <c r="J32" s="1">
        <f t="shared" si="6"/>
        <v>18741.310000000012</v>
      </c>
      <c r="K32" s="9">
        <f t="shared" si="7"/>
        <v>0</v>
      </c>
      <c r="L32" s="19">
        <f t="shared" si="0"/>
        <v>4511.9400000000005</v>
      </c>
      <c r="M32" t="s">
        <v>405</v>
      </c>
    </row>
    <row r="33" spans="1:13" ht="15" thickBot="1" x14ac:dyDescent="0.4">
      <c r="A33" s="12" t="s">
        <v>4</v>
      </c>
      <c r="B33" s="13" t="s">
        <v>0</v>
      </c>
      <c r="C33" s="22" t="s">
        <v>275</v>
      </c>
      <c r="D33" s="14">
        <v>16</v>
      </c>
      <c r="E33" s="15">
        <v>14288.130000000001</v>
      </c>
      <c r="F33" s="81">
        <v>45968</v>
      </c>
      <c r="G33" s="84">
        <v>14288.13</v>
      </c>
      <c r="H33" s="84">
        <v>14288.13</v>
      </c>
      <c r="I33" s="15">
        <f t="shared" si="4"/>
        <v>0</v>
      </c>
      <c r="J33" s="15">
        <f t="shared" si="6"/>
        <v>18741.310000000012</v>
      </c>
      <c r="K33" s="16">
        <f t="shared" si="7"/>
        <v>0</v>
      </c>
      <c r="L33" s="29">
        <f t="shared" si="0"/>
        <v>0</v>
      </c>
      <c r="M33" t="s">
        <v>402</v>
      </c>
    </row>
    <row r="34" spans="1:13" x14ac:dyDescent="0.35">
      <c r="A34" s="44" t="s">
        <v>6</v>
      </c>
      <c r="B34" s="47" t="s">
        <v>7</v>
      </c>
      <c r="C34" s="48" t="s">
        <v>275</v>
      </c>
      <c r="D34" s="49">
        <v>1</v>
      </c>
      <c r="E34" s="51">
        <v>11400.1</v>
      </c>
      <c r="F34" s="50">
        <v>45884</v>
      </c>
      <c r="G34" s="51">
        <v>12020</v>
      </c>
      <c r="H34" s="51">
        <v>11400.1</v>
      </c>
      <c r="I34" s="51">
        <f>G34-H34</f>
        <v>619.89999999999964</v>
      </c>
      <c r="J34" s="51">
        <f>I34</f>
        <v>619.89999999999964</v>
      </c>
      <c r="K34" s="52">
        <f t="shared" ref="K34:K49" si="8">I34/H34</f>
        <v>5.4376715993719321E-2</v>
      </c>
      <c r="L34" s="53">
        <f t="shared" si="0"/>
        <v>0</v>
      </c>
    </row>
    <row r="35" spans="1:13" x14ac:dyDescent="0.35">
      <c r="A35" s="44" t="s">
        <v>6</v>
      </c>
      <c r="B35" s="47" t="s">
        <v>7</v>
      </c>
      <c r="C35" s="48" t="s">
        <v>275</v>
      </c>
      <c r="D35" s="49">
        <v>2</v>
      </c>
      <c r="E35" s="51">
        <v>11400.1</v>
      </c>
      <c r="F35" s="50">
        <v>45891</v>
      </c>
      <c r="G35" s="51">
        <v>12020</v>
      </c>
      <c r="H35" s="51">
        <v>11400.1</v>
      </c>
      <c r="I35" s="51">
        <f t="shared" ref="I35:I98" si="9">G35-H35</f>
        <v>619.89999999999964</v>
      </c>
      <c r="J35" s="51">
        <f>J34+I35</f>
        <v>1239.7999999999993</v>
      </c>
      <c r="K35" s="52">
        <f t="shared" si="8"/>
        <v>5.4376715993719321E-2</v>
      </c>
      <c r="L35" s="53">
        <f t="shared" si="0"/>
        <v>0</v>
      </c>
    </row>
    <row r="36" spans="1:13" x14ac:dyDescent="0.35">
      <c r="A36" s="44" t="s">
        <v>6</v>
      </c>
      <c r="B36" s="47" t="s">
        <v>7</v>
      </c>
      <c r="C36" s="48" t="s">
        <v>275</v>
      </c>
      <c r="D36" s="49">
        <v>3</v>
      </c>
      <c r="E36" s="51">
        <v>11400.1</v>
      </c>
      <c r="F36" s="50">
        <v>45898</v>
      </c>
      <c r="G36" s="51">
        <v>12000</v>
      </c>
      <c r="H36" s="51">
        <v>11401</v>
      </c>
      <c r="I36" s="51">
        <f t="shared" si="9"/>
        <v>599</v>
      </c>
      <c r="J36" s="51">
        <f t="shared" ref="J36:J49" si="10">J35+I36</f>
        <v>1838.7999999999993</v>
      </c>
      <c r="K36" s="52">
        <f t="shared" si="8"/>
        <v>5.2539250942899747E-2</v>
      </c>
      <c r="L36" s="53">
        <f t="shared" si="0"/>
        <v>-0.8999999999996362</v>
      </c>
    </row>
    <row r="37" spans="1:13" x14ac:dyDescent="0.35">
      <c r="A37" s="44" t="s">
        <v>6</v>
      </c>
      <c r="B37" s="47" t="s">
        <v>7</v>
      </c>
      <c r="C37" s="48" t="s">
        <v>275</v>
      </c>
      <c r="D37" s="49">
        <v>4</v>
      </c>
      <c r="E37" s="51">
        <v>11400.1</v>
      </c>
      <c r="F37" s="50">
        <v>45905</v>
      </c>
      <c r="G37" s="51">
        <v>11940</v>
      </c>
      <c r="H37" s="51">
        <v>11400</v>
      </c>
      <c r="I37" s="51">
        <f t="shared" si="9"/>
        <v>540</v>
      </c>
      <c r="J37" s="51">
        <f t="shared" si="10"/>
        <v>2378.7999999999993</v>
      </c>
      <c r="K37" s="52">
        <f t="shared" si="8"/>
        <v>4.736842105263158E-2</v>
      </c>
      <c r="L37" s="53">
        <f t="shared" si="0"/>
        <v>0.1000000000003638</v>
      </c>
    </row>
    <row r="38" spans="1:13" x14ac:dyDescent="0.35">
      <c r="A38" s="44" t="s">
        <v>6</v>
      </c>
      <c r="B38" s="47" t="s">
        <v>7</v>
      </c>
      <c r="C38" s="48" t="s">
        <v>275</v>
      </c>
      <c r="D38" s="49">
        <v>5</v>
      </c>
      <c r="E38" s="51">
        <v>11400.1</v>
      </c>
      <c r="F38" s="50">
        <v>45912</v>
      </c>
      <c r="G38" s="51">
        <v>11860</v>
      </c>
      <c r="H38" s="51">
        <v>11400</v>
      </c>
      <c r="I38" s="51">
        <f t="shared" si="9"/>
        <v>460</v>
      </c>
      <c r="J38" s="51">
        <f t="shared" si="10"/>
        <v>2838.7999999999993</v>
      </c>
      <c r="K38" s="52">
        <f t="shared" si="8"/>
        <v>4.0350877192982457E-2</v>
      </c>
      <c r="L38" s="53">
        <f t="shared" si="0"/>
        <v>0.1000000000003638</v>
      </c>
    </row>
    <row r="39" spans="1:13" x14ac:dyDescent="0.35">
      <c r="A39" s="44" t="s">
        <v>6</v>
      </c>
      <c r="B39" s="47" t="s">
        <v>7</v>
      </c>
      <c r="C39" s="48" t="s">
        <v>275</v>
      </c>
      <c r="D39" s="49">
        <v>6</v>
      </c>
      <c r="E39" s="51">
        <v>11400.1</v>
      </c>
      <c r="F39" s="50">
        <v>45919</v>
      </c>
      <c r="G39" s="51">
        <v>11860</v>
      </c>
      <c r="H39" s="51">
        <v>11400</v>
      </c>
      <c r="I39" s="51">
        <f t="shared" si="9"/>
        <v>460</v>
      </c>
      <c r="J39" s="51">
        <f t="shared" si="10"/>
        <v>3298.7999999999993</v>
      </c>
      <c r="K39" s="52">
        <f t="shared" si="8"/>
        <v>4.0350877192982457E-2</v>
      </c>
      <c r="L39" s="53">
        <f t="shared" si="0"/>
        <v>0.1000000000003638</v>
      </c>
    </row>
    <row r="40" spans="1:13" x14ac:dyDescent="0.35">
      <c r="A40" s="44" t="s">
        <v>6</v>
      </c>
      <c r="B40" s="47" t="s">
        <v>7</v>
      </c>
      <c r="C40" s="48" t="s">
        <v>275</v>
      </c>
      <c r="D40" s="49">
        <v>7</v>
      </c>
      <c r="E40" s="51">
        <v>11400.1</v>
      </c>
      <c r="F40" s="50">
        <v>45926</v>
      </c>
      <c r="G40" s="51">
        <v>11970</v>
      </c>
      <c r="H40" s="51">
        <v>11400</v>
      </c>
      <c r="I40" s="51">
        <f t="shared" si="9"/>
        <v>570</v>
      </c>
      <c r="J40" s="51">
        <f t="shared" si="10"/>
        <v>3868.7999999999993</v>
      </c>
      <c r="K40" s="52">
        <f t="shared" si="8"/>
        <v>0.05</v>
      </c>
      <c r="L40" s="53">
        <f t="shared" si="0"/>
        <v>0.1000000000003638</v>
      </c>
    </row>
    <row r="41" spans="1:13" x14ac:dyDescent="0.35">
      <c r="A41" s="44" t="s">
        <v>6</v>
      </c>
      <c r="B41" s="47" t="s">
        <v>7</v>
      </c>
      <c r="C41" s="48" t="s">
        <v>275</v>
      </c>
      <c r="D41" s="49">
        <v>8</v>
      </c>
      <c r="E41" s="51">
        <v>11400.1</v>
      </c>
      <c r="F41" s="50">
        <v>45933</v>
      </c>
      <c r="G41" s="51">
        <v>11940</v>
      </c>
      <c r="H41" s="51">
        <v>11400</v>
      </c>
      <c r="I41" s="51">
        <f t="shared" si="9"/>
        <v>540</v>
      </c>
      <c r="J41" s="51">
        <f t="shared" si="10"/>
        <v>4408.7999999999993</v>
      </c>
      <c r="K41" s="52">
        <f t="shared" si="8"/>
        <v>4.736842105263158E-2</v>
      </c>
      <c r="L41" s="53">
        <f t="shared" si="0"/>
        <v>0.1000000000003638</v>
      </c>
    </row>
    <row r="42" spans="1:13" x14ac:dyDescent="0.35">
      <c r="A42" s="44" t="s">
        <v>6</v>
      </c>
      <c r="B42" s="47" t="s">
        <v>7</v>
      </c>
      <c r="C42" s="48" t="s">
        <v>275</v>
      </c>
      <c r="D42" s="49">
        <v>9</v>
      </c>
      <c r="E42" s="51">
        <v>11400.1</v>
      </c>
      <c r="F42" s="50">
        <v>45940</v>
      </c>
      <c r="G42" s="51">
        <v>11860</v>
      </c>
      <c r="H42" s="51">
        <v>11400</v>
      </c>
      <c r="I42" s="51">
        <f t="shared" si="9"/>
        <v>460</v>
      </c>
      <c r="J42" s="51">
        <f t="shared" si="10"/>
        <v>4868.7999999999993</v>
      </c>
      <c r="K42" s="52">
        <f t="shared" si="8"/>
        <v>4.0350877192982457E-2</v>
      </c>
      <c r="L42" s="53">
        <f t="shared" si="0"/>
        <v>0.1000000000003638</v>
      </c>
    </row>
    <row r="43" spans="1:13" x14ac:dyDescent="0.35">
      <c r="A43" s="44" t="s">
        <v>6</v>
      </c>
      <c r="B43" s="47" t="s">
        <v>7</v>
      </c>
      <c r="C43" s="48" t="s">
        <v>275</v>
      </c>
      <c r="D43" s="49">
        <v>10</v>
      </c>
      <c r="E43" s="51">
        <v>11400.1</v>
      </c>
      <c r="F43" s="50">
        <v>45947</v>
      </c>
      <c r="G43" s="51">
        <v>11940</v>
      </c>
      <c r="H43" s="51">
        <v>11400</v>
      </c>
      <c r="I43" s="51">
        <f t="shared" si="9"/>
        <v>540</v>
      </c>
      <c r="J43" s="51">
        <f t="shared" si="10"/>
        <v>5408.7999999999993</v>
      </c>
      <c r="K43" s="52">
        <f t="shared" si="8"/>
        <v>4.736842105263158E-2</v>
      </c>
      <c r="L43" s="53">
        <f t="shared" si="0"/>
        <v>0.1000000000003638</v>
      </c>
    </row>
    <row r="44" spans="1:13" x14ac:dyDescent="0.35">
      <c r="A44" s="44" t="s">
        <v>6</v>
      </c>
      <c r="B44" s="47" t="s">
        <v>7</v>
      </c>
      <c r="C44" s="48" t="s">
        <v>275</v>
      </c>
      <c r="D44" s="49">
        <v>11</v>
      </c>
      <c r="E44" s="51">
        <v>11400.1</v>
      </c>
      <c r="F44" s="50">
        <v>45954</v>
      </c>
      <c r="G44" s="51">
        <v>11760</v>
      </c>
      <c r="H44" s="51">
        <v>11400</v>
      </c>
      <c r="I44" s="51">
        <f t="shared" si="9"/>
        <v>360</v>
      </c>
      <c r="J44" s="51">
        <f t="shared" si="10"/>
        <v>5768.7999999999993</v>
      </c>
      <c r="K44" s="52">
        <f t="shared" si="8"/>
        <v>3.1578947368421054E-2</v>
      </c>
      <c r="L44" s="53">
        <f t="shared" si="0"/>
        <v>0.1000000000003638</v>
      </c>
    </row>
    <row r="45" spans="1:13" x14ac:dyDescent="0.35">
      <c r="A45" s="44" t="s">
        <v>6</v>
      </c>
      <c r="B45" s="47" t="s">
        <v>7</v>
      </c>
      <c r="C45" s="48" t="s">
        <v>275</v>
      </c>
      <c r="D45" s="49">
        <v>12</v>
      </c>
      <c r="E45" s="51">
        <v>11400.1</v>
      </c>
      <c r="F45" s="50">
        <v>45961</v>
      </c>
      <c r="G45" s="51">
        <v>11820</v>
      </c>
      <c r="H45" s="51">
        <v>11400</v>
      </c>
      <c r="I45" s="51">
        <f t="shared" si="9"/>
        <v>420</v>
      </c>
      <c r="J45" s="51">
        <f t="shared" si="10"/>
        <v>6188.7999999999993</v>
      </c>
      <c r="K45" s="52">
        <f t="shared" si="8"/>
        <v>3.6842105263157891E-2</v>
      </c>
      <c r="L45" s="53">
        <f t="shared" si="0"/>
        <v>0.1000000000003638</v>
      </c>
    </row>
    <row r="46" spans="1:13" x14ac:dyDescent="0.35">
      <c r="A46" s="44" t="s">
        <v>6</v>
      </c>
      <c r="B46" s="47" t="s">
        <v>7</v>
      </c>
      <c r="C46" s="48" t="s">
        <v>275</v>
      </c>
      <c r="D46" s="49">
        <v>13</v>
      </c>
      <c r="E46" s="51">
        <v>11400.1</v>
      </c>
      <c r="F46" s="50">
        <v>45967</v>
      </c>
      <c r="G46" s="51">
        <v>13013</v>
      </c>
      <c r="H46" s="51">
        <v>13013</v>
      </c>
      <c r="I46" s="51">
        <f t="shared" si="9"/>
        <v>0</v>
      </c>
      <c r="J46" s="51">
        <f t="shared" si="10"/>
        <v>6188.7999999999993</v>
      </c>
      <c r="K46" s="52">
        <f t="shared" si="8"/>
        <v>0</v>
      </c>
      <c r="L46" s="53">
        <f t="shared" si="0"/>
        <v>-1612.8999999999996</v>
      </c>
    </row>
    <row r="47" spans="1:13" x14ac:dyDescent="0.35">
      <c r="A47" s="44" t="s">
        <v>6</v>
      </c>
      <c r="B47" s="47" t="s">
        <v>7</v>
      </c>
      <c r="C47" s="48" t="s">
        <v>275</v>
      </c>
      <c r="D47" s="49">
        <v>14</v>
      </c>
      <c r="E47" s="51">
        <v>11400.1</v>
      </c>
      <c r="F47" s="50">
        <v>45967</v>
      </c>
      <c r="G47" s="51">
        <v>15000</v>
      </c>
      <c r="H47" s="51">
        <v>15000</v>
      </c>
      <c r="I47" s="51">
        <f t="shared" si="9"/>
        <v>0</v>
      </c>
      <c r="J47" s="51">
        <f t="shared" si="10"/>
        <v>6188.7999999999993</v>
      </c>
      <c r="K47" s="52">
        <f t="shared" si="8"/>
        <v>0</v>
      </c>
      <c r="L47" s="53">
        <f t="shared" si="0"/>
        <v>-3599.8999999999996</v>
      </c>
      <c r="M47" t="s">
        <v>403</v>
      </c>
    </row>
    <row r="48" spans="1:13" x14ac:dyDescent="0.35">
      <c r="A48" s="44" t="s">
        <v>6</v>
      </c>
      <c r="B48" s="47" t="s">
        <v>7</v>
      </c>
      <c r="C48" s="48" t="s">
        <v>275</v>
      </c>
      <c r="D48" s="49">
        <v>15</v>
      </c>
      <c r="E48" s="51">
        <v>11400.1</v>
      </c>
      <c r="F48" s="50">
        <v>45967</v>
      </c>
      <c r="G48" s="51">
        <v>6187.3</v>
      </c>
      <c r="H48" s="51">
        <v>6187.3</v>
      </c>
      <c r="I48" s="51">
        <f t="shared" si="9"/>
        <v>0</v>
      </c>
      <c r="J48" s="51">
        <f t="shared" si="10"/>
        <v>6188.7999999999993</v>
      </c>
      <c r="K48" s="52">
        <f t="shared" si="8"/>
        <v>0</v>
      </c>
      <c r="L48" s="53">
        <f t="shared" si="0"/>
        <v>5212.8</v>
      </c>
      <c r="M48" t="s">
        <v>404</v>
      </c>
    </row>
    <row r="49" spans="1:13" ht="15" thickBot="1" x14ac:dyDescent="0.4">
      <c r="A49" s="54" t="s">
        <v>6</v>
      </c>
      <c r="B49" s="55" t="s">
        <v>7</v>
      </c>
      <c r="C49" s="56" t="s">
        <v>275</v>
      </c>
      <c r="D49" s="57">
        <v>16</v>
      </c>
      <c r="E49" s="58">
        <v>11400.1</v>
      </c>
      <c r="F49" s="85">
        <v>45967</v>
      </c>
      <c r="G49" s="58">
        <v>11400.1</v>
      </c>
      <c r="H49" s="58">
        <v>11400.1</v>
      </c>
      <c r="I49" s="58">
        <f t="shared" si="9"/>
        <v>0</v>
      </c>
      <c r="J49" s="58">
        <f t="shared" si="10"/>
        <v>6188.7999999999993</v>
      </c>
      <c r="K49" s="60">
        <f t="shared" si="8"/>
        <v>0</v>
      </c>
      <c r="L49" s="59">
        <f t="shared" si="0"/>
        <v>0</v>
      </c>
      <c r="M49" t="s">
        <v>402</v>
      </c>
    </row>
    <row r="50" spans="1:13" s="32" customFormat="1" x14ac:dyDescent="0.35">
      <c r="A50" s="33" t="s">
        <v>6</v>
      </c>
      <c r="B50" s="32" t="s">
        <v>7</v>
      </c>
      <c r="C50" s="36" t="s">
        <v>419</v>
      </c>
      <c r="D50" s="4">
        <v>1</v>
      </c>
      <c r="E50" s="40">
        <v>13680.12</v>
      </c>
      <c r="F50" s="3"/>
      <c r="G50" s="34"/>
      <c r="H50" s="34"/>
      <c r="I50" s="34">
        <f>G50-H50</f>
        <v>0</v>
      </c>
      <c r="J50" s="34">
        <f>I50</f>
        <v>0</v>
      </c>
      <c r="K50" s="9" t="e">
        <f t="shared" ref="K50:K65" si="11">I50/H50</f>
        <v>#DIV/0!</v>
      </c>
      <c r="L50" s="19">
        <f t="shared" ref="L50:L65" si="12">E50-H50</f>
        <v>13680.12</v>
      </c>
    </row>
    <row r="51" spans="1:13" s="32" customFormat="1" x14ac:dyDescent="0.35">
      <c r="A51" s="33" t="s">
        <v>6</v>
      </c>
      <c r="B51" s="32" t="s">
        <v>7</v>
      </c>
      <c r="C51" s="36" t="s">
        <v>419</v>
      </c>
      <c r="D51" s="4">
        <v>2</v>
      </c>
      <c r="E51" s="43">
        <v>13680.12</v>
      </c>
      <c r="F51" s="3"/>
      <c r="G51" s="34"/>
      <c r="H51" s="34"/>
      <c r="I51" s="34">
        <f t="shared" ref="I51:I65" si="13">G51-H51</f>
        <v>0</v>
      </c>
      <c r="J51" s="34">
        <f>J50+I51</f>
        <v>0</v>
      </c>
      <c r="K51" s="9" t="e">
        <f t="shared" si="11"/>
        <v>#DIV/0!</v>
      </c>
      <c r="L51" s="19">
        <f t="shared" si="12"/>
        <v>13680.12</v>
      </c>
    </row>
    <row r="52" spans="1:13" s="32" customFormat="1" x14ac:dyDescent="0.35">
      <c r="A52" s="33" t="s">
        <v>6</v>
      </c>
      <c r="B52" s="32" t="s">
        <v>7</v>
      </c>
      <c r="C52" s="36" t="s">
        <v>419</v>
      </c>
      <c r="D52" s="4">
        <v>3</v>
      </c>
      <c r="E52" s="43">
        <v>13680.12</v>
      </c>
      <c r="F52" s="3"/>
      <c r="G52" s="34"/>
      <c r="H52" s="34"/>
      <c r="I52" s="34">
        <f t="shared" si="13"/>
        <v>0</v>
      </c>
      <c r="J52" s="34">
        <f t="shared" ref="J52:J65" si="14">J51+I52</f>
        <v>0</v>
      </c>
      <c r="K52" s="9" t="e">
        <f t="shared" si="11"/>
        <v>#DIV/0!</v>
      </c>
      <c r="L52" s="19">
        <f t="shared" si="12"/>
        <v>13680.12</v>
      </c>
    </row>
    <row r="53" spans="1:13" s="32" customFormat="1" x14ac:dyDescent="0.35">
      <c r="A53" s="33" t="s">
        <v>6</v>
      </c>
      <c r="B53" s="32" t="s">
        <v>7</v>
      </c>
      <c r="C53" s="36" t="s">
        <v>419</v>
      </c>
      <c r="D53" s="4">
        <v>4</v>
      </c>
      <c r="E53" s="43">
        <v>13680.12</v>
      </c>
      <c r="F53" s="3"/>
      <c r="G53" s="34"/>
      <c r="H53" s="34"/>
      <c r="I53" s="34">
        <f t="shared" si="13"/>
        <v>0</v>
      </c>
      <c r="J53" s="34">
        <f t="shared" si="14"/>
        <v>0</v>
      </c>
      <c r="K53" s="9" t="e">
        <f t="shared" si="11"/>
        <v>#DIV/0!</v>
      </c>
      <c r="L53" s="19">
        <f t="shared" si="12"/>
        <v>13680.12</v>
      </c>
    </row>
    <row r="54" spans="1:13" s="32" customFormat="1" x14ac:dyDescent="0.35">
      <c r="A54" s="33" t="s">
        <v>6</v>
      </c>
      <c r="B54" s="32" t="s">
        <v>7</v>
      </c>
      <c r="C54" s="36" t="s">
        <v>419</v>
      </c>
      <c r="D54" s="4">
        <v>5</v>
      </c>
      <c r="E54" s="43">
        <v>13680.12</v>
      </c>
      <c r="F54" s="3"/>
      <c r="G54" s="34"/>
      <c r="H54" s="34"/>
      <c r="I54" s="34">
        <f t="shared" si="13"/>
        <v>0</v>
      </c>
      <c r="J54" s="34">
        <f t="shared" si="14"/>
        <v>0</v>
      </c>
      <c r="K54" s="9" t="e">
        <f t="shared" si="11"/>
        <v>#DIV/0!</v>
      </c>
      <c r="L54" s="19">
        <f t="shared" si="12"/>
        <v>13680.12</v>
      </c>
    </row>
    <row r="55" spans="1:13" s="32" customFormat="1" x14ac:dyDescent="0.35">
      <c r="A55" s="33" t="s">
        <v>6</v>
      </c>
      <c r="B55" s="32" t="s">
        <v>7</v>
      </c>
      <c r="C55" s="36" t="s">
        <v>419</v>
      </c>
      <c r="D55" s="4">
        <v>6</v>
      </c>
      <c r="E55" s="43">
        <v>13680.12</v>
      </c>
      <c r="F55" s="3"/>
      <c r="G55" s="34"/>
      <c r="H55" s="34"/>
      <c r="I55" s="34">
        <f t="shared" si="13"/>
        <v>0</v>
      </c>
      <c r="J55" s="34">
        <f t="shared" si="14"/>
        <v>0</v>
      </c>
      <c r="K55" s="9" t="e">
        <f t="shared" si="11"/>
        <v>#DIV/0!</v>
      </c>
      <c r="L55" s="19">
        <f t="shared" si="12"/>
        <v>13680.12</v>
      </c>
    </row>
    <row r="56" spans="1:13" s="32" customFormat="1" x14ac:dyDescent="0.35">
      <c r="A56" s="33" t="s">
        <v>6</v>
      </c>
      <c r="B56" s="32" t="s">
        <v>7</v>
      </c>
      <c r="C56" s="36" t="s">
        <v>419</v>
      </c>
      <c r="D56" s="4">
        <v>7</v>
      </c>
      <c r="E56" s="43">
        <v>13680.12</v>
      </c>
      <c r="F56" s="3"/>
      <c r="G56" s="34"/>
      <c r="H56" s="34"/>
      <c r="I56" s="34">
        <f t="shared" si="13"/>
        <v>0</v>
      </c>
      <c r="J56" s="34">
        <f t="shared" si="14"/>
        <v>0</v>
      </c>
      <c r="K56" s="9" t="e">
        <f t="shared" si="11"/>
        <v>#DIV/0!</v>
      </c>
      <c r="L56" s="19">
        <f t="shared" si="12"/>
        <v>13680.12</v>
      </c>
    </row>
    <row r="57" spans="1:13" s="32" customFormat="1" x14ac:dyDescent="0.35">
      <c r="A57" s="33" t="s">
        <v>6</v>
      </c>
      <c r="B57" s="32" t="s">
        <v>7</v>
      </c>
      <c r="C57" s="36" t="s">
        <v>419</v>
      </c>
      <c r="D57" s="4">
        <v>8</v>
      </c>
      <c r="E57" s="43">
        <v>13680.12</v>
      </c>
      <c r="F57" s="3"/>
      <c r="G57" s="34"/>
      <c r="H57" s="34"/>
      <c r="I57" s="34">
        <f t="shared" si="13"/>
        <v>0</v>
      </c>
      <c r="J57" s="34">
        <f t="shared" si="14"/>
        <v>0</v>
      </c>
      <c r="K57" s="9" t="e">
        <f t="shared" si="11"/>
        <v>#DIV/0!</v>
      </c>
      <c r="L57" s="19">
        <f t="shared" si="12"/>
        <v>13680.12</v>
      </c>
    </row>
    <row r="58" spans="1:13" s="32" customFormat="1" x14ac:dyDescent="0.35">
      <c r="A58" s="33" t="s">
        <v>6</v>
      </c>
      <c r="B58" s="32" t="s">
        <v>7</v>
      </c>
      <c r="C58" s="36" t="s">
        <v>419</v>
      </c>
      <c r="D58" s="4">
        <v>9</v>
      </c>
      <c r="E58" s="43">
        <v>13680.12</v>
      </c>
      <c r="F58" s="3"/>
      <c r="G58" s="34"/>
      <c r="H58" s="34"/>
      <c r="I58" s="34">
        <f t="shared" si="13"/>
        <v>0</v>
      </c>
      <c r="J58" s="34">
        <f t="shared" si="14"/>
        <v>0</v>
      </c>
      <c r="K58" s="9" t="e">
        <f t="shared" si="11"/>
        <v>#DIV/0!</v>
      </c>
      <c r="L58" s="19">
        <f t="shared" si="12"/>
        <v>13680.12</v>
      </c>
    </row>
    <row r="59" spans="1:13" s="32" customFormat="1" x14ac:dyDescent="0.35">
      <c r="A59" s="33" t="s">
        <v>6</v>
      </c>
      <c r="B59" s="32" t="s">
        <v>7</v>
      </c>
      <c r="C59" s="36" t="s">
        <v>419</v>
      </c>
      <c r="D59" s="4">
        <v>10</v>
      </c>
      <c r="E59" s="43">
        <v>13680.12</v>
      </c>
      <c r="F59" s="3"/>
      <c r="G59" s="34"/>
      <c r="H59" s="34"/>
      <c r="I59" s="34">
        <f t="shared" si="13"/>
        <v>0</v>
      </c>
      <c r="J59" s="34">
        <f t="shared" si="14"/>
        <v>0</v>
      </c>
      <c r="K59" s="9" t="e">
        <f t="shared" si="11"/>
        <v>#DIV/0!</v>
      </c>
      <c r="L59" s="19">
        <f t="shared" si="12"/>
        <v>13680.12</v>
      </c>
    </row>
    <row r="60" spans="1:13" s="32" customFormat="1" x14ac:dyDescent="0.35">
      <c r="A60" s="33" t="s">
        <v>6</v>
      </c>
      <c r="B60" s="32" t="s">
        <v>7</v>
      </c>
      <c r="C60" s="36" t="s">
        <v>419</v>
      </c>
      <c r="D60" s="4">
        <v>11</v>
      </c>
      <c r="E60" s="43">
        <v>13680.12</v>
      </c>
      <c r="F60" s="3"/>
      <c r="G60" s="34"/>
      <c r="H60" s="34"/>
      <c r="I60" s="34">
        <f t="shared" si="13"/>
        <v>0</v>
      </c>
      <c r="J60" s="34">
        <f t="shared" si="14"/>
        <v>0</v>
      </c>
      <c r="K60" s="9" t="e">
        <f t="shared" si="11"/>
        <v>#DIV/0!</v>
      </c>
      <c r="L60" s="19">
        <f t="shared" si="12"/>
        <v>13680.12</v>
      </c>
    </row>
    <row r="61" spans="1:13" s="32" customFormat="1" x14ac:dyDescent="0.35">
      <c r="A61" s="33" t="s">
        <v>6</v>
      </c>
      <c r="B61" s="32" t="s">
        <v>7</v>
      </c>
      <c r="C61" s="36" t="s">
        <v>419</v>
      </c>
      <c r="D61" s="4">
        <v>12</v>
      </c>
      <c r="E61" s="43">
        <v>13680.12</v>
      </c>
      <c r="F61" s="3"/>
      <c r="G61" s="34"/>
      <c r="H61" s="34"/>
      <c r="I61" s="34">
        <f t="shared" si="13"/>
        <v>0</v>
      </c>
      <c r="J61" s="34">
        <f t="shared" si="14"/>
        <v>0</v>
      </c>
      <c r="K61" s="9" t="e">
        <f t="shared" si="11"/>
        <v>#DIV/0!</v>
      </c>
      <c r="L61" s="19">
        <f t="shared" si="12"/>
        <v>13680.12</v>
      </c>
    </row>
    <row r="62" spans="1:13" s="32" customFormat="1" x14ac:dyDescent="0.35">
      <c r="A62" s="33" t="s">
        <v>6</v>
      </c>
      <c r="B62" s="32" t="s">
        <v>7</v>
      </c>
      <c r="C62" s="36" t="s">
        <v>419</v>
      </c>
      <c r="D62" s="4">
        <v>13</v>
      </c>
      <c r="E62" s="43">
        <v>13680.12</v>
      </c>
      <c r="F62" s="3"/>
      <c r="G62" s="34"/>
      <c r="H62" s="34"/>
      <c r="I62" s="34">
        <f t="shared" si="13"/>
        <v>0</v>
      </c>
      <c r="J62" s="34">
        <f t="shared" si="14"/>
        <v>0</v>
      </c>
      <c r="K62" s="9" t="e">
        <f t="shared" si="11"/>
        <v>#DIV/0!</v>
      </c>
      <c r="L62" s="19">
        <f t="shared" si="12"/>
        <v>13680.12</v>
      </c>
    </row>
    <row r="63" spans="1:13" s="32" customFormat="1" x14ac:dyDescent="0.35">
      <c r="A63" s="33" t="s">
        <v>6</v>
      </c>
      <c r="B63" s="32" t="s">
        <v>7</v>
      </c>
      <c r="C63" s="36" t="s">
        <v>419</v>
      </c>
      <c r="D63" s="4">
        <v>14</v>
      </c>
      <c r="E63" s="43">
        <v>13680.12</v>
      </c>
      <c r="F63" s="3"/>
      <c r="G63" s="38"/>
      <c r="H63" s="38"/>
      <c r="I63" s="34">
        <f t="shared" si="13"/>
        <v>0</v>
      </c>
      <c r="J63" s="34">
        <f t="shared" si="14"/>
        <v>0</v>
      </c>
      <c r="K63" s="9" t="e">
        <f t="shared" si="11"/>
        <v>#DIV/0!</v>
      </c>
      <c r="L63" s="19">
        <f t="shared" si="12"/>
        <v>13680.12</v>
      </c>
    </row>
    <row r="64" spans="1:13" s="32" customFormat="1" x14ac:dyDescent="0.35">
      <c r="A64" s="33" t="s">
        <v>6</v>
      </c>
      <c r="B64" s="32" t="s">
        <v>7</v>
      </c>
      <c r="C64" s="36" t="s">
        <v>419</v>
      </c>
      <c r="D64" s="4">
        <v>15</v>
      </c>
      <c r="E64" s="43">
        <v>13680.12</v>
      </c>
      <c r="F64" s="3"/>
      <c r="G64" s="38"/>
      <c r="H64" s="38"/>
      <c r="I64" s="34">
        <f t="shared" si="13"/>
        <v>0</v>
      </c>
      <c r="J64" s="34">
        <f t="shared" si="14"/>
        <v>0</v>
      </c>
      <c r="K64" s="9" t="e">
        <f t="shared" si="11"/>
        <v>#DIV/0!</v>
      </c>
      <c r="L64" s="19">
        <f t="shared" si="12"/>
        <v>13680.12</v>
      </c>
    </row>
    <row r="65" spans="1:12" s="32" customFormat="1" ht="15" thickBot="1" x14ac:dyDescent="0.4">
      <c r="A65" s="12" t="s">
        <v>6</v>
      </c>
      <c r="B65" s="13" t="s">
        <v>7</v>
      </c>
      <c r="C65" s="22" t="s">
        <v>419</v>
      </c>
      <c r="D65" s="14">
        <v>16</v>
      </c>
      <c r="E65" s="15">
        <v>13680.12</v>
      </c>
      <c r="F65" s="13"/>
      <c r="G65" s="15"/>
      <c r="H65" s="15"/>
      <c r="I65" s="15">
        <f t="shared" si="13"/>
        <v>0</v>
      </c>
      <c r="J65" s="15">
        <f t="shared" si="14"/>
        <v>0</v>
      </c>
      <c r="K65" s="16" t="e">
        <f t="shared" si="11"/>
        <v>#DIV/0!</v>
      </c>
      <c r="L65" s="39">
        <f t="shared" si="12"/>
        <v>13680.12</v>
      </c>
    </row>
    <row r="66" spans="1:12" x14ac:dyDescent="0.35">
      <c r="A66" s="2" t="s">
        <v>9</v>
      </c>
      <c r="B66" t="s">
        <v>8</v>
      </c>
      <c r="C66" s="21" t="s">
        <v>275</v>
      </c>
      <c r="D66" s="4">
        <v>1</v>
      </c>
      <c r="E66" s="1">
        <v>11704.1</v>
      </c>
      <c r="F66" s="3">
        <v>45887</v>
      </c>
      <c r="G66" s="1">
        <v>12890</v>
      </c>
      <c r="H66" s="1">
        <v>11704.1</v>
      </c>
      <c r="I66" s="1">
        <f t="shared" si="9"/>
        <v>1185.8999999999996</v>
      </c>
      <c r="J66" s="1">
        <f>I66</f>
        <v>1185.8999999999996</v>
      </c>
      <c r="K66" s="9">
        <f>I66/E66</f>
        <v>0.10132346784460143</v>
      </c>
      <c r="L66" s="19">
        <f t="shared" si="0"/>
        <v>0</v>
      </c>
    </row>
    <row r="67" spans="1:12" x14ac:dyDescent="0.35">
      <c r="A67" s="2" t="s">
        <v>9</v>
      </c>
      <c r="B67" t="s">
        <v>8</v>
      </c>
      <c r="C67" s="21" t="s">
        <v>275</v>
      </c>
      <c r="D67" s="4">
        <v>2</v>
      </c>
      <c r="E67" s="1">
        <v>11704.1</v>
      </c>
      <c r="F67" s="3">
        <v>45894</v>
      </c>
      <c r="G67" s="1">
        <v>12890</v>
      </c>
      <c r="H67" s="1">
        <v>11704.1</v>
      </c>
      <c r="I67" s="1">
        <f t="shared" si="9"/>
        <v>1185.8999999999996</v>
      </c>
      <c r="J67" s="1">
        <f>J66+I67</f>
        <v>2371.7999999999993</v>
      </c>
      <c r="K67" s="9">
        <f t="shared" ref="K67:K81" si="15">I67/E67</f>
        <v>0.10132346784460143</v>
      </c>
      <c r="L67" s="19">
        <f t="shared" si="0"/>
        <v>0</v>
      </c>
    </row>
    <row r="68" spans="1:12" x14ac:dyDescent="0.35">
      <c r="A68" s="2" t="s">
        <v>9</v>
      </c>
      <c r="B68" t="s">
        <v>8</v>
      </c>
      <c r="C68" s="21" t="s">
        <v>275</v>
      </c>
      <c r="D68" s="4">
        <v>3</v>
      </c>
      <c r="E68" s="1">
        <v>11704.1</v>
      </c>
      <c r="F68" s="3">
        <v>45901</v>
      </c>
      <c r="G68" s="1">
        <v>12890</v>
      </c>
      <c r="H68" s="1">
        <v>11740</v>
      </c>
      <c r="I68" s="1">
        <f t="shared" si="9"/>
        <v>1150</v>
      </c>
      <c r="J68" s="1">
        <f t="shared" ref="J68:J81" si="16">J67+I68</f>
        <v>3521.7999999999993</v>
      </c>
      <c r="K68" s="9">
        <f t="shared" si="15"/>
        <v>9.825616664245862E-2</v>
      </c>
      <c r="L68" s="19">
        <f t="shared" si="0"/>
        <v>-35.899999999999636</v>
      </c>
    </row>
    <row r="69" spans="1:12" x14ac:dyDescent="0.35">
      <c r="A69" s="2" t="s">
        <v>9</v>
      </c>
      <c r="B69" t="s">
        <v>8</v>
      </c>
      <c r="C69" s="21" t="s">
        <v>275</v>
      </c>
      <c r="D69" s="4">
        <v>4</v>
      </c>
      <c r="E69" s="1">
        <v>11704.1</v>
      </c>
      <c r="F69" s="3">
        <v>45908</v>
      </c>
      <c r="G69" s="1">
        <v>12890</v>
      </c>
      <c r="H69" s="1">
        <v>11704</v>
      </c>
      <c r="I69" s="1">
        <f t="shared" si="9"/>
        <v>1186</v>
      </c>
      <c r="J69" s="1">
        <f t="shared" si="16"/>
        <v>4707.7999999999993</v>
      </c>
      <c r="K69" s="9">
        <f t="shared" si="15"/>
        <v>0.10133201185909212</v>
      </c>
      <c r="L69" s="19">
        <f t="shared" si="0"/>
        <v>0.1000000000003638</v>
      </c>
    </row>
    <row r="70" spans="1:12" x14ac:dyDescent="0.35">
      <c r="A70" s="2" t="s">
        <v>9</v>
      </c>
      <c r="B70" t="s">
        <v>8</v>
      </c>
      <c r="C70" s="21" t="s">
        <v>275</v>
      </c>
      <c r="D70" s="4">
        <v>5</v>
      </c>
      <c r="E70" s="1">
        <v>11704.1</v>
      </c>
      <c r="F70" s="3">
        <v>45915</v>
      </c>
      <c r="G70" s="1">
        <v>12890</v>
      </c>
      <c r="H70" s="1">
        <v>11704</v>
      </c>
      <c r="I70" s="1">
        <f t="shared" si="9"/>
        <v>1186</v>
      </c>
      <c r="J70" s="1">
        <f t="shared" si="16"/>
        <v>5893.7999999999993</v>
      </c>
      <c r="K70" s="9">
        <f t="shared" si="15"/>
        <v>0.10133201185909212</v>
      </c>
      <c r="L70" s="19">
        <f t="shared" si="0"/>
        <v>0.1000000000003638</v>
      </c>
    </row>
    <row r="71" spans="1:12" x14ac:dyDescent="0.35">
      <c r="A71" s="2" t="s">
        <v>9</v>
      </c>
      <c r="B71" t="s">
        <v>8</v>
      </c>
      <c r="C71" s="21" t="s">
        <v>275</v>
      </c>
      <c r="D71" s="4">
        <v>6</v>
      </c>
      <c r="E71" s="1">
        <v>11704.1</v>
      </c>
      <c r="F71" s="3">
        <v>45922</v>
      </c>
      <c r="G71" s="1">
        <v>12880</v>
      </c>
      <c r="H71" s="1">
        <v>11704</v>
      </c>
      <c r="I71" s="1">
        <f t="shared" si="9"/>
        <v>1176</v>
      </c>
      <c r="J71" s="1">
        <f t="shared" si="16"/>
        <v>7069.7999999999993</v>
      </c>
      <c r="K71" s="9">
        <f t="shared" si="15"/>
        <v>0.10047761041002726</v>
      </c>
      <c r="L71" s="19">
        <f t="shared" si="0"/>
        <v>0.1000000000003638</v>
      </c>
    </row>
    <row r="72" spans="1:12" x14ac:dyDescent="0.35">
      <c r="A72" s="2" t="s">
        <v>9</v>
      </c>
      <c r="B72" t="s">
        <v>8</v>
      </c>
      <c r="C72" s="21" t="s">
        <v>275</v>
      </c>
      <c r="D72" s="4">
        <v>7</v>
      </c>
      <c r="E72" s="1">
        <v>11704.1</v>
      </c>
      <c r="F72" s="3">
        <v>45929</v>
      </c>
      <c r="G72" s="1">
        <v>12890</v>
      </c>
      <c r="H72" s="1">
        <v>11704</v>
      </c>
      <c r="I72" s="1">
        <f t="shared" si="9"/>
        <v>1186</v>
      </c>
      <c r="J72" s="1">
        <f t="shared" si="16"/>
        <v>8255.7999999999993</v>
      </c>
      <c r="K72" s="9">
        <f t="shared" si="15"/>
        <v>0.10133201185909212</v>
      </c>
      <c r="L72" s="19">
        <f t="shared" si="0"/>
        <v>0.1000000000003638</v>
      </c>
    </row>
    <row r="73" spans="1:12" x14ac:dyDescent="0.35">
      <c r="A73" s="2" t="s">
        <v>9</v>
      </c>
      <c r="B73" t="s">
        <v>8</v>
      </c>
      <c r="C73" s="21" t="s">
        <v>275</v>
      </c>
      <c r="D73" s="4">
        <v>8</v>
      </c>
      <c r="E73" s="1">
        <v>11704.1</v>
      </c>
      <c r="F73" s="3">
        <v>45936</v>
      </c>
      <c r="G73" s="1">
        <v>12880</v>
      </c>
      <c r="H73" s="1">
        <v>11704</v>
      </c>
      <c r="I73" s="1">
        <f t="shared" si="9"/>
        <v>1176</v>
      </c>
      <c r="J73" s="1">
        <f t="shared" si="16"/>
        <v>9431.7999999999993</v>
      </c>
      <c r="K73" s="9">
        <f t="shared" si="15"/>
        <v>0.10047761041002726</v>
      </c>
      <c r="L73" s="19">
        <f t="shared" si="0"/>
        <v>0.1000000000003638</v>
      </c>
    </row>
    <row r="74" spans="1:12" x14ac:dyDescent="0.35">
      <c r="A74" s="2" t="s">
        <v>9</v>
      </c>
      <c r="B74" t="s">
        <v>8</v>
      </c>
      <c r="C74" s="21" t="s">
        <v>275</v>
      </c>
      <c r="D74" s="4">
        <v>9</v>
      </c>
      <c r="E74" s="1">
        <v>11704.1</v>
      </c>
      <c r="F74" s="3">
        <v>45943</v>
      </c>
      <c r="G74" s="1">
        <v>12880</v>
      </c>
      <c r="H74" s="1">
        <v>11704</v>
      </c>
      <c r="I74" s="1">
        <f t="shared" si="9"/>
        <v>1176</v>
      </c>
      <c r="J74" s="1">
        <f t="shared" si="16"/>
        <v>10607.8</v>
      </c>
      <c r="K74" s="9">
        <f t="shared" si="15"/>
        <v>0.10047761041002726</v>
      </c>
      <c r="L74" s="19">
        <f t="shared" si="0"/>
        <v>0.1000000000003638</v>
      </c>
    </row>
    <row r="75" spans="1:12" x14ac:dyDescent="0.35">
      <c r="A75" s="2" t="s">
        <v>9</v>
      </c>
      <c r="B75" t="s">
        <v>8</v>
      </c>
      <c r="C75" s="21" t="s">
        <v>275</v>
      </c>
      <c r="D75" s="4">
        <v>10</v>
      </c>
      <c r="E75" s="1">
        <v>11704.1</v>
      </c>
      <c r="F75" s="3">
        <v>45950</v>
      </c>
      <c r="G75" s="1">
        <v>12880</v>
      </c>
      <c r="H75" s="1">
        <v>11704</v>
      </c>
      <c r="I75" s="1">
        <f t="shared" si="9"/>
        <v>1176</v>
      </c>
      <c r="J75" s="1">
        <f t="shared" si="16"/>
        <v>11783.8</v>
      </c>
      <c r="K75" s="9">
        <f t="shared" si="15"/>
        <v>0.10047761041002726</v>
      </c>
      <c r="L75" s="19">
        <f t="shared" si="0"/>
        <v>0.1000000000003638</v>
      </c>
    </row>
    <row r="76" spans="1:12" x14ac:dyDescent="0.35">
      <c r="A76" s="2" t="s">
        <v>9</v>
      </c>
      <c r="B76" t="s">
        <v>8</v>
      </c>
      <c r="C76" s="21" t="s">
        <v>275</v>
      </c>
      <c r="D76" s="4">
        <v>11</v>
      </c>
      <c r="E76" s="1">
        <v>11704.1</v>
      </c>
      <c r="F76" s="3">
        <v>45957</v>
      </c>
      <c r="G76" s="1">
        <v>12880</v>
      </c>
      <c r="H76" s="1">
        <v>11704</v>
      </c>
      <c r="I76" s="1">
        <f t="shared" si="9"/>
        <v>1176</v>
      </c>
      <c r="J76" s="1">
        <f t="shared" si="16"/>
        <v>12959.8</v>
      </c>
      <c r="K76" s="9">
        <f t="shared" si="15"/>
        <v>0.10047761041002726</v>
      </c>
      <c r="L76" s="19">
        <f t="shared" si="0"/>
        <v>0.1000000000003638</v>
      </c>
    </row>
    <row r="77" spans="1:12" x14ac:dyDescent="0.35">
      <c r="A77" s="2" t="s">
        <v>9</v>
      </c>
      <c r="B77" t="s">
        <v>8</v>
      </c>
      <c r="C77" s="21" t="s">
        <v>275</v>
      </c>
      <c r="D77" s="4">
        <v>12</v>
      </c>
      <c r="E77" s="1">
        <v>11704.1</v>
      </c>
      <c r="F77" s="3">
        <v>45964</v>
      </c>
      <c r="G77" s="1">
        <v>12880</v>
      </c>
      <c r="H77" s="1">
        <v>11704</v>
      </c>
      <c r="I77" s="1">
        <f t="shared" si="9"/>
        <v>1176</v>
      </c>
      <c r="J77" s="1">
        <f t="shared" si="16"/>
        <v>14135.8</v>
      </c>
      <c r="K77" s="9">
        <f t="shared" si="15"/>
        <v>0.10047761041002726</v>
      </c>
      <c r="L77" s="19">
        <f t="shared" si="0"/>
        <v>0.1000000000003638</v>
      </c>
    </row>
    <row r="78" spans="1:12" x14ac:dyDescent="0.35">
      <c r="A78" s="2" t="s">
        <v>9</v>
      </c>
      <c r="B78" t="s">
        <v>8</v>
      </c>
      <c r="C78" s="21" t="s">
        <v>275</v>
      </c>
      <c r="D78" s="4">
        <v>13</v>
      </c>
      <c r="E78" s="1">
        <v>11704.1</v>
      </c>
      <c r="G78" s="1"/>
      <c r="H78" s="1"/>
      <c r="I78" s="1">
        <f t="shared" si="9"/>
        <v>0</v>
      </c>
      <c r="J78" s="1">
        <f t="shared" si="16"/>
        <v>14135.8</v>
      </c>
      <c r="K78" s="9">
        <f>I78/E78</f>
        <v>0</v>
      </c>
      <c r="L78" s="19">
        <f t="shared" si="0"/>
        <v>11704.1</v>
      </c>
    </row>
    <row r="79" spans="1:12" x14ac:dyDescent="0.35">
      <c r="A79" s="2" t="s">
        <v>9</v>
      </c>
      <c r="B79" t="s">
        <v>8</v>
      </c>
      <c r="C79" s="21" t="s">
        <v>275</v>
      </c>
      <c r="D79" s="4">
        <v>14</v>
      </c>
      <c r="E79" s="1">
        <v>11704.1</v>
      </c>
      <c r="G79" s="1"/>
      <c r="H79" s="1"/>
      <c r="I79" s="1">
        <f t="shared" si="9"/>
        <v>0</v>
      </c>
      <c r="J79" s="1">
        <f t="shared" si="16"/>
        <v>14135.8</v>
      </c>
      <c r="K79" s="9">
        <f t="shared" si="15"/>
        <v>0</v>
      </c>
      <c r="L79" s="19">
        <f t="shared" si="0"/>
        <v>11704.1</v>
      </c>
    </row>
    <row r="80" spans="1:12" x14ac:dyDescent="0.35">
      <c r="A80" s="2" t="s">
        <v>9</v>
      </c>
      <c r="B80" t="s">
        <v>8</v>
      </c>
      <c r="C80" s="21" t="s">
        <v>275</v>
      </c>
      <c r="D80" s="4">
        <v>15</v>
      </c>
      <c r="E80" s="1">
        <v>11704.1</v>
      </c>
      <c r="G80" s="1"/>
      <c r="H80" s="1"/>
      <c r="I80" s="1">
        <f t="shared" si="9"/>
        <v>0</v>
      </c>
      <c r="J80" s="1">
        <f t="shared" si="16"/>
        <v>14135.8</v>
      </c>
      <c r="K80" s="9">
        <f t="shared" si="15"/>
        <v>0</v>
      </c>
      <c r="L80" s="19">
        <f t="shared" si="0"/>
        <v>11704.1</v>
      </c>
    </row>
    <row r="81" spans="1:12" ht="15" thickBot="1" x14ac:dyDescent="0.4">
      <c r="A81" s="12" t="s">
        <v>9</v>
      </c>
      <c r="B81" s="13" t="s">
        <v>8</v>
      </c>
      <c r="C81" s="22" t="s">
        <v>275</v>
      </c>
      <c r="D81" s="14">
        <v>16</v>
      </c>
      <c r="E81" s="15">
        <v>11704.1</v>
      </c>
      <c r="F81" s="13"/>
      <c r="G81" s="15"/>
      <c r="H81" s="15"/>
      <c r="I81" s="15">
        <f t="shared" si="9"/>
        <v>0</v>
      </c>
      <c r="J81" s="15">
        <f t="shared" si="16"/>
        <v>14135.8</v>
      </c>
      <c r="K81" s="16">
        <f t="shared" si="15"/>
        <v>0</v>
      </c>
      <c r="L81" s="24">
        <f t="shared" si="0"/>
        <v>11704.1</v>
      </c>
    </row>
    <row r="82" spans="1:12" x14ac:dyDescent="0.35">
      <c r="A82" s="2" t="s">
        <v>12</v>
      </c>
      <c r="B82" t="s">
        <v>13</v>
      </c>
      <c r="C82" s="21" t="s">
        <v>275</v>
      </c>
      <c r="D82" s="4">
        <v>1</v>
      </c>
      <c r="E82" s="61">
        <v>13984.12</v>
      </c>
      <c r="F82" s="3">
        <v>45918</v>
      </c>
      <c r="G82" s="1">
        <v>14738</v>
      </c>
      <c r="H82" s="1">
        <v>13984.12</v>
      </c>
      <c r="I82" s="1">
        <f t="shared" si="9"/>
        <v>753.8799999999992</v>
      </c>
      <c r="J82" s="1">
        <f>I82</f>
        <v>753.8799999999992</v>
      </c>
      <c r="K82" s="9">
        <f t="shared" ref="K82:K96" si="17">I82/H82</f>
        <v>5.3909720454343869E-2</v>
      </c>
      <c r="L82" s="19">
        <f t="shared" ref="L82:L161" si="18">E82-H82</f>
        <v>0</v>
      </c>
    </row>
    <row r="83" spans="1:12" x14ac:dyDescent="0.35">
      <c r="A83" s="2" t="s">
        <v>12</v>
      </c>
      <c r="B83" t="s">
        <v>13</v>
      </c>
      <c r="C83" s="21" t="s">
        <v>275</v>
      </c>
      <c r="D83" s="4">
        <v>2</v>
      </c>
      <c r="E83" s="61">
        <v>13984.12</v>
      </c>
      <c r="F83" s="3">
        <v>45894</v>
      </c>
      <c r="G83" s="1">
        <v>14738</v>
      </c>
      <c r="H83" s="1">
        <v>13984.12</v>
      </c>
      <c r="I83" s="1">
        <f t="shared" si="9"/>
        <v>753.8799999999992</v>
      </c>
      <c r="J83" s="1">
        <f>J82+I83</f>
        <v>1507.7599999999984</v>
      </c>
      <c r="K83" s="9">
        <f t="shared" si="17"/>
        <v>5.3909720454343869E-2</v>
      </c>
      <c r="L83" s="19">
        <f t="shared" si="18"/>
        <v>0</v>
      </c>
    </row>
    <row r="84" spans="1:12" x14ac:dyDescent="0.35">
      <c r="A84" s="2" t="s">
        <v>12</v>
      </c>
      <c r="B84" t="s">
        <v>13</v>
      </c>
      <c r="C84" s="21" t="s">
        <v>275</v>
      </c>
      <c r="D84" s="4">
        <v>3</v>
      </c>
      <c r="E84" s="61">
        <v>13984.12</v>
      </c>
      <c r="F84" s="3">
        <v>45898</v>
      </c>
      <c r="G84" s="1">
        <v>14695</v>
      </c>
      <c r="H84" s="1">
        <v>13984</v>
      </c>
      <c r="I84" s="1">
        <f t="shared" si="9"/>
        <v>711</v>
      </c>
      <c r="J84" s="1">
        <f t="shared" ref="J84:J97" si="19">J83+I84</f>
        <v>2218.7599999999984</v>
      </c>
      <c r="K84" s="9">
        <f t="shared" si="17"/>
        <v>5.0843821510297482E-2</v>
      </c>
      <c r="L84" s="19">
        <f t="shared" si="18"/>
        <v>0.12000000000080036</v>
      </c>
    </row>
    <row r="85" spans="1:12" x14ac:dyDescent="0.35">
      <c r="A85" s="2" t="s">
        <v>12</v>
      </c>
      <c r="B85" t="s">
        <v>13</v>
      </c>
      <c r="C85" s="21" t="s">
        <v>275</v>
      </c>
      <c r="D85" s="4">
        <v>4</v>
      </c>
      <c r="E85" s="61">
        <v>13984.12</v>
      </c>
      <c r="F85" s="3">
        <v>45908</v>
      </c>
      <c r="G85" s="1">
        <v>14695</v>
      </c>
      <c r="H85" s="1">
        <v>13984</v>
      </c>
      <c r="I85" s="1">
        <f t="shared" si="9"/>
        <v>711</v>
      </c>
      <c r="J85" s="1">
        <f t="shared" si="19"/>
        <v>2929.7599999999984</v>
      </c>
      <c r="K85" s="9">
        <f t="shared" si="17"/>
        <v>5.0843821510297482E-2</v>
      </c>
      <c r="L85" s="19">
        <f t="shared" si="18"/>
        <v>0.12000000000080036</v>
      </c>
    </row>
    <row r="86" spans="1:12" x14ac:dyDescent="0.35">
      <c r="A86" s="2" t="s">
        <v>12</v>
      </c>
      <c r="B86" t="s">
        <v>13</v>
      </c>
      <c r="C86" s="21" t="s">
        <v>275</v>
      </c>
      <c r="D86" s="4">
        <v>5</v>
      </c>
      <c r="E86" s="61">
        <v>13984.12</v>
      </c>
      <c r="F86" s="3">
        <v>45915</v>
      </c>
      <c r="G86" s="1">
        <v>14686</v>
      </c>
      <c r="H86" s="1">
        <v>13984</v>
      </c>
      <c r="I86" s="1">
        <f t="shared" si="9"/>
        <v>702</v>
      </c>
      <c r="J86" s="1">
        <f t="shared" si="19"/>
        <v>3631.7599999999984</v>
      </c>
      <c r="K86" s="9">
        <f t="shared" si="17"/>
        <v>5.0200228832951943E-2</v>
      </c>
      <c r="L86" s="19">
        <f t="shared" si="18"/>
        <v>0.12000000000080036</v>
      </c>
    </row>
    <row r="87" spans="1:12" x14ac:dyDescent="0.35">
      <c r="A87" s="2" t="s">
        <v>12</v>
      </c>
      <c r="B87" t="s">
        <v>13</v>
      </c>
      <c r="C87" s="21" t="s">
        <v>275</v>
      </c>
      <c r="D87" s="4">
        <v>6</v>
      </c>
      <c r="E87" s="61">
        <v>13984.12</v>
      </c>
      <c r="F87" s="3">
        <v>45922</v>
      </c>
      <c r="G87" s="1">
        <v>14695</v>
      </c>
      <c r="H87" s="1">
        <v>13984</v>
      </c>
      <c r="I87" s="1">
        <f t="shared" si="9"/>
        <v>711</v>
      </c>
      <c r="J87" s="1">
        <f t="shared" si="19"/>
        <v>4342.7599999999984</v>
      </c>
      <c r="K87" s="9">
        <f t="shared" si="17"/>
        <v>5.0843821510297482E-2</v>
      </c>
      <c r="L87" s="19">
        <f t="shared" si="18"/>
        <v>0.12000000000080036</v>
      </c>
    </row>
    <row r="88" spans="1:12" x14ac:dyDescent="0.35">
      <c r="A88" s="2" t="s">
        <v>12</v>
      </c>
      <c r="B88" t="s">
        <v>13</v>
      </c>
      <c r="C88" s="21" t="s">
        <v>275</v>
      </c>
      <c r="D88" s="4">
        <v>7</v>
      </c>
      <c r="E88" s="61">
        <v>13984.12</v>
      </c>
      <c r="F88" s="3">
        <v>45927</v>
      </c>
      <c r="G88" s="1">
        <v>14695</v>
      </c>
      <c r="H88" s="1">
        <v>13984</v>
      </c>
      <c r="I88" s="1">
        <f t="shared" si="9"/>
        <v>711</v>
      </c>
      <c r="J88" s="1">
        <f t="shared" si="19"/>
        <v>5053.7599999999984</v>
      </c>
      <c r="K88" s="9">
        <f t="shared" si="17"/>
        <v>5.0843821510297482E-2</v>
      </c>
      <c r="L88" s="19">
        <f t="shared" si="18"/>
        <v>0.12000000000080036</v>
      </c>
    </row>
    <row r="89" spans="1:12" x14ac:dyDescent="0.35">
      <c r="A89" s="2" t="s">
        <v>12</v>
      </c>
      <c r="B89" t="s">
        <v>13</v>
      </c>
      <c r="C89" s="21" t="s">
        <v>275</v>
      </c>
      <c r="D89" s="4">
        <v>8</v>
      </c>
      <c r="E89" s="61">
        <v>13984.12</v>
      </c>
      <c r="F89" s="3">
        <v>45936</v>
      </c>
      <c r="G89" s="1">
        <v>14695</v>
      </c>
      <c r="H89" s="1">
        <v>13984</v>
      </c>
      <c r="I89" s="1">
        <f t="shared" si="9"/>
        <v>711</v>
      </c>
      <c r="J89" s="1">
        <f t="shared" si="19"/>
        <v>5764.7599999999984</v>
      </c>
      <c r="K89" s="9">
        <f t="shared" si="17"/>
        <v>5.0843821510297482E-2</v>
      </c>
      <c r="L89" s="19">
        <f t="shared" si="18"/>
        <v>0.12000000000080036</v>
      </c>
    </row>
    <row r="90" spans="1:12" x14ac:dyDescent="0.35">
      <c r="A90" s="2" t="s">
        <v>12</v>
      </c>
      <c r="B90" t="s">
        <v>13</v>
      </c>
      <c r="C90" s="21" t="s">
        <v>275</v>
      </c>
      <c r="D90" s="4">
        <v>9</v>
      </c>
      <c r="E90" s="61">
        <v>13984.12</v>
      </c>
      <c r="F90" s="3">
        <v>45943</v>
      </c>
      <c r="G90" s="1">
        <v>14695</v>
      </c>
      <c r="H90" s="1">
        <v>13984</v>
      </c>
      <c r="I90" s="1">
        <f t="shared" si="9"/>
        <v>711</v>
      </c>
      <c r="J90" s="1">
        <f t="shared" si="19"/>
        <v>6475.7599999999984</v>
      </c>
      <c r="K90" s="9">
        <f t="shared" si="17"/>
        <v>5.0843821510297482E-2</v>
      </c>
      <c r="L90" s="19">
        <f t="shared" si="18"/>
        <v>0.12000000000080036</v>
      </c>
    </row>
    <row r="91" spans="1:12" x14ac:dyDescent="0.35">
      <c r="A91" s="2" t="s">
        <v>12</v>
      </c>
      <c r="B91" t="s">
        <v>13</v>
      </c>
      <c r="C91" s="21" t="s">
        <v>275</v>
      </c>
      <c r="D91" s="4">
        <v>10</v>
      </c>
      <c r="E91" s="61">
        <v>13984.12</v>
      </c>
      <c r="F91" s="3">
        <v>45950</v>
      </c>
      <c r="G91" s="1">
        <v>14695</v>
      </c>
      <c r="H91" s="1">
        <v>13984</v>
      </c>
      <c r="I91" s="1">
        <f t="shared" si="9"/>
        <v>711</v>
      </c>
      <c r="J91" s="1">
        <f t="shared" si="19"/>
        <v>7186.7599999999984</v>
      </c>
      <c r="K91" s="9">
        <f t="shared" si="17"/>
        <v>5.0843821510297482E-2</v>
      </c>
      <c r="L91" s="19">
        <f t="shared" si="18"/>
        <v>0.12000000000080036</v>
      </c>
    </row>
    <row r="92" spans="1:12" x14ac:dyDescent="0.35">
      <c r="A92" s="2" t="s">
        <v>12</v>
      </c>
      <c r="B92" t="s">
        <v>13</v>
      </c>
      <c r="C92" s="21" t="s">
        <v>275</v>
      </c>
      <c r="D92" s="4">
        <v>11</v>
      </c>
      <c r="E92" s="61">
        <v>13984.12</v>
      </c>
      <c r="F92" s="3">
        <v>45957</v>
      </c>
      <c r="G92" s="1">
        <v>14695</v>
      </c>
      <c r="H92" s="1">
        <v>13984</v>
      </c>
      <c r="I92" s="1">
        <f t="shared" si="9"/>
        <v>711</v>
      </c>
      <c r="J92" s="1">
        <f t="shared" si="19"/>
        <v>7897.7599999999984</v>
      </c>
      <c r="K92" s="9">
        <f t="shared" si="17"/>
        <v>5.0843821510297482E-2</v>
      </c>
      <c r="L92" s="19">
        <f t="shared" si="18"/>
        <v>0.12000000000080036</v>
      </c>
    </row>
    <row r="93" spans="1:12" x14ac:dyDescent="0.35">
      <c r="A93" s="2" t="s">
        <v>12</v>
      </c>
      <c r="B93" t="s">
        <v>13</v>
      </c>
      <c r="C93" s="21" t="s">
        <v>275</v>
      </c>
      <c r="D93" s="4">
        <v>12</v>
      </c>
      <c r="E93" s="61">
        <v>13984.12</v>
      </c>
      <c r="F93" s="3">
        <v>45964</v>
      </c>
      <c r="G93" s="1">
        <v>14695</v>
      </c>
      <c r="H93" s="1">
        <v>13984</v>
      </c>
      <c r="I93" s="1">
        <f t="shared" si="9"/>
        <v>711</v>
      </c>
      <c r="J93" s="1">
        <f t="shared" si="19"/>
        <v>8608.7599999999984</v>
      </c>
      <c r="K93" s="9">
        <f t="shared" si="17"/>
        <v>5.0843821510297482E-2</v>
      </c>
      <c r="L93" s="19">
        <f t="shared" si="18"/>
        <v>0.12000000000080036</v>
      </c>
    </row>
    <row r="94" spans="1:12" x14ac:dyDescent="0.35">
      <c r="A94" s="2" t="s">
        <v>12</v>
      </c>
      <c r="B94" t="s">
        <v>13</v>
      </c>
      <c r="C94" s="21" t="s">
        <v>275</v>
      </c>
      <c r="D94" s="4">
        <v>13</v>
      </c>
      <c r="E94" s="61">
        <v>13984.12</v>
      </c>
      <c r="G94" s="1"/>
      <c r="H94" s="1"/>
      <c r="I94" s="1">
        <f t="shared" si="9"/>
        <v>0</v>
      </c>
      <c r="J94" s="1">
        <f t="shared" si="19"/>
        <v>8608.7599999999984</v>
      </c>
      <c r="K94" s="9" t="e">
        <f t="shared" si="17"/>
        <v>#DIV/0!</v>
      </c>
      <c r="L94" s="19">
        <f t="shared" si="18"/>
        <v>13984.12</v>
      </c>
    </row>
    <row r="95" spans="1:12" x14ac:dyDescent="0.35">
      <c r="A95" s="2" t="s">
        <v>12</v>
      </c>
      <c r="B95" t="s">
        <v>13</v>
      </c>
      <c r="C95" s="21" t="s">
        <v>275</v>
      </c>
      <c r="D95" s="4">
        <v>14</v>
      </c>
      <c r="E95" s="61">
        <v>13984.12</v>
      </c>
      <c r="G95" s="1"/>
      <c r="H95" s="1"/>
      <c r="I95" s="1">
        <f t="shared" si="9"/>
        <v>0</v>
      </c>
      <c r="J95" s="1">
        <f t="shared" si="19"/>
        <v>8608.7599999999984</v>
      </c>
      <c r="K95" s="9" t="e">
        <f t="shared" si="17"/>
        <v>#DIV/0!</v>
      </c>
      <c r="L95" s="19">
        <f t="shared" si="18"/>
        <v>13984.12</v>
      </c>
    </row>
    <row r="96" spans="1:12" x14ac:dyDescent="0.35">
      <c r="A96" s="2" t="s">
        <v>12</v>
      </c>
      <c r="B96" t="s">
        <v>13</v>
      </c>
      <c r="C96" s="21" t="s">
        <v>275</v>
      </c>
      <c r="D96" s="4">
        <v>15</v>
      </c>
      <c r="E96" s="61">
        <v>13984.12</v>
      </c>
      <c r="G96" s="1"/>
      <c r="H96" s="1"/>
      <c r="I96" s="1">
        <f t="shared" si="9"/>
        <v>0</v>
      </c>
      <c r="J96" s="1">
        <f t="shared" si="19"/>
        <v>8608.7599999999984</v>
      </c>
      <c r="K96" s="9" t="e">
        <f t="shared" si="17"/>
        <v>#DIV/0!</v>
      </c>
      <c r="L96" s="19">
        <f t="shared" si="18"/>
        <v>13984.12</v>
      </c>
    </row>
    <row r="97" spans="1:12" ht="15" thickBot="1" x14ac:dyDescent="0.4">
      <c r="A97" s="12" t="s">
        <v>12</v>
      </c>
      <c r="B97" s="13" t="s">
        <v>13</v>
      </c>
      <c r="C97" s="22" t="s">
        <v>275</v>
      </c>
      <c r="D97" s="14">
        <v>16</v>
      </c>
      <c r="E97" s="15">
        <v>13984.12</v>
      </c>
      <c r="F97" s="13"/>
      <c r="G97" s="15"/>
      <c r="H97" s="15"/>
      <c r="I97" s="15">
        <f t="shared" si="9"/>
        <v>0</v>
      </c>
      <c r="J97" s="15">
        <f t="shared" si="19"/>
        <v>8608.7599999999984</v>
      </c>
      <c r="K97" s="15"/>
      <c r="L97" s="24">
        <f t="shared" si="18"/>
        <v>13984.12</v>
      </c>
    </row>
    <row r="98" spans="1:12" x14ac:dyDescent="0.35">
      <c r="A98" s="2" t="s">
        <v>10</v>
      </c>
      <c r="B98" t="s">
        <v>11</v>
      </c>
      <c r="C98" s="21" t="s">
        <v>275</v>
      </c>
      <c r="D98" s="4">
        <v>1</v>
      </c>
      <c r="E98" s="62">
        <v>10868.1</v>
      </c>
      <c r="F98" s="3">
        <v>45884</v>
      </c>
      <c r="G98" s="1">
        <v>11954</v>
      </c>
      <c r="H98" s="1">
        <v>10868.1</v>
      </c>
      <c r="I98" s="1">
        <f t="shared" si="9"/>
        <v>1085.8999999999996</v>
      </c>
      <c r="J98" s="1">
        <f>I98</f>
        <v>1085.8999999999996</v>
      </c>
      <c r="K98" s="9">
        <f t="shared" ref="K98:K112" si="20">I98/H98</f>
        <v>9.9916268713022477E-2</v>
      </c>
      <c r="L98" s="19">
        <f t="shared" si="18"/>
        <v>0</v>
      </c>
    </row>
    <row r="99" spans="1:12" x14ac:dyDescent="0.35">
      <c r="A99" s="2" t="s">
        <v>10</v>
      </c>
      <c r="B99" t="s">
        <v>11</v>
      </c>
      <c r="C99" s="21" t="s">
        <v>275</v>
      </c>
      <c r="D99" s="4">
        <v>2</v>
      </c>
      <c r="E99" s="62">
        <v>10868.1</v>
      </c>
      <c r="F99" s="3">
        <v>45891</v>
      </c>
      <c r="G99" s="1">
        <v>11954</v>
      </c>
      <c r="H99" s="1">
        <v>10868.1</v>
      </c>
      <c r="I99" s="1">
        <f t="shared" ref="I99:I178" si="21">G99-H99</f>
        <v>1085.8999999999996</v>
      </c>
      <c r="J99" s="1">
        <f>J98+I99</f>
        <v>2171.7999999999993</v>
      </c>
      <c r="K99" s="9">
        <f t="shared" si="20"/>
        <v>9.9916268713022477E-2</v>
      </c>
      <c r="L99" s="19">
        <f t="shared" si="18"/>
        <v>0</v>
      </c>
    </row>
    <row r="100" spans="1:12" x14ac:dyDescent="0.35">
      <c r="A100" s="2" t="s">
        <v>10</v>
      </c>
      <c r="B100" t="s">
        <v>11</v>
      </c>
      <c r="C100" s="21" t="s">
        <v>275</v>
      </c>
      <c r="D100" s="4">
        <v>3</v>
      </c>
      <c r="E100" s="62">
        <v>10868.1</v>
      </c>
      <c r="F100" s="3">
        <v>45898</v>
      </c>
      <c r="G100" s="1">
        <v>11954</v>
      </c>
      <c r="H100" s="1">
        <v>10868</v>
      </c>
      <c r="I100" s="1">
        <f t="shared" si="21"/>
        <v>1086</v>
      </c>
      <c r="J100" s="1">
        <f t="shared" ref="J100:J113" si="22">J99+I100</f>
        <v>3257.7999999999993</v>
      </c>
      <c r="K100" s="9">
        <f t="shared" si="20"/>
        <v>9.9926389400073617E-2</v>
      </c>
      <c r="L100" s="19">
        <f t="shared" si="18"/>
        <v>0.1000000000003638</v>
      </c>
    </row>
    <row r="101" spans="1:12" x14ac:dyDescent="0.35">
      <c r="A101" s="2" t="s">
        <v>10</v>
      </c>
      <c r="B101" t="s">
        <v>11</v>
      </c>
      <c r="C101" s="21" t="s">
        <v>275</v>
      </c>
      <c r="D101" s="4">
        <v>4</v>
      </c>
      <c r="E101" s="62">
        <v>10868.1</v>
      </c>
      <c r="F101" s="3">
        <v>45905</v>
      </c>
      <c r="G101" s="1">
        <v>11954</v>
      </c>
      <c r="H101" s="1">
        <v>10868</v>
      </c>
      <c r="I101" s="1">
        <f t="shared" si="21"/>
        <v>1086</v>
      </c>
      <c r="J101" s="1">
        <f t="shared" si="22"/>
        <v>4343.7999999999993</v>
      </c>
      <c r="K101" s="9">
        <f t="shared" si="20"/>
        <v>9.9926389400073617E-2</v>
      </c>
      <c r="L101" s="19">
        <f t="shared" si="18"/>
        <v>0.1000000000003638</v>
      </c>
    </row>
    <row r="102" spans="1:12" x14ac:dyDescent="0.35">
      <c r="A102" s="2" t="s">
        <v>10</v>
      </c>
      <c r="B102" t="s">
        <v>11</v>
      </c>
      <c r="C102" s="21" t="s">
        <v>275</v>
      </c>
      <c r="D102" s="4">
        <v>5</v>
      </c>
      <c r="E102" s="62">
        <v>10868.1</v>
      </c>
      <c r="F102" s="3">
        <v>45912</v>
      </c>
      <c r="G102" s="1">
        <v>11954</v>
      </c>
      <c r="H102" s="1">
        <v>10868</v>
      </c>
      <c r="I102" s="1">
        <f t="shared" si="21"/>
        <v>1086</v>
      </c>
      <c r="J102" s="1">
        <f t="shared" si="22"/>
        <v>5429.7999999999993</v>
      </c>
      <c r="K102" s="9">
        <f t="shared" si="20"/>
        <v>9.9926389400073617E-2</v>
      </c>
      <c r="L102" s="19">
        <f t="shared" si="18"/>
        <v>0.1000000000003638</v>
      </c>
    </row>
    <row r="103" spans="1:12" x14ac:dyDescent="0.35">
      <c r="A103" s="2" t="s">
        <v>10</v>
      </c>
      <c r="B103" t="s">
        <v>11</v>
      </c>
      <c r="C103" s="21" t="s">
        <v>275</v>
      </c>
      <c r="D103" s="4">
        <v>6</v>
      </c>
      <c r="E103" s="62">
        <v>10868.1</v>
      </c>
      <c r="F103" s="3">
        <v>45919</v>
      </c>
      <c r="G103" s="1">
        <v>11954</v>
      </c>
      <c r="H103" s="1">
        <v>10868</v>
      </c>
      <c r="I103" s="1">
        <f t="shared" si="21"/>
        <v>1086</v>
      </c>
      <c r="J103" s="1">
        <f t="shared" si="22"/>
        <v>6515.7999999999993</v>
      </c>
      <c r="K103" s="9">
        <f t="shared" si="20"/>
        <v>9.9926389400073617E-2</v>
      </c>
      <c r="L103" s="19">
        <f t="shared" si="18"/>
        <v>0.1000000000003638</v>
      </c>
    </row>
    <row r="104" spans="1:12" x14ac:dyDescent="0.35">
      <c r="A104" s="2" t="s">
        <v>10</v>
      </c>
      <c r="B104" t="s">
        <v>11</v>
      </c>
      <c r="C104" s="21" t="s">
        <v>275</v>
      </c>
      <c r="D104" s="4">
        <v>7</v>
      </c>
      <c r="E104" s="62">
        <v>10868.1</v>
      </c>
      <c r="F104" s="3">
        <v>45926</v>
      </c>
      <c r="G104" s="1">
        <v>11954</v>
      </c>
      <c r="H104" s="1">
        <v>10868</v>
      </c>
      <c r="I104" s="1">
        <f t="shared" si="21"/>
        <v>1086</v>
      </c>
      <c r="J104" s="1">
        <f t="shared" si="22"/>
        <v>7601.7999999999993</v>
      </c>
      <c r="K104" s="9">
        <f t="shared" si="20"/>
        <v>9.9926389400073617E-2</v>
      </c>
      <c r="L104" s="19">
        <f t="shared" si="18"/>
        <v>0.1000000000003638</v>
      </c>
    </row>
    <row r="105" spans="1:12" x14ac:dyDescent="0.35">
      <c r="A105" s="2" t="s">
        <v>10</v>
      </c>
      <c r="B105" t="s">
        <v>11</v>
      </c>
      <c r="C105" s="21" t="s">
        <v>275</v>
      </c>
      <c r="D105" s="4">
        <v>8</v>
      </c>
      <c r="E105" s="62">
        <v>10868.1</v>
      </c>
      <c r="F105" s="3">
        <v>45933</v>
      </c>
      <c r="G105" s="1">
        <v>11954</v>
      </c>
      <c r="H105" s="1">
        <v>10868</v>
      </c>
      <c r="I105" s="1">
        <f t="shared" si="21"/>
        <v>1086</v>
      </c>
      <c r="J105" s="1">
        <f t="shared" si="22"/>
        <v>8687.7999999999993</v>
      </c>
      <c r="K105" s="9">
        <f t="shared" si="20"/>
        <v>9.9926389400073617E-2</v>
      </c>
      <c r="L105" s="19">
        <f t="shared" si="18"/>
        <v>0.1000000000003638</v>
      </c>
    </row>
    <row r="106" spans="1:12" x14ac:dyDescent="0.35">
      <c r="A106" s="2" t="s">
        <v>10</v>
      </c>
      <c r="B106" t="s">
        <v>11</v>
      </c>
      <c r="C106" s="21" t="s">
        <v>275</v>
      </c>
      <c r="D106" s="4">
        <v>9</v>
      </c>
      <c r="E106" s="62">
        <v>10868.1</v>
      </c>
      <c r="F106" s="3">
        <v>45940</v>
      </c>
      <c r="G106" s="1">
        <v>11664</v>
      </c>
      <c r="H106" s="1">
        <v>10868</v>
      </c>
      <c r="I106" s="1">
        <f t="shared" si="21"/>
        <v>796</v>
      </c>
      <c r="J106" s="1">
        <f t="shared" si="22"/>
        <v>9483.7999999999993</v>
      </c>
      <c r="K106" s="9">
        <f t="shared" si="20"/>
        <v>7.3242546926757454E-2</v>
      </c>
      <c r="L106" s="19">
        <f t="shared" si="18"/>
        <v>0.1000000000003638</v>
      </c>
    </row>
    <row r="107" spans="1:12" x14ac:dyDescent="0.35">
      <c r="A107" s="2" t="s">
        <v>10</v>
      </c>
      <c r="B107" t="s">
        <v>11</v>
      </c>
      <c r="C107" s="21" t="s">
        <v>275</v>
      </c>
      <c r="D107" s="4">
        <v>10</v>
      </c>
      <c r="E107" s="62">
        <v>10868.1</v>
      </c>
      <c r="F107" s="3">
        <v>45950</v>
      </c>
      <c r="G107" s="1">
        <v>11954</v>
      </c>
      <c r="H107" s="1">
        <v>10868</v>
      </c>
      <c r="I107" s="1">
        <f t="shared" si="21"/>
        <v>1086</v>
      </c>
      <c r="J107" s="1">
        <f t="shared" si="22"/>
        <v>10569.8</v>
      </c>
      <c r="K107" s="9">
        <f t="shared" si="20"/>
        <v>9.9926389400073617E-2</v>
      </c>
      <c r="L107" s="19">
        <f t="shared" si="18"/>
        <v>0.1000000000003638</v>
      </c>
    </row>
    <row r="108" spans="1:12" x14ac:dyDescent="0.35">
      <c r="A108" s="2" t="s">
        <v>10</v>
      </c>
      <c r="B108" t="s">
        <v>11</v>
      </c>
      <c r="C108" s="21" t="s">
        <v>275</v>
      </c>
      <c r="D108" s="4">
        <v>11</v>
      </c>
      <c r="E108" s="62">
        <v>10868.1</v>
      </c>
      <c r="F108" s="3">
        <v>45954</v>
      </c>
      <c r="G108" s="1">
        <v>11954</v>
      </c>
      <c r="H108" s="1">
        <v>10868</v>
      </c>
      <c r="I108" s="1">
        <f t="shared" si="21"/>
        <v>1086</v>
      </c>
      <c r="J108" s="1">
        <f t="shared" si="22"/>
        <v>11655.8</v>
      </c>
      <c r="K108" s="9">
        <f t="shared" si="20"/>
        <v>9.9926389400073617E-2</v>
      </c>
      <c r="L108" s="19">
        <f t="shared" si="18"/>
        <v>0.1000000000003638</v>
      </c>
    </row>
    <row r="109" spans="1:12" x14ac:dyDescent="0.35">
      <c r="A109" s="2" t="s">
        <v>10</v>
      </c>
      <c r="B109" t="s">
        <v>11</v>
      </c>
      <c r="C109" s="21" t="s">
        <v>275</v>
      </c>
      <c r="D109" s="4">
        <v>12</v>
      </c>
      <c r="E109" s="62">
        <v>10868.1</v>
      </c>
      <c r="F109" s="3">
        <v>45961</v>
      </c>
      <c r="G109" s="1">
        <f>11954+290</f>
        <v>12244</v>
      </c>
      <c r="H109" s="1">
        <v>10868</v>
      </c>
      <c r="I109" s="1">
        <f t="shared" si="21"/>
        <v>1376</v>
      </c>
      <c r="J109" s="1">
        <f t="shared" si="22"/>
        <v>13031.8</v>
      </c>
      <c r="K109" s="9">
        <f t="shared" si="20"/>
        <v>0.12661023187338977</v>
      </c>
      <c r="L109" s="19">
        <f t="shared" si="18"/>
        <v>0.1000000000003638</v>
      </c>
    </row>
    <row r="110" spans="1:12" x14ac:dyDescent="0.35">
      <c r="A110" s="2" t="s">
        <v>10</v>
      </c>
      <c r="B110" t="s">
        <v>11</v>
      </c>
      <c r="C110" s="21" t="s">
        <v>275</v>
      </c>
      <c r="D110" s="4">
        <v>13</v>
      </c>
      <c r="E110" s="62">
        <v>10868.1</v>
      </c>
      <c r="G110" s="1"/>
      <c r="H110" s="1"/>
      <c r="I110" s="1">
        <f t="shared" si="21"/>
        <v>0</v>
      </c>
      <c r="J110" s="1">
        <f t="shared" si="22"/>
        <v>13031.8</v>
      </c>
      <c r="K110" s="9" t="e">
        <f t="shared" si="20"/>
        <v>#DIV/0!</v>
      </c>
      <c r="L110" s="19">
        <f t="shared" si="18"/>
        <v>10868.1</v>
      </c>
    </row>
    <row r="111" spans="1:12" x14ac:dyDescent="0.35">
      <c r="A111" s="2" t="s">
        <v>10</v>
      </c>
      <c r="B111" t="s">
        <v>11</v>
      </c>
      <c r="C111" s="21" t="s">
        <v>275</v>
      </c>
      <c r="D111" s="4">
        <v>14</v>
      </c>
      <c r="E111" s="62">
        <v>10868.1</v>
      </c>
      <c r="G111" s="1"/>
      <c r="H111" s="1"/>
      <c r="I111" s="1">
        <f t="shared" si="21"/>
        <v>0</v>
      </c>
      <c r="J111" s="1">
        <f t="shared" si="22"/>
        <v>13031.8</v>
      </c>
      <c r="K111" s="9" t="e">
        <f t="shared" si="20"/>
        <v>#DIV/0!</v>
      </c>
      <c r="L111" s="19">
        <f t="shared" si="18"/>
        <v>10868.1</v>
      </c>
    </row>
    <row r="112" spans="1:12" x14ac:dyDescent="0.35">
      <c r="A112" s="2" t="s">
        <v>10</v>
      </c>
      <c r="B112" t="s">
        <v>11</v>
      </c>
      <c r="C112" s="21" t="s">
        <v>275</v>
      </c>
      <c r="D112" s="4">
        <v>15</v>
      </c>
      <c r="E112" s="62">
        <v>10868.1</v>
      </c>
      <c r="G112" s="1"/>
      <c r="H112" s="1"/>
      <c r="I112" s="1">
        <f t="shared" si="21"/>
        <v>0</v>
      </c>
      <c r="J112" s="1">
        <f t="shared" si="22"/>
        <v>13031.8</v>
      </c>
      <c r="K112" s="9" t="e">
        <f t="shared" si="20"/>
        <v>#DIV/0!</v>
      </c>
      <c r="L112" s="19">
        <f t="shared" si="18"/>
        <v>10868.1</v>
      </c>
    </row>
    <row r="113" spans="1:13" ht="15" thickBot="1" x14ac:dyDescent="0.4">
      <c r="A113" s="12" t="s">
        <v>10</v>
      </c>
      <c r="B113" s="13" t="s">
        <v>11</v>
      </c>
      <c r="C113" s="22" t="s">
        <v>275</v>
      </c>
      <c r="D113" s="14">
        <v>16</v>
      </c>
      <c r="E113" s="15">
        <v>10868.1</v>
      </c>
      <c r="F113" s="13"/>
      <c r="G113" s="15"/>
      <c r="H113" s="15"/>
      <c r="I113" s="15">
        <f t="shared" si="21"/>
        <v>0</v>
      </c>
      <c r="J113" s="15">
        <f t="shared" si="22"/>
        <v>13031.8</v>
      </c>
      <c r="K113" s="16"/>
      <c r="L113" s="24">
        <f t="shared" si="18"/>
        <v>10868.1</v>
      </c>
    </row>
    <row r="114" spans="1:13" x14ac:dyDescent="0.35">
      <c r="A114" s="44" t="s">
        <v>15</v>
      </c>
      <c r="B114" s="47" t="s">
        <v>16</v>
      </c>
      <c r="C114" s="48" t="s">
        <v>275</v>
      </c>
      <c r="D114" s="49">
        <v>1</v>
      </c>
      <c r="E114" s="49">
        <v>9500.08</v>
      </c>
      <c r="F114" s="50">
        <v>45887</v>
      </c>
      <c r="G114" s="51">
        <v>10276</v>
      </c>
      <c r="H114" s="51">
        <v>9500.08</v>
      </c>
      <c r="I114" s="51">
        <f t="shared" si="21"/>
        <v>775.92000000000007</v>
      </c>
      <c r="J114" s="51">
        <f>I114</f>
        <v>775.92000000000007</v>
      </c>
      <c r="K114" s="52">
        <f t="shared" ref="K114:K129" si="23">I114/H114</f>
        <v>8.1675101683354248E-2</v>
      </c>
      <c r="L114" s="53">
        <f t="shared" si="18"/>
        <v>0</v>
      </c>
    </row>
    <row r="115" spans="1:13" x14ac:dyDescent="0.35">
      <c r="A115" s="44" t="s">
        <v>15</v>
      </c>
      <c r="B115" s="47" t="s">
        <v>16</v>
      </c>
      <c r="C115" s="48" t="s">
        <v>275</v>
      </c>
      <c r="D115" s="49">
        <v>2</v>
      </c>
      <c r="E115" s="49">
        <v>9500.08</v>
      </c>
      <c r="F115" s="50">
        <v>45894</v>
      </c>
      <c r="G115" s="51">
        <v>10276</v>
      </c>
      <c r="H115" s="51">
        <v>9500.08</v>
      </c>
      <c r="I115" s="51">
        <f t="shared" si="21"/>
        <v>775.92000000000007</v>
      </c>
      <c r="J115" s="51">
        <f>J114+I115</f>
        <v>1551.8400000000001</v>
      </c>
      <c r="K115" s="52">
        <f t="shared" si="23"/>
        <v>8.1675101683354248E-2</v>
      </c>
      <c r="L115" s="53">
        <f t="shared" si="18"/>
        <v>0</v>
      </c>
    </row>
    <row r="116" spans="1:13" x14ac:dyDescent="0.35">
      <c r="A116" s="44" t="s">
        <v>15</v>
      </c>
      <c r="B116" s="47" t="s">
        <v>16</v>
      </c>
      <c r="C116" s="48" t="s">
        <v>275</v>
      </c>
      <c r="D116" s="49">
        <v>3</v>
      </c>
      <c r="E116" s="49">
        <v>9500.08</v>
      </c>
      <c r="F116" s="50">
        <v>45901</v>
      </c>
      <c r="G116" s="51">
        <v>10276</v>
      </c>
      <c r="H116" s="51">
        <v>9500</v>
      </c>
      <c r="I116" s="51">
        <f t="shared" si="21"/>
        <v>776</v>
      </c>
      <c r="J116" s="51">
        <f t="shared" ref="J116:J129" si="24">J115+I116</f>
        <v>2327.84</v>
      </c>
      <c r="K116" s="52">
        <f t="shared" si="23"/>
        <v>8.168421052631579E-2</v>
      </c>
      <c r="L116" s="53">
        <f t="shared" si="18"/>
        <v>7.999999999992724E-2</v>
      </c>
    </row>
    <row r="117" spans="1:13" x14ac:dyDescent="0.35">
      <c r="A117" s="44" t="s">
        <v>15</v>
      </c>
      <c r="B117" s="47" t="s">
        <v>16</v>
      </c>
      <c r="C117" s="48" t="s">
        <v>275</v>
      </c>
      <c r="D117" s="49">
        <v>4</v>
      </c>
      <c r="E117" s="49">
        <v>9500.08</v>
      </c>
      <c r="F117" s="50">
        <v>45908</v>
      </c>
      <c r="G117" s="51">
        <v>10276</v>
      </c>
      <c r="H117" s="51">
        <v>9500</v>
      </c>
      <c r="I117" s="51">
        <f t="shared" si="21"/>
        <v>776</v>
      </c>
      <c r="J117" s="51">
        <f t="shared" si="24"/>
        <v>3103.84</v>
      </c>
      <c r="K117" s="52">
        <f t="shared" si="23"/>
        <v>8.168421052631579E-2</v>
      </c>
      <c r="L117" s="53">
        <f t="shared" si="18"/>
        <v>7.999999999992724E-2</v>
      </c>
    </row>
    <row r="118" spans="1:13" x14ac:dyDescent="0.35">
      <c r="A118" s="44" t="s">
        <v>15</v>
      </c>
      <c r="B118" s="47" t="s">
        <v>16</v>
      </c>
      <c r="C118" s="48" t="s">
        <v>275</v>
      </c>
      <c r="D118" s="49">
        <v>5</v>
      </c>
      <c r="E118" s="49">
        <v>9500.08</v>
      </c>
      <c r="F118" s="50">
        <v>45915</v>
      </c>
      <c r="G118" s="51">
        <v>10222</v>
      </c>
      <c r="H118" s="51">
        <v>9500</v>
      </c>
      <c r="I118" s="51">
        <f t="shared" si="21"/>
        <v>722</v>
      </c>
      <c r="J118" s="51">
        <f t="shared" si="24"/>
        <v>3825.84</v>
      </c>
      <c r="K118" s="52">
        <f t="shared" si="23"/>
        <v>7.5999999999999998E-2</v>
      </c>
      <c r="L118" s="53">
        <f t="shared" si="18"/>
        <v>7.999999999992724E-2</v>
      </c>
    </row>
    <row r="119" spans="1:13" x14ac:dyDescent="0.35">
      <c r="A119" s="44" t="s">
        <v>15</v>
      </c>
      <c r="B119" s="47" t="s">
        <v>16</v>
      </c>
      <c r="C119" s="48" t="s">
        <v>275</v>
      </c>
      <c r="D119" s="49">
        <v>6</v>
      </c>
      <c r="E119" s="49">
        <v>9500.08</v>
      </c>
      <c r="F119" s="50">
        <v>45922</v>
      </c>
      <c r="G119" s="51">
        <v>10246</v>
      </c>
      <c r="H119" s="51">
        <v>9500</v>
      </c>
      <c r="I119" s="51">
        <f t="shared" si="21"/>
        <v>746</v>
      </c>
      <c r="J119" s="51">
        <f t="shared" si="24"/>
        <v>4571.84</v>
      </c>
      <c r="K119" s="52">
        <f t="shared" si="23"/>
        <v>7.852631578947368E-2</v>
      </c>
      <c r="L119" s="53">
        <f t="shared" si="18"/>
        <v>7.999999999992724E-2</v>
      </c>
    </row>
    <row r="120" spans="1:13" x14ac:dyDescent="0.35">
      <c r="A120" s="44" t="s">
        <v>15</v>
      </c>
      <c r="B120" s="47" t="s">
        <v>16</v>
      </c>
      <c r="C120" s="48" t="s">
        <v>275</v>
      </c>
      <c r="D120" s="49">
        <v>7</v>
      </c>
      <c r="E120" s="49">
        <v>9500.08</v>
      </c>
      <c r="F120" s="50">
        <v>45929</v>
      </c>
      <c r="G120" s="51">
        <v>10240</v>
      </c>
      <c r="H120" s="51">
        <v>9500</v>
      </c>
      <c r="I120" s="51">
        <f t="shared" si="21"/>
        <v>740</v>
      </c>
      <c r="J120" s="51">
        <f t="shared" si="24"/>
        <v>5311.84</v>
      </c>
      <c r="K120" s="52">
        <f t="shared" si="23"/>
        <v>7.7894736842105267E-2</v>
      </c>
      <c r="L120" s="53">
        <f t="shared" si="18"/>
        <v>7.999999999992724E-2</v>
      </c>
    </row>
    <row r="121" spans="1:13" x14ac:dyDescent="0.35">
      <c r="A121" s="44" t="s">
        <v>15</v>
      </c>
      <c r="B121" s="47" t="s">
        <v>16</v>
      </c>
      <c r="C121" s="48" t="s">
        <v>275</v>
      </c>
      <c r="D121" s="49">
        <v>8</v>
      </c>
      <c r="E121" s="49">
        <v>9500.08</v>
      </c>
      <c r="F121" s="50">
        <v>45936</v>
      </c>
      <c r="G121" s="51">
        <v>10276</v>
      </c>
      <c r="H121" s="51">
        <v>9500</v>
      </c>
      <c r="I121" s="51">
        <f t="shared" si="21"/>
        <v>776</v>
      </c>
      <c r="J121" s="51">
        <f t="shared" si="24"/>
        <v>6087.84</v>
      </c>
      <c r="K121" s="52">
        <f t="shared" si="23"/>
        <v>8.168421052631579E-2</v>
      </c>
      <c r="L121" s="53">
        <f t="shared" si="18"/>
        <v>7.999999999992724E-2</v>
      </c>
    </row>
    <row r="122" spans="1:13" x14ac:dyDescent="0.35">
      <c r="A122" s="44" t="s">
        <v>15</v>
      </c>
      <c r="B122" s="47" t="s">
        <v>16</v>
      </c>
      <c r="C122" s="48" t="s">
        <v>275</v>
      </c>
      <c r="D122" s="49">
        <v>9</v>
      </c>
      <c r="E122" s="49">
        <v>9500.08</v>
      </c>
      <c r="F122" s="50">
        <v>45943</v>
      </c>
      <c r="G122" s="51">
        <v>10086</v>
      </c>
      <c r="H122" s="51">
        <v>9500</v>
      </c>
      <c r="I122" s="51">
        <f t="shared" si="21"/>
        <v>586</v>
      </c>
      <c r="J122" s="51">
        <f t="shared" si="24"/>
        <v>6673.84</v>
      </c>
      <c r="K122" s="52">
        <f t="shared" si="23"/>
        <v>6.1684210526315793E-2</v>
      </c>
      <c r="L122" s="53">
        <f t="shared" si="18"/>
        <v>7.999999999992724E-2</v>
      </c>
    </row>
    <row r="123" spans="1:13" x14ac:dyDescent="0.35">
      <c r="A123" s="44" t="s">
        <v>15</v>
      </c>
      <c r="B123" s="47" t="s">
        <v>16</v>
      </c>
      <c r="C123" s="48" t="s">
        <v>275</v>
      </c>
      <c r="D123" s="49">
        <v>10</v>
      </c>
      <c r="E123" s="49">
        <v>9500.08</v>
      </c>
      <c r="F123" s="50">
        <v>45950</v>
      </c>
      <c r="G123" s="51">
        <v>10196</v>
      </c>
      <c r="H123" s="51">
        <v>9500</v>
      </c>
      <c r="I123" s="51">
        <f t="shared" si="21"/>
        <v>696</v>
      </c>
      <c r="J123" s="51">
        <f t="shared" si="24"/>
        <v>7369.84</v>
      </c>
      <c r="K123" s="52">
        <f t="shared" si="23"/>
        <v>7.3263157894736836E-2</v>
      </c>
      <c r="L123" s="53">
        <f t="shared" si="18"/>
        <v>7.999999999992724E-2</v>
      </c>
    </row>
    <row r="124" spans="1:13" x14ac:dyDescent="0.35">
      <c r="A124" s="44" t="s">
        <v>15</v>
      </c>
      <c r="B124" s="47" t="s">
        <v>16</v>
      </c>
      <c r="C124" s="48" t="s">
        <v>275</v>
      </c>
      <c r="D124" s="49">
        <v>11</v>
      </c>
      <c r="E124" s="49">
        <v>9500.08</v>
      </c>
      <c r="F124" s="50">
        <v>45957</v>
      </c>
      <c r="G124" s="51">
        <v>10200</v>
      </c>
      <c r="H124" s="51">
        <v>9500</v>
      </c>
      <c r="I124" s="51">
        <f t="shared" si="21"/>
        <v>700</v>
      </c>
      <c r="J124" s="51">
        <f t="shared" si="24"/>
        <v>8069.84</v>
      </c>
      <c r="K124" s="52">
        <f t="shared" si="23"/>
        <v>7.3684210526315783E-2</v>
      </c>
      <c r="L124" s="53">
        <f t="shared" si="18"/>
        <v>7.999999999992724E-2</v>
      </c>
    </row>
    <row r="125" spans="1:13" x14ac:dyDescent="0.35">
      <c r="A125" s="44" t="s">
        <v>15</v>
      </c>
      <c r="B125" s="47" t="s">
        <v>16</v>
      </c>
      <c r="C125" s="48" t="s">
        <v>275</v>
      </c>
      <c r="D125" s="49">
        <v>12</v>
      </c>
      <c r="E125" s="49">
        <v>9500.08</v>
      </c>
      <c r="F125" s="50">
        <v>45964</v>
      </c>
      <c r="G125" s="51">
        <v>9500</v>
      </c>
      <c r="H125" s="51">
        <v>9500</v>
      </c>
      <c r="I125" s="51">
        <f t="shared" si="21"/>
        <v>0</v>
      </c>
      <c r="J125" s="51">
        <f t="shared" si="24"/>
        <v>8069.84</v>
      </c>
      <c r="K125" s="52">
        <f t="shared" si="23"/>
        <v>0</v>
      </c>
      <c r="L125" s="53">
        <f t="shared" si="18"/>
        <v>7.999999999992724E-2</v>
      </c>
    </row>
    <row r="126" spans="1:13" x14ac:dyDescent="0.35">
      <c r="A126" s="44" t="s">
        <v>15</v>
      </c>
      <c r="B126" s="47" t="s">
        <v>16</v>
      </c>
      <c r="C126" s="48" t="s">
        <v>275</v>
      </c>
      <c r="D126" s="49">
        <v>13</v>
      </c>
      <c r="E126" s="49">
        <v>9500.08</v>
      </c>
      <c r="F126" s="50">
        <v>45964</v>
      </c>
      <c r="G126" s="51">
        <v>8022</v>
      </c>
      <c r="H126" s="51">
        <v>8022</v>
      </c>
      <c r="I126" s="51">
        <f t="shared" si="21"/>
        <v>0</v>
      </c>
      <c r="J126" s="51">
        <f t="shared" si="24"/>
        <v>8069.84</v>
      </c>
      <c r="K126" s="52">
        <f t="shared" si="23"/>
        <v>0</v>
      </c>
      <c r="L126" s="53">
        <f t="shared" si="18"/>
        <v>1478.08</v>
      </c>
    </row>
    <row r="127" spans="1:13" x14ac:dyDescent="0.35">
      <c r="A127" s="44" t="s">
        <v>15</v>
      </c>
      <c r="B127" s="47" t="s">
        <v>16</v>
      </c>
      <c r="C127" s="48" t="s">
        <v>275</v>
      </c>
      <c r="D127" s="49">
        <v>14</v>
      </c>
      <c r="E127" s="49">
        <v>9500.08</v>
      </c>
      <c r="F127" s="50">
        <v>45965</v>
      </c>
      <c r="G127" s="51">
        <v>7979.08</v>
      </c>
      <c r="H127" s="51">
        <v>7979.08</v>
      </c>
      <c r="I127" s="51">
        <f t="shared" si="21"/>
        <v>0</v>
      </c>
      <c r="J127" s="51">
        <f t="shared" si="24"/>
        <v>8069.84</v>
      </c>
      <c r="K127" s="52">
        <f t="shared" si="23"/>
        <v>0</v>
      </c>
      <c r="L127" s="53">
        <f t="shared" si="18"/>
        <v>1521</v>
      </c>
      <c r="M127" t="s">
        <v>397</v>
      </c>
    </row>
    <row r="128" spans="1:13" x14ac:dyDescent="0.35">
      <c r="A128" s="44" t="s">
        <v>15</v>
      </c>
      <c r="B128" s="47" t="s">
        <v>16</v>
      </c>
      <c r="C128" s="48" t="s">
        <v>275</v>
      </c>
      <c r="D128" s="49">
        <v>15</v>
      </c>
      <c r="E128" s="49">
        <v>9500.08</v>
      </c>
      <c r="F128" s="50">
        <v>45965</v>
      </c>
      <c r="G128" s="51">
        <v>12500</v>
      </c>
      <c r="H128" s="51">
        <v>12500</v>
      </c>
      <c r="I128" s="51">
        <f t="shared" si="21"/>
        <v>0</v>
      </c>
      <c r="J128" s="51">
        <f t="shared" si="24"/>
        <v>8069.84</v>
      </c>
      <c r="K128" s="52">
        <f t="shared" si="23"/>
        <v>0</v>
      </c>
      <c r="L128" s="53">
        <f t="shared" si="18"/>
        <v>-2999.92</v>
      </c>
      <c r="M128" t="s">
        <v>398</v>
      </c>
    </row>
    <row r="129" spans="1:13" ht="15" thickBot="1" x14ac:dyDescent="0.4">
      <c r="A129" s="54" t="s">
        <v>15</v>
      </c>
      <c r="B129" s="55" t="s">
        <v>16</v>
      </c>
      <c r="C129" s="56" t="s">
        <v>275</v>
      </c>
      <c r="D129" s="57">
        <v>16</v>
      </c>
      <c r="E129" s="57">
        <v>9500.08</v>
      </c>
      <c r="F129" s="85">
        <v>45965</v>
      </c>
      <c r="G129" s="58">
        <v>9500.08</v>
      </c>
      <c r="H129" s="58">
        <v>9500.08</v>
      </c>
      <c r="I129" s="58">
        <f t="shared" si="21"/>
        <v>0</v>
      </c>
      <c r="J129" s="58">
        <f t="shared" si="24"/>
        <v>8069.84</v>
      </c>
      <c r="K129" s="58">
        <f t="shared" si="23"/>
        <v>0</v>
      </c>
      <c r="L129" s="59">
        <f t="shared" si="18"/>
        <v>0</v>
      </c>
      <c r="M129" t="s">
        <v>399</v>
      </c>
    </row>
    <row r="130" spans="1:13" s="41" customFormat="1" x14ac:dyDescent="0.35">
      <c r="A130" s="42" t="s">
        <v>15</v>
      </c>
      <c r="B130" s="41" t="s">
        <v>16</v>
      </c>
      <c r="C130" s="21" t="s">
        <v>419</v>
      </c>
      <c r="D130" s="4">
        <v>1</v>
      </c>
      <c r="E130" s="45">
        <v>44688.39</v>
      </c>
      <c r="F130" s="35"/>
      <c r="G130" s="37"/>
      <c r="H130" s="37"/>
      <c r="I130" s="46">
        <f t="shared" ref="I130:I145" si="25">G130-H130</f>
        <v>0</v>
      </c>
      <c r="J130" s="46">
        <f>I130</f>
        <v>0</v>
      </c>
      <c r="K130" s="9" t="e">
        <f t="shared" ref="K130:K145" si="26">I130/H130</f>
        <v>#DIV/0!</v>
      </c>
      <c r="L130" s="19">
        <f t="shared" ref="L130:L145" si="27">E130-H130</f>
        <v>44688.39</v>
      </c>
    </row>
    <row r="131" spans="1:13" s="41" customFormat="1" x14ac:dyDescent="0.35">
      <c r="A131" s="42" t="s">
        <v>15</v>
      </c>
      <c r="B131" s="41" t="s">
        <v>16</v>
      </c>
      <c r="C131" s="21" t="s">
        <v>419</v>
      </c>
      <c r="D131" s="4">
        <v>2</v>
      </c>
      <c r="E131" s="46">
        <v>44688.39</v>
      </c>
      <c r="F131" s="35"/>
      <c r="G131" s="37"/>
      <c r="H131" s="37"/>
      <c r="I131" s="46">
        <f t="shared" si="25"/>
        <v>0</v>
      </c>
      <c r="J131" s="46">
        <f>J130+I131</f>
        <v>0</v>
      </c>
      <c r="K131" s="9" t="e">
        <f t="shared" si="26"/>
        <v>#DIV/0!</v>
      </c>
      <c r="L131" s="19">
        <f t="shared" si="27"/>
        <v>44688.39</v>
      </c>
    </row>
    <row r="132" spans="1:13" s="41" customFormat="1" x14ac:dyDescent="0.35">
      <c r="A132" s="42" t="s">
        <v>15</v>
      </c>
      <c r="B132" s="41" t="s">
        <v>16</v>
      </c>
      <c r="C132" s="21" t="s">
        <v>419</v>
      </c>
      <c r="D132" s="4">
        <v>3</v>
      </c>
      <c r="E132" s="46">
        <v>44688.39</v>
      </c>
      <c r="F132" s="35"/>
      <c r="G132" s="37"/>
      <c r="H132" s="37"/>
      <c r="I132" s="46">
        <f t="shared" si="25"/>
        <v>0</v>
      </c>
      <c r="J132" s="46">
        <f t="shared" ref="J132:J145" si="28">J131+I132</f>
        <v>0</v>
      </c>
      <c r="K132" s="9" t="e">
        <f t="shared" si="26"/>
        <v>#DIV/0!</v>
      </c>
      <c r="L132" s="19">
        <f t="shared" si="27"/>
        <v>44688.39</v>
      </c>
    </row>
    <row r="133" spans="1:13" s="41" customFormat="1" x14ac:dyDescent="0.35">
      <c r="A133" s="42" t="s">
        <v>15</v>
      </c>
      <c r="B133" s="41" t="s">
        <v>16</v>
      </c>
      <c r="C133" s="21" t="s">
        <v>419</v>
      </c>
      <c r="D133" s="4">
        <v>4</v>
      </c>
      <c r="E133" s="46">
        <v>44688.39</v>
      </c>
      <c r="F133" s="35"/>
      <c r="G133" s="37"/>
      <c r="H133" s="37"/>
      <c r="I133" s="46">
        <f t="shared" si="25"/>
        <v>0</v>
      </c>
      <c r="J133" s="46">
        <f t="shared" si="28"/>
        <v>0</v>
      </c>
      <c r="K133" s="9" t="e">
        <f t="shared" si="26"/>
        <v>#DIV/0!</v>
      </c>
      <c r="L133" s="19">
        <f t="shared" si="27"/>
        <v>44688.39</v>
      </c>
    </row>
    <row r="134" spans="1:13" s="41" customFormat="1" x14ac:dyDescent="0.35">
      <c r="A134" s="42" t="s">
        <v>15</v>
      </c>
      <c r="B134" s="41" t="s">
        <v>16</v>
      </c>
      <c r="C134" s="21" t="s">
        <v>419</v>
      </c>
      <c r="D134" s="4">
        <v>5</v>
      </c>
      <c r="E134" s="46">
        <v>44688.39</v>
      </c>
      <c r="F134" s="35"/>
      <c r="G134" s="37"/>
      <c r="H134" s="37"/>
      <c r="I134" s="46">
        <f t="shared" si="25"/>
        <v>0</v>
      </c>
      <c r="J134" s="46">
        <f t="shared" si="28"/>
        <v>0</v>
      </c>
      <c r="K134" s="9" t="e">
        <f t="shared" si="26"/>
        <v>#DIV/0!</v>
      </c>
      <c r="L134" s="19">
        <f t="shared" si="27"/>
        <v>44688.39</v>
      </c>
    </row>
    <row r="135" spans="1:13" s="41" customFormat="1" x14ac:dyDescent="0.35">
      <c r="A135" s="42" t="s">
        <v>15</v>
      </c>
      <c r="B135" s="41" t="s">
        <v>16</v>
      </c>
      <c r="C135" s="21" t="s">
        <v>419</v>
      </c>
      <c r="D135" s="4">
        <v>6</v>
      </c>
      <c r="E135" s="46">
        <v>44688.39</v>
      </c>
      <c r="F135" s="35"/>
      <c r="G135" s="37"/>
      <c r="H135" s="37"/>
      <c r="I135" s="46">
        <f t="shared" si="25"/>
        <v>0</v>
      </c>
      <c r="J135" s="46">
        <f t="shared" si="28"/>
        <v>0</v>
      </c>
      <c r="K135" s="9" t="e">
        <f t="shared" si="26"/>
        <v>#DIV/0!</v>
      </c>
      <c r="L135" s="19">
        <f t="shared" si="27"/>
        <v>44688.39</v>
      </c>
    </row>
    <row r="136" spans="1:13" s="41" customFormat="1" x14ac:dyDescent="0.35">
      <c r="A136" s="42" t="s">
        <v>15</v>
      </c>
      <c r="B136" s="41" t="s">
        <v>16</v>
      </c>
      <c r="C136" s="21" t="s">
        <v>419</v>
      </c>
      <c r="D136" s="4">
        <v>7</v>
      </c>
      <c r="E136" s="46">
        <v>44688.39</v>
      </c>
      <c r="F136" s="35"/>
      <c r="G136" s="37"/>
      <c r="H136" s="37"/>
      <c r="I136" s="46">
        <f t="shared" si="25"/>
        <v>0</v>
      </c>
      <c r="J136" s="46">
        <f t="shared" si="28"/>
        <v>0</v>
      </c>
      <c r="K136" s="9" t="e">
        <f t="shared" si="26"/>
        <v>#DIV/0!</v>
      </c>
      <c r="L136" s="19">
        <f t="shared" si="27"/>
        <v>44688.39</v>
      </c>
    </row>
    <row r="137" spans="1:13" s="41" customFormat="1" x14ac:dyDescent="0.35">
      <c r="A137" s="42" t="s">
        <v>15</v>
      </c>
      <c r="B137" s="41" t="s">
        <v>16</v>
      </c>
      <c r="C137" s="21" t="s">
        <v>419</v>
      </c>
      <c r="D137" s="4">
        <v>8</v>
      </c>
      <c r="E137" s="46">
        <v>44688.39</v>
      </c>
      <c r="F137" s="35"/>
      <c r="G137" s="37"/>
      <c r="H137" s="37"/>
      <c r="I137" s="46">
        <f t="shared" si="25"/>
        <v>0</v>
      </c>
      <c r="J137" s="46">
        <f t="shared" si="28"/>
        <v>0</v>
      </c>
      <c r="K137" s="9" t="e">
        <f t="shared" si="26"/>
        <v>#DIV/0!</v>
      </c>
      <c r="L137" s="19">
        <f t="shared" si="27"/>
        <v>44688.39</v>
      </c>
    </row>
    <row r="138" spans="1:13" s="41" customFormat="1" x14ac:dyDescent="0.35">
      <c r="A138" s="42" t="s">
        <v>15</v>
      </c>
      <c r="B138" s="41" t="s">
        <v>16</v>
      </c>
      <c r="C138" s="21" t="s">
        <v>419</v>
      </c>
      <c r="D138" s="4">
        <v>9</v>
      </c>
      <c r="E138" s="46">
        <v>44688.39</v>
      </c>
      <c r="F138" s="35"/>
      <c r="G138" s="37"/>
      <c r="H138" s="37"/>
      <c r="I138" s="46">
        <f t="shared" si="25"/>
        <v>0</v>
      </c>
      <c r="J138" s="46">
        <f t="shared" si="28"/>
        <v>0</v>
      </c>
      <c r="K138" s="9" t="e">
        <f t="shared" si="26"/>
        <v>#DIV/0!</v>
      </c>
      <c r="L138" s="19">
        <f t="shared" si="27"/>
        <v>44688.39</v>
      </c>
    </row>
    <row r="139" spans="1:13" s="41" customFormat="1" x14ac:dyDescent="0.35">
      <c r="A139" s="42" t="s">
        <v>15</v>
      </c>
      <c r="B139" s="41" t="s">
        <v>16</v>
      </c>
      <c r="C139" s="21" t="s">
        <v>419</v>
      </c>
      <c r="D139" s="4">
        <v>10</v>
      </c>
      <c r="E139" s="46">
        <v>44688.39</v>
      </c>
      <c r="F139" s="35"/>
      <c r="G139" s="37"/>
      <c r="H139" s="37"/>
      <c r="I139" s="46">
        <f t="shared" si="25"/>
        <v>0</v>
      </c>
      <c r="J139" s="46">
        <f t="shared" si="28"/>
        <v>0</v>
      </c>
      <c r="K139" s="9" t="e">
        <f t="shared" si="26"/>
        <v>#DIV/0!</v>
      </c>
      <c r="L139" s="19">
        <f t="shared" si="27"/>
        <v>44688.39</v>
      </c>
    </row>
    <row r="140" spans="1:13" s="41" customFormat="1" x14ac:dyDescent="0.35">
      <c r="A140" s="42" t="s">
        <v>15</v>
      </c>
      <c r="B140" s="41" t="s">
        <v>16</v>
      </c>
      <c r="C140" s="21" t="s">
        <v>419</v>
      </c>
      <c r="D140" s="4">
        <v>11</v>
      </c>
      <c r="E140" s="46">
        <v>44688.39</v>
      </c>
      <c r="F140" s="35"/>
      <c r="G140" s="37"/>
      <c r="H140" s="37"/>
      <c r="I140" s="46">
        <f t="shared" si="25"/>
        <v>0</v>
      </c>
      <c r="J140" s="46">
        <f t="shared" si="28"/>
        <v>0</v>
      </c>
      <c r="K140" s="9" t="e">
        <f t="shared" si="26"/>
        <v>#DIV/0!</v>
      </c>
      <c r="L140" s="19">
        <f t="shared" si="27"/>
        <v>44688.39</v>
      </c>
    </row>
    <row r="141" spans="1:13" s="41" customFormat="1" x14ac:dyDescent="0.35">
      <c r="A141" s="42" t="s">
        <v>15</v>
      </c>
      <c r="B141" s="41" t="s">
        <v>16</v>
      </c>
      <c r="C141" s="21" t="s">
        <v>419</v>
      </c>
      <c r="D141" s="4">
        <v>12</v>
      </c>
      <c r="E141" s="46">
        <v>44688.39</v>
      </c>
      <c r="F141" s="35"/>
      <c r="G141" s="37"/>
      <c r="H141" s="37"/>
      <c r="I141" s="46">
        <f t="shared" si="25"/>
        <v>0</v>
      </c>
      <c r="J141" s="46">
        <f t="shared" si="28"/>
        <v>0</v>
      </c>
      <c r="K141" s="9" t="e">
        <f t="shared" si="26"/>
        <v>#DIV/0!</v>
      </c>
      <c r="L141" s="19">
        <f t="shared" si="27"/>
        <v>44688.39</v>
      </c>
    </row>
    <row r="142" spans="1:13" s="41" customFormat="1" x14ac:dyDescent="0.35">
      <c r="A142" s="42" t="s">
        <v>15</v>
      </c>
      <c r="B142" s="41" t="s">
        <v>16</v>
      </c>
      <c r="C142" s="21" t="s">
        <v>419</v>
      </c>
      <c r="D142" s="4">
        <v>13</v>
      </c>
      <c r="E142" s="46">
        <v>44688.39</v>
      </c>
      <c r="F142" s="35"/>
      <c r="G142" s="37"/>
      <c r="H142" s="37"/>
      <c r="I142" s="46">
        <f t="shared" si="25"/>
        <v>0</v>
      </c>
      <c r="J142" s="46">
        <f t="shared" si="28"/>
        <v>0</v>
      </c>
      <c r="K142" s="9" t="e">
        <f t="shared" si="26"/>
        <v>#DIV/0!</v>
      </c>
      <c r="L142" s="19">
        <f t="shared" si="27"/>
        <v>44688.39</v>
      </c>
    </row>
    <row r="143" spans="1:13" s="41" customFormat="1" x14ac:dyDescent="0.35">
      <c r="A143" s="42" t="s">
        <v>15</v>
      </c>
      <c r="B143" s="41" t="s">
        <v>16</v>
      </c>
      <c r="C143" s="21" t="s">
        <v>419</v>
      </c>
      <c r="D143" s="4">
        <v>14</v>
      </c>
      <c r="E143" s="46">
        <v>44688.39</v>
      </c>
      <c r="F143" s="35"/>
      <c r="G143" s="37"/>
      <c r="H143" s="37"/>
      <c r="I143" s="46">
        <f t="shared" si="25"/>
        <v>0</v>
      </c>
      <c r="J143" s="46">
        <f t="shared" si="28"/>
        <v>0</v>
      </c>
      <c r="K143" s="9" t="e">
        <f t="shared" si="26"/>
        <v>#DIV/0!</v>
      </c>
      <c r="L143" s="19">
        <f t="shared" si="27"/>
        <v>44688.39</v>
      </c>
    </row>
    <row r="144" spans="1:13" s="41" customFormat="1" x14ac:dyDescent="0.35">
      <c r="A144" s="42" t="s">
        <v>15</v>
      </c>
      <c r="B144" s="41" t="s">
        <v>16</v>
      </c>
      <c r="C144" s="21" t="s">
        <v>419</v>
      </c>
      <c r="D144" s="4">
        <v>15</v>
      </c>
      <c r="E144" s="46">
        <v>44688.39</v>
      </c>
      <c r="F144" s="35"/>
      <c r="G144" s="37"/>
      <c r="H144" s="37"/>
      <c r="I144" s="46">
        <f t="shared" si="25"/>
        <v>0</v>
      </c>
      <c r="J144" s="46">
        <f t="shared" si="28"/>
        <v>0</v>
      </c>
      <c r="K144" s="9" t="e">
        <f t="shared" si="26"/>
        <v>#DIV/0!</v>
      </c>
      <c r="L144" s="19">
        <f t="shared" si="27"/>
        <v>44688.39</v>
      </c>
    </row>
    <row r="145" spans="1:12" s="41" customFormat="1" ht="15" thickBot="1" x14ac:dyDescent="0.4">
      <c r="A145" s="12" t="s">
        <v>15</v>
      </c>
      <c r="B145" s="13" t="s">
        <v>16</v>
      </c>
      <c r="C145" s="22" t="s">
        <v>419</v>
      </c>
      <c r="D145" s="14">
        <v>16</v>
      </c>
      <c r="E145" s="15">
        <v>44688.39</v>
      </c>
      <c r="F145" s="13"/>
      <c r="G145" s="15"/>
      <c r="H145" s="15"/>
      <c r="I145" s="15">
        <f t="shared" si="25"/>
        <v>0</v>
      </c>
      <c r="J145" s="15">
        <f t="shared" si="28"/>
        <v>0</v>
      </c>
      <c r="K145" s="16" t="e">
        <f t="shared" si="26"/>
        <v>#DIV/0!</v>
      </c>
      <c r="L145" s="24">
        <f t="shared" si="27"/>
        <v>44688.39</v>
      </c>
    </row>
    <row r="146" spans="1:12" x14ac:dyDescent="0.35">
      <c r="A146" s="2" t="s">
        <v>17</v>
      </c>
      <c r="B146" t="s">
        <v>18</v>
      </c>
      <c r="C146" s="21" t="s">
        <v>275</v>
      </c>
      <c r="D146" s="4">
        <v>1</v>
      </c>
      <c r="E146" s="63">
        <v>5928.05</v>
      </c>
      <c r="F146" s="3">
        <v>45887</v>
      </c>
      <c r="G146" s="1">
        <v>6211</v>
      </c>
      <c r="H146" s="1">
        <v>5928.05</v>
      </c>
      <c r="I146" s="1">
        <f t="shared" si="21"/>
        <v>282.94999999999982</v>
      </c>
      <c r="J146" s="1">
        <f>I146</f>
        <v>282.94999999999982</v>
      </c>
      <c r="K146" s="9">
        <f t="shared" ref="K146:K159" si="29">I146/H146</f>
        <v>4.7730704025775728E-2</v>
      </c>
      <c r="L146" s="19">
        <f t="shared" si="18"/>
        <v>0</v>
      </c>
    </row>
    <row r="147" spans="1:12" x14ac:dyDescent="0.35">
      <c r="A147" s="2" t="s">
        <v>17</v>
      </c>
      <c r="B147" t="s">
        <v>18</v>
      </c>
      <c r="C147" s="21" t="s">
        <v>275</v>
      </c>
      <c r="D147" s="4">
        <v>2</v>
      </c>
      <c r="E147" s="63">
        <v>5928.05</v>
      </c>
      <c r="F147" s="3">
        <v>45894</v>
      </c>
      <c r="G147" s="1">
        <v>6183</v>
      </c>
      <c r="H147" s="1">
        <v>5928.05</v>
      </c>
      <c r="I147" s="1">
        <f t="shared" si="21"/>
        <v>254.94999999999982</v>
      </c>
      <c r="J147" s="1">
        <f>J146+I147</f>
        <v>537.89999999999964</v>
      </c>
      <c r="K147" s="9">
        <f t="shared" si="29"/>
        <v>4.3007397036124835E-2</v>
      </c>
      <c r="L147" s="19">
        <f t="shared" si="18"/>
        <v>0</v>
      </c>
    </row>
    <row r="148" spans="1:12" x14ac:dyDescent="0.35">
      <c r="A148" s="2" t="s">
        <v>17</v>
      </c>
      <c r="B148" t="s">
        <v>18</v>
      </c>
      <c r="C148" s="21" t="s">
        <v>275</v>
      </c>
      <c r="D148" s="4">
        <v>3</v>
      </c>
      <c r="E148" s="63">
        <v>5928.05</v>
      </c>
      <c r="F148" s="3">
        <v>45901</v>
      </c>
      <c r="G148" s="1">
        <v>6133</v>
      </c>
      <c r="H148" s="1">
        <v>5935</v>
      </c>
      <c r="I148" s="1">
        <f t="shared" si="21"/>
        <v>198</v>
      </c>
      <c r="J148" s="1">
        <f t="shared" ref="J148:J161" si="30">J147+I148</f>
        <v>735.89999999999964</v>
      </c>
      <c r="K148" s="9">
        <f t="shared" si="29"/>
        <v>3.3361415332771691E-2</v>
      </c>
      <c r="L148" s="19">
        <f t="shared" si="18"/>
        <v>-6.9499999999998181</v>
      </c>
    </row>
    <row r="149" spans="1:12" x14ac:dyDescent="0.35">
      <c r="A149" s="2" t="s">
        <v>17</v>
      </c>
      <c r="B149" t="s">
        <v>18</v>
      </c>
      <c r="C149" s="21" t="s">
        <v>275</v>
      </c>
      <c r="D149" s="4">
        <v>4</v>
      </c>
      <c r="E149" s="63">
        <v>5928.05</v>
      </c>
      <c r="F149" s="3">
        <v>45908</v>
      </c>
      <c r="G149" s="1">
        <v>6050</v>
      </c>
      <c r="H149" s="1">
        <v>5935</v>
      </c>
      <c r="I149" s="1">
        <f t="shared" si="21"/>
        <v>115</v>
      </c>
      <c r="J149" s="1">
        <f t="shared" si="30"/>
        <v>850.89999999999964</v>
      </c>
      <c r="K149" s="9">
        <f t="shared" si="29"/>
        <v>1.9376579612468407E-2</v>
      </c>
      <c r="L149" s="19">
        <f t="shared" si="18"/>
        <v>-6.9499999999998181</v>
      </c>
    </row>
    <row r="150" spans="1:12" x14ac:dyDescent="0.35">
      <c r="A150" s="2" t="s">
        <v>17</v>
      </c>
      <c r="B150" t="s">
        <v>18</v>
      </c>
      <c r="C150" s="21" t="s">
        <v>275</v>
      </c>
      <c r="D150" s="4">
        <v>5</v>
      </c>
      <c r="E150" s="63">
        <v>5928.05</v>
      </c>
      <c r="F150" s="3">
        <v>45915</v>
      </c>
      <c r="G150" s="1">
        <v>5931</v>
      </c>
      <c r="H150" s="1">
        <v>5931</v>
      </c>
      <c r="I150" s="1">
        <f t="shared" si="21"/>
        <v>0</v>
      </c>
      <c r="J150" s="1">
        <f t="shared" si="30"/>
        <v>850.89999999999964</v>
      </c>
      <c r="K150" s="9">
        <f t="shared" si="29"/>
        <v>0</v>
      </c>
      <c r="L150" s="19">
        <f t="shared" si="18"/>
        <v>-2.9499999999998181</v>
      </c>
    </row>
    <row r="151" spans="1:12" x14ac:dyDescent="0.35">
      <c r="A151" s="2" t="s">
        <v>17</v>
      </c>
      <c r="B151" t="s">
        <v>18</v>
      </c>
      <c r="C151" s="21" t="s">
        <v>275</v>
      </c>
      <c r="D151" s="4">
        <v>6</v>
      </c>
      <c r="E151" s="63">
        <v>5928.05</v>
      </c>
      <c r="F151" s="3">
        <v>45922</v>
      </c>
      <c r="G151" s="1">
        <v>6050</v>
      </c>
      <c r="H151" s="1">
        <v>5935</v>
      </c>
      <c r="I151" s="1">
        <f t="shared" si="21"/>
        <v>115</v>
      </c>
      <c r="J151" s="1">
        <f t="shared" si="30"/>
        <v>965.89999999999964</v>
      </c>
      <c r="K151" s="9">
        <f t="shared" si="29"/>
        <v>1.9376579612468407E-2</v>
      </c>
      <c r="L151" s="19">
        <f t="shared" si="18"/>
        <v>-6.9499999999998181</v>
      </c>
    </row>
    <row r="152" spans="1:12" x14ac:dyDescent="0.35">
      <c r="A152" s="2" t="s">
        <v>17</v>
      </c>
      <c r="B152" t="s">
        <v>18</v>
      </c>
      <c r="C152" s="21" t="s">
        <v>275</v>
      </c>
      <c r="D152" s="4">
        <v>7</v>
      </c>
      <c r="E152" s="63">
        <v>5928.05</v>
      </c>
      <c r="F152" s="3">
        <v>45929</v>
      </c>
      <c r="G152" s="1">
        <v>5980</v>
      </c>
      <c r="H152" s="1">
        <v>5935</v>
      </c>
      <c r="I152" s="1">
        <f t="shared" si="21"/>
        <v>45</v>
      </c>
      <c r="J152" s="1">
        <f t="shared" si="30"/>
        <v>1010.8999999999996</v>
      </c>
      <c r="K152" s="9">
        <f t="shared" si="29"/>
        <v>7.582139848357203E-3</v>
      </c>
      <c r="L152" s="19">
        <f t="shared" si="18"/>
        <v>-6.9499999999998181</v>
      </c>
    </row>
    <row r="153" spans="1:12" x14ac:dyDescent="0.35">
      <c r="A153" s="2" t="s">
        <v>17</v>
      </c>
      <c r="B153" t="s">
        <v>18</v>
      </c>
      <c r="C153" s="21" t="s">
        <v>275</v>
      </c>
      <c r="D153" s="4">
        <v>8</v>
      </c>
      <c r="E153" s="63">
        <v>5928.05</v>
      </c>
      <c r="F153" s="3">
        <v>45936</v>
      </c>
      <c r="G153" s="1">
        <v>6083</v>
      </c>
      <c r="H153" s="1">
        <v>5929</v>
      </c>
      <c r="I153" s="1">
        <f t="shared" si="21"/>
        <v>154</v>
      </c>
      <c r="J153" s="1">
        <f t="shared" si="30"/>
        <v>1164.8999999999996</v>
      </c>
      <c r="K153" s="9">
        <f t="shared" si="29"/>
        <v>2.5974025974025976E-2</v>
      </c>
      <c r="L153" s="19">
        <f t="shared" si="18"/>
        <v>-0.9499999999998181</v>
      </c>
    </row>
    <row r="154" spans="1:12" x14ac:dyDescent="0.35">
      <c r="A154" s="2" t="s">
        <v>17</v>
      </c>
      <c r="B154" t="s">
        <v>18</v>
      </c>
      <c r="C154" s="21" t="s">
        <v>275</v>
      </c>
      <c r="D154" s="4">
        <v>9</v>
      </c>
      <c r="E154" s="63">
        <v>5928.05</v>
      </c>
      <c r="F154" s="3">
        <v>45943</v>
      </c>
      <c r="G154" s="1">
        <v>6080</v>
      </c>
      <c r="H154" s="1">
        <v>5935</v>
      </c>
      <c r="I154" s="1">
        <f t="shared" si="21"/>
        <v>145</v>
      </c>
      <c r="J154" s="1">
        <f t="shared" si="30"/>
        <v>1309.8999999999996</v>
      </c>
      <c r="K154" s="9">
        <f t="shared" si="29"/>
        <v>2.4431339511373211E-2</v>
      </c>
      <c r="L154" s="19">
        <f t="shared" si="18"/>
        <v>-6.9499999999998181</v>
      </c>
    </row>
    <row r="155" spans="1:12" x14ac:dyDescent="0.35">
      <c r="A155" s="2" t="s">
        <v>17</v>
      </c>
      <c r="B155" t="s">
        <v>18</v>
      </c>
      <c r="C155" s="21" t="s">
        <v>275</v>
      </c>
      <c r="D155" s="4">
        <v>10</v>
      </c>
      <c r="E155" s="63">
        <v>5928.05</v>
      </c>
      <c r="F155" s="3">
        <v>45950</v>
      </c>
      <c r="G155" s="1">
        <v>6000</v>
      </c>
      <c r="H155" s="1">
        <v>5935</v>
      </c>
      <c r="I155" s="1">
        <f t="shared" si="21"/>
        <v>65</v>
      </c>
      <c r="J155" s="1">
        <f t="shared" si="30"/>
        <v>1374.8999999999996</v>
      </c>
      <c r="K155" s="9">
        <f t="shared" si="29"/>
        <v>1.0951979780960405E-2</v>
      </c>
      <c r="L155" s="19">
        <f t="shared" si="18"/>
        <v>-6.9499999999998181</v>
      </c>
    </row>
    <row r="156" spans="1:12" x14ac:dyDescent="0.35">
      <c r="A156" s="2" t="s">
        <v>17</v>
      </c>
      <c r="B156" t="s">
        <v>18</v>
      </c>
      <c r="C156" s="21" t="s">
        <v>275</v>
      </c>
      <c r="D156" s="4">
        <v>11</v>
      </c>
      <c r="E156" s="63">
        <v>5928.05</v>
      </c>
      <c r="F156" s="3">
        <v>45961</v>
      </c>
      <c r="G156" s="1">
        <v>5957</v>
      </c>
      <c r="H156" s="1">
        <v>5957</v>
      </c>
      <c r="I156" s="1">
        <f t="shared" si="21"/>
        <v>0</v>
      </c>
      <c r="J156" s="1">
        <f t="shared" si="30"/>
        <v>1374.8999999999996</v>
      </c>
      <c r="K156" s="9">
        <f t="shared" si="29"/>
        <v>0</v>
      </c>
      <c r="L156" s="19">
        <f t="shared" si="18"/>
        <v>-28.949999999999818</v>
      </c>
    </row>
    <row r="157" spans="1:12" x14ac:dyDescent="0.35">
      <c r="A157" s="2" t="s">
        <v>17</v>
      </c>
      <c r="B157" t="s">
        <v>18</v>
      </c>
      <c r="C157" s="21" t="s">
        <v>275</v>
      </c>
      <c r="D157" s="4">
        <v>12</v>
      </c>
      <c r="E157" s="63">
        <v>5928.05</v>
      </c>
      <c r="F157" s="3">
        <v>45966</v>
      </c>
      <c r="G157" s="1">
        <f>1026+1600</f>
        <v>2626</v>
      </c>
      <c r="H157" s="1">
        <f>1026+1600</f>
        <v>2626</v>
      </c>
      <c r="I157" s="1">
        <f t="shared" si="21"/>
        <v>0</v>
      </c>
      <c r="J157" s="1">
        <f t="shared" si="30"/>
        <v>1374.8999999999996</v>
      </c>
      <c r="K157" s="9">
        <f t="shared" si="29"/>
        <v>0</v>
      </c>
      <c r="L157" s="19">
        <f t="shared" si="18"/>
        <v>3302.05</v>
      </c>
    </row>
    <row r="158" spans="1:12" x14ac:dyDescent="0.35">
      <c r="A158" s="2" t="s">
        <v>17</v>
      </c>
      <c r="B158" t="s">
        <v>18</v>
      </c>
      <c r="C158" s="21" t="s">
        <v>275</v>
      </c>
      <c r="D158" s="4">
        <v>13</v>
      </c>
      <c r="E158" s="63">
        <v>5928.05</v>
      </c>
      <c r="F158" s="3">
        <v>45967</v>
      </c>
      <c r="G158">
        <f>780+2200+400</f>
        <v>3380</v>
      </c>
      <c r="H158" s="1">
        <f>780+2200+400</f>
        <v>3380</v>
      </c>
      <c r="I158" s="1">
        <f t="shared" si="21"/>
        <v>0</v>
      </c>
      <c r="J158" s="1">
        <f t="shared" si="30"/>
        <v>1374.8999999999996</v>
      </c>
      <c r="K158" s="9">
        <f t="shared" si="29"/>
        <v>0</v>
      </c>
      <c r="L158" s="19">
        <f t="shared" si="18"/>
        <v>2548.0500000000002</v>
      </c>
    </row>
    <row r="159" spans="1:12" x14ac:dyDescent="0.35">
      <c r="A159" s="2" t="s">
        <v>17</v>
      </c>
      <c r="B159" t="s">
        <v>18</v>
      </c>
      <c r="C159" s="21" t="s">
        <v>275</v>
      </c>
      <c r="D159" s="4">
        <v>14</v>
      </c>
      <c r="E159" s="63">
        <v>5928.05</v>
      </c>
      <c r="I159" s="1">
        <f t="shared" si="21"/>
        <v>0</v>
      </c>
      <c r="J159" s="1">
        <f t="shared" si="30"/>
        <v>1374.8999999999996</v>
      </c>
      <c r="K159" s="9" t="e">
        <f t="shared" si="29"/>
        <v>#DIV/0!</v>
      </c>
      <c r="L159" s="19">
        <f t="shared" si="18"/>
        <v>5928.05</v>
      </c>
    </row>
    <row r="160" spans="1:12" x14ac:dyDescent="0.35">
      <c r="A160" s="2" t="s">
        <v>17</v>
      </c>
      <c r="B160" t="s">
        <v>18</v>
      </c>
      <c r="C160" s="21" t="s">
        <v>275</v>
      </c>
      <c r="D160" s="4">
        <v>15</v>
      </c>
      <c r="E160" s="63">
        <v>5928.05</v>
      </c>
      <c r="I160" s="1">
        <f t="shared" si="21"/>
        <v>0</v>
      </c>
      <c r="J160" s="1">
        <f t="shared" si="30"/>
        <v>1374.8999999999996</v>
      </c>
      <c r="L160" s="19">
        <f t="shared" si="18"/>
        <v>5928.05</v>
      </c>
    </row>
    <row r="161" spans="1:12" ht="15" thickBot="1" x14ac:dyDescent="0.4">
      <c r="A161" s="12" t="s">
        <v>17</v>
      </c>
      <c r="B161" s="13" t="s">
        <v>18</v>
      </c>
      <c r="C161" s="22" t="s">
        <v>275</v>
      </c>
      <c r="D161" s="14">
        <v>16</v>
      </c>
      <c r="E161" s="15">
        <v>5928.05</v>
      </c>
      <c r="F161" s="13"/>
      <c r="G161" s="13"/>
      <c r="H161" s="13"/>
      <c r="I161" s="15">
        <f t="shared" si="21"/>
        <v>0</v>
      </c>
      <c r="J161" s="15">
        <f t="shared" si="30"/>
        <v>1374.8999999999996</v>
      </c>
      <c r="K161" s="13"/>
      <c r="L161" s="24">
        <f t="shared" si="18"/>
        <v>5928.05</v>
      </c>
    </row>
    <row r="162" spans="1:12" x14ac:dyDescent="0.35">
      <c r="A162" s="2" t="s">
        <v>19</v>
      </c>
      <c r="B162" t="s">
        <v>20</v>
      </c>
      <c r="C162" s="21" t="s">
        <v>275</v>
      </c>
      <c r="D162" s="4">
        <v>1</v>
      </c>
      <c r="E162" s="64">
        <v>7448.07</v>
      </c>
      <c r="F162" s="3">
        <v>45888</v>
      </c>
      <c r="G162" s="1">
        <v>7911</v>
      </c>
      <c r="H162" s="1">
        <v>7448.07</v>
      </c>
      <c r="I162" s="1">
        <f t="shared" si="21"/>
        <v>462.93000000000029</v>
      </c>
      <c r="J162" s="1">
        <f>I162</f>
        <v>462.93000000000029</v>
      </c>
      <c r="K162" s="9">
        <f t="shared" ref="K162:K176" si="31">I162/H162</f>
        <v>6.2154356766249551E-2</v>
      </c>
      <c r="L162" s="19">
        <f t="shared" ref="L162:L225" si="32">E162-H162</f>
        <v>0</v>
      </c>
    </row>
    <row r="163" spans="1:12" x14ac:dyDescent="0.35">
      <c r="A163" s="2" t="s">
        <v>19</v>
      </c>
      <c r="B163" t="s">
        <v>20</v>
      </c>
      <c r="C163" s="21" t="s">
        <v>275</v>
      </c>
      <c r="D163" s="4">
        <v>2</v>
      </c>
      <c r="E163" s="64">
        <v>7448.07</v>
      </c>
      <c r="F163" s="3">
        <v>45895</v>
      </c>
      <c r="G163" s="1">
        <v>7911</v>
      </c>
      <c r="H163" s="1">
        <v>7448.07</v>
      </c>
      <c r="I163" s="1">
        <f t="shared" si="21"/>
        <v>462.93000000000029</v>
      </c>
      <c r="J163" s="1">
        <f>J162+I163</f>
        <v>925.86000000000058</v>
      </c>
      <c r="K163" s="9">
        <f t="shared" si="31"/>
        <v>6.2154356766249551E-2</v>
      </c>
      <c r="L163" s="19">
        <f t="shared" si="32"/>
        <v>0</v>
      </c>
    </row>
    <row r="164" spans="1:12" x14ac:dyDescent="0.35">
      <c r="A164" s="2" t="s">
        <v>19</v>
      </c>
      <c r="B164" t="s">
        <v>20</v>
      </c>
      <c r="C164" s="21" t="s">
        <v>275</v>
      </c>
      <c r="D164" s="4">
        <v>3</v>
      </c>
      <c r="E164" s="64">
        <v>7448.07</v>
      </c>
      <c r="F164" s="3">
        <v>45902</v>
      </c>
      <c r="G164" s="1">
        <v>7911</v>
      </c>
      <c r="H164" s="1">
        <v>7448.01</v>
      </c>
      <c r="I164" s="1">
        <f t="shared" si="21"/>
        <v>462.98999999999978</v>
      </c>
      <c r="J164" s="1">
        <f t="shared" ref="J164:J177" si="33">J163+I164</f>
        <v>1388.8500000000004</v>
      </c>
      <c r="K164" s="9">
        <f t="shared" si="31"/>
        <v>6.2162913315100245E-2</v>
      </c>
      <c r="L164" s="19">
        <f t="shared" si="32"/>
        <v>5.9999999999490683E-2</v>
      </c>
    </row>
    <row r="165" spans="1:12" x14ac:dyDescent="0.35">
      <c r="A165" s="2" t="s">
        <v>19</v>
      </c>
      <c r="B165" t="s">
        <v>20</v>
      </c>
      <c r="C165" s="21" t="s">
        <v>275</v>
      </c>
      <c r="D165" s="4">
        <v>4</v>
      </c>
      <c r="E165" s="64">
        <v>7448.07</v>
      </c>
      <c r="F165" s="3">
        <v>45909</v>
      </c>
      <c r="G165" s="1">
        <v>7911</v>
      </c>
      <c r="H165" s="1">
        <v>7448.01</v>
      </c>
      <c r="I165" s="1">
        <f t="shared" si="21"/>
        <v>462.98999999999978</v>
      </c>
      <c r="J165" s="1">
        <f t="shared" si="33"/>
        <v>1851.8400000000001</v>
      </c>
      <c r="K165" s="9">
        <f t="shared" si="31"/>
        <v>6.2162913315100245E-2</v>
      </c>
      <c r="L165" s="19">
        <f t="shared" si="32"/>
        <v>5.9999999999490683E-2</v>
      </c>
    </row>
    <row r="166" spans="1:12" x14ac:dyDescent="0.35">
      <c r="A166" s="2" t="s">
        <v>19</v>
      </c>
      <c r="B166" t="s">
        <v>20</v>
      </c>
      <c r="C166" s="21" t="s">
        <v>275</v>
      </c>
      <c r="D166" s="4">
        <v>5</v>
      </c>
      <c r="E166" s="64">
        <v>7448.07</v>
      </c>
      <c r="F166" s="3">
        <v>45915</v>
      </c>
      <c r="G166" s="1">
        <v>7911</v>
      </c>
      <c r="H166" s="1">
        <v>7448.01</v>
      </c>
      <c r="I166" s="1">
        <f t="shared" si="21"/>
        <v>462.98999999999978</v>
      </c>
      <c r="J166" s="1">
        <f t="shared" si="33"/>
        <v>2314.83</v>
      </c>
      <c r="K166" s="9">
        <f t="shared" si="31"/>
        <v>6.2162913315100245E-2</v>
      </c>
      <c r="L166" s="19">
        <f t="shared" si="32"/>
        <v>5.9999999999490683E-2</v>
      </c>
    </row>
    <row r="167" spans="1:12" x14ac:dyDescent="0.35">
      <c r="A167" s="2" t="s">
        <v>19</v>
      </c>
      <c r="B167" t="s">
        <v>20</v>
      </c>
      <c r="C167" s="21" t="s">
        <v>275</v>
      </c>
      <c r="D167" s="4">
        <v>6</v>
      </c>
      <c r="E167" s="64">
        <v>7448.07</v>
      </c>
      <c r="F167" s="3">
        <v>45923</v>
      </c>
      <c r="G167" s="1">
        <v>7911</v>
      </c>
      <c r="H167" s="1">
        <v>7448.01</v>
      </c>
      <c r="I167" s="1">
        <f t="shared" si="21"/>
        <v>462.98999999999978</v>
      </c>
      <c r="J167" s="1">
        <f t="shared" si="33"/>
        <v>2777.8199999999997</v>
      </c>
      <c r="K167" s="9">
        <f t="shared" si="31"/>
        <v>6.2162913315100245E-2</v>
      </c>
      <c r="L167" s="19">
        <f t="shared" si="32"/>
        <v>5.9999999999490683E-2</v>
      </c>
    </row>
    <row r="168" spans="1:12" x14ac:dyDescent="0.35">
      <c r="A168" s="2" t="s">
        <v>19</v>
      </c>
      <c r="B168" t="s">
        <v>20</v>
      </c>
      <c r="C168" s="21" t="s">
        <v>275</v>
      </c>
      <c r="D168" s="4">
        <v>7</v>
      </c>
      <c r="E168" s="64">
        <v>7448.07</v>
      </c>
      <c r="F168" s="3">
        <v>45930</v>
      </c>
      <c r="G168" s="1">
        <v>7911</v>
      </c>
      <c r="H168" s="1">
        <v>7448.01</v>
      </c>
      <c r="I168" s="1">
        <f t="shared" si="21"/>
        <v>462.98999999999978</v>
      </c>
      <c r="J168" s="1">
        <f t="shared" si="33"/>
        <v>3240.8099999999995</v>
      </c>
      <c r="K168" s="9">
        <f t="shared" si="31"/>
        <v>6.2162913315100245E-2</v>
      </c>
      <c r="L168" s="19">
        <f t="shared" si="32"/>
        <v>5.9999999999490683E-2</v>
      </c>
    </row>
    <row r="169" spans="1:12" x14ac:dyDescent="0.35">
      <c r="A169" s="2" t="s">
        <v>19</v>
      </c>
      <c r="B169" t="s">
        <v>20</v>
      </c>
      <c r="C169" s="21" t="s">
        <v>275</v>
      </c>
      <c r="D169" s="4">
        <v>8</v>
      </c>
      <c r="E169" s="64">
        <v>7448.07</v>
      </c>
      <c r="F169" s="3">
        <v>45937</v>
      </c>
      <c r="G169" s="1">
        <v>7911</v>
      </c>
      <c r="H169" s="1">
        <v>7448.01</v>
      </c>
      <c r="I169" s="1">
        <f t="shared" si="21"/>
        <v>462.98999999999978</v>
      </c>
      <c r="J169" s="1">
        <f t="shared" si="33"/>
        <v>3703.7999999999993</v>
      </c>
      <c r="K169" s="9">
        <f t="shared" si="31"/>
        <v>6.2162913315100245E-2</v>
      </c>
      <c r="L169" s="19">
        <f t="shared" si="32"/>
        <v>5.9999999999490683E-2</v>
      </c>
    </row>
    <row r="170" spans="1:12" x14ac:dyDescent="0.35">
      <c r="A170" s="2" t="s">
        <v>19</v>
      </c>
      <c r="B170" t="s">
        <v>20</v>
      </c>
      <c r="C170" s="21" t="s">
        <v>275</v>
      </c>
      <c r="D170" s="4">
        <v>9</v>
      </c>
      <c r="E170" s="64">
        <v>7448.07</v>
      </c>
      <c r="F170" s="3">
        <v>45944</v>
      </c>
      <c r="G170" s="1">
        <v>7911</v>
      </c>
      <c r="H170" s="1">
        <v>7448.01</v>
      </c>
      <c r="I170" s="1">
        <f t="shared" si="21"/>
        <v>462.98999999999978</v>
      </c>
      <c r="J170" s="1">
        <f t="shared" si="33"/>
        <v>4166.7899999999991</v>
      </c>
      <c r="K170" s="9">
        <f t="shared" si="31"/>
        <v>6.2162913315100245E-2</v>
      </c>
      <c r="L170" s="19">
        <f t="shared" si="32"/>
        <v>5.9999999999490683E-2</v>
      </c>
    </row>
    <row r="171" spans="1:12" x14ac:dyDescent="0.35">
      <c r="A171" s="2" t="s">
        <v>19</v>
      </c>
      <c r="B171" t="s">
        <v>20</v>
      </c>
      <c r="C171" s="21" t="s">
        <v>275</v>
      </c>
      <c r="D171" s="4">
        <v>10</v>
      </c>
      <c r="E171" s="64">
        <v>7448.07</v>
      </c>
      <c r="F171" s="3">
        <v>45951</v>
      </c>
      <c r="G171" s="1">
        <v>7911</v>
      </c>
      <c r="H171" s="1">
        <v>7448.01</v>
      </c>
      <c r="I171" s="1">
        <f t="shared" si="21"/>
        <v>462.98999999999978</v>
      </c>
      <c r="J171" s="1">
        <f t="shared" si="33"/>
        <v>4629.7799999999988</v>
      </c>
      <c r="K171" s="9">
        <f t="shared" si="31"/>
        <v>6.2162913315100245E-2</v>
      </c>
      <c r="L171" s="19">
        <f t="shared" si="32"/>
        <v>5.9999999999490683E-2</v>
      </c>
    </row>
    <row r="172" spans="1:12" x14ac:dyDescent="0.35">
      <c r="A172" s="2" t="s">
        <v>19</v>
      </c>
      <c r="B172" t="s">
        <v>20</v>
      </c>
      <c r="C172" s="21" t="s">
        <v>275</v>
      </c>
      <c r="D172" s="4">
        <v>11</v>
      </c>
      <c r="E172" s="64">
        <v>7448.07</v>
      </c>
      <c r="F172" s="3">
        <v>45958</v>
      </c>
      <c r="G172" s="1">
        <v>7911</v>
      </c>
      <c r="H172" s="1">
        <v>7448.01</v>
      </c>
      <c r="I172" s="1">
        <f t="shared" si="21"/>
        <v>462.98999999999978</v>
      </c>
      <c r="J172" s="1">
        <f t="shared" si="33"/>
        <v>5092.7699999999986</v>
      </c>
      <c r="K172" s="9">
        <f t="shared" si="31"/>
        <v>6.2162913315100245E-2</v>
      </c>
      <c r="L172" s="19">
        <f t="shared" si="32"/>
        <v>5.9999999999490683E-2</v>
      </c>
    </row>
    <row r="173" spans="1:12" x14ac:dyDescent="0.35">
      <c r="A173" s="2" t="s">
        <v>19</v>
      </c>
      <c r="B173" t="s">
        <v>20</v>
      </c>
      <c r="C173" s="21" t="s">
        <v>275</v>
      </c>
      <c r="D173" s="4">
        <v>12</v>
      </c>
      <c r="E173" s="64">
        <v>7448.07</v>
      </c>
      <c r="F173" s="3">
        <v>45965</v>
      </c>
      <c r="G173" s="1">
        <v>7911</v>
      </c>
      <c r="H173" s="1">
        <v>7448.01</v>
      </c>
      <c r="I173" s="1">
        <f t="shared" si="21"/>
        <v>462.98999999999978</v>
      </c>
      <c r="J173" s="1">
        <f t="shared" si="33"/>
        <v>5555.7599999999984</v>
      </c>
      <c r="K173" s="9">
        <f t="shared" si="31"/>
        <v>6.2162913315100245E-2</v>
      </c>
      <c r="L173" s="19">
        <f t="shared" si="32"/>
        <v>5.9999999999490683E-2</v>
      </c>
    </row>
    <row r="174" spans="1:12" x14ac:dyDescent="0.35">
      <c r="A174" s="2" t="s">
        <v>19</v>
      </c>
      <c r="B174" t="s">
        <v>20</v>
      </c>
      <c r="C174" s="21" t="s">
        <v>275</v>
      </c>
      <c r="D174" s="4">
        <v>13</v>
      </c>
      <c r="E174" s="64">
        <v>7448.07</v>
      </c>
      <c r="G174" s="1"/>
      <c r="H174" s="1"/>
      <c r="I174" s="1">
        <f t="shared" si="21"/>
        <v>0</v>
      </c>
      <c r="J174" s="1">
        <f t="shared" si="33"/>
        <v>5555.7599999999984</v>
      </c>
      <c r="K174" s="9" t="e">
        <f t="shared" si="31"/>
        <v>#DIV/0!</v>
      </c>
      <c r="L174" s="19">
        <f t="shared" si="32"/>
        <v>7448.07</v>
      </c>
    </row>
    <row r="175" spans="1:12" x14ac:dyDescent="0.35">
      <c r="A175" s="2" t="s">
        <v>19</v>
      </c>
      <c r="B175" t="s">
        <v>20</v>
      </c>
      <c r="C175" s="21" t="s">
        <v>275</v>
      </c>
      <c r="D175" s="4">
        <v>14</v>
      </c>
      <c r="E175" s="64">
        <v>7448.07</v>
      </c>
      <c r="G175" s="1"/>
      <c r="H175" s="1"/>
      <c r="I175" s="1">
        <f t="shared" si="21"/>
        <v>0</v>
      </c>
      <c r="J175" s="1">
        <f t="shared" si="33"/>
        <v>5555.7599999999984</v>
      </c>
      <c r="K175" s="9" t="e">
        <f t="shared" si="31"/>
        <v>#DIV/0!</v>
      </c>
      <c r="L175" s="19">
        <f t="shared" si="32"/>
        <v>7448.07</v>
      </c>
    </row>
    <row r="176" spans="1:12" x14ac:dyDescent="0.35">
      <c r="A176" s="2" t="s">
        <v>19</v>
      </c>
      <c r="B176" t="s">
        <v>20</v>
      </c>
      <c r="C176" s="21" t="s">
        <v>275</v>
      </c>
      <c r="D176" s="4">
        <v>15</v>
      </c>
      <c r="E176" s="64">
        <v>7448.07</v>
      </c>
      <c r="G176" s="1"/>
      <c r="H176" s="1"/>
      <c r="I176" s="1">
        <f t="shared" si="21"/>
        <v>0</v>
      </c>
      <c r="J176" s="1">
        <f t="shared" si="33"/>
        <v>5555.7599999999984</v>
      </c>
      <c r="K176" s="9" t="e">
        <f t="shared" si="31"/>
        <v>#DIV/0!</v>
      </c>
      <c r="L176" s="19">
        <f t="shared" si="32"/>
        <v>7448.07</v>
      </c>
    </row>
    <row r="177" spans="1:12" ht="15" thickBot="1" x14ac:dyDescent="0.4">
      <c r="A177" s="12" t="s">
        <v>19</v>
      </c>
      <c r="B177" s="13" t="s">
        <v>20</v>
      </c>
      <c r="C177" s="22" t="s">
        <v>275</v>
      </c>
      <c r="D177" s="14">
        <v>16</v>
      </c>
      <c r="E177" s="15">
        <v>7448.07</v>
      </c>
      <c r="F177" s="13"/>
      <c r="G177" s="15"/>
      <c r="H177" s="15"/>
      <c r="I177" s="15">
        <f t="shared" si="21"/>
        <v>0</v>
      </c>
      <c r="J177" s="15">
        <f t="shared" si="33"/>
        <v>5555.7599999999984</v>
      </c>
      <c r="K177" s="13"/>
      <c r="L177" s="24">
        <f t="shared" si="32"/>
        <v>7448.07</v>
      </c>
    </row>
    <row r="178" spans="1:12" x14ac:dyDescent="0.35">
      <c r="A178" s="2" t="s">
        <v>21</v>
      </c>
      <c r="B178" t="s">
        <v>22</v>
      </c>
      <c r="C178" s="21" t="s">
        <v>275</v>
      </c>
      <c r="D178" s="4">
        <v>1</v>
      </c>
      <c r="E178" s="65">
        <v>4712.04</v>
      </c>
      <c r="F178" s="3">
        <v>45887</v>
      </c>
      <c r="G178" s="1">
        <v>4955</v>
      </c>
      <c r="H178" s="1">
        <v>4712.04</v>
      </c>
      <c r="I178" s="1">
        <f t="shared" si="21"/>
        <v>242.96000000000004</v>
      </c>
      <c r="J178" s="1">
        <f>I178</f>
        <v>242.96000000000004</v>
      </c>
      <c r="K178" s="9">
        <f t="shared" ref="K178:K192" si="34">I178/H178</f>
        <v>5.1561531735723816E-2</v>
      </c>
      <c r="L178" s="19">
        <f t="shared" si="32"/>
        <v>0</v>
      </c>
    </row>
    <row r="179" spans="1:12" x14ac:dyDescent="0.35">
      <c r="A179" s="2" t="s">
        <v>21</v>
      </c>
      <c r="B179" t="s">
        <v>22</v>
      </c>
      <c r="C179" s="21" t="s">
        <v>275</v>
      </c>
      <c r="D179" s="4">
        <v>2</v>
      </c>
      <c r="E179" s="65">
        <v>4712.04</v>
      </c>
      <c r="F179" s="3">
        <v>45894</v>
      </c>
      <c r="G179" s="1">
        <v>4955</v>
      </c>
      <c r="H179" s="1">
        <v>4712.04</v>
      </c>
      <c r="I179" s="1">
        <f t="shared" ref="I179:I245" si="35">G179-H179</f>
        <v>242.96000000000004</v>
      </c>
      <c r="J179" s="1">
        <f>J178+I179</f>
        <v>485.92000000000007</v>
      </c>
      <c r="K179" s="9">
        <f t="shared" si="34"/>
        <v>5.1561531735723816E-2</v>
      </c>
      <c r="L179" s="19">
        <f t="shared" si="32"/>
        <v>0</v>
      </c>
    </row>
    <row r="180" spans="1:12" x14ac:dyDescent="0.35">
      <c r="A180" s="2" t="s">
        <v>21</v>
      </c>
      <c r="B180" t="s">
        <v>22</v>
      </c>
      <c r="C180" s="21" t="s">
        <v>275</v>
      </c>
      <c r="D180" s="4">
        <v>3</v>
      </c>
      <c r="E180" s="65">
        <v>4712.04</v>
      </c>
      <c r="F180" s="3">
        <v>45901</v>
      </c>
      <c r="G180" s="1">
        <v>4955</v>
      </c>
      <c r="H180" s="1">
        <v>4712.04</v>
      </c>
      <c r="I180" s="1">
        <f t="shared" si="35"/>
        <v>242.96000000000004</v>
      </c>
      <c r="J180" s="1">
        <f t="shared" ref="J180:J193" si="36">J179+I180</f>
        <v>728.88000000000011</v>
      </c>
      <c r="K180" s="9">
        <f t="shared" si="34"/>
        <v>5.1561531735723816E-2</v>
      </c>
      <c r="L180" s="19">
        <f t="shared" si="32"/>
        <v>0</v>
      </c>
    </row>
    <row r="181" spans="1:12" x14ac:dyDescent="0.35">
      <c r="A181" s="2" t="s">
        <v>21</v>
      </c>
      <c r="B181" t="s">
        <v>22</v>
      </c>
      <c r="C181" s="21" t="s">
        <v>275</v>
      </c>
      <c r="D181" s="4">
        <v>4</v>
      </c>
      <c r="E181" s="65">
        <v>4712.04</v>
      </c>
      <c r="F181" s="3">
        <v>45908</v>
      </c>
      <c r="G181" s="1">
        <v>4955</v>
      </c>
      <c r="H181" s="1">
        <v>4712.04</v>
      </c>
      <c r="I181" s="1">
        <f t="shared" si="35"/>
        <v>242.96000000000004</v>
      </c>
      <c r="J181" s="1">
        <f t="shared" si="36"/>
        <v>971.84000000000015</v>
      </c>
      <c r="K181" s="9">
        <f t="shared" si="34"/>
        <v>5.1561531735723816E-2</v>
      </c>
      <c r="L181" s="19">
        <f t="shared" si="32"/>
        <v>0</v>
      </c>
    </row>
    <row r="182" spans="1:12" x14ac:dyDescent="0.35">
      <c r="A182" s="2" t="s">
        <v>21</v>
      </c>
      <c r="B182" t="s">
        <v>22</v>
      </c>
      <c r="C182" s="21" t="s">
        <v>275</v>
      </c>
      <c r="D182" s="4">
        <v>5</v>
      </c>
      <c r="E182" s="65">
        <v>4712.04</v>
      </c>
      <c r="F182" s="3">
        <v>45916</v>
      </c>
      <c r="G182" s="1">
        <v>4955</v>
      </c>
      <c r="H182" s="1">
        <v>4712.04</v>
      </c>
      <c r="I182" s="1">
        <f t="shared" si="35"/>
        <v>242.96000000000004</v>
      </c>
      <c r="J182" s="1">
        <f t="shared" si="36"/>
        <v>1214.8000000000002</v>
      </c>
      <c r="K182" s="9">
        <f t="shared" si="34"/>
        <v>5.1561531735723816E-2</v>
      </c>
      <c r="L182" s="19">
        <f t="shared" si="32"/>
        <v>0</v>
      </c>
    </row>
    <row r="183" spans="1:12" x14ac:dyDescent="0.35">
      <c r="A183" s="2" t="s">
        <v>21</v>
      </c>
      <c r="B183" t="s">
        <v>22</v>
      </c>
      <c r="C183" s="21" t="s">
        <v>275</v>
      </c>
      <c r="D183" s="4">
        <v>6</v>
      </c>
      <c r="E183" s="65">
        <v>4712.04</v>
      </c>
      <c r="F183" s="3">
        <v>45924</v>
      </c>
      <c r="G183" s="1">
        <v>4954</v>
      </c>
      <c r="H183" s="1">
        <v>4712.04</v>
      </c>
      <c r="I183" s="1">
        <f t="shared" si="35"/>
        <v>241.96000000000004</v>
      </c>
      <c r="J183" s="1">
        <f t="shared" si="36"/>
        <v>1456.7600000000002</v>
      </c>
      <c r="K183" s="9">
        <f t="shared" si="34"/>
        <v>5.1349309428612669E-2</v>
      </c>
      <c r="L183" s="19">
        <f t="shared" si="32"/>
        <v>0</v>
      </c>
    </row>
    <row r="184" spans="1:12" x14ac:dyDescent="0.35">
      <c r="A184" s="2" t="s">
        <v>21</v>
      </c>
      <c r="B184" t="s">
        <v>22</v>
      </c>
      <c r="C184" s="21" t="s">
        <v>275</v>
      </c>
      <c r="D184" s="4">
        <v>7</v>
      </c>
      <c r="E184" s="65">
        <v>4712.04</v>
      </c>
      <c r="F184" s="3">
        <v>45931</v>
      </c>
      <c r="G184" s="1">
        <v>4956</v>
      </c>
      <c r="H184" s="1">
        <v>4712.04</v>
      </c>
      <c r="I184" s="1">
        <f t="shared" si="35"/>
        <v>243.96000000000004</v>
      </c>
      <c r="J184" s="1">
        <f t="shared" si="36"/>
        <v>1700.7200000000003</v>
      </c>
      <c r="K184" s="9">
        <f t="shared" si="34"/>
        <v>5.1773754042834956E-2</v>
      </c>
      <c r="L184" s="19">
        <f t="shared" si="32"/>
        <v>0</v>
      </c>
    </row>
    <row r="185" spans="1:12" x14ac:dyDescent="0.35">
      <c r="A185" s="2" t="s">
        <v>21</v>
      </c>
      <c r="B185" t="s">
        <v>22</v>
      </c>
      <c r="C185" s="21" t="s">
        <v>275</v>
      </c>
      <c r="D185" s="4">
        <v>8</v>
      </c>
      <c r="E185" s="65">
        <v>4712.04</v>
      </c>
      <c r="F185" s="3">
        <v>45938</v>
      </c>
      <c r="G185" s="1">
        <v>4955</v>
      </c>
      <c r="H185" s="1">
        <v>4714.04</v>
      </c>
      <c r="I185" s="1">
        <f t="shared" si="35"/>
        <v>240.96000000000004</v>
      </c>
      <c r="J185" s="1">
        <f t="shared" si="36"/>
        <v>1941.6800000000003</v>
      </c>
      <c r="K185" s="9">
        <f t="shared" si="34"/>
        <v>5.1115391468888688E-2</v>
      </c>
      <c r="L185" s="19">
        <f t="shared" si="32"/>
        <v>-2</v>
      </c>
    </row>
    <row r="186" spans="1:12" x14ac:dyDescent="0.35">
      <c r="A186" s="2" t="s">
        <v>21</v>
      </c>
      <c r="B186" t="s">
        <v>22</v>
      </c>
      <c r="C186" s="21" t="s">
        <v>275</v>
      </c>
      <c r="D186" s="4">
        <v>9</v>
      </c>
      <c r="E186" s="65">
        <v>4712.04</v>
      </c>
      <c r="F186" s="3">
        <v>45945</v>
      </c>
      <c r="G186" s="1">
        <v>4959</v>
      </c>
      <c r="H186" s="1">
        <v>4714.04</v>
      </c>
      <c r="I186" s="1">
        <f t="shared" si="35"/>
        <v>244.96000000000004</v>
      </c>
      <c r="J186" s="1">
        <f t="shared" si="36"/>
        <v>2186.6400000000003</v>
      </c>
      <c r="K186" s="9">
        <f t="shared" si="34"/>
        <v>5.1963920543737441E-2</v>
      </c>
      <c r="L186" s="19">
        <f t="shared" si="32"/>
        <v>-2</v>
      </c>
    </row>
    <row r="187" spans="1:12" x14ac:dyDescent="0.35">
      <c r="A187" s="2" t="s">
        <v>21</v>
      </c>
      <c r="B187" t="s">
        <v>22</v>
      </c>
      <c r="C187" s="21" t="s">
        <v>275</v>
      </c>
      <c r="D187" s="4">
        <v>10</v>
      </c>
      <c r="E187" s="65">
        <v>4712.04</v>
      </c>
      <c r="F187" s="3">
        <v>45952</v>
      </c>
      <c r="G187" s="1">
        <v>4955</v>
      </c>
      <c r="H187" s="1">
        <v>4714.04</v>
      </c>
      <c r="I187" s="1">
        <f t="shared" si="35"/>
        <v>240.96000000000004</v>
      </c>
      <c r="J187" s="1">
        <f t="shared" si="36"/>
        <v>2427.6000000000004</v>
      </c>
      <c r="K187" s="9">
        <f t="shared" si="34"/>
        <v>5.1115391468888688E-2</v>
      </c>
      <c r="L187" s="19">
        <f t="shared" si="32"/>
        <v>-2</v>
      </c>
    </row>
    <row r="188" spans="1:12" x14ac:dyDescent="0.35">
      <c r="A188" s="2" t="s">
        <v>21</v>
      </c>
      <c r="B188" t="s">
        <v>22</v>
      </c>
      <c r="C188" s="21" t="s">
        <v>275</v>
      </c>
      <c r="D188" s="4">
        <v>11</v>
      </c>
      <c r="E188" s="65">
        <v>4712.04</v>
      </c>
      <c r="F188" s="3">
        <v>45959</v>
      </c>
      <c r="G188" s="1">
        <v>4955</v>
      </c>
      <c r="H188" s="1">
        <v>4714.04</v>
      </c>
      <c r="I188" s="1">
        <f t="shared" si="35"/>
        <v>240.96000000000004</v>
      </c>
      <c r="J188" s="1">
        <f t="shared" si="36"/>
        <v>2668.5600000000004</v>
      </c>
      <c r="K188" s="9">
        <f t="shared" si="34"/>
        <v>5.1115391468888688E-2</v>
      </c>
      <c r="L188" s="19">
        <f t="shared" si="32"/>
        <v>-2</v>
      </c>
    </row>
    <row r="189" spans="1:12" x14ac:dyDescent="0.35">
      <c r="A189" s="2" t="s">
        <v>21</v>
      </c>
      <c r="B189" t="s">
        <v>22</v>
      </c>
      <c r="C189" s="21" t="s">
        <v>275</v>
      </c>
      <c r="D189" s="4">
        <v>12</v>
      </c>
      <c r="E189" s="65">
        <v>4712.04</v>
      </c>
      <c r="F189" s="3">
        <v>45966</v>
      </c>
      <c r="G189" s="1">
        <v>4955</v>
      </c>
      <c r="H189" s="1">
        <v>4714.04</v>
      </c>
      <c r="I189" s="1">
        <f t="shared" si="35"/>
        <v>240.96000000000004</v>
      </c>
      <c r="J189" s="1">
        <f t="shared" si="36"/>
        <v>2909.5200000000004</v>
      </c>
      <c r="K189" s="9">
        <f t="shared" si="34"/>
        <v>5.1115391468888688E-2</v>
      </c>
      <c r="L189" s="19">
        <f t="shared" si="32"/>
        <v>-2</v>
      </c>
    </row>
    <row r="190" spans="1:12" x14ac:dyDescent="0.35">
      <c r="A190" s="2" t="s">
        <v>21</v>
      </c>
      <c r="B190" t="s">
        <v>22</v>
      </c>
      <c r="C190" s="21" t="s">
        <v>275</v>
      </c>
      <c r="D190" s="4">
        <v>13</v>
      </c>
      <c r="E190" s="65">
        <v>4712.04</v>
      </c>
      <c r="G190" s="1"/>
      <c r="H190" s="1"/>
      <c r="I190" s="1">
        <f t="shared" si="35"/>
        <v>0</v>
      </c>
      <c r="J190" s="1">
        <f t="shared" si="36"/>
        <v>2909.5200000000004</v>
      </c>
      <c r="K190" s="9" t="e">
        <f t="shared" si="34"/>
        <v>#DIV/0!</v>
      </c>
      <c r="L190" s="19">
        <f t="shared" si="32"/>
        <v>4712.04</v>
      </c>
    </row>
    <row r="191" spans="1:12" x14ac:dyDescent="0.35">
      <c r="A191" s="2" t="s">
        <v>21</v>
      </c>
      <c r="B191" t="s">
        <v>22</v>
      </c>
      <c r="C191" s="21" t="s">
        <v>275</v>
      </c>
      <c r="D191" s="4">
        <v>14</v>
      </c>
      <c r="E191" s="65">
        <v>4712.04</v>
      </c>
      <c r="G191" s="1"/>
      <c r="H191" s="1"/>
      <c r="I191" s="1">
        <f t="shared" si="35"/>
        <v>0</v>
      </c>
      <c r="J191" s="1">
        <f t="shared" si="36"/>
        <v>2909.5200000000004</v>
      </c>
      <c r="K191" s="9" t="e">
        <f t="shared" si="34"/>
        <v>#DIV/0!</v>
      </c>
      <c r="L191" s="19">
        <f t="shared" si="32"/>
        <v>4712.04</v>
      </c>
    </row>
    <row r="192" spans="1:12" x14ac:dyDescent="0.35">
      <c r="A192" s="2" t="s">
        <v>21</v>
      </c>
      <c r="B192" t="s">
        <v>22</v>
      </c>
      <c r="C192" s="21" t="s">
        <v>275</v>
      </c>
      <c r="D192" s="4">
        <v>15</v>
      </c>
      <c r="E192" s="65">
        <v>4712.04</v>
      </c>
      <c r="G192" s="1"/>
      <c r="H192" s="1"/>
      <c r="I192" s="1">
        <f t="shared" si="35"/>
        <v>0</v>
      </c>
      <c r="J192" s="1">
        <f t="shared" si="36"/>
        <v>2909.5200000000004</v>
      </c>
      <c r="K192" s="9" t="e">
        <f t="shared" si="34"/>
        <v>#DIV/0!</v>
      </c>
      <c r="L192" s="19">
        <f t="shared" si="32"/>
        <v>4712.04</v>
      </c>
    </row>
    <row r="193" spans="1:12" ht="15" thickBot="1" x14ac:dyDescent="0.4">
      <c r="A193" s="12" t="s">
        <v>21</v>
      </c>
      <c r="B193" s="13" t="s">
        <v>22</v>
      </c>
      <c r="C193" s="22" t="s">
        <v>275</v>
      </c>
      <c r="D193" s="14">
        <v>16</v>
      </c>
      <c r="E193" s="15">
        <v>4712.04</v>
      </c>
      <c r="F193" s="13"/>
      <c r="G193" s="15"/>
      <c r="H193" s="15"/>
      <c r="I193" s="15">
        <f t="shared" si="35"/>
        <v>0</v>
      </c>
      <c r="J193" s="15">
        <f t="shared" si="36"/>
        <v>2909.5200000000004</v>
      </c>
      <c r="K193" s="13"/>
      <c r="L193" s="24">
        <f t="shared" si="32"/>
        <v>4712.04</v>
      </c>
    </row>
    <row r="194" spans="1:12" x14ac:dyDescent="0.35">
      <c r="A194" s="2" t="s">
        <v>23</v>
      </c>
      <c r="B194" t="s">
        <v>24</v>
      </c>
      <c r="C194" s="21" t="s">
        <v>275</v>
      </c>
      <c r="D194" s="4">
        <v>1</v>
      </c>
      <c r="E194" s="66">
        <v>3882.1800000000003</v>
      </c>
      <c r="F194" s="3">
        <v>45894</v>
      </c>
      <c r="G194" s="1">
        <v>4602</v>
      </c>
      <c r="H194" s="1">
        <v>3882.18</v>
      </c>
      <c r="I194" s="1">
        <f t="shared" si="35"/>
        <v>719.82000000000016</v>
      </c>
      <c r="J194" s="1">
        <f>I194</f>
        <v>719.82000000000016</v>
      </c>
      <c r="K194" s="9">
        <f t="shared" ref="K194:K208" si="37">I194/H194</f>
        <v>0.18541644127783879</v>
      </c>
      <c r="L194" s="19">
        <f t="shared" si="32"/>
        <v>0</v>
      </c>
    </row>
    <row r="195" spans="1:12" x14ac:dyDescent="0.35">
      <c r="A195" s="2" t="s">
        <v>23</v>
      </c>
      <c r="B195" t="s">
        <v>24</v>
      </c>
      <c r="C195" s="21" t="s">
        <v>275</v>
      </c>
      <c r="D195" s="4">
        <v>2</v>
      </c>
      <c r="E195" s="66">
        <v>3882.1800000000003</v>
      </c>
      <c r="F195" s="3">
        <v>45901</v>
      </c>
      <c r="G195" s="1">
        <v>4702</v>
      </c>
      <c r="H195" s="1">
        <v>3882</v>
      </c>
      <c r="I195" s="1">
        <f t="shared" si="35"/>
        <v>820</v>
      </c>
      <c r="J195" s="1">
        <f>J194+I195</f>
        <v>1539.8200000000002</v>
      </c>
      <c r="K195" s="9">
        <f t="shared" si="37"/>
        <v>0.211231324059763</v>
      </c>
      <c r="L195" s="19">
        <f t="shared" si="32"/>
        <v>0.18000000000029104</v>
      </c>
    </row>
    <row r="196" spans="1:12" x14ac:dyDescent="0.35">
      <c r="A196" s="2" t="s">
        <v>23</v>
      </c>
      <c r="B196" t="s">
        <v>24</v>
      </c>
      <c r="C196" s="21" t="s">
        <v>275</v>
      </c>
      <c r="D196" s="4">
        <v>3</v>
      </c>
      <c r="E196" s="66">
        <v>3882.1800000000003</v>
      </c>
      <c r="F196" s="3">
        <v>45908</v>
      </c>
      <c r="G196" s="1">
        <v>4641</v>
      </c>
      <c r="H196" s="1">
        <v>3882</v>
      </c>
      <c r="I196" s="1">
        <f t="shared" si="35"/>
        <v>759</v>
      </c>
      <c r="J196" s="1">
        <f t="shared" ref="J196:J209" si="38">J195+I196</f>
        <v>2298.8200000000002</v>
      </c>
      <c r="K196" s="9">
        <f t="shared" si="37"/>
        <v>0.19551777434312209</v>
      </c>
      <c r="L196" s="19">
        <f t="shared" si="32"/>
        <v>0.18000000000029104</v>
      </c>
    </row>
    <row r="197" spans="1:12" x14ac:dyDescent="0.35">
      <c r="A197" s="2" t="s">
        <v>23</v>
      </c>
      <c r="B197" t="s">
        <v>24</v>
      </c>
      <c r="C197" s="21" t="s">
        <v>275</v>
      </c>
      <c r="D197" s="4">
        <v>4</v>
      </c>
      <c r="E197" s="66">
        <v>3882.1800000000003</v>
      </c>
      <c r="F197" s="3">
        <v>45915</v>
      </c>
      <c r="G197" s="1">
        <v>4641</v>
      </c>
      <c r="H197" s="1">
        <v>3882</v>
      </c>
      <c r="I197" s="1">
        <f t="shared" si="35"/>
        <v>759</v>
      </c>
      <c r="J197" s="1">
        <f t="shared" si="38"/>
        <v>3057.82</v>
      </c>
      <c r="K197" s="9">
        <f t="shared" si="37"/>
        <v>0.19551777434312209</v>
      </c>
      <c r="L197" s="19">
        <f t="shared" si="32"/>
        <v>0.18000000000029104</v>
      </c>
    </row>
    <row r="198" spans="1:12" x14ac:dyDescent="0.35">
      <c r="A198" s="2" t="s">
        <v>23</v>
      </c>
      <c r="B198" t="s">
        <v>24</v>
      </c>
      <c r="C198" s="21" t="s">
        <v>275</v>
      </c>
      <c r="D198" s="4">
        <v>5</v>
      </c>
      <c r="E198" s="66">
        <v>3882.1800000000003</v>
      </c>
      <c r="F198" s="3">
        <v>45922</v>
      </c>
      <c r="G198" s="1">
        <v>4641</v>
      </c>
      <c r="H198" s="1">
        <v>3882</v>
      </c>
      <c r="I198" s="1">
        <f t="shared" si="35"/>
        <v>759</v>
      </c>
      <c r="J198" s="1">
        <f t="shared" si="38"/>
        <v>3816.82</v>
      </c>
      <c r="K198" s="9">
        <f t="shared" si="37"/>
        <v>0.19551777434312209</v>
      </c>
      <c r="L198" s="19">
        <f t="shared" si="32"/>
        <v>0.18000000000029104</v>
      </c>
    </row>
    <row r="199" spans="1:12" x14ac:dyDescent="0.35">
      <c r="A199" s="2" t="s">
        <v>23</v>
      </c>
      <c r="B199" t="s">
        <v>24</v>
      </c>
      <c r="C199" s="21" t="s">
        <v>275</v>
      </c>
      <c r="D199" s="4">
        <v>6</v>
      </c>
      <c r="E199" s="66">
        <v>3882.1800000000003</v>
      </c>
      <c r="F199" s="3">
        <v>45929</v>
      </c>
      <c r="G199" s="1">
        <v>4641</v>
      </c>
      <c r="H199" s="1">
        <v>3882</v>
      </c>
      <c r="I199" s="1">
        <f t="shared" si="35"/>
        <v>759</v>
      </c>
      <c r="J199" s="1">
        <f t="shared" si="38"/>
        <v>4575.82</v>
      </c>
      <c r="K199" s="9">
        <f t="shared" si="37"/>
        <v>0.19551777434312209</v>
      </c>
      <c r="L199" s="19">
        <f t="shared" si="32"/>
        <v>0.18000000000029104</v>
      </c>
    </row>
    <row r="200" spans="1:12" x14ac:dyDescent="0.35">
      <c r="A200" s="2" t="s">
        <v>23</v>
      </c>
      <c r="B200" t="s">
        <v>24</v>
      </c>
      <c r="C200" s="21" t="s">
        <v>275</v>
      </c>
      <c r="D200" s="4">
        <v>7</v>
      </c>
      <c r="E200" s="66">
        <v>3882.1800000000003</v>
      </c>
      <c r="F200" s="3">
        <v>45929</v>
      </c>
      <c r="G200" s="1">
        <v>4641</v>
      </c>
      <c r="H200" s="1">
        <v>3882</v>
      </c>
      <c r="I200" s="1">
        <f t="shared" si="35"/>
        <v>759</v>
      </c>
      <c r="J200" s="1">
        <f t="shared" si="38"/>
        <v>5334.82</v>
      </c>
      <c r="K200" s="9">
        <f t="shared" si="37"/>
        <v>0.19551777434312209</v>
      </c>
      <c r="L200" s="19">
        <f t="shared" si="32"/>
        <v>0.18000000000029104</v>
      </c>
    </row>
    <row r="201" spans="1:12" x14ac:dyDescent="0.35">
      <c r="A201" s="2" t="s">
        <v>23</v>
      </c>
      <c r="B201" t="s">
        <v>24</v>
      </c>
      <c r="C201" s="21" t="s">
        <v>275</v>
      </c>
      <c r="D201" s="4">
        <v>8</v>
      </c>
      <c r="E201" s="66">
        <v>3882.1800000000003</v>
      </c>
      <c r="F201" s="3">
        <v>45943</v>
      </c>
      <c r="G201" s="1">
        <v>4541</v>
      </c>
      <c r="H201" s="1">
        <v>3882</v>
      </c>
      <c r="I201" s="1">
        <f t="shared" si="35"/>
        <v>659</v>
      </c>
      <c r="J201" s="1">
        <f t="shared" si="38"/>
        <v>5993.82</v>
      </c>
      <c r="K201" s="9">
        <f t="shared" si="37"/>
        <v>0.16975785677485833</v>
      </c>
      <c r="L201" s="19">
        <f t="shared" si="32"/>
        <v>0.18000000000029104</v>
      </c>
    </row>
    <row r="202" spans="1:12" x14ac:dyDescent="0.35">
      <c r="A202" s="2" t="s">
        <v>23</v>
      </c>
      <c r="B202" t="s">
        <v>24</v>
      </c>
      <c r="C202" s="21" t="s">
        <v>275</v>
      </c>
      <c r="D202" s="4">
        <v>9</v>
      </c>
      <c r="E202" s="66">
        <v>3882.1800000000003</v>
      </c>
      <c r="F202" s="3">
        <v>45950</v>
      </c>
      <c r="G202" s="1">
        <v>4641</v>
      </c>
      <c r="H202" s="1">
        <v>3882</v>
      </c>
      <c r="I202" s="1">
        <f t="shared" si="35"/>
        <v>759</v>
      </c>
      <c r="J202" s="1">
        <f t="shared" si="38"/>
        <v>6752.82</v>
      </c>
      <c r="K202" s="9">
        <f t="shared" si="37"/>
        <v>0.19551777434312209</v>
      </c>
      <c r="L202" s="19">
        <f t="shared" si="32"/>
        <v>0.18000000000029104</v>
      </c>
    </row>
    <row r="203" spans="1:12" x14ac:dyDescent="0.35">
      <c r="A203" s="2" t="s">
        <v>23</v>
      </c>
      <c r="B203" t="s">
        <v>24</v>
      </c>
      <c r="C203" s="21" t="s">
        <v>275</v>
      </c>
      <c r="D203" s="4">
        <v>10</v>
      </c>
      <c r="E203" s="66">
        <v>3882.1800000000003</v>
      </c>
      <c r="F203" s="3">
        <v>45957</v>
      </c>
      <c r="G203" s="1">
        <v>4641</v>
      </c>
      <c r="H203" s="1">
        <v>3882</v>
      </c>
      <c r="I203" s="1">
        <f t="shared" si="35"/>
        <v>759</v>
      </c>
      <c r="J203" s="1">
        <f t="shared" si="38"/>
        <v>7511.82</v>
      </c>
      <c r="K203" s="9">
        <f t="shared" si="37"/>
        <v>0.19551777434312209</v>
      </c>
      <c r="L203" s="19">
        <f t="shared" si="32"/>
        <v>0.18000000000029104</v>
      </c>
    </row>
    <row r="204" spans="1:12" x14ac:dyDescent="0.35">
      <c r="A204" s="2" t="s">
        <v>23</v>
      </c>
      <c r="B204" t="s">
        <v>24</v>
      </c>
      <c r="C204" s="21" t="s">
        <v>275</v>
      </c>
      <c r="D204" s="4">
        <v>11</v>
      </c>
      <c r="E204" s="66">
        <v>3882.1800000000003</v>
      </c>
      <c r="F204" s="3">
        <v>45964</v>
      </c>
      <c r="G204" s="1">
        <v>4641</v>
      </c>
      <c r="H204" s="1">
        <v>3882</v>
      </c>
      <c r="I204" s="1">
        <f t="shared" si="35"/>
        <v>759</v>
      </c>
      <c r="J204" s="1">
        <f t="shared" si="38"/>
        <v>8270.82</v>
      </c>
      <c r="K204" s="9">
        <f t="shared" si="37"/>
        <v>0.19551777434312209</v>
      </c>
      <c r="L204" s="19">
        <f t="shared" si="32"/>
        <v>0.18000000000029104</v>
      </c>
    </row>
    <row r="205" spans="1:12" x14ac:dyDescent="0.35">
      <c r="A205" s="2" t="s">
        <v>23</v>
      </c>
      <c r="B205" t="s">
        <v>24</v>
      </c>
      <c r="C205" s="21" t="s">
        <v>275</v>
      </c>
      <c r="D205" s="4">
        <v>12</v>
      </c>
      <c r="E205" s="66">
        <v>3882.1800000000003</v>
      </c>
      <c r="G205" s="1"/>
      <c r="H205" s="1"/>
      <c r="I205" s="1">
        <f t="shared" si="35"/>
        <v>0</v>
      </c>
      <c r="J205" s="1">
        <f t="shared" si="38"/>
        <v>8270.82</v>
      </c>
      <c r="K205" s="9" t="e">
        <f t="shared" si="37"/>
        <v>#DIV/0!</v>
      </c>
      <c r="L205" s="19">
        <f t="shared" si="32"/>
        <v>3882.1800000000003</v>
      </c>
    </row>
    <row r="206" spans="1:12" x14ac:dyDescent="0.35">
      <c r="A206" s="2" t="s">
        <v>23</v>
      </c>
      <c r="B206" t="s">
        <v>24</v>
      </c>
      <c r="C206" s="21" t="s">
        <v>275</v>
      </c>
      <c r="D206" s="4">
        <v>13</v>
      </c>
      <c r="E206" s="66">
        <v>3882.1800000000003</v>
      </c>
      <c r="G206" s="1"/>
      <c r="H206" s="1"/>
      <c r="I206" s="1">
        <f t="shared" si="35"/>
        <v>0</v>
      </c>
      <c r="J206" s="1">
        <f t="shared" si="38"/>
        <v>8270.82</v>
      </c>
      <c r="K206" s="9" t="e">
        <f t="shared" si="37"/>
        <v>#DIV/0!</v>
      </c>
      <c r="L206" s="19">
        <f t="shared" si="32"/>
        <v>3882.1800000000003</v>
      </c>
    </row>
    <row r="207" spans="1:12" x14ac:dyDescent="0.35">
      <c r="A207" s="2" t="s">
        <v>23</v>
      </c>
      <c r="B207" t="s">
        <v>24</v>
      </c>
      <c r="C207" s="21" t="s">
        <v>275</v>
      </c>
      <c r="D207" s="4">
        <v>14</v>
      </c>
      <c r="E207" s="66">
        <v>3882.1800000000003</v>
      </c>
      <c r="G207" s="1"/>
      <c r="H207" s="1"/>
      <c r="I207" s="1">
        <f t="shared" si="35"/>
        <v>0</v>
      </c>
      <c r="J207" s="1">
        <f t="shared" si="38"/>
        <v>8270.82</v>
      </c>
      <c r="K207" s="9" t="e">
        <f t="shared" si="37"/>
        <v>#DIV/0!</v>
      </c>
      <c r="L207" s="19">
        <f t="shared" si="32"/>
        <v>3882.1800000000003</v>
      </c>
    </row>
    <row r="208" spans="1:12" x14ac:dyDescent="0.35">
      <c r="A208" s="2" t="s">
        <v>23</v>
      </c>
      <c r="B208" t="s">
        <v>24</v>
      </c>
      <c r="C208" s="21" t="s">
        <v>275</v>
      </c>
      <c r="D208" s="4">
        <v>15</v>
      </c>
      <c r="E208" s="66">
        <v>3882.1800000000003</v>
      </c>
      <c r="G208" s="1"/>
      <c r="H208" s="1"/>
      <c r="I208" s="1">
        <f t="shared" si="35"/>
        <v>0</v>
      </c>
      <c r="J208" s="1">
        <f t="shared" si="38"/>
        <v>8270.82</v>
      </c>
      <c r="K208" s="9" t="e">
        <f t="shared" si="37"/>
        <v>#DIV/0!</v>
      </c>
      <c r="L208" s="19">
        <f t="shared" si="32"/>
        <v>3882.1800000000003</v>
      </c>
    </row>
    <row r="209" spans="1:12" ht="15" thickBot="1" x14ac:dyDescent="0.4">
      <c r="A209" s="12" t="s">
        <v>23</v>
      </c>
      <c r="B209" s="13" t="s">
        <v>24</v>
      </c>
      <c r="C209" s="22" t="s">
        <v>275</v>
      </c>
      <c r="D209" s="14">
        <v>16</v>
      </c>
      <c r="E209" s="15">
        <v>3882.1800000000003</v>
      </c>
      <c r="F209" s="13"/>
      <c r="G209" s="15"/>
      <c r="H209" s="15"/>
      <c r="I209" s="15">
        <f t="shared" si="35"/>
        <v>0</v>
      </c>
      <c r="J209" s="15">
        <f t="shared" si="38"/>
        <v>8270.82</v>
      </c>
      <c r="K209" s="13"/>
      <c r="L209" s="24">
        <f t="shared" si="32"/>
        <v>3882.1800000000003</v>
      </c>
    </row>
    <row r="210" spans="1:12" x14ac:dyDescent="0.35">
      <c r="A210" s="2" t="s">
        <v>25</v>
      </c>
      <c r="B210" t="s">
        <v>26</v>
      </c>
      <c r="C210" s="21" t="s">
        <v>275</v>
      </c>
      <c r="D210" s="4">
        <v>1</v>
      </c>
      <c r="E210" s="67">
        <v>12920.11</v>
      </c>
      <c r="F210" s="3">
        <v>45888</v>
      </c>
      <c r="G210" s="1">
        <v>13783</v>
      </c>
      <c r="H210" s="1">
        <v>12920.11</v>
      </c>
      <c r="I210" s="1">
        <f t="shared" si="35"/>
        <v>862.88999999999942</v>
      </c>
      <c r="J210" s="1">
        <f>I210</f>
        <v>862.88999999999942</v>
      </c>
      <c r="K210" s="9">
        <f t="shared" ref="K210:K224" si="39">I210/H210</f>
        <v>6.6786583086366869E-2</v>
      </c>
      <c r="L210" s="19">
        <f t="shared" si="32"/>
        <v>0</v>
      </c>
    </row>
    <row r="211" spans="1:12" x14ac:dyDescent="0.35">
      <c r="A211" s="2" t="s">
        <v>25</v>
      </c>
      <c r="B211" t="s">
        <v>26</v>
      </c>
      <c r="C211" s="21" t="s">
        <v>275</v>
      </c>
      <c r="D211" s="4">
        <v>2</v>
      </c>
      <c r="E211" s="67">
        <v>12920.11</v>
      </c>
      <c r="F211" s="3">
        <v>45895</v>
      </c>
      <c r="G211" s="1">
        <v>13783</v>
      </c>
      <c r="H211" s="1">
        <v>12920.11</v>
      </c>
      <c r="I211" s="1">
        <f t="shared" si="35"/>
        <v>862.88999999999942</v>
      </c>
      <c r="J211" s="1">
        <f>J210+I211</f>
        <v>1725.7799999999988</v>
      </c>
      <c r="K211" s="9">
        <f t="shared" si="39"/>
        <v>6.6786583086366869E-2</v>
      </c>
      <c r="L211" s="19">
        <f t="shared" si="32"/>
        <v>0</v>
      </c>
    </row>
    <row r="212" spans="1:12" x14ac:dyDescent="0.35">
      <c r="A212" s="2" t="s">
        <v>25</v>
      </c>
      <c r="B212" t="s">
        <v>26</v>
      </c>
      <c r="C212" s="21" t="s">
        <v>275</v>
      </c>
      <c r="D212" s="4">
        <v>3</v>
      </c>
      <c r="E212" s="67">
        <v>12920.11</v>
      </c>
      <c r="F212" s="3">
        <v>45902</v>
      </c>
      <c r="G212" s="1">
        <v>13783</v>
      </c>
      <c r="H212" s="1">
        <v>12920</v>
      </c>
      <c r="I212" s="1">
        <f t="shared" si="35"/>
        <v>863</v>
      </c>
      <c r="J212" s="1">
        <f t="shared" ref="J212:J225" si="40">J211+I212</f>
        <v>2588.7799999999988</v>
      </c>
      <c r="K212" s="9">
        <f t="shared" si="39"/>
        <v>6.6795665634674928E-2</v>
      </c>
      <c r="L212" s="19">
        <f t="shared" si="32"/>
        <v>0.11000000000058208</v>
      </c>
    </row>
    <row r="213" spans="1:12" x14ac:dyDescent="0.35">
      <c r="A213" s="2" t="s">
        <v>25</v>
      </c>
      <c r="B213" t="s">
        <v>26</v>
      </c>
      <c r="C213" s="21" t="s">
        <v>275</v>
      </c>
      <c r="D213" s="4">
        <v>4</v>
      </c>
      <c r="E213" s="67">
        <v>12920.11</v>
      </c>
      <c r="F213" s="3">
        <v>45909</v>
      </c>
      <c r="G213" s="1">
        <v>13783</v>
      </c>
      <c r="H213" s="1">
        <v>12920</v>
      </c>
      <c r="I213" s="1">
        <f t="shared" si="35"/>
        <v>863</v>
      </c>
      <c r="J213" s="1">
        <f t="shared" si="40"/>
        <v>3451.7799999999988</v>
      </c>
      <c r="K213" s="9">
        <f t="shared" si="39"/>
        <v>6.6795665634674928E-2</v>
      </c>
      <c r="L213" s="19">
        <f t="shared" si="32"/>
        <v>0.11000000000058208</v>
      </c>
    </row>
    <row r="214" spans="1:12" x14ac:dyDescent="0.35">
      <c r="A214" s="2" t="s">
        <v>25</v>
      </c>
      <c r="B214" t="s">
        <v>26</v>
      </c>
      <c r="C214" s="21" t="s">
        <v>275</v>
      </c>
      <c r="D214" s="4">
        <v>5</v>
      </c>
      <c r="E214" s="67">
        <v>12920.11</v>
      </c>
      <c r="F214" s="3">
        <v>45916</v>
      </c>
      <c r="G214" s="1">
        <v>13783</v>
      </c>
      <c r="H214" s="1">
        <v>12920</v>
      </c>
      <c r="I214" s="1">
        <f t="shared" si="35"/>
        <v>863</v>
      </c>
      <c r="J214" s="1">
        <f t="shared" si="40"/>
        <v>4314.7799999999988</v>
      </c>
      <c r="K214" s="9">
        <f t="shared" si="39"/>
        <v>6.6795665634674928E-2</v>
      </c>
      <c r="L214" s="19">
        <f t="shared" si="32"/>
        <v>0.11000000000058208</v>
      </c>
    </row>
    <row r="215" spans="1:12" x14ac:dyDescent="0.35">
      <c r="A215" s="2" t="s">
        <v>25</v>
      </c>
      <c r="B215" t="s">
        <v>26</v>
      </c>
      <c r="C215" s="21" t="s">
        <v>275</v>
      </c>
      <c r="D215" s="4">
        <v>6</v>
      </c>
      <c r="E215" s="67">
        <v>12920.11</v>
      </c>
      <c r="F215" s="3">
        <v>45923</v>
      </c>
      <c r="G215" s="1">
        <v>13783</v>
      </c>
      <c r="H215" s="1">
        <v>12920</v>
      </c>
      <c r="I215" s="1">
        <f t="shared" si="35"/>
        <v>863</v>
      </c>
      <c r="J215" s="1">
        <f t="shared" si="40"/>
        <v>5177.7799999999988</v>
      </c>
      <c r="K215" s="9">
        <f t="shared" si="39"/>
        <v>6.6795665634674928E-2</v>
      </c>
      <c r="L215" s="19">
        <f t="shared" si="32"/>
        <v>0.11000000000058208</v>
      </c>
    </row>
    <row r="216" spans="1:12" x14ac:dyDescent="0.35">
      <c r="A216" s="2" t="s">
        <v>25</v>
      </c>
      <c r="B216" t="s">
        <v>26</v>
      </c>
      <c r="C216" s="21" t="s">
        <v>275</v>
      </c>
      <c r="D216" s="4">
        <v>7</v>
      </c>
      <c r="E216" s="67">
        <v>12920.11</v>
      </c>
      <c r="F216" s="3">
        <v>45931</v>
      </c>
      <c r="G216" s="1">
        <v>13783</v>
      </c>
      <c r="H216" s="1">
        <v>12920</v>
      </c>
      <c r="I216" s="1">
        <f t="shared" si="35"/>
        <v>863</v>
      </c>
      <c r="J216" s="1">
        <f t="shared" si="40"/>
        <v>6040.7799999999988</v>
      </c>
      <c r="K216" s="9">
        <f t="shared" si="39"/>
        <v>6.6795665634674928E-2</v>
      </c>
      <c r="L216" s="19">
        <f t="shared" si="32"/>
        <v>0.11000000000058208</v>
      </c>
    </row>
    <row r="217" spans="1:12" x14ac:dyDescent="0.35">
      <c r="A217" s="2" t="s">
        <v>25</v>
      </c>
      <c r="B217" t="s">
        <v>26</v>
      </c>
      <c r="C217" s="21" t="s">
        <v>275</v>
      </c>
      <c r="D217" s="4">
        <v>8</v>
      </c>
      <c r="E217" s="67">
        <v>12920.11</v>
      </c>
      <c r="F217" s="3">
        <v>45937</v>
      </c>
      <c r="G217" s="1">
        <v>13783</v>
      </c>
      <c r="H217" s="1">
        <v>12920</v>
      </c>
      <c r="I217" s="1">
        <f t="shared" si="35"/>
        <v>863</v>
      </c>
      <c r="J217" s="1">
        <f t="shared" si="40"/>
        <v>6903.7799999999988</v>
      </c>
      <c r="K217" s="9">
        <f t="shared" si="39"/>
        <v>6.6795665634674928E-2</v>
      </c>
      <c r="L217" s="19">
        <f t="shared" si="32"/>
        <v>0.11000000000058208</v>
      </c>
    </row>
    <row r="218" spans="1:12" x14ac:dyDescent="0.35">
      <c r="A218" s="2" t="s">
        <v>25</v>
      </c>
      <c r="B218" t="s">
        <v>26</v>
      </c>
      <c r="C218" s="21" t="s">
        <v>275</v>
      </c>
      <c r="D218" s="4">
        <v>9</v>
      </c>
      <c r="E218" s="67">
        <v>12920.11</v>
      </c>
      <c r="F218" s="3">
        <v>45945</v>
      </c>
      <c r="G218" s="1">
        <v>13783</v>
      </c>
      <c r="H218" s="1">
        <v>12920</v>
      </c>
      <c r="I218" s="1">
        <f t="shared" si="35"/>
        <v>863</v>
      </c>
      <c r="J218" s="1">
        <f t="shared" si="40"/>
        <v>7766.7799999999988</v>
      </c>
      <c r="K218" s="9">
        <f t="shared" si="39"/>
        <v>6.6795665634674928E-2</v>
      </c>
      <c r="L218" s="19">
        <f t="shared" si="32"/>
        <v>0.11000000000058208</v>
      </c>
    </row>
    <row r="219" spans="1:12" x14ac:dyDescent="0.35">
      <c r="A219" s="2" t="s">
        <v>25</v>
      </c>
      <c r="B219" t="s">
        <v>26</v>
      </c>
      <c r="C219" s="21" t="s">
        <v>275</v>
      </c>
      <c r="D219" s="4">
        <v>10</v>
      </c>
      <c r="E219" s="67">
        <v>12920.11</v>
      </c>
      <c r="F219" s="3">
        <v>45952</v>
      </c>
      <c r="G219" s="1">
        <v>13783</v>
      </c>
      <c r="H219" s="1">
        <v>12920</v>
      </c>
      <c r="I219" s="1">
        <f t="shared" si="35"/>
        <v>863</v>
      </c>
      <c r="J219" s="1">
        <f t="shared" si="40"/>
        <v>8629.7799999999988</v>
      </c>
      <c r="K219" s="9">
        <f t="shared" si="39"/>
        <v>6.6795665634674928E-2</v>
      </c>
      <c r="L219" s="19">
        <f t="shared" si="32"/>
        <v>0.11000000000058208</v>
      </c>
    </row>
    <row r="220" spans="1:12" x14ac:dyDescent="0.35">
      <c r="A220" s="2" t="s">
        <v>25</v>
      </c>
      <c r="B220" t="s">
        <v>26</v>
      </c>
      <c r="C220" s="21" t="s">
        <v>275</v>
      </c>
      <c r="D220" s="4">
        <v>11</v>
      </c>
      <c r="E220" s="67">
        <v>12920.11</v>
      </c>
      <c r="F220" s="3">
        <v>45959</v>
      </c>
      <c r="G220" s="1">
        <v>13783</v>
      </c>
      <c r="H220" s="1">
        <v>12921</v>
      </c>
      <c r="I220" s="1">
        <f t="shared" si="35"/>
        <v>862</v>
      </c>
      <c r="J220" s="1">
        <f t="shared" si="40"/>
        <v>9491.7799999999988</v>
      </c>
      <c r="K220" s="9">
        <f t="shared" si="39"/>
        <v>6.6713102701029328E-2</v>
      </c>
      <c r="L220" s="19">
        <f t="shared" si="32"/>
        <v>-0.88999999999941792</v>
      </c>
    </row>
    <row r="221" spans="1:12" x14ac:dyDescent="0.35">
      <c r="A221" s="2" t="s">
        <v>25</v>
      </c>
      <c r="B221" t="s">
        <v>26</v>
      </c>
      <c r="C221" s="21" t="s">
        <v>275</v>
      </c>
      <c r="D221" s="4">
        <v>12</v>
      </c>
      <c r="E221" s="67">
        <v>12920.11</v>
      </c>
      <c r="F221" s="3">
        <v>45966</v>
      </c>
      <c r="G221" s="1">
        <v>13783</v>
      </c>
      <c r="H221" s="1">
        <v>12920</v>
      </c>
      <c r="I221" s="1">
        <f t="shared" si="35"/>
        <v>863</v>
      </c>
      <c r="J221" s="1">
        <f t="shared" si="40"/>
        <v>10354.779999999999</v>
      </c>
      <c r="K221" s="9">
        <f t="shared" si="39"/>
        <v>6.6795665634674928E-2</v>
      </c>
      <c r="L221" s="19">
        <f t="shared" si="32"/>
        <v>0.11000000000058208</v>
      </c>
    </row>
    <row r="222" spans="1:12" x14ac:dyDescent="0.35">
      <c r="A222" s="2" t="s">
        <v>25</v>
      </c>
      <c r="B222" t="s">
        <v>26</v>
      </c>
      <c r="C222" s="21" t="s">
        <v>275</v>
      </c>
      <c r="D222" s="4">
        <v>13</v>
      </c>
      <c r="E222" s="67">
        <v>12920.11</v>
      </c>
      <c r="G222" s="1"/>
      <c r="H222" s="1"/>
      <c r="I222" s="1">
        <f t="shared" si="35"/>
        <v>0</v>
      </c>
      <c r="J222" s="1">
        <f t="shared" si="40"/>
        <v>10354.779999999999</v>
      </c>
      <c r="K222" s="9" t="e">
        <f t="shared" si="39"/>
        <v>#DIV/0!</v>
      </c>
      <c r="L222" s="19">
        <f t="shared" si="32"/>
        <v>12920.11</v>
      </c>
    </row>
    <row r="223" spans="1:12" x14ac:dyDescent="0.35">
      <c r="A223" s="2" t="s">
        <v>25</v>
      </c>
      <c r="B223" t="s">
        <v>26</v>
      </c>
      <c r="C223" s="21" t="s">
        <v>275</v>
      </c>
      <c r="D223" s="4">
        <v>14</v>
      </c>
      <c r="E223" s="67">
        <v>12920.11</v>
      </c>
      <c r="G223" s="1"/>
      <c r="H223" s="1"/>
      <c r="I223" s="1">
        <f t="shared" si="35"/>
        <v>0</v>
      </c>
      <c r="J223" s="1">
        <f t="shared" si="40"/>
        <v>10354.779999999999</v>
      </c>
      <c r="K223" s="9" t="e">
        <f t="shared" si="39"/>
        <v>#DIV/0!</v>
      </c>
      <c r="L223" s="19">
        <f t="shared" si="32"/>
        <v>12920.11</v>
      </c>
    </row>
    <row r="224" spans="1:12" x14ac:dyDescent="0.35">
      <c r="A224" s="2" t="s">
        <v>25</v>
      </c>
      <c r="B224" t="s">
        <v>26</v>
      </c>
      <c r="C224" s="21" t="s">
        <v>275</v>
      </c>
      <c r="D224" s="4">
        <v>15</v>
      </c>
      <c r="E224" s="67">
        <v>12920.11</v>
      </c>
      <c r="G224" s="1"/>
      <c r="H224" s="1"/>
      <c r="I224" s="1">
        <f t="shared" si="35"/>
        <v>0</v>
      </c>
      <c r="J224" s="1">
        <f t="shared" si="40"/>
        <v>10354.779999999999</v>
      </c>
      <c r="K224" s="9" t="e">
        <f t="shared" si="39"/>
        <v>#DIV/0!</v>
      </c>
      <c r="L224" s="19">
        <f t="shared" si="32"/>
        <v>12920.11</v>
      </c>
    </row>
    <row r="225" spans="1:12" ht="15" thickBot="1" x14ac:dyDescent="0.4">
      <c r="A225" s="12" t="s">
        <v>25</v>
      </c>
      <c r="B225" s="13" t="s">
        <v>26</v>
      </c>
      <c r="C225" s="22" t="s">
        <v>275</v>
      </c>
      <c r="D225" s="14">
        <v>16</v>
      </c>
      <c r="E225" s="15">
        <v>12920.11</v>
      </c>
      <c r="F225" s="13"/>
      <c r="G225" s="15"/>
      <c r="H225" s="15"/>
      <c r="I225" s="15">
        <f t="shared" si="35"/>
        <v>0</v>
      </c>
      <c r="J225" s="15">
        <f t="shared" si="40"/>
        <v>10354.779999999999</v>
      </c>
      <c r="K225" s="13"/>
      <c r="L225" s="24">
        <f t="shared" si="32"/>
        <v>12920.11</v>
      </c>
    </row>
    <row r="226" spans="1:12" x14ac:dyDescent="0.35">
      <c r="A226" s="2" t="s">
        <v>27</v>
      </c>
      <c r="B226" t="s">
        <v>28</v>
      </c>
      <c r="C226" s="21" t="s">
        <v>275</v>
      </c>
      <c r="D226" s="4">
        <v>1</v>
      </c>
      <c r="E226" s="1">
        <v>4560.04</v>
      </c>
      <c r="F226" s="3">
        <v>45888</v>
      </c>
      <c r="G226" s="1">
        <v>4876</v>
      </c>
      <c r="H226" s="1">
        <v>4560.04</v>
      </c>
      <c r="I226" s="1">
        <f t="shared" si="35"/>
        <v>315.96000000000004</v>
      </c>
      <c r="J226" s="1">
        <f>I226</f>
        <v>315.96000000000004</v>
      </c>
      <c r="K226" s="9">
        <f t="shared" ref="K226:K240" si="41">I226/H226</f>
        <v>6.9288865887141352E-2</v>
      </c>
      <c r="L226" s="19">
        <f t="shared" ref="L226:L289" si="42">E226-H226</f>
        <v>0</v>
      </c>
    </row>
    <row r="227" spans="1:12" x14ac:dyDescent="0.35">
      <c r="A227" s="2" t="s">
        <v>27</v>
      </c>
      <c r="B227" t="s">
        <v>28</v>
      </c>
      <c r="C227" s="21" t="s">
        <v>275</v>
      </c>
      <c r="D227" s="4">
        <v>2</v>
      </c>
      <c r="E227" s="1">
        <v>4560.04</v>
      </c>
      <c r="F227" s="3">
        <v>45895</v>
      </c>
      <c r="G227" s="1">
        <v>4812</v>
      </c>
      <c r="H227" s="1">
        <v>4561</v>
      </c>
      <c r="I227" s="1">
        <f t="shared" si="35"/>
        <v>251</v>
      </c>
      <c r="J227" s="1">
        <f>J226+I227</f>
        <v>566.96</v>
      </c>
      <c r="K227" s="9">
        <f t="shared" si="41"/>
        <v>5.5031791273843458E-2</v>
      </c>
      <c r="L227" s="19">
        <f t="shared" si="42"/>
        <v>-0.96000000000003638</v>
      </c>
    </row>
    <row r="228" spans="1:12" x14ac:dyDescent="0.35">
      <c r="A228" s="2" t="s">
        <v>27</v>
      </c>
      <c r="B228" t="s">
        <v>28</v>
      </c>
      <c r="C228" s="21" t="s">
        <v>275</v>
      </c>
      <c r="D228" s="4">
        <v>3</v>
      </c>
      <c r="E228" s="1">
        <v>4560.04</v>
      </c>
      <c r="F228" s="3">
        <v>45902</v>
      </c>
      <c r="G228" s="1">
        <v>4800</v>
      </c>
      <c r="H228" s="1">
        <v>4560</v>
      </c>
      <c r="I228" s="1">
        <f t="shared" si="35"/>
        <v>240</v>
      </c>
      <c r="J228" s="1">
        <f t="shared" ref="J228:J241" si="43">J227+I228</f>
        <v>806.96</v>
      </c>
      <c r="K228" s="9">
        <f t="shared" si="41"/>
        <v>5.2631578947368418E-2</v>
      </c>
      <c r="L228" s="19">
        <f t="shared" si="42"/>
        <v>3.999999999996362E-2</v>
      </c>
    </row>
    <row r="229" spans="1:12" x14ac:dyDescent="0.35">
      <c r="A229" s="2" t="s">
        <v>27</v>
      </c>
      <c r="B229" t="s">
        <v>28</v>
      </c>
      <c r="C229" s="21" t="s">
        <v>275</v>
      </c>
      <c r="D229" s="4">
        <v>4</v>
      </c>
      <c r="E229" s="1">
        <v>4560.04</v>
      </c>
      <c r="F229" s="3">
        <v>45909</v>
      </c>
      <c r="G229" s="1">
        <v>4800</v>
      </c>
      <c r="H229" s="1">
        <v>4560</v>
      </c>
      <c r="I229" s="1">
        <f t="shared" si="35"/>
        <v>240</v>
      </c>
      <c r="J229" s="1">
        <f t="shared" si="43"/>
        <v>1046.96</v>
      </c>
      <c r="K229" s="9">
        <f t="shared" si="41"/>
        <v>5.2631578947368418E-2</v>
      </c>
      <c r="L229" s="19">
        <f t="shared" si="42"/>
        <v>3.999999999996362E-2</v>
      </c>
    </row>
    <row r="230" spans="1:12" x14ac:dyDescent="0.35">
      <c r="A230" s="2" t="s">
        <v>27</v>
      </c>
      <c r="B230" t="s">
        <v>28</v>
      </c>
      <c r="C230" s="21" t="s">
        <v>275</v>
      </c>
      <c r="D230" s="4">
        <v>5</v>
      </c>
      <c r="E230" s="1">
        <v>4560.04</v>
      </c>
      <c r="F230" s="3">
        <v>45916</v>
      </c>
      <c r="G230" s="1">
        <v>4800</v>
      </c>
      <c r="H230" s="1">
        <v>4560</v>
      </c>
      <c r="I230" s="1">
        <f t="shared" si="35"/>
        <v>240</v>
      </c>
      <c r="J230" s="1">
        <f t="shared" si="43"/>
        <v>1286.96</v>
      </c>
      <c r="K230" s="9">
        <f t="shared" si="41"/>
        <v>5.2631578947368418E-2</v>
      </c>
      <c r="L230" s="19">
        <f t="shared" si="42"/>
        <v>3.999999999996362E-2</v>
      </c>
    </row>
    <row r="231" spans="1:12" x14ac:dyDescent="0.35">
      <c r="A231" s="2" t="s">
        <v>27</v>
      </c>
      <c r="B231" t="s">
        <v>28</v>
      </c>
      <c r="C231" s="21" t="s">
        <v>275</v>
      </c>
      <c r="D231" s="4">
        <v>6</v>
      </c>
      <c r="E231" s="1">
        <v>4560.04</v>
      </c>
      <c r="F231" s="3">
        <v>45923</v>
      </c>
      <c r="G231" s="1">
        <v>4800</v>
      </c>
      <c r="H231" s="1">
        <v>4560</v>
      </c>
      <c r="I231" s="1">
        <f t="shared" si="35"/>
        <v>240</v>
      </c>
      <c r="J231" s="1">
        <f t="shared" si="43"/>
        <v>1526.96</v>
      </c>
      <c r="K231" s="9">
        <f t="shared" si="41"/>
        <v>5.2631578947368418E-2</v>
      </c>
      <c r="L231" s="19">
        <f t="shared" si="42"/>
        <v>3.999999999996362E-2</v>
      </c>
    </row>
    <row r="232" spans="1:12" x14ac:dyDescent="0.35">
      <c r="A232" s="2" t="s">
        <v>27</v>
      </c>
      <c r="B232" t="s">
        <v>28</v>
      </c>
      <c r="C232" s="21" t="s">
        <v>275</v>
      </c>
      <c r="D232" s="4">
        <v>7</v>
      </c>
      <c r="E232" s="1">
        <v>4560.04</v>
      </c>
      <c r="F232" s="3">
        <v>45930</v>
      </c>
      <c r="G232" s="1">
        <v>4800</v>
      </c>
      <c r="H232" s="1">
        <v>4561</v>
      </c>
      <c r="I232" s="1">
        <f t="shared" si="35"/>
        <v>239</v>
      </c>
      <c r="J232" s="1">
        <f t="shared" si="43"/>
        <v>1765.96</v>
      </c>
      <c r="K232" s="9">
        <f t="shared" si="41"/>
        <v>5.2400789300591978E-2</v>
      </c>
      <c r="L232" s="19">
        <f t="shared" si="42"/>
        <v>-0.96000000000003638</v>
      </c>
    </row>
    <row r="233" spans="1:12" x14ac:dyDescent="0.35">
      <c r="A233" s="2" t="s">
        <v>27</v>
      </c>
      <c r="B233" t="s">
        <v>28</v>
      </c>
      <c r="C233" s="21" t="s">
        <v>275</v>
      </c>
      <c r="D233" s="4">
        <v>8</v>
      </c>
      <c r="E233" s="1">
        <v>4560.04</v>
      </c>
      <c r="F233" s="3">
        <v>45937</v>
      </c>
      <c r="G233" s="1">
        <v>4800</v>
      </c>
      <c r="H233" s="1">
        <v>4561</v>
      </c>
      <c r="I233" s="1">
        <f t="shared" si="35"/>
        <v>239</v>
      </c>
      <c r="J233" s="1">
        <f t="shared" si="43"/>
        <v>2004.96</v>
      </c>
      <c r="K233" s="9">
        <f t="shared" si="41"/>
        <v>5.2400789300591978E-2</v>
      </c>
      <c r="L233" s="19">
        <f t="shared" si="42"/>
        <v>-0.96000000000003638</v>
      </c>
    </row>
    <row r="234" spans="1:12" x14ac:dyDescent="0.35">
      <c r="A234" s="2" t="s">
        <v>27</v>
      </c>
      <c r="B234" t="s">
        <v>28</v>
      </c>
      <c r="C234" s="21" t="s">
        <v>275</v>
      </c>
      <c r="D234" s="4">
        <v>9</v>
      </c>
      <c r="E234" s="1">
        <v>4560.04</v>
      </c>
      <c r="F234" s="3">
        <v>45944</v>
      </c>
      <c r="G234" s="1">
        <v>4800</v>
      </c>
      <c r="H234" s="1">
        <v>4560</v>
      </c>
      <c r="I234" s="1">
        <f t="shared" si="35"/>
        <v>240</v>
      </c>
      <c r="J234" s="1">
        <f t="shared" si="43"/>
        <v>2244.96</v>
      </c>
      <c r="K234" s="9">
        <f t="shared" si="41"/>
        <v>5.2631578947368418E-2</v>
      </c>
      <c r="L234" s="19">
        <f t="shared" si="42"/>
        <v>3.999999999996362E-2</v>
      </c>
    </row>
    <row r="235" spans="1:12" x14ac:dyDescent="0.35">
      <c r="A235" s="2" t="s">
        <v>27</v>
      </c>
      <c r="B235" t="s">
        <v>28</v>
      </c>
      <c r="C235" s="21" t="s">
        <v>275</v>
      </c>
      <c r="D235" s="4">
        <v>10</v>
      </c>
      <c r="E235" s="1">
        <v>4560.04</v>
      </c>
      <c r="F235" s="3">
        <v>45951</v>
      </c>
      <c r="G235" s="1">
        <v>4800</v>
      </c>
      <c r="H235" s="1">
        <v>4560</v>
      </c>
      <c r="I235" s="1">
        <f t="shared" si="35"/>
        <v>240</v>
      </c>
      <c r="J235" s="1">
        <f t="shared" si="43"/>
        <v>2484.96</v>
      </c>
      <c r="K235" s="9">
        <f t="shared" si="41"/>
        <v>5.2631578947368418E-2</v>
      </c>
      <c r="L235" s="19">
        <f t="shared" si="42"/>
        <v>3.999999999996362E-2</v>
      </c>
    </row>
    <row r="236" spans="1:12" x14ac:dyDescent="0.35">
      <c r="A236" s="2" t="s">
        <v>27</v>
      </c>
      <c r="B236" t="s">
        <v>28</v>
      </c>
      <c r="C236" s="21" t="s">
        <v>275</v>
      </c>
      <c r="D236" s="4">
        <v>11</v>
      </c>
      <c r="E236" s="1">
        <v>4560.04</v>
      </c>
      <c r="F236" s="3">
        <v>45958</v>
      </c>
      <c r="G236" s="1">
        <v>4800</v>
      </c>
      <c r="H236" s="1">
        <v>4560</v>
      </c>
      <c r="I236" s="1">
        <f t="shared" si="35"/>
        <v>240</v>
      </c>
      <c r="J236" s="1">
        <f t="shared" si="43"/>
        <v>2724.96</v>
      </c>
      <c r="K236" s="9">
        <f t="shared" si="41"/>
        <v>5.2631578947368418E-2</v>
      </c>
      <c r="L236" s="19">
        <f t="shared" si="42"/>
        <v>3.999999999996362E-2</v>
      </c>
    </row>
    <row r="237" spans="1:12" x14ac:dyDescent="0.35">
      <c r="A237" s="2" t="s">
        <v>27</v>
      </c>
      <c r="B237" t="s">
        <v>28</v>
      </c>
      <c r="C237" s="21" t="s">
        <v>275</v>
      </c>
      <c r="D237" s="4">
        <v>12</v>
      </c>
      <c r="E237" s="1">
        <v>4560.04</v>
      </c>
      <c r="F237" s="3">
        <v>45965</v>
      </c>
      <c r="G237" s="1">
        <v>4800</v>
      </c>
      <c r="H237" s="1">
        <v>4560</v>
      </c>
      <c r="I237" s="1">
        <f t="shared" si="35"/>
        <v>240</v>
      </c>
      <c r="J237" s="1">
        <f t="shared" si="43"/>
        <v>2964.96</v>
      </c>
      <c r="K237" s="9">
        <f t="shared" si="41"/>
        <v>5.2631578947368418E-2</v>
      </c>
      <c r="L237" s="19">
        <f t="shared" si="42"/>
        <v>3.999999999996362E-2</v>
      </c>
    </row>
    <row r="238" spans="1:12" x14ac:dyDescent="0.35">
      <c r="A238" s="2" t="s">
        <v>27</v>
      </c>
      <c r="B238" t="s">
        <v>28</v>
      </c>
      <c r="C238" s="21" t="s">
        <v>275</v>
      </c>
      <c r="D238" s="4">
        <v>13</v>
      </c>
      <c r="E238" s="1">
        <v>4560.04</v>
      </c>
      <c r="G238" s="1"/>
      <c r="H238" s="1"/>
      <c r="I238" s="1">
        <f t="shared" si="35"/>
        <v>0</v>
      </c>
      <c r="J238" s="1">
        <f t="shared" si="43"/>
        <v>2964.96</v>
      </c>
      <c r="K238" s="9" t="e">
        <f t="shared" si="41"/>
        <v>#DIV/0!</v>
      </c>
      <c r="L238" s="19">
        <f t="shared" si="42"/>
        <v>4560.04</v>
      </c>
    </row>
    <row r="239" spans="1:12" x14ac:dyDescent="0.35">
      <c r="A239" s="2" t="s">
        <v>27</v>
      </c>
      <c r="B239" t="s">
        <v>28</v>
      </c>
      <c r="C239" s="21" t="s">
        <v>275</v>
      </c>
      <c r="D239" s="4">
        <v>14</v>
      </c>
      <c r="E239" s="1">
        <v>4560.04</v>
      </c>
      <c r="G239" s="1"/>
      <c r="H239" s="1"/>
      <c r="I239" s="1">
        <f t="shared" si="35"/>
        <v>0</v>
      </c>
      <c r="J239" s="1">
        <f t="shared" si="43"/>
        <v>2964.96</v>
      </c>
      <c r="K239" s="9" t="e">
        <f t="shared" si="41"/>
        <v>#DIV/0!</v>
      </c>
      <c r="L239" s="19">
        <f t="shared" si="42"/>
        <v>4560.04</v>
      </c>
    </row>
    <row r="240" spans="1:12" x14ac:dyDescent="0.35">
      <c r="A240" s="2" t="s">
        <v>27</v>
      </c>
      <c r="B240" t="s">
        <v>28</v>
      </c>
      <c r="C240" s="21" t="s">
        <v>275</v>
      </c>
      <c r="D240" s="4">
        <v>15</v>
      </c>
      <c r="E240" s="1">
        <v>4560.04</v>
      </c>
      <c r="G240" s="1"/>
      <c r="H240" s="1"/>
      <c r="I240" s="1">
        <f t="shared" si="35"/>
        <v>0</v>
      </c>
      <c r="J240" s="1">
        <f t="shared" si="43"/>
        <v>2964.96</v>
      </c>
      <c r="K240" s="9" t="e">
        <f t="shared" si="41"/>
        <v>#DIV/0!</v>
      </c>
      <c r="L240" s="19">
        <f t="shared" si="42"/>
        <v>4560.04</v>
      </c>
    </row>
    <row r="241" spans="1:12" ht="15" thickBot="1" x14ac:dyDescent="0.4">
      <c r="A241" s="12" t="s">
        <v>27</v>
      </c>
      <c r="B241" s="13" t="s">
        <v>28</v>
      </c>
      <c r="C241" s="22" t="s">
        <v>275</v>
      </c>
      <c r="D241" s="14">
        <v>16</v>
      </c>
      <c r="E241" s="15">
        <v>4560.04</v>
      </c>
      <c r="F241" s="13"/>
      <c r="G241" s="15"/>
      <c r="H241" s="15"/>
      <c r="I241" s="15">
        <f t="shared" si="35"/>
        <v>0</v>
      </c>
      <c r="J241" s="15">
        <f t="shared" si="43"/>
        <v>2964.96</v>
      </c>
      <c r="K241" s="13"/>
      <c r="L241" s="24">
        <f t="shared" si="42"/>
        <v>4560.04</v>
      </c>
    </row>
    <row r="242" spans="1:12" x14ac:dyDescent="0.35">
      <c r="A242" s="2" t="s">
        <v>30</v>
      </c>
      <c r="B242" t="s">
        <v>29</v>
      </c>
      <c r="C242" s="21" t="s">
        <v>275</v>
      </c>
      <c r="D242" s="4">
        <v>1</v>
      </c>
      <c r="E242" s="68">
        <v>7828.07</v>
      </c>
      <c r="F242" s="3">
        <v>45887</v>
      </c>
      <c r="G242" s="1">
        <v>8228.07</v>
      </c>
      <c r="H242" s="1">
        <v>7828.07</v>
      </c>
      <c r="I242" s="1">
        <f t="shared" si="35"/>
        <v>400</v>
      </c>
      <c r="J242" s="1">
        <f>I242</f>
        <v>400</v>
      </c>
      <c r="K242" s="9">
        <f t="shared" ref="K242:K256" si="44">I242/H242</f>
        <v>5.1098163404261841E-2</v>
      </c>
      <c r="L242" s="19">
        <f t="shared" si="42"/>
        <v>0</v>
      </c>
    </row>
    <row r="243" spans="1:12" x14ac:dyDescent="0.35">
      <c r="A243" s="2" t="s">
        <v>30</v>
      </c>
      <c r="B243" t="s">
        <v>29</v>
      </c>
      <c r="C243" s="21" t="s">
        <v>275</v>
      </c>
      <c r="D243" s="4">
        <v>2</v>
      </c>
      <c r="E243" s="68">
        <v>7828.07</v>
      </c>
      <c r="F243" s="3">
        <v>45894</v>
      </c>
      <c r="G243" s="1">
        <v>8230</v>
      </c>
      <c r="H243" s="1">
        <v>7828.07</v>
      </c>
      <c r="I243" s="1">
        <f t="shared" si="35"/>
        <v>401.93000000000029</v>
      </c>
      <c r="J243" s="1">
        <f>J242+I243</f>
        <v>801.93000000000029</v>
      </c>
      <c r="K243" s="9">
        <f t="shared" si="44"/>
        <v>5.1344712042687445E-2</v>
      </c>
      <c r="L243" s="19">
        <f t="shared" si="42"/>
        <v>0</v>
      </c>
    </row>
    <row r="244" spans="1:12" x14ac:dyDescent="0.35">
      <c r="A244" s="2" t="s">
        <v>30</v>
      </c>
      <c r="B244" t="s">
        <v>29</v>
      </c>
      <c r="C244" s="21" t="s">
        <v>275</v>
      </c>
      <c r="D244" s="4">
        <v>3</v>
      </c>
      <c r="E244" s="68">
        <v>7828.07</v>
      </c>
      <c r="F244" s="3">
        <v>45908</v>
      </c>
      <c r="G244" s="1">
        <v>8235</v>
      </c>
      <c r="H244" s="1">
        <v>7829</v>
      </c>
      <c r="I244" s="1">
        <f t="shared" si="35"/>
        <v>406</v>
      </c>
      <c r="J244" s="1">
        <f t="shared" ref="J244:J257" si="45">J243+I244</f>
        <v>1207.9300000000003</v>
      </c>
      <c r="K244" s="9">
        <f t="shared" si="44"/>
        <v>5.1858474901009068E-2</v>
      </c>
      <c r="L244" s="19">
        <f t="shared" si="42"/>
        <v>-0.93000000000029104</v>
      </c>
    </row>
    <row r="245" spans="1:12" x14ac:dyDescent="0.35">
      <c r="A245" s="2" t="s">
        <v>30</v>
      </c>
      <c r="B245" t="s">
        <v>29</v>
      </c>
      <c r="C245" s="21" t="s">
        <v>275</v>
      </c>
      <c r="D245" s="4">
        <v>4</v>
      </c>
      <c r="E245" s="68">
        <v>7828.07</v>
      </c>
      <c r="F245" s="3">
        <v>45915</v>
      </c>
      <c r="G245" s="1">
        <v>8235</v>
      </c>
      <c r="H245" s="1">
        <v>7828</v>
      </c>
      <c r="I245" s="1">
        <f t="shared" si="35"/>
        <v>407</v>
      </c>
      <c r="J245" s="1">
        <f t="shared" si="45"/>
        <v>1614.9300000000003</v>
      </c>
      <c r="K245" s="9">
        <f t="shared" si="44"/>
        <v>5.1992846193152788E-2</v>
      </c>
      <c r="L245" s="19">
        <f t="shared" si="42"/>
        <v>6.9999999999708962E-2</v>
      </c>
    </row>
    <row r="246" spans="1:12" x14ac:dyDescent="0.35">
      <c r="A246" s="2" t="s">
        <v>30</v>
      </c>
      <c r="B246" t="s">
        <v>29</v>
      </c>
      <c r="C246" s="21" t="s">
        <v>275</v>
      </c>
      <c r="D246" s="4">
        <v>5</v>
      </c>
      <c r="E246" s="68">
        <v>7828.07</v>
      </c>
      <c r="F246" s="3">
        <v>45929</v>
      </c>
      <c r="G246" s="1">
        <v>7919</v>
      </c>
      <c r="H246" s="1">
        <v>7828</v>
      </c>
      <c r="I246" s="1">
        <f t="shared" ref="I246:I309" si="46">G246-H246</f>
        <v>91</v>
      </c>
      <c r="J246" s="1">
        <f t="shared" si="45"/>
        <v>1705.9300000000003</v>
      </c>
      <c r="K246" s="9">
        <f t="shared" si="44"/>
        <v>1.1624936126724578E-2</v>
      </c>
      <c r="L246" s="19">
        <f t="shared" si="42"/>
        <v>6.9999999999708962E-2</v>
      </c>
    </row>
    <row r="247" spans="1:12" x14ac:dyDescent="0.35">
      <c r="A247" s="2" t="s">
        <v>30</v>
      </c>
      <c r="B247" t="s">
        <v>29</v>
      </c>
      <c r="C247" s="21" t="s">
        <v>275</v>
      </c>
      <c r="D247" s="4">
        <v>6</v>
      </c>
      <c r="E247" s="68">
        <v>7828.07</v>
      </c>
      <c r="F247" s="3">
        <v>45936</v>
      </c>
      <c r="G247" s="1">
        <v>8150</v>
      </c>
      <c r="H247" s="1">
        <v>7829</v>
      </c>
      <c r="I247" s="1">
        <f t="shared" si="46"/>
        <v>321</v>
      </c>
      <c r="J247" s="1">
        <f t="shared" si="45"/>
        <v>2026.9300000000003</v>
      </c>
      <c r="K247" s="9">
        <f t="shared" si="44"/>
        <v>4.1001405032571207E-2</v>
      </c>
      <c r="L247" s="19">
        <f t="shared" si="42"/>
        <v>-0.93000000000029104</v>
      </c>
    </row>
    <row r="248" spans="1:12" x14ac:dyDescent="0.35">
      <c r="A248" s="2" t="s">
        <v>30</v>
      </c>
      <c r="B248" t="s">
        <v>29</v>
      </c>
      <c r="C248" s="21" t="s">
        <v>275</v>
      </c>
      <c r="D248" s="4">
        <v>7</v>
      </c>
      <c r="E248" s="68">
        <v>7828.07</v>
      </c>
      <c r="F248" s="3">
        <v>45944</v>
      </c>
      <c r="G248" s="1">
        <v>7910</v>
      </c>
      <c r="H248" s="1">
        <v>7910</v>
      </c>
      <c r="I248" s="1">
        <f t="shared" si="46"/>
        <v>0</v>
      </c>
      <c r="J248" s="1">
        <f t="shared" si="45"/>
        <v>2026.9300000000003</v>
      </c>
      <c r="K248" s="9">
        <f t="shared" si="44"/>
        <v>0</v>
      </c>
      <c r="L248" s="19">
        <f t="shared" si="42"/>
        <v>-81.930000000000291</v>
      </c>
    </row>
    <row r="249" spans="1:12" x14ac:dyDescent="0.35">
      <c r="A249" s="2" t="s">
        <v>30</v>
      </c>
      <c r="B249" t="s">
        <v>29</v>
      </c>
      <c r="C249" s="21" t="s">
        <v>275</v>
      </c>
      <c r="D249" s="4">
        <v>8</v>
      </c>
      <c r="E249" s="68">
        <v>7828.07</v>
      </c>
      <c r="F249" s="3">
        <v>45950</v>
      </c>
      <c r="G249" s="1">
        <v>8050</v>
      </c>
      <c r="H249" s="1">
        <v>7830</v>
      </c>
      <c r="I249" s="1">
        <f t="shared" si="46"/>
        <v>220</v>
      </c>
      <c r="J249" s="1">
        <f t="shared" si="45"/>
        <v>2246.9300000000003</v>
      </c>
      <c r="K249" s="9">
        <f t="shared" si="44"/>
        <v>2.8097062579821201E-2</v>
      </c>
      <c r="L249" s="19">
        <f t="shared" si="42"/>
        <v>-1.930000000000291</v>
      </c>
    </row>
    <row r="250" spans="1:12" x14ac:dyDescent="0.35">
      <c r="A250" s="2" t="s">
        <v>30</v>
      </c>
      <c r="B250" t="s">
        <v>29</v>
      </c>
      <c r="C250" s="21" t="s">
        <v>275</v>
      </c>
      <c r="D250" s="4">
        <v>9</v>
      </c>
      <c r="E250" s="68">
        <v>7828.07</v>
      </c>
      <c r="F250" s="3">
        <v>45957</v>
      </c>
      <c r="G250" s="1">
        <v>8193</v>
      </c>
      <c r="H250" s="1">
        <v>7828</v>
      </c>
      <c r="I250" s="1">
        <f t="shared" si="46"/>
        <v>365</v>
      </c>
      <c r="J250" s="1">
        <f t="shared" si="45"/>
        <v>2611.9300000000003</v>
      </c>
      <c r="K250" s="9">
        <f t="shared" si="44"/>
        <v>4.6627491057741444E-2</v>
      </c>
      <c r="L250" s="19">
        <f t="shared" si="42"/>
        <v>6.9999999999708962E-2</v>
      </c>
    </row>
    <row r="251" spans="1:12" x14ac:dyDescent="0.35">
      <c r="A251" s="2" t="s">
        <v>30</v>
      </c>
      <c r="B251" t="s">
        <v>29</v>
      </c>
      <c r="C251" s="21" t="s">
        <v>275</v>
      </c>
      <c r="D251" s="4">
        <v>10</v>
      </c>
      <c r="E251" s="68">
        <v>7828.07</v>
      </c>
      <c r="F251" s="3">
        <v>45964</v>
      </c>
      <c r="G251" s="1">
        <v>8243</v>
      </c>
      <c r="H251" s="1">
        <v>7828</v>
      </c>
      <c r="I251" s="1">
        <f t="shared" si="46"/>
        <v>415</v>
      </c>
      <c r="J251" s="1">
        <f t="shared" si="45"/>
        <v>3026.9300000000003</v>
      </c>
      <c r="K251" s="9">
        <f t="shared" si="44"/>
        <v>5.3014818599897803E-2</v>
      </c>
      <c r="L251" s="19">
        <f t="shared" si="42"/>
        <v>6.9999999999708962E-2</v>
      </c>
    </row>
    <row r="252" spans="1:12" x14ac:dyDescent="0.35">
      <c r="A252" s="2" t="s">
        <v>30</v>
      </c>
      <c r="B252" t="s">
        <v>29</v>
      </c>
      <c r="C252" s="21" t="s">
        <v>275</v>
      </c>
      <c r="D252" s="4">
        <v>11</v>
      </c>
      <c r="E252" s="68">
        <v>7828.07</v>
      </c>
      <c r="G252" s="1"/>
      <c r="H252" s="1"/>
      <c r="I252" s="1">
        <f t="shared" si="46"/>
        <v>0</v>
      </c>
      <c r="J252" s="1">
        <f t="shared" si="45"/>
        <v>3026.9300000000003</v>
      </c>
      <c r="K252" s="9" t="e">
        <f t="shared" si="44"/>
        <v>#DIV/0!</v>
      </c>
      <c r="L252" s="19">
        <f t="shared" si="42"/>
        <v>7828.07</v>
      </c>
    </row>
    <row r="253" spans="1:12" x14ac:dyDescent="0.35">
      <c r="A253" s="2" t="s">
        <v>30</v>
      </c>
      <c r="B253" t="s">
        <v>29</v>
      </c>
      <c r="C253" s="21" t="s">
        <v>275</v>
      </c>
      <c r="D253" s="4">
        <v>12</v>
      </c>
      <c r="E253" s="68">
        <v>7828.07</v>
      </c>
      <c r="G253" s="1"/>
      <c r="H253" s="1"/>
      <c r="I253" s="1">
        <f t="shared" si="46"/>
        <v>0</v>
      </c>
      <c r="J253" s="1">
        <f t="shared" si="45"/>
        <v>3026.9300000000003</v>
      </c>
      <c r="K253" s="9" t="e">
        <f t="shared" si="44"/>
        <v>#DIV/0!</v>
      </c>
      <c r="L253" s="19">
        <f t="shared" si="42"/>
        <v>7828.07</v>
      </c>
    </row>
    <row r="254" spans="1:12" x14ac:dyDescent="0.35">
      <c r="A254" s="2" t="s">
        <v>30</v>
      </c>
      <c r="B254" t="s">
        <v>29</v>
      </c>
      <c r="C254" s="21" t="s">
        <v>275</v>
      </c>
      <c r="D254" s="4">
        <v>13</v>
      </c>
      <c r="E254" s="68">
        <v>7828.07</v>
      </c>
      <c r="G254" s="1"/>
      <c r="H254" s="1"/>
      <c r="I254" s="1">
        <f t="shared" si="46"/>
        <v>0</v>
      </c>
      <c r="J254" s="1">
        <f t="shared" si="45"/>
        <v>3026.9300000000003</v>
      </c>
      <c r="K254" s="9" t="e">
        <f t="shared" si="44"/>
        <v>#DIV/0!</v>
      </c>
      <c r="L254" s="19">
        <f t="shared" si="42"/>
        <v>7828.07</v>
      </c>
    </row>
    <row r="255" spans="1:12" x14ac:dyDescent="0.35">
      <c r="A255" s="2" t="s">
        <v>30</v>
      </c>
      <c r="B255" t="s">
        <v>29</v>
      </c>
      <c r="C255" s="21" t="s">
        <v>275</v>
      </c>
      <c r="D255" s="4">
        <v>14</v>
      </c>
      <c r="E255" s="68">
        <v>7828.07</v>
      </c>
      <c r="G255" s="1"/>
      <c r="H255" s="1"/>
      <c r="I255" s="1">
        <f t="shared" si="46"/>
        <v>0</v>
      </c>
      <c r="J255" s="1">
        <f t="shared" si="45"/>
        <v>3026.9300000000003</v>
      </c>
      <c r="K255" s="9" t="e">
        <f t="shared" si="44"/>
        <v>#DIV/0!</v>
      </c>
      <c r="L255" s="19">
        <f t="shared" si="42"/>
        <v>7828.07</v>
      </c>
    </row>
    <row r="256" spans="1:12" x14ac:dyDescent="0.35">
      <c r="A256" s="2" t="s">
        <v>30</v>
      </c>
      <c r="B256" t="s">
        <v>29</v>
      </c>
      <c r="C256" s="21" t="s">
        <v>275</v>
      </c>
      <c r="D256" s="4">
        <v>15</v>
      </c>
      <c r="E256" s="68">
        <v>7828.07</v>
      </c>
      <c r="G256" s="1"/>
      <c r="H256" s="1"/>
      <c r="I256" s="1">
        <f t="shared" si="46"/>
        <v>0</v>
      </c>
      <c r="J256" s="1">
        <f t="shared" si="45"/>
        <v>3026.9300000000003</v>
      </c>
      <c r="K256" s="9" t="e">
        <f t="shared" si="44"/>
        <v>#DIV/0!</v>
      </c>
      <c r="L256" s="19">
        <f t="shared" si="42"/>
        <v>7828.07</v>
      </c>
    </row>
    <row r="257" spans="1:12" ht="15" thickBot="1" x14ac:dyDescent="0.4">
      <c r="A257" s="12" t="s">
        <v>30</v>
      </c>
      <c r="B257" s="13" t="s">
        <v>29</v>
      </c>
      <c r="C257" s="22" t="s">
        <v>275</v>
      </c>
      <c r="D257" s="14">
        <v>16</v>
      </c>
      <c r="E257" s="15">
        <v>7828.07</v>
      </c>
      <c r="F257" s="13"/>
      <c r="G257" s="15"/>
      <c r="H257" s="15"/>
      <c r="I257" s="15">
        <f t="shared" si="46"/>
        <v>0</v>
      </c>
      <c r="J257" s="15">
        <f t="shared" si="45"/>
        <v>3026.9300000000003</v>
      </c>
      <c r="K257" s="13"/>
      <c r="L257" s="24">
        <f t="shared" si="42"/>
        <v>7828.07</v>
      </c>
    </row>
    <row r="258" spans="1:12" x14ac:dyDescent="0.35">
      <c r="A258" s="2" t="s">
        <v>31</v>
      </c>
      <c r="B258" t="s">
        <v>32</v>
      </c>
      <c r="C258" s="21" t="s">
        <v>275</v>
      </c>
      <c r="D258" s="4">
        <v>1</v>
      </c>
      <c r="E258" s="69">
        <v>5396.05</v>
      </c>
      <c r="F258" s="3">
        <v>45892</v>
      </c>
      <c r="G258" s="1">
        <v>5706</v>
      </c>
      <c r="H258" s="1">
        <v>5396.05</v>
      </c>
      <c r="I258" s="1">
        <f t="shared" si="46"/>
        <v>309.94999999999982</v>
      </c>
      <c r="J258" s="1">
        <f>I258</f>
        <v>309.94999999999982</v>
      </c>
      <c r="K258" s="9">
        <f t="shared" ref="K258:K272" si="47">I258/H258</f>
        <v>5.7440164564820526E-2</v>
      </c>
      <c r="L258" s="19">
        <f t="shared" si="42"/>
        <v>0</v>
      </c>
    </row>
    <row r="259" spans="1:12" x14ac:dyDescent="0.35">
      <c r="A259" s="2" t="s">
        <v>31</v>
      </c>
      <c r="B259" t="s">
        <v>32</v>
      </c>
      <c r="C259" s="21" t="s">
        <v>275</v>
      </c>
      <c r="D259" s="4">
        <v>2</v>
      </c>
      <c r="E259" s="69">
        <v>5396.05</v>
      </c>
      <c r="F259" s="3">
        <v>45899</v>
      </c>
      <c r="G259" s="1">
        <v>5706</v>
      </c>
      <c r="H259" s="1">
        <v>5396</v>
      </c>
      <c r="I259" s="1">
        <f t="shared" si="46"/>
        <v>310</v>
      </c>
      <c r="J259" s="1">
        <f>J258+I259</f>
        <v>619.94999999999982</v>
      </c>
      <c r="K259" s="9">
        <f t="shared" si="47"/>
        <v>5.7449962935507783E-2</v>
      </c>
      <c r="L259" s="19">
        <f t="shared" si="42"/>
        <v>5.0000000000181899E-2</v>
      </c>
    </row>
    <row r="260" spans="1:12" x14ac:dyDescent="0.35">
      <c r="A260" s="2" t="s">
        <v>31</v>
      </c>
      <c r="B260" t="s">
        <v>32</v>
      </c>
      <c r="C260" s="21" t="s">
        <v>275</v>
      </c>
      <c r="D260" s="4">
        <v>3</v>
      </c>
      <c r="E260" s="69">
        <v>5396.05</v>
      </c>
      <c r="F260" s="3">
        <v>45906</v>
      </c>
      <c r="G260" s="1">
        <v>5706</v>
      </c>
      <c r="H260" s="1">
        <v>5396</v>
      </c>
      <c r="I260" s="1">
        <f t="shared" si="46"/>
        <v>310</v>
      </c>
      <c r="J260" s="1">
        <f t="shared" ref="J260:J273" si="48">J259+I260</f>
        <v>929.94999999999982</v>
      </c>
      <c r="K260" s="9">
        <f t="shared" si="47"/>
        <v>5.7449962935507783E-2</v>
      </c>
      <c r="L260" s="19">
        <f t="shared" si="42"/>
        <v>5.0000000000181899E-2</v>
      </c>
    </row>
    <row r="261" spans="1:12" x14ac:dyDescent="0.35">
      <c r="A261" s="2" t="s">
        <v>31</v>
      </c>
      <c r="B261" t="s">
        <v>32</v>
      </c>
      <c r="C261" s="21" t="s">
        <v>275</v>
      </c>
      <c r="D261" s="4">
        <v>4</v>
      </c>
      <c r="E261" s="69">
        <v>5396.05</v>
      </c>
      <c r="F261" s="3">
        <v>45913</v>
      </c>
      <c r="G261" s="1">
        <v>5706</v>
      </c>
      <c r="H261" s="1">
        <v>5396</v>
      </c>
      <c r="I261" s="1">
        <f t="shared" si="46"/>
        <v>310</v>
      </c>
      <c r="J261" s="1">
        <f t="shared" si="48"/>
        <v>1239.9499999999998</v>
      </c>
      <c r="K261" s="9">
        <f t="shared" si="47"/>
        <v>5.7449962935507783E-2</v>
      </c>
      <c r="L261" s="19">
        <f t="shared" si="42"/>
        <v>5.0000000000181899E-2</v>
      </c>
    </row>
    <row r="262" spans="1:12" x14ac:dyDescent="0.35">
      <c r="A262" s="2" t="s">
        <v>31</v>
      </c>
      <c r="B262" t="s">
        <v>32</v>
      </c>
      <c r="C262" s="21" t="s">
        <v>275</v>
      </c>
      <c r="D262" s="4">
        <v>5</v>
      </c>
      <c r="E262" s="69">
        <v>5396.05</v>
      </c>
      <c r="F262" s="3">
        <v>45920</v>
      </c>
      <c r="G262" s="1">
        <v>5706</v>
      </c>
      <c r="H262" s="1">
        <v>5396</v>
      </c>
      <c r="I262" s="1">
        <f t="shared" si="46"/>
        <v>310</v>
      </c>
      <c r="J262" s="1">
        <f t="shared" si="48"/>
        <v>1549.9499999999998</v>
      </c>
      <c r="K262" s="9">
        <f t="shared" si="47"/>
        <v>5.7449962935507783E-2</v>
      </c>
      <c r="L262" s="19">
        <f t="shared" si="42"/>
        <v>5.0000000000181899E-2</v>
      </c>
    </row>
    <row r="263" spans="1:12" x14ac:dyDescent="0.35">
      <c r="A263" s="2" t="s">
        <v>31</v>
      </c>
      <c r="B263" t="s">
        <v>32</v>
      </c>
      <c r="C263" s="21" t="s">
        <v>275</v>
      </c>
      <c r="D263" s="4">
        <v>6</v>
      </c>
      <c r="E263" s="69">
        <v>5396.05</v>
      </c>
      <c r="F263" s="3">
        <v>45927</v>
      </c>
      <c r="G263" s="1">
        <v>5706</v>
      </c>
      <c r="H263" s="1">
        <v>5396</v>
      </c>
      <c r="I263" s="1">
        <f t="shared" si="46"/>
        <v>310</v>
      </c>
      <c r="J263" s="1">
        <f t="shared" si="48"/>
        <v>1859.9499999999998</v>
      </c>
      <c r="K263" s="9">
        <f t="shared" si="47"/>
        <v>5.7449962935507783E-2</v>
      </c>
      <c r="L263" s="19">
        <f t="shared" si="42"/>
        <v>5.0000000000181899E-2</v>
      </c>
    </row>
    <row r="264" spans="1:12" x14ac:dyDescent="0.35">
      <c r="A264" s="2" t="s">
        <v>31</v>
      </c>
      <c r="B264" t="s">
        <v>32</v>
      </c>
      <c r="C264" s="21" t="s">
        <v>275</v>
      </c>
      <c r="D264" s="4">
        <v>7</v>
      </c>
      <c r="E264" s="69">
        <v>5396.05</v>
      </c>
      <c r="F264" s="3">
        <v>45934</v>
      </c>
      <c r="G264" s="1">
        <v>5706</v>
      </c>
      <c r="H264" s="1">
        <v>5396</v>
      </c>
      <c r="I264" s="1">
        <f t="shared" si="46"/>
        <v>310</v>
      </c>
      <c r="J264" s="1">
        <f t="shared" si="48"/>
        <v>2169.9499999999998</v>
      </c>
      <c r="K264" s="9">
        <f t="shared" si="47"/>
        <v>5.7449962935507783E-2</v>
      </c>
      <c r="L264" s="19">
        <f t="shared" si="42"/>
        <v>5.0000000000181899E-2</v>
      </c>
    </row>
    <row r="265" spans="1:12" x14ac:dyDescent="0.35">
      <c r="A265" s="2" t="s">
        <v>31</v>
      </c>
      <c r="B265" t="s">
        <v>32</v>
      </c>
      <c r="C265" s="21" t="s">
        <v>275</v>
      </c>
      <c r="D265" s="4">
        <v>8</v>
      </c>
      <c r="E265" s="69">
        <v>5396.05</v>
      </c>
      <c r="F265" s="3">
        <v>45942</v>
      </c>
      <c r="G265" s="1">
        <v>5706</v>
      </c>
      <c r="H265" s="1">
        <v>5396</v>
      </c>
      <c r="I265" s="1">
        <f t="shared" si="46"/>
        <v>310</v>
      </c>
      <c r="J265" s="1">
        <f t="shared" si="48"/>
        <v>2479.9499999999998</v>
      </c>
      <c r="K265" s="9">
        <f t="shared" si="47"/>
        <v>5.7449962935507783E-2</v>
      </c>
      <c r="L265" s="19">
        <f t="shared" si="42"/>
        <v>5.0000000000181899E-2</v>
      </c>
    </row>
    <row r="266" spans="1:12" x14ac:dyDescent="0.35">
      <c r="A266" s="2" t="s">
        <v>31</v>
      </c>
      <c r="B266" t="s">
        <v>32</v>
      </c>
      <c r="C266" s="21" t="s">
        <v>275</v>
      </c>
      <c r="D266" s="4">
        <v>9</v>
      </c>
      <c r="E266" s="69">
        <v>5396.05</v>
      </c>
      <c r="F266" s="3">
        <v>45948</v>
      </c>
      <c r="G266" s="1">
        <v>5706</v>
      </c>
      <c r="H266" s="1">
        <v>5396</v>
      </c>
      <c r="I266" s="1">
        <f t="shared" si="46"/>
        <v>310</v>
      </c>
      <c r="J266" s="1">
        <f t="shared" si="48"/>
        <v>2789.95</v>
      </c>
      <c r="K266" s="9">
        <f t="shared" si="47"/>
        <v>5.7449962935507783E-2</v>
      </c>
      <c r="L266" s="19">
        <f t="shared" si="42"/>
        <v>5.0000000000181899E-2</v>
      </c>
    </row>
    <row r="267" spans="1:12" x14ac:dyDescent="0.35">
      <c r="A267" s="2" t="s">
        <v>31</v>
      </c>
      <c r="B267" t="s">
        <v>32</v>
      </c>
      <c r="C267" s="21" t="s">
        <v>275</v>
      </c>
      <c r="D267" s="4">
        <v>10</v>
      </c>
      <c r="E267" s="69">
        <v>5396.05</v>
      </c>
      <c r="F267" s="3">
        <v>45955</v>
      </c>
      <c r="G267" s="1">
        <v>5706</v>
      </c>
      <c r="H267" s="1">
        <v>5396</v>
      </c>
      <c r="I267" s="1">
        <f t="shared" si="46"/>
        <v>310</v>
      </c>
      <c r="J267" s="1">
        <f t="shared" si="48"/>
        <v>3099.95</v>
      </c>
      <c r="K267" s="9">
        <f t="shared" si="47"/>
        <v>5.7449962935507783E-2</v>
      </c>
      <c r="L267" s="19">
        <f t="shared" si="42"/>
        <v>5.0000000000181899E-2</v>
      </c>
    </row>
    <row r="268" spans="1:12" x14ac:dyDescent="0.35">
      <c r="A268" s="2" t="s">
        <v>31</v>
      </c>
      <c r="B268" t="s">
        <v>32</v>
      </c>
      <c r="C268" s="21" t="s">
        <v>275</v>
      </c>
      <c r="D268" s="4">
        <v>11</v>
      </c>
      <c r="E268" s="69">
        <v>5396.05</v>
      </c>
      <c r="F268" s="3">
        <v>45962</v>
      </c>
      <c r="G268" s="1">
        <v>5706</v>
      </c>
      <c r="H268" s="1">
        <v>5396</v>
      </c>
      <c r="I268" s="1">
        <f t="shared" si="46"/>
        <v>310</v>
      </c>
      <c r="J268" s="1">
        <f t="shared" si="48"/>
        <v>3409.95</v>
      </c>
      <c r="K268" s="9">
        <f t="shared" si="47"/>
        <v>5.7449962935507783E-2</v>
      </c>
      <c r="L268" s="19">
        <f t="shared" si="42"/>
        <v>5.0000000000181899E-2</v>
      </c>
    </row>
    <row r="269" spans="1:12" x14ac:dyDescent="0.35">
      <c r="A269" s="2" t="s">
        <v>31</v>
      </c>
      <c r="B269" t="s">
        <v>32</v>
      </c>
      <c r="C269" s="21" t="s">
        <v>275</v>
      </c>
      <c r="D269" s="4">
        <v>12</v>
      </c>
      <c r="E269" s="69">
        <v>5396.05</v>
      </c>
      <c r="G269" s="1"/>
      <c r="H269" s="1"/>
      <c r="I269" s="1">
        <f t="shared" si="46"/>
        <v>0</v>
      </c>
      <c r="J269" s="1">
        <f t="shared" si="48"/>
        <v>3409.95</v>
      </c>
      <c r="K269" s="9" t="e">
        <f t="shared" si="47"/>
        <v>#DIV/0!</v>
      </c>
      <c r="L269" s="19">
        <f t="shared" si="42"/>
        <v>5396.05</v>
      </c>
    </row>
    <row r="270" spans="1:12" x14ac:dyDescent="0.35">
      <c r="A270" s="2" t="s">
        <v>31</v>
      </c>
      <c r="B270" t="s">
        <v>32</v>
      </c>
      <c r="C270" s="21" t="s">
        <v>275</v>
      </c>
      <c r="D270" s="4">
        <v>13</v>
      </c>
      <c r="E270" s="69">
        <v>5396.05</v>
      </c>
      <c r="G270" s="1"/>
      <c r="H270" s="1"/>
      <c r="I270" s="1">
        <f t="shared" si="46"/>
        <v>0</v>
      </c>
      <c r="J270" s="1">
        <f t="shared" si="48"/>
        <v>3409.95</v>
      </c>
      <c r="K270" s="9" t="e">
        <f t="shared" si="47"/>
        <v>#DIV/0!</v>
      </c>
      <c r="L270" s="19">
        <f t="shared" si="42"/>
        <v>5396.05</v>
      </c>
    </row>
    <row r="271" spans="1:12" x14ac:dyDescent="0.35">
      <c r="A271" s="2" t="s">
        <v>31</v>
      </c>
      <c r="B271" t="s">
        <v>32</v>
      </c>
      <c r="C271" s="21" t="s">
        <v>275</v>
      </c>
      <c r="D271" s="4">
        <v>14</v>
      </c>
      <c r="E271" s="69">
        <v>5396.05</v>
      </c>
      <c r="G271" s="1"/>
      <c r="H271" s="1"/>
      <c r="I271" s="1">
        <f t="shared" si="46"/>
        <v>0</v>
      </c>
      <c r="J271" s="1">
        <f t="shared" si="48"/>
        <v>3409.95</v>
      </c>
      <c r="K271" s="9" t="e">
        <f t="shared" si="47"/>
        <v>#DIV/0!</v>
      </c>
      <c r="L271" s="19">
        <f t="shared" si="42"/>
        <v>5396.05</v>
      </c>
    </row>
    <row r="272" spans="1:12" x14ac:dyDescent="0.35">
      <c r="A272" s="2" t="s">
        <v>31</v>
      </c>
      <c r="B272" t="s">
        <v>32</v>
      </c>
      <c r="C272" s="21" t="s">
        <v>275</v>
      </c>
      <c r="D272" s="4">
        <v>15</v>
      </c>
      <c r="E272" s="69">
        <v>5396.05</v>
      </c>
      <c r="G272" s="1"/>
      <c r="H272" s="1"/>
      <c r="I272" s="1">
        <f t="shared" si="46"/>
        <v>0</v>
      </c>
      <c r="J272" s="1">
        <f t="shared" si="48"/>
        <v>3409.95</v>
      </c>
      <c r="K272" s="9" t="e">
        <f t="shared" si="47"/>
        <v>#DIV/0!</v>
      </c>
      <c r="L272" s="19">
        <f t="shared" si="42"/>
        <v>5396.05</v>
      </c>
    </row>
    <row r="273" spans="1:12" ht="15" thickBot="1" x14ac:dyDescent="0.4">
      <c r="A273" s="12" t="s">
        <v>31</v>
      </c>
      <c r="B273" s="13" t="s">
        <v>32</v>
      </c>
      <c r="C273" s="22" t="s">
        <v>275</v>
      </c>
      <c r="D273" s="14">
        <v>16</v>
      </c>
      <c r="E273" s="15">
        <v>5396.05</v>
      </c>
      <c r="F273" s="13"/>
      <c r="G273" s="15"/>
      <c r="H273" s="15"/>
      <c r="I273" s="15">
        <f t="shared" si="46"/>
        <v>0</v>
      </c>
      <c r="J273" s="15">
        <f t="shared" si="48"/>
        <v>3409.95</v>
      </c>
      <c r="K273" s="13"/>
      <c r="L273" s="24">
        <f t="shared" si="42"/>
        <v>5396.05</v>
      </c>
    </row>
    <row r="274" spans="1:12" x14ac:dyDescent="0.35">
      <c r="A274" s="2" t="s">
        <v>33</v>
      </c>
      <c r="B274" t="s">
        <v>34</v>
      </c>
      <c r="C274" s="21" t="s">
        <v>275</v>
      </c>
      <c r="D274" s="4">
        <v>1</v>
      </c>
      <c r="E274" s="70">
        <v>11400.1</v>
      </c>
      <c r="F274" s="3">
        <v>45902</v>
      </c>
      <c r="G274" s="1">
        <v>11940</v>
      </c>
      <c r="H274" s="1">
        <v>11401</v>
      </c>
      <c r="I274" s="1">
        <f t="shared" si="46"/>
        <v>539</v>
      </c>
      <c r="J274" s="1">
        <f>I274</f>
        <v>539</v>
      </c>
      <c r="K274" s="9">
        <f t="shared" ref="K274:K288" si="49">I274/H274</f>
        <v>4.727655468818525E-2</v>
      </c>
      <c r="L274" s="19">
        <f t="shared" si="42"/>
        <v>-0.8999999999996362</v>
      </c>
    </row>
    <row r="275" spans="1:12" x14ac:dyDescent="0.35">
      <c r="A275" s="2" t="s">
        <v>33</v>
      </c>
      <c r="B275" t="s">
        <v>34</v>
      </c>
      <c r="C275" s="21" t="s">
        <v>275</v>
      </c>
      <c r="D275" s="4">
        <v>2</v>
      </c>
      <c r="E275" s="70">
        <v>11400.1</v>
      </c>
      <c r="F275" s="3">
        <v>45909</v>
      </c>
      <c r="G275" s="1">
        <v>11891</v>
      </c>
      <c r="H275" s="1">
        <v>11401</v>
      </c>
      <c r="I275" s="1">
        <f t="shared" si="46"/>
        <v>490</v>
      </c>
      <c r="J275" s="1">
        <f>J274+I275</f>
        <v>1029</v>
      </c>
      <c r="K275" s="9">
        <f t="shared" si="49"/>
        <v>4.2978686080168409E-2</v>
      </c>
      <c r="L275" s="19">
        <f t="shared" si="42"/>
        <v>-0.8999999999996362</v>
      </c>
    </row>
    <row r="276" spans="1:12" x14ac:dyDescent="0.35">
      <c r="A276" s="2" t="s">
        <v>33</v>
      </c>
      <c r="B276" t="s">
        <v>34</v>
      </c>
      <c r="C276" s="21" t="s">
        <v>275</v>
      </c>
      <c r="D276" s="4">
        <v>3</v>
      </c>
      <c r="E276" s="70">
        <v>11400.1</v>
      </c>
      <c r="F276" s="3">
        <v>45916</v>
      </c>
      <c r="G276" s="1">
        <v>12060</v>
      </c>
      <c r="H276" s="1">
        <v>11401</v>
      </c>
      <c r="I276" s="1">
        <f t="shared" si="46"/>
        <v>659</v>
      </c>
      <c r="J276" s="1">
        <f t="shared" ref="J276:J289" si="50">J275+I276</f>
        <v>1688</v>
      </c>
      <c r="K276" s="9">
        <f t="shared" si="49"/>
        <v>5.7801947197614244E-2</v>
      </c>
      <c r="L276" s="19">
        <f t="shared" si="42"/>
        <v>-0.8999999999996362</v>
      </c>
    </row>
    <row r="277" spans="1:12" x14ac:dyDescent="0.35">
      <c r="A277" s="2" t="s">
        <v>33</v>
      </c>
      <c r="B277" t="s">
        <v>34</v>
      </c>
      <c r="C277" s="21" t="s">
        <v>275</v>
      </c>
      <c r="D277" s="4">
        <v>4</v>
      </c>
      <c r="E277" s="70">
        <v>11400.1</v>
      </c>
      <c r="F277" s="3">
        <v>45923</v>
      </c>
      <c r="G277" s="1">
        <v>11847</v>
      </c>
      <c r="H277" s="1">
        <v>11401</v>
      </c>
      <c r="I277" s="1">
        <f t="shared" si="46"/>
        <v>446</v>
      </c>
      <c r="J277" s="1">
        <f t="shared" si="50"/>
        <v>2134</v>
      </c>
      <c r="K277" s="9">
        <f t="shared" si="49"/>
        <v>3.9119375493377774E-2</v>
      </c>
      <c r="L277" s="19">
        <f t="shared" si="42"/>
        <v>-0.8999999999996362</v>
      </c>
    </row>
    <row r="278" spans="1:12" x14ac:dyDescent="0.35">
      <c r="A278" s="2" t="s">
        <v>33</v>
      </c>
      <c r="B278" t="s">
        <v>34</v>
      </c>
      <c r="C278" s="21" t="s">
        <v>275</v>
      </c>
      <c r="D278" s="4">
        <v>5</v>
      </c>
      <c r="E278" s="70">
        <v>11400.1</v>
      </c>
      <c r="F278" s="3">
        <v>45930</v>
      </c>
      <c r="G278" s="1">
        <v>11917</v>
      </c>
      <c r="H278" s="1">
        <v>11401</v>
      </c>
      <c r="I278" s="1">
        <f t="shared" si="46"/>
        <v>516</v>
      </c>
      <c r="J278" s="1">
        <f t="shared" si="50"/>
        <v>2650</v>
      </c>
      <c r="K278" s="9">
        <f t="shared" si="49"/>
        <v>4.5259187790544692E-2</v>
      </c>
      <c r="L278" s="19">
        <f t="shared" si="42"/>
        <v>-0.8999999999996362</v>
      </c>
    </row>
    <row r="279" spans="1:12" x14ac:dyDescent="0.35">
      <c r="A279" s="2" t="s">
        <v>33</v>
      </c>
      <c r="B279" t="s">
        <v>34</v>
      </c>
      <c r="C279" s="21" t="s">
        <v>275</v>
      </c>
      <c r="D279" s="4">
        <v>6</v>
      </c>
      <c r="E279" s="70">
        <v>11400.1</v>
      </c>
      <c r="F279" s="3">
        <v>45937</v>
      </c>
      <c r="G279" s="1">
        <v>11857</v>
      </c>
      <c r="H279" s="1">
        <v>11401</v>
      </c>
      <c r="I279" s="1">
        <f t="shared" si="46"/>
        <v>456</v>
      </c>
      <c r="J279" s="1">
        <f t="shared" si="50"/>
        <v>3106</v>
      </c>
      <c r="K279" s="9">
        <f t="shared" si="49"/>
        <v>3.9996491535830188E-2</v>
      </c>
      <c r="L279" s="19">
        <f t="shared" si="42"/>
        <v>-0.8999999999996362</v>
      </c>
    </row>
    <row r="280" spans="1:12" x14ac:dyDescent="0.35">
      <c r="A280" s="2" t="s">
        <v>33</v>
      </c>
      <c r="B280" t="s">
        <v>34</v>
      </c>
      <c r="C280" s="21" t="s">
        <v>275</v>
      </c>
      <c r="D280" s="4">
        <v>7</v>
      </c>
      <c r="E280" s="70">
        <v>11400.1</v>
      </c>
      <c r="F280" s="3">
        <v>45944</v>
      </c>
      <c r="G280" s="1">
        <v>11922</v>
      </c>
      <c r="H280" s="1">
        <v>11401</v>
      </c>
      <c r="I280" s="1">
        <f t="shared" si="46"/>
        <v>521</v>
      </c>
      <c r="J280" s="1">
        <f t="shared" si="50"/>
        <v>3627</v>
      </c>
      <c r="K280" s="9">
        <f t="shared" si="49"/>
        <v>4.5697745811770898E-2</v>
      </c>
      <c r="L280" s="19">
        <f t="shared" si="42"/>
        <v>-0.8999999999996362</v>
      </c>
    </row>
    <row r="281" spans="1:12" x14ac:dyDescent="0.35">
      <c r="A281" s="2" t="s">
        <v>33</v>
      </c>
      <c r="B281" t="s">
        <v>34</v>
      </c>
      <c r="C281" s="21" t="s">
        <v>275</v>
      </c>
      <c r="D281" s="4">
        <v>8</v>
      </c>
      <c r="E281" s="70">
        <v>11400.1</v>
      </c>
      <c r="F281" s="3">
        <v>45951</v>
      </c>
      <c r="G281" s="1">
        <v>11956</v>
      </c>
      <c r="H281" s="1">
        <v>11401</v>
      </c>
      <c r="I281" s="1">
        <f t="shared" si="46"/>
        <v>555</v>
      </c>
      <c r="J281" s="1">
        <f t="shared" si="50"/>
        <v>4182</v>
      </c>
      <c r="K281" s="9">
        <f t="shared" si="49"/>
        <v>4.8679940356109112E-2</v>
      </c>
      <c r="L281" s="19">
        <f t="shared" si="42"/>
        <v>-0.8999999999996362</v>
      </c>
    </row>
    <row r="282" spans="1:12" x14ac:dyDescent="0.35">
      <c r="A282" s="2" t="s">
        <v>33</v>
      </c>
      <c r="B282" t="s">
        <v>34</v>
      </c>
      <c r="C282" s="21" t="s">
        <v>275</v>
      </c>
      <c r="D282" s="4">
        <v>9</v>
      </c>
      <c r="E282" s="70">
        <v>11400.1</v>
      </c>
      <c r="F282" s="3">
        <v>45958</v>
      </c>
      <c r="G282" s="1">
        <v>11980</v>
      </c>
      <c r="H282" s="1">
        <v>11401</v>
      </c>
      <c r="I282" s="1">
        <f t="shared" si="46"/>
        <v>579</v>
      </c>
      <c r="J282" s="1">
        <f t="shared" si="50"/>
        <v>4761</v>
      </c>
      <c r="K282" s="9">
        <f t="shared" si="49"/>
        <v>5.0785018857994912E-2</v>
      </c>
      <c r="L282" s="19">
        <f t="shared" si="42"/>
        <v>-0.8999999999996362</v>
      </c>
    </row>
    <row r="283" spans="1:12" x14ac:dyDescent="0.35">
      <c r="A283" s="2" t="s">
        <v>33</v>
      </c>
      <c r="B283" t="s">
        <v>34</v>
      </c>
      <c r="C283" s="21" t="s">
        <v>275</v>
      </c>
      <c r="D283" s="4">
        <v>10</v>
      </c>
      <c r="E283" s="70">
        <v>11400.1</v>
      </c>
      <c r="G283" s="1"/>
      <c r="H283" s="1"/>
      <c r="I283" s="1">
        <f t="shared" si="46"/>
        <v>0</v>
      </c>
      <c r="J283" s="1">
        <f t="shared" si="50"/>
        <v>4761</v>
      </c>
      <c r="K283" s="9" t="e">
        <f t="shared" si="49"/>
        <v>#DIV/0!</v>
      </c>
      <c r="L283" s="19">
        <f t="shared" si="42"/>
        <v>11400.1</v>
      </c>
    </row>
    <row r="284" spans="1:12" x14ac:dyDescent="0.35">
      <c r="A284" s="2" t="s">
        <v>33</v>
      </c>
      <c r="B284" t="s">
        <v>34</v>
      </c>
      <c r="C284" s="21" t="s">
        <v>275</v>
      </c>
      <c r="D284" s="4">
        <v>11</v>
      </c>
      <c r="E284" s="70">
        <v>11400.1</v>
      </c>
      <c r="G284" s="1"/>
      <c r="H284" s="1"/>
      <c r="I284" s="1">
        <f t="shared" si="46"/>
        <v>0</v>
      </c>
      <c r="J284" s="1">
        <f t="shared" si="50"/>
        <v>4761</v>
      </c>
      <c r="K284" s="9" t="e">
        <f t="shared" si="49"/>
        <v>#DIV/0!</v>
      </c>
      <c r="L284" s="19">
        <f t="shared" si="42"/>
        <v>11400.1</v>
      </c>
    </row>
    <row r="285" spans="1:12" x14ac:dyDescent="0.35">
      <c r="A285" s="2" t="s">
        <v>33</v>
      </c>
      <c r="B285" t="s">
        <v>34</v>
      </c>
      <c r="C285" s="21" t="s">
        <v>275</v>
      </c>
      <c r="D285" s="4">
        <v>12</v>
      </c>
      <c r="E285" s="70">
        <v>11400.1</v>
      </c>
      <c r="G285" s="1"/>
      <c r="H285" s="1"/>
      <c r="I285" s="1">
        <f t="shared" si="46"/>
        <v>0</v>
      </c>
      <c r="J285" s="1">
        <f t="shared" si="50"/>
        <v>4761</v>
      </c>
      <c r="K285" s="9" t="e">
        <f t="shared" si="49"/>
        <v>#DIV/0!</v>
      </c>
      <c r="L285" s="19">
        <f t="shared" si="42"/>
        <v>11400.1</v>
      </c>
    </row>
    <row r="286" spans="1:12" x14ac:dyDescent="0.35">
      <c r="A286" s="2" t="s">
        <v>33</v>
      </c>
      <c r="B286" t="s">
        <v>34</v>
      </c>
      <c r="C286" s="21" t="s">
        <v>275</v>
      </c>
      <c r="D286" s="4">
        <v>13</v>
      </c>
      <c r="E286" s="70">
        <v>11400.1</v>
      </c>
      <c r="G286" s="1"/>
      <c r="H286" s="1"/>
      <c r="I286" s="1">
        <f t="shared" si="46"/>
        <v>0</v>
      </c>
      <c r="J286" s="1">
        <f t="shared" si="50"/>
        <v>4761</v>
      </c>
      <c r="K286" s="9" t="e">
        <f t="shared" si="49"/>
        <v>#DIV/0!</v>
      </c>
      <c r="L286" s="19">
        <f t="shared" si="42"/>
        <v>11400.1</v>
      </c>
    </row>
    <row r="287" spans="1:12" x14ac:dyDescent="0.35">
      <c r="A287" s="2" t="s">
        <v>33</v>
      </c>
      <c r="B287" t="s">
        <v>34</v>
      </c>
      <c r="C287" s="21" t="s">
        <v>275</v>
      </c>
      <c r="D287" s="4">
        <v>14</v>
      </c>
      <c r="E287" s="70">
        <v>11400.1</v>
      </c>
      <c r="G287" s="1"/>
      <c r="H287" s="1"/>
      <c r="I287" s="1">
        <f t="shared" si="46"/>
        <v>0</v>
      </c>
      <c r="J287" s="1">
        <f t="shared" si="50"/>
        <v>4761</v>
      </c>
      <c r="K287" s="9" t="e">
        <f t="shared" si="49"/>
        <v>#DIV/0!</v>
      </c>
      <c r="L287" s="19">
        <f t="shared" si="42"/>
        <v>11400.1</v>
      </c>
    </row>
    <row r="288" spans="1:12" x14ac:dyDescent="0.35">
      <c r="A288" s="2" t="s">
        <v>33</v>
      </c>
      <c r="B288" t="s">
        <v>34</v>
      </c>
      <c r="C288" s="21" t="s">
        <v>275</v>
      </c>
      <c r="D288" s="4">
        <v>15</v>
      </c>
      <c r="E288" s="70">
        <v>11400.1</v>
      </c>
      <c r="G288" s="1"/>
      <c r="H288" s="1"/>
      <c r="I288" s="1">
        <f t="shared" si="46"/>
        <v>0</v>
      </c>
      <c r="J288" s="1">
        <f t="shared" si="50"/>
        <v>4761</v>
      </c>
      <c r="K288" s="9" t="e">
        <f t="shared" si="49"/>
        <v>#DIV/0!</v>
      </c>
      <c r="L288" s="19">
        <f t="shared" si="42"/>
        <v>11400.1</v>
      </c>
    </row>
    <row r="289" spans="1:12" ht="15" thickBot="1" x14ac:dyDescent="0.4">
      <c r="A289" s="12" t="s">
        <v>33</v>
      </c>
      <c r="B289" s="13" t="s">
        <v>34</v>
      </c>
      <c r="C289" s="22" t="s">
        <v>275</v>
      </c>
      <c r="D289" s="14">
        <v>16</v>
      </c>
      <c r="E289" s="15">
        <v>11400.1</v>
      </c>
      <c r="F289" s="13"/>
      <c r="G289" s="15"/>
      <c r="H289" s="15"/>
      <c r="I289" s="15">
        <f t="shared" si="46"/>
        <v>0</v>
      </c>
      <c r="J289" s="15">
        <f t="shared" si="50"/>
        <v>4761</v>
      </c>
      <c r="K289" s="13"/>
      <c r="L289" s="24">
        <f t="shared" si="42"/>
        <v>11400.1</v>
      </c>
    </row>
    <row r="290" spans="1:12" x14ac:dyDescent="0.35">
      <c r="A290" s="2" t="s">
        <v>36</v>
      </c>
      <c r="B290" t="s">
        <v>35</v>
      </c>
      <c r="C290" s="21" t="s">
        <v>275</v>
      </c>
      <c r="D290" s="4">
        <v>1</v>
      </c>
      <c r="E290" s="71">
        <v>13680.12</v>
      </c>
      <c r="F290" s="3">
        <v>45895</v>
      </c>
      <c r="G290" s="1">
        <v>14374</v>
      </c>
      <c r="H290" s="1">
        <v>13680.12</v>
      </c>
      <c r="I290" s="1">
        <f t="shared" si="46"/>
        <v>693.8799999999992</v>
      </c>
      <c r="J290" s="1">
        <f>I290</f>
        <v>693.8799999999992</v>
      </c>
      <c r="K290" s="9">
        <f t="shared" ref="K290:K295" si="51">I290/H290</f>
        <v>5.0721777294351157E-2</v>
      </c>
      <c r="L290" s="19">
        <f t="shared" ref="L290:L353" si="52">E290-H290</f>
        <v>0</v>
      </c>
    </row>
    <row r="291" spans="1:12" x14ac:dyDescent="0.35">
      <c r="A291" s="2" t="s">
        <v>36</v>
      </c>
      <c r="B291" t="s">
        <v>35</v>
      </c>
      <c r="C291" s="21" t="s">
        <v>275</v>
      </c>
      <c r="D291" s="4">
        <v>2</v>
      </c>
      <c r="E291" s="71">
        <v>13680.12</v>
      </c>
      <c r="F291" s="3">
        <v>45902</v>
      </c>
      <c r="G291" s="1">
        <v>14374</v>
      </c>
      <c r="H291" s="1">
        <v>13680.12</v>
      </c>
      <c r="I291" s="1">
        <f t="shared" si="46"/>
        <v>693.8799999999992</v>
      </c>
      <c r="J291" s="1">
        <f>J290+I291</f>
        <v>1387.7599999999984</v>
      </c>
      <c r="K291" s="9">
        <f t="shared" si="51"/>
        <v>5.0721777294351157E-2</v>
      </c>
      <c r="L291" s="19">
        <f t="shared" si="52"/>
        <v>0</v>
      </c>
    </row>
    <row r="292" spans="1:12" x14ac:dyDescent="0.35">
      <c r="A292" s="2" t="s">
        <v>36</v>
      </c>
      <c r="B292" t="s">
        <v>35</v>
      </c>
      <c r="C292" s="21" t="s">
        <v>275</v>
      </c>
      <c r="D292" s="4">
        <v>3</v>
      </c>
      <c r="E292" s="71">
        <v>13680.12</v>
      </c>
      <c r="F292" s="3">
        <v>45909</v>
      </c>
      <c r="G292" s="1">
        <v>14374</v>
      </c>
      <c r="H292" s="1">
        <v>13680.12</v>
      </c>
      <c r="I292" s="1">
        <f t="shared" si="46"/>
        <v>693.8799999999992</v>
      </c>
      <c r="J292" s="1">
        <f t="shared" ref="J292:J305" si="53">J291+I292</f>
        <v>2081.6399999999976</v>
      </c>
      <c r="K292" s="9">
        <f t="shared" si="51"/>
        <v>5.0721777294351157E-2</v>
      </c>
      <c r="L292" s="19">
        <f t="shared" si="52"/>
        <v>0</v>
      </c>
    </row>
    <row r="293" spans="1:12" x14ac:dyDescent="0.35">
      <c r="A293" s="2" t="s">
        <v>36</v>
      </c>
      <c r="B293" t="s">
        <v>35</v>
      </c>
      <c r="C293" s="21" t="s">
        <v>275</v>
      </c>
      <c r="D293" s="4">
        <v>4</v>
      </c>
      <c r="E293" s="71">
        <v>13680.12</v>
      </c>
      <c r="F293" s="3">
        <v>45914</v>
      </c>
      <c r="G293" s="1">
        <v>14374</v>
      </c>
      <c r="H293" s="1">
        <v>13680.12</v>
      </c>
      <c r="I293" s="1">
        <f t="shared" si="46"/>
        <v>693.8799999999992</v>
      </c>
      <c r="J293" s="1">
        <f t="shared" si="53"/>
        <v>2775.5199999999968</v>
      </c>
      <c r="K293" s="9">
        <f t="shared" si="51"/>
        <v>5.0721777294351157E-2</v>
      </c>
      <c r="L293" s="19">
        <f t="shared" si="52"/>
        <v>0</v>
      </c>
    </row>
    <row r="294" spans="1:12" x14ac:dyDescent="0.35">
      <c r="A294" s="2" t="s">
        <v>36</v>
      </c>
      <c r="B294" t="s">
        <v>35</v>
      </c>
      <c r="C294" s="21" t="s">
        <v>275</v>
      </c>
      <c r="D294" s="4">
        <v>5</v>
      </c>
      <c r="E294" s="71">
        <v>13680.12</v>
      </c>
      <c r="F294" s="3">
        <v>45923</v>
      </c>
      <c r="G294" s="1">
        <v>14374</v>
      </c>
      <c r="H294" s="1">
        <v>13680.12</v>
      </c>
      <c r="I294" s="1">
        <f t="shared" si="46"/>
        <v>693.8799999999992</v>
      </c>
      <c r="J294" s="1">
        <f t="shared" si="53"/>
        <v>3469.399999999996</v>
      </c>
      <c r="K294" s="9">
        <f t="shared" si="51"/>
        <v>5.0721777294351157E-2</v>
      </c>
      <c r="L294" s="19">
        <f t="shared" si="52"/>
        <v>0</v>
      </c>
    </row>
    <row r="295" spans="1:12" x14ac:dyDescent="0.35">
      <c r="A295" s="2" t="s">
        <v>36</v>
      </c>
      <c r="B295" t="s">
        <v>35</v>
      </c>
      <c r="C295" s="21" t="s">
        <v>275</v>
      </c>
      <c r="D295" s="4">
        <v>6</v>
      </c>
      <c r="E295" s="71">
        <v>13680.12</v>
      </c>
      <c r="F295" s="3">
        <v>45930</v>
      </c>
      <c r="G295" s="1">
        <v>14374</v>
      </c>
      <c r="H295" s="1">
        <v>13680.12</v>
      </c>
      <c r="I295" s="1">
        <f t="shared" si="46"/>
        <v>693.8799999999992</v>
      </c>
      <c r="J295" s="1">
        <f t="shared" si="53"/>
        <v>4163.2799999999952</v>
      </c>
      <c r="K295" s="9">
        <f t="shared" si="51"/>
        <v>5.0721777294351157E-2</v>
      </c>
      <c r="L295" s="19">
        <f t="shared" si="52"/>
        <v>0</v>
      </c>
    </row>
    <row r="296" spans="1:12" x14ac:dyDescent="0.35">
      <c r="A296" s="2" t="s">
        <v>36</v>
      </c>
      <c r="B296" t="s">
        <v>35</v>
      </c>
      <c r="C296" s="21" t="s">
        <v>275</v>
      </c>
      <c r="D296" s="4">
        <v>7</v>
      </c>
      <c r="E296" s="71">
        <v>13680.12</v>
      </c>
      <c r="F296" s="3">
        <v>45937</v>
      </c>
      <c r="G296" s="1">
        <v>14374</v>
      </c>
      <c r="H296" s="1">
        <v>13680.12</v>
      </c>
      <c r="I296" s="1">
        <f>G296-H296</f>
        <v>693.8799999999992</v>
      </c>
      <c r="J296" s="1">
        <f t="shared" si="53"/>
        <v>4857.1599999999944</v>
      </c>
      <c r="K296" s="9">
        <f>I296/H296</f>
        <v>5.0721777294351157E-2</v>
      </c>
      <c r="L296" s="19">
        <f t="shared" si="52"/>
        <v>0</v>
      </c>
    </row>
    <row r="297" spans="1:12" x14ac:dyDescent="0.35">
      <c r="A297" s="2" t="s">
        <v>36</v>
      </c>
      <c r="B297" t="s">
        <v>35</v>
      </c>
      <c r="C297" s="21" t="s">
        <v>275</v>
      </c>
      <c r="D297" s="4">
        <v>8</v>
      </c>
      <c r="E297" s="71">
        <v>13680.12</v>
      </c>
      <c r="F297" s="3">
        <v>45944</v>
      </c>
      <c r="G297" s="1">
        <v>14374</v>
      </c>
      <c r="H297" s="1">
        <v>13680.12</v>
      </c>
      <c r="I297" s="1">
        <f>G297-H297</f>
        <v>693.8799999999992</v>
      </c>
      <c r="J297" s="1">
        <f t="shared" si="53"/>
        <v>5551.0399999999936</v>
      </c>
      <c r="K297" s="9">
        <f t="shared" ref="K297:K304" si="54">I297/H297</f>
        <v>5.0721777294351157E-2</v>
      </c>
      <c r="L297" s="19">
        <f t="shared" si="52"/>
        <v>0</v>
      </c>
    </row>
    <row r="298" spans="1:12" x14ac:dyDescent="0.35">
      <c r="A298" s="2" t="s">
        <v>36</v>
      </c>
      <c r="B298" t="s">
        <v>35</v>
      </c>
      <c r="C298" s="21" t="s">
        <v>275</v>
      </c>
      <c r="D298" s="4">
        <v>9</v>
      </c>
      <c r="E298" s="71">
        <v>13680.12</v>
      </c>
      <c r="F298" s="3">
        <v>45951</v>
      </c>
      <c r="G298" s="1">
        <v>14374</v>
      </c>
      <c r="H298" s="1">
        <v>13680.12</v>
      </c>
      <c r="I298" s="1">
        <f t="shared" si="46"/>
        <v>693.8799999999992</v>
      </c>
      <c r="J298" s="1">
        <f t="shared" si="53"/>
        <v>6244.9199999999928</v>
      </c>
      <c r="K298" s="9">
        <f t="shared" si="54"/>
        <v>5.0721777294351157E-2</v>
      </c>
      <c r="L298" s="19">
        <f t="shared" si="52"/>
        <v>0</v>
      </c>
    </row>
    <row r="299" spans="1:12" x14ac:dyDescent="0.35">
      <c r="A299" s="2" t="s">
        <v>36</v>
      </c>
      <c r="B299" t="s">
        <v>35</v>
      </c>
      <c r="C299" s="21" t="s">
        <v>275</v>
      </c>
      <c r="D299" s="4">
        <v>10</v>
      </c>
      <c r="E299" s="71">
        <v>13680.12</v>
      </c>
      <c r="F299" s="3">
        <v>45958</v>
      </c>
      <c r="G299" s="1">
        <v>14374</v>
      </c>
      <c r="H299" s="1">
        <v>13680.12</v>
      </c>
      <c r="I299" s="1">
        <f t="shared" si="46"/>
        <v>693.8799999999992</v>
      </c>
      <c r="J299" s="1">
        <f t="shared" si="53"/>
        <v>6938.799999999992</v>
      </c>
      <c r="K299" s="9">
        <f t="shared" si="54"/>
        <v>5.0721777294351157E-2</v>
      </c>
      <c r="L299" s="19">
        <f t="shared" si="52"/>
        <v>0</v>
      </c>
    </row>
    <row r="300" spans="1:12" x14ac:dyDescent="0.35">
      <c r="A300" s="2" t="s">
        <v>36</v>
      </c>
      <c r="B300" t="s">
        <v>35</v>
      </c>
      <c r="C300" s="21" t="s">
        <v>275</v>
      </c>
      <c r="D300" s="4">
        <v>11</v>
      </c>
      <c r="E300" s="71">
        <v>13680.12</v>
      </c>
      <c r="F300" s="3">
        <v>45965</v>
      </c>
      <c r="G300" s="1">
        <v>14374</v>
      </c>
      <c r="H300" s="1">
        <v>13680.12</v>
      </c>
      <c r="I300" s="1">
        <f t="shared" si="46"/>
        <v>693.8799999999992</v>
      </c>
      <c r="J300" s="1">
        <f t="shared" si="53"/>
        <v>7632.6799999999912</v>
      </c>
      <c r="K300" s="9">
        <f t="shared" si="54"/>
        <v>5.0721777294351157E-2</v>
      </c>
      <c r="L300" s="19">
        <f t="shared" si="52"/>
        <v>0</v>
      </c>
    </row>
    <row r="301" spans="1:12" x14ac:dyDescent="0.35">
      <c r="A301" s="2" t="s">
        <v>36</v>
      </c>
      <c r="B301" t="s">
        <v>35</v>
      </c>
      <c r="C301" s="21" t="s">
        <v>275</v>
      </c>
      <c r="D301" s="4">
        <v>12</v>
      </c>
      <c r="E301" s="71">
        <v>13680.12</v>
      </c>
      <c r="G301" s="1"/>
      <c r="H301" s="1"/>
      <c r="I301" s="1">
        <f t="shared" si="46"/>
        <v>0</v>
      </c>
      <c r="J301" s="1">
        <f t="shared" si="53"/>
        <v>7632.6799999999912</v>
      </c>
      <c r="K301" s="9" t="e">
        <f t="shared" si="54"/>
        <v>#DIV/0!</v>
      </c>
      <c r="L301" s="19">
        <f t="shared" si="52"/>
        <v>13680.12</v>
      </c>
    </row>
    <row r="302" spans="1:12" x14ac:dyDescent="0.35">
      <c r="A302" s="2" t="s">
        <v>36</v>
      </c>
      <c r="B302" t="s">
        <v>35</v>
      </c>
      <c r="C302" s="21" t="s">
        <v>275</v>
      </c>
      <c r="D302" s="4">
        <v>13</v>
      </c>
      <c r="E302" s="71">
        <v>13680.12</v>
      </c>
      <c r="G302" s="1"/>
      <c r="H302" s="1"/>
      <c r="I302" s="1">
        <f t="shared" si="46"/>
        <v>0</v>
      </c>
      <c r="J302" s="1">
        <f t="shared" si="53"/>
        <v>7632.6799999999912</v>
      </c>
      <c r="K302" s="9" t="e">
        <f t="shared" si="54"/>
        <v>#DIV/0!</v>
      </c>
      <c r="L302" s="19">
        <f t="shared" si="52"/>
        <v>13680.12</v>
      </c>
    </row>
    <row r="303" spans="1:12" x14ac:dyDescent="0.35">
      <c r="A303" s="2" t="s">
        <v>36</v>
      </c>
      <c r="B303" t="s">
        <v>35</v>
      </c>
      <c r="C303" s="21" t="s">
        <v>275</v>
      </c>
      <c r="D303" s="4">
        <v>14</v>
      </c>
      <c r="E303" s="71">
        <v>13680.12</v>
      </c>
      <c r="G303" s="1"/>
      <c r="H303" s="1"/>
      <c r="I303" s="1">
        <f t="shared" si="46"/>
        <v>0</v>
      </c>
      <c r="J303" s="1">
        <f t="shared" si="53"/>
        <v>7632.6799999999912</v>
      </c>
      <c r="K303" s="9" t="e">
        <f t="shared" si="54"/>
        <v>#DIV/0!</v>
      </c>
      <c r="L303" s="19">
        <f t="shared" si="52"/>
        <v>13680.12</v>
      </c>
    </row>
    <row r="304" spans="1:12" x14ac:dyDescent="0.35">
      <c r="A304" s="2" t="s">
        <v>36</v>
      </c>
      <c r="B304" t="s">
        <v>35</v>
      </c>
      <c r="C304" s="21" t="s">
        <v>275</v>
      </c>
      <c r="D304" s="4">
        <v>15</v>
      </c>
      <c r="E304" s="71">
        <v>13680.12</v>
      </c>
      <c r="G304" s="1"/>
      <c r="H304" s="1"/>
      <c r="I304" s="1">
        <f t="shared" si="46"/>
        <v>0</v>
      </c>
      <c r="J304" s="1">
        <f t="shared" si="53"/>
        <v>7632.6799999999912</v>
      </c>
      <c r="K304" s="9" t="e">
        <f t="shared" si="54"/>
        <v>#DIV/0!</v>
      </c>
      <c r="L304" s="19">
        <f t="shared" si="52"/>
        <v>13680.12</v>
      </c>
    </row>
    <row r="305" spans="1:12" ht="15" thickBot="1" x14ac:dyDescent="0.4">
      <c r="A305" s="12" t="s">
        <v>36</v>
      </c>
      <c r="B305" s="13" t="s">
        <v>35</v>
      </c>
      <c r="C305" s="22" t="s">
        <v>275</v>
      </c>
      <c r="D305" s="14">
        <v>16</v>
      </c>
      <c r="E305" s="15">
        <v>13680.12</v>
      </c>
      <c r="F305" s="13"/>
      <c r="G305" s="15"/>
      <c r="H305" s="15"/>
      <c r="I305" s="15">
        <f t="shared" si="46"/>
        <v>0</v>
      </c>
      <c r="J305" s="15">
        <f t="shared" si="53"/>
        <v>7632.6799999999912</v>
      </c>
      <c r="K305" s="13"/>
      <c r="L305" s="24">
        <f t="shared" si="52"/>
        <v>13680.12</v>
      </c>
    </row>
    <row r="306" spans="1:12" x14ac:dyDescent="0.35">
      <c r="A306" s="2" t="s">
        <v>37</v>
      </c>
      <c r="B306" t="s">
        <v>38</v>
      </c>
      <c r="C306" s="21" t="s">
        <v>275</v>
      </c>
      <c r="D306" s="4">
        <v>1</v>
      </c>
      <c r="E306" s="1">
        <v>9272.08</v>
      </c>
      <c r="F306" s="3">
        <v>45894</v>
      </c>
      <c r="G306" s="1">
        <v>10233</v>
      </c>
      <c r="H306" s="1">
        <v>9272.08</v>
      </c>
      <c r="I306" s="1">
        <f t="shared" si="46"/>
        <v>960.92000000000007</v>
      </c>
      <c r="J306" s="1">
        <f>I306</f>
        <v>960.92000000000007</v>
      </c>
      <c r="K306" s="9">
        <f t="shared" ref="K306:K320" si="55">I306/H306</f>
        <v>0.10363586164053805</v>
      </c>
      <c r="L306" s="19">
        <f t="shared" si="52"/>
        <v>0</v>
      </c>
    </row>
    <row r="307" spans="1:12" x14ac:dyDescent="0.35">
      <c r="A307" s="2" t="s">
        <v>37</v>
      </c>
      <c r="B307" t="s">
        <v>38</v>
      </c>
      <c r="C307" s="21" t="s">
        <v>275</v>
      </c>
      <c r="D307" s="4">
        <v>2</v>
      </c>
      <c r="E307" s="1">
        <v>9272.08</v>
      </c>
      <c r="F307" s="3">
        <v>45901</v>
      </c>
      <c r="G307" s="1">
        <v>10233</v>
      </c>
      <c r="H307" s="1">
        <v>9273</v>
      </c>
      <c r="I307" s="1">
        <f t="shared" si="46"/>
        <v>960</v>
      </c>
      <c r="J307" s="1">
        <f>J306+I307</f>
        <v>1920.92</v>
      </c>
      <c r="K307" s="9">
        <f t="shared" si="55"/>
        <v>0.10352636687156259</v>
      </c>
      <c r="L307" s="19">
        <f t="shared" si="52"/>
        <v>-0.92000000000007276</v>
      </c>
    </row>
    <row r="308" spans="1:12" x14ac:dyDescent="0.35">
      <c r="A308" s="2" t="s">
        <v>37</v>
      </c>
      <c r="B308" t="s">
        <v>38</v>
      </c>
      <c r="C308" s="21" t="s">
        <v>275</v>
      </c>
      <c r="D308" s="4">
        <v>3</v>
      </c>
      <c r="E308" s="1">
        <v>9272.08</v>
      </c>
      <c r="F308" s="3">
        <v>45908</v>
      </c>
      <c r="G308" s="1">
        <v>9898</v>
      </c>
      <c r="H308" s="1">
        <v>9281</v>
      </c>
      <c r="I308" s="1">
        <f t="shared" si="46"/>
        <v>617</v>
      </c>
      <c r="J308" s="1">
        <f t="shared" ref="J308:J321" si="56">J307+I308</f>
        <v>2537.92</v>
      </c>
      <c r="K308" s="9">
        <f t="shared" si="55"/>
        <v>6.647990518263118E-2</v>
      </c>
      <c r="L308" s="19">
        <f t="shared" si="52"/>
        <v>-8.9200000000000728</v>
      </c>
    </row>
    <row r="309" spans="1:12" x14ac:dyDescent="0.35">
      <c r="A309" s="2" t="s">
        <v>37</v>
      </c>
      <c r="B309" t="s">
        <v>38</v>
      </c>
      <c r="C309" s="21" t="s">
        <v>275</v>
      </c>
      <c r="D309" s="4">
        <v>4</v>
      </c>
      <c r="E309" s="1">
        <v>9272.08</v>
      </c>
      <c r="F309" s="3">
        <v>45918</v>
      </c>
      <c r="G309" s="1">
        <v>9283</v>
      </c>
      <c r="H309" s="1">
        <v>9283</v>
      </c>
      <c r="I309" s="1">
        <f t="shared" si="46"/>
        <v>0</v>
      </c>
      <c r="J309" s="1">
        <f t="shared" si="56"/>
        <v>2537.92</v>
      </c>
      <c r="K309" s="9">
        <f t="shared" si="55"/>
        <v>0</v>
      </c>
      <c r="L309" s="19">
        <f t="shared" si="52"/>
        <v>-10.920000000000073</v>
      </c>
    </row>
    <row r="310" spans="1:12" x14ac:dyDescent="0.35">
      <c r="A310" s="2" t="s">
        <v>37</v>
      </c>
      <c r="B310" t="s">
        <v>38</v>
      </c>
      <c r="C310" s="21" t="s">
        <v>275</v>
      </c>
      <c r="D310" s="4">
        <v>5</v>
      </c>
      <c r="E310" s="1">
        <v>9272.08</v>
      </c>
      <c r="F310" s="3">
        <v>45924</v>
      </c>
      <c r="G310" s="1">
        <v>9301</v>
      </c>
      <c r="H310" s="1">
        <v>9301</v>
      </c>
      <c r="I310" s="1">
        <f t="shared" ref="I310:I373" si="57">G310-H310</f>
        <v>0</v>
      </c>
      <c r="J310" s="1">
        <f t="shared" si="56"/>
        <v>2537.92</v>
      </c>
      <c r="K310" s="9">
        <f t="shared" si="55"/>
        <v>0</v>
      </c>
      <c r="L310" s="19">
        <f t="shared" si="52"/>
        <v>-28.920000000000073</v>
      </c>
    </row>
    <row r="311" spans="1:12" x14ac:dyDescent="0.35">
      <c r="A311" s="2" t="s">
        <v>37</v>
      </c>
      <c r="B311" t="s">
        <v>38</v>
      </c>
      <c r="C311" s="21" t="s">
        <v>275</v>
      </c>
      <c r="D311" s="4">
        <v>6</v>
      </c>
      <c r="E311" s="1">
        <v>9272.08</v>
      </c>
      <c r="F311" s="3">
        <v>45930</v>
      </c>
      <c r="G311" s="1">
        <v>9272.08</v>
      </c>
      <c r="H311" s="1">
        <v>9272.08</v>
      </c>
      <c r="I311" s="1">
        <f t="shared" si="57"/>
        <v>0</v>
      </c>
      <c r="J311" s="1">
        <f t="shared" si="56"/>
        <v>2537.92</v>
      </c>
      <c r="K311" s="9">
        <f t="shared" si="55"/>
        <v>0</v>
      </c>
      <c r="L311" s="19">
        <f t="shared" si="52"/>
        <v>0</v>
      </c>
    </row>
    <row r="312" spans="1:12" x14ac:dyDescent="0.35">
      <c r="A312" s="2" t="s">
        <v>37</v>
      </c>
      <c r="B312" t="s">
        <v>38</v>
      </c>
      <c r="C312" s="21" t="s">
        <v>275</v>
      </c>
      <c r="D312" s="4">
        <v>7</v>
      </c>
      <c r="E312" s="1">
        <v>9272.08</v>
      </c>
      <c r="F312" s="3">
        <v>45950</v>
      </c>
      <c r="G312" s="1">
        <v>9272.08</v>
      </c>
      <c r="H312" s="1">
        <v>9272.08</v>
      </c>
      <c r="I312" s="1">
        <f t="shared" si="57"/>
        <v>0</v>
      </c>
      <c r="J312" s="1">
        <f t="shared" si="56"/>
        <v>2537.92</v>
      </c>
      <c r="K312" s="9">
        <f t="shared" si="55"/>
        <v>0</v>
      </c>
      <c r="L312" s="19">
        <f t="shared" si="52"/>
        <v>0</v>
      </c>
    </row>
    <row r="313" spans="1:12" x14ac:dyDescent="0.35">
      <c r="A313" s="2" t="s">
        <v>37</v>
      </c>
      <c r="B313" t="s">
        <v>38</v>
      </c>
      <c r="C313" s="21" t="s">
        <v>275</v>
      </c>
      <c r="D313" s="4">
        <v>8</v>
      </c>
      <c r="E313" s="1">
        <v>9272.08</v>
      </c>
      <c r="F313" s="3">
        <v>45964</v>
      </c>
      <c r="G313" s="1">
        <f>3760.84+1369+913+913+680</f>
        <v>7635.84</v>
      </c>
      <c r="H313" s="1">
        <f>3760.84+1369+913+913+680</f>
        <v>7635.84</v>
      </c>
      <c r="I313" s="1">
        <f t="shared" si="57"/>
        <v>0</v>
      </c>
      <c r="J313" s="1">
        <f t="shared" si="56"/>
        <v>2537.92</v>
      </c>
      <c r="K313" s="9">
        <f t="shared" si="55"/>
        <v>0</v>
      </c>
      <c r="L313" s="19">
        <f t="shared" si="52"/>
        <v>1636.2399999999998</v>
      </c>
    </row>
    <row r="314" spans="1:12" x14ac:dyDescent="0.35">
      <c r="A314" s="2" t="s">
        <v>37</v>
      </c>
      <c r="B314" t="s">
        <v>38</v>
      </c>
      <c r="C314" s="21" t="s">
        <v>275</v>
      </c>
      <c r="D314" s="4">
        <v>9</v>
      </c>
      <c r="E314" s="1">
        <v>9272.08</v>
      </c>
      <c r="G314" s="1"/>
      <c r="H314" s="1"/>
      <c r="I314" s="1">
        <f t="shared" si="57"/>
        <v>0</v>
      </c>
      <c r="J314" s="1">
        <f t="shared" si="56"/>
        <v>2537.92</v>
      </c>
      <c r="K314" s="9" t="e">
        <f t="shared" si="55"/>
        <v>#DIV/0!</v>
      </c>
      <c r="L314" s="19">
        <f t="shared" si="52"/>
        <v>9272.08</v>
      </c>
    </row>
    <row r="315" spans="1:12" x14ac:dyDescent="0.35">
      <c r="A315" s="2" t="s">
        <v>37</v>
      </c>
      <c r="B315" t="s">
        <v>38</v>
      </c>
      <c r="C315" s="21" t="s">
        <v>275</v>
      </c>
      <c r="D315" s="4">
        <v>10</v>
      </c>
      <c r="E315" s="1">
        <v>9272.08</v>
      </c>
      <c r="G315" s="1"/>
      <c r="H315" s="1"/>
      <c r="I315" s="1">
        <f t="shared" si="57"/>
        <v>0</v>
      </c>
      <c r="J315" s="1">
        <f t="shared" si="56"/>
        <v>2537.92</v>
      </c>
      <c r="K315" s="9" t="e">
        <f t="shared" si="55"/>
        <v>#DIV/0!</v>
      </c>
      <c r="L315" s="19">
        <f t="shared" si="52"/>
        <v>9272.08</v>
      </c>
    </row>
    <row r="316" spans="1:12" x14ac:dyDescent="0.35">
      <c r="A316" s="2" t="s">
        <v>37</v>
      </c>
      <c r="B316" t="s">
        <v>38</v>
      </c>
      <c r="C316" s="21" t="s">
        <v>275</v>
      </c>
      <c r="D316" s="4">
        <v>11</v>
      </c>
      <c r="E316" s="1">
        <v>9272.08</v>
      </c>
      <c r="G316" s="1"/>
      <c r="H316" s="1"/>
      <c r="I316" s="1">
        <f t="shared" si="57"/>
        <v>0</v>
      </c>
      <c r="J316" s="1">
        <f t="shared" si="56"/>
        <v>2537.92</v>
      </c>
      <c r="K316" s="9" t="e">
        <f t="shared" si="55"/>
        <v>#DIV/0!</v>
      </c>
      <c r="L316" s="19">
        <f t="shared" si="52"/>
        <v>9272.08</v>
      </c>
    </row>
    <row r="317" spans="1:12" x14ac:dyDescent="0.35">
      <c r="A317" s="2" t="s">
        <v>37</v>
      </c>
      <c r="B317" t="s">
        <v>38</v>
      </c>
      <c r="C317" s="21" t="s">
        <v>275</v>
      </c>
      <c r="D317" s="4">
        <v>12</v>
      </c>
      <c r="E317" s="1">
        <v>9272.08</v>
      </c>
      <c r="G317" s="1"/>
      <c r="H317" s="1"/>
      <c r="I317" s="1">
        <f t="shared" si="57"/>
        <v>0</v>
      </c>
      <c r="J317" s="1">
        <f t="shared" si="56"/>
        <v>2537.92</v>
      </c>
      <c r="K317" s="9" t="e">
        <f t="shared" si="55"/>
        <v>#DIV/0!</v>
      </c>
      <c r="L317" s="19">
        <f t="shared" si="52"/>
        <v>9272.08</v>
      </c>
    </row>
    <row r="318" spans="1:12" x14ac:dyDescent="0.35">
      <c r="A318" s="2" t="s">
        <v>37</v>
      </c>
      <c r="B318" t="s">
        <v>38</v>
      </c>
      <c r="C318" s="21" t="s">
        <v>275</v>
      </c>
      <c r="D318" s="4">
        <v>13</v>
      </c>
      <c r="E318" s="1">
        <v>9272.08</v>
      </c>
      <c r="G318" s="1"/>
      <c r="H318" s="1"/>
      <c r="I318" s="1">
        <f t="shared" si="57"/>
        <v>0</v>
      </c>
      <c r="J318" s="1">
        <f t="shared" si="56"/>
        <v>2537.92</v>
      </c>
      <c r="K318" s="9" t="e">
        <f t="shared" si="55"/>
        <v>#DIV/0!</v>
      </c>
      <c r="L318" s="19">
        <f t="shared" si="52"/>
        <v>9272.08</v>
      </c>
    </row>
    <row r="319" spans="1:12" x14ac:dyDescent="0.35">
      <c r="A319" s="2" t="s">
        <v>37</v>
      </c>
      <c r="B319" t="s">
        <v>38</v>
      </c>
      <c r="C319" s="21" t="s">
        <v>275</v>
      </c>
      <c r="D319" s="4">
        <v>14</v>
      </c>
      <c r="E319" s="1">
        <v>9272.08</v>
      </c>
      <c r="G319" s="1"/>
      <c r="H319" s="1"/>
      <c r="I319" s="1">
        <f t="shared" si="57"/>
        <v>0</v>
      </c>
      <c r="J319" s="1">
        <f t="shared" si="56"/>
        <v>2537.92</v>
      </c>
      <c r="K319" s="9" t="e">
        <f t="shared" si="55"/>
        <v>#DIV/0!</v>
      </c>
      <c r="L319" s="19">
        <f t="shared" si="52"/>
        <v>9272.08</v>
      </c>
    </row>
    <row r="320" spans="1:12" x14ac:dyDescent="0.35">
      <c r="A320" s="2" t="s">
        <v>37</v>
      </c>
      <c r="B320" t="s">
        <v>38</v>
      </c>
      <c r="C320" s="21" t="s">
        <v>275</v>
      </c>
      <c r="D320" s="4">
        <v>15</v>
      </c>
      <c r="E320" s="1">
        <v>9272.08</v>
      </c>
      <c r="G320" s="1"/>
      <c r="H320" s="1"/>
      <c r="I320" s="1">
        <f t="shared" si="57"/>
        <v>0</v>
      </c>
      <c r="J320" s="1">
        <f t="shared" si="56"/>
        <v>2537.92</v>
      </c>
      <c r="K320" s="9" t="e">
        <f t="shared" si="55"/>
        <v>#DIV/0!</v>
      </c>
      <c r="L320" s="19">
        <f t="shared" si="52"/>
        <v>9272.08</v>
      </c>
    </row>
    <row r="321" spans="1:12" ht="15" thickBot="1" x14ac:dyDescent="0.4">
      <c r="A321" s="12" t="s">
        <v>37</v>
      </c>
      <c r="B321" s="13" t="s">
        <v>38</v>
      </c>
      <c r="C321" s="22" t="s">
        <v>275</v>
      </c>
      <c r="D321" s="14">
        <v>16</v>
      </c>
      <c r="E321" s="15">
        <v>9272.08</v>
      </c>
      <c r="F321" s="13"/>
      <c r="G321" s="15"/>
      <c r="H321" s="15"/>
      <c r="I321" s="15">
        <f t="shared" si="57"/>
        <v>0</v>
      </c>
      <c r="J321" s="15">
        <f t="shared" si="56"/>
        <v>2537.92</v>
      </c>
      <c r="K321" s="13"/>
      <c r="L321" s="24">
        <f t="shared" si="52"/>
        <v>9272.08</v>
      </c>
    </row>
    <row r="322" spans="1:12" x14ac:dyDescent="0.35">
      <c r="A322" s="2" t="s">
        <v>40</v>
      </c>
      <c r="B322" t="s">
        <v>41</v>
      </c>
      <c r="C322" s="21" t="s">
        <v>275</v>
      </c>
      <c r="D322" s="4">
        <v>1</v>
      </c>
      <c r="E322" s="72">
        <v>3876.03</v>
      </c>
      <c r="F322" s="3">
        <v>45897</v>
      </c>
      <c r="G322" s="1">
        <v>4200</v>
      </c>
      <c r="H322" s="1">
        <v>3876.03</v>
      </c>
      <c r="I322" s="1">
        <f t="shared" si="57"/>
        <v>323.9699999999998</v>
      </c>
      <c r="J322" s="1">
        <f>I322</f>
        <v>323.9699999999998</v>
      </c>
      <c r="K322" s="9">
        <f t="shared" ref="K322:K336" si="58">I322/H322</f>
        <v>8.3582944404455017E-2</v>
      </c>
      <c r="L322" s="19">
        <f t="shared" si="52"/>
        <v>0</v>
      </c>
    </row>
    <row r="323" spans="1:12" x14ac:dyDescent="0.35">
      <c r="A323" s="2" t="s">
        <v>40</v>
      </c>
      <c r="B323" t="s">
        <v>41</v>
      </c>
      <c r="C323" s="21" t="s">
        <v>275</v>
      </c>
      <c r="D323" s="4">
        <v>2</v>
      </c>
      <c r="E323" s="72">
        <v>3876.03</v>
      </c>
      <c r="F323" s="3">
        <v>45904</v>
      </c>
      <c r="G323" s="1">
        <v>4200</v>
      </c>
      <c r="H323" s="1">
        <v>3876.03</v>
      </c>
      <c r="I323" s="1">
        <f t="shared" si="57"/>
        <v>323.9699999999998</v>
      </c>
      <c r="J323" s="1">
        <f>J322+I323</f>
        <v>647.9399999999996</v>
      </c>
      <c r="K323" s="9">
        <f t="shared" si="58"/>
        <v>8.3582944404455017E-2</v>
      </c>
      <c r="L323" s="19">
        <f t="shared" si="52"/>
        <v>0</v>
      </c>
    </row>
    <row r="324" spans="1:12" x14ac:dyDescent="0.35">
      <c r="A324" s="2" t="s">
        <v>40</v>
      </c>
      <c r="B324" t="s">
        <v>41</v>
      </c>
      <c r="C324" s="21" t="s">
        <v>275</v>
      </c>
      <c r="D324" s="4">
        <v>3</v>
      </c>
      <c r="E324" s="72">
        <v>3876.03</v>
      </c>
      <c r="F324" s="3">
        <v>45911</v>
      </c>
      <c r="G324" s="1">
        <v>4200</v>
      </c>
      <c r="H324" s="1">
        <v>3876.03</v>
      </c>
      <c r="I324" s="1">
        <f t="shared" si="57"/>
        <v>323.9699999999998</v>
      </c>
      <c r="J324" s="1">
        <f t="shared" ref="J324:J337" si="59">J323+I324</f>
        <v>971.9099999999994</v>
      </c>
      <c r="K324" s="9">
        <f t="shared" si="58"/>
        <v>8.3582944404455017E-2</v>
      </c>
      <c r="L324" s="19">
        <f t="shared" si="52"/>
        <v>0</v>
      </c>
    </row>
    <row r="325" spans="1:12" x14ac:dyDescent="0.35">
      <c r="A325" s="2" t="s">
        <v>40</v>
      </c>
      <c r="B325" t="s">
        <v>41</v>
      </c>
      <c r="C325" s="21" t="s">
        <v>275</v>
      </c>
      <c r="D325" s="4">
        <v>4</v>
      </c>
      <c r="E325" s="72">
        <v>3876.03</v>
      </c>
      <c r="F325" s="3">
        <v>45918</v>
      </c>
      <c r="G325" s="1">
        <v>4200</v>
      </c>
      <c r="H325" s="1">
        <v>3876.03</v>
      </c>
      <c r="I325" s="1">
        <f t="shared" si="57"/>
        <v>323.9699999999998</v>
      </c>
      <c r="J325" s="1">
        <f t="shared" si="59"/>
        <v>1295.8799999999992</v>
      </c>
      <c r="K325" s="9">
        <f t="shared" si="58"/>
        <v>8.3582944404455017E-2</v>
      </c>
      <c r="L325" s="19">
        <f t="shared" si="52"/>
        <v>0</v>
      </c>
    </row>
    <row r="326" spans="1:12" x14ac:dyDescent="0.35">
      <c r="A326" s="2" t="s">
        <v>40</v>
      </c>
      <c r="B326" t="s">
        <v>41</v>
      </c>
      <c r="C326" s="21" t="s">
        <v>275</v>
      </c>
      <c r="D326" s="4">
        <v>5</v>
      </c>
      <c r="E326" s="72">
        <v>3876.03</v>
      </c>
      <c r="F326" s="3">
        <v>45925</v>
      </c>
      <c r="G326" s="1">
        <v>4200</v>
      </c>
      <c r="H326" s="1">
        <v>3876.03</v>
      </c>
      <c r="I326" s="1">
        <f t="shared" si="57"/>
        <v>323.9699999999998</v>
      </c>
      <c r="J326" s="1">
        <f t="shared" si="59"/>
        <v>1619.849999999999</v>
      </c>
      <c r="K326" s="9">
        <f t="shared" si="58"/>
        <v>8.3582944404455017E-2</v>
      </c>
      <c r="L326" s="19">
        <f t="shared" si="52"/>
        <v>0</v>
      </c>
    </row>
    <row r="327" spans="1:12" x14ac:dyDescent="0.35">
      <c r="A327" s="2" t="s">
        <v>40</v>
      </c>
      <c r="B327" t="s">
        <v>41</v>
      </c>
      <c r="C327" s="21" t="s">
        <v>275</v>
      </c>
      <c r="D327" s="4">
        <v>6</v>
      </c>
      <c r="E327" s="72">
        <v>3876.03</v>
      </c>
      <c r="F327" s="3">
        <v>45932</v>
      </c>
      <c r="G327" s="1">
        <v>4200</v>
      </c>
      <c r="H327" s="1">
        <v>3876.03</v>
      </c>
      <c r="I327" s="1">
        <f t="shared" si="57"/>
        <v>323.9699999999998</v>
      </c>
      <c r="J327" s="1">
        <f t="shared" si="59"/>
        <v>1943.8199999999988</v>
      </c>
      <c r="K327" s="9">
        <f t="shared" si="58"/>
        <v>8.3582944404455017E-2</v>
      </c>
      <c r="L327" s="19">
        <f t="shared" si="52"/>
        <v>0</v>
      </c>
    </row>
    <row r="328" spans="1:12" x14ac:dyDescent="0.35">
      <c r="A328" s="2" t="s">
        <v>40</v>
      </c>
      <c r="B328" t="s">
        <v>41</v>
      </c>
      <c r="C328" s="21" t="s">
        <v>275</v>
      </c>
      <c r="D328" s="4">
        <v>7</v>
      </c>
      <c r="E328" s="72">
        <v>3876.03</v>
      </c>
      <c r="F328" s="3">
        <v>45939</v>
      </c>
      <c r="G328" s="1">
        <v>4200</v>
      </c>
      <c r="H328" s="1">
        <v>3876.03</v>
      </c>
      <c r="I328" s="1">
        <f t="shared" si="57"/>
        <v>323.9699999999998</v>
      </c>
      <c r="J328" s="1">
        <f t="shared" si="59"/>
        <v>2267.7899999999986</v>
      </c>
      <c r="K328" s="9">
        <f t="shared" si="58"/>
        <v>8.3582944404455017E-2</v>
      </c>
      <c r="L328" s="19">
        <f t="shared" si="52"/>
        <v>0</v>
      </c>
    </row>
    <row r="329" spans="1:12" x14ac:dyDescent="0.35">
      <c r="A329" s="2" t="s">
        <v>40</v>
      </c>
      <c r="B329" t="s">
        <v>41</v>
      </c>
      <c r="C329" s="21" t="s">
        <v>275</v>
      </c>
      <c r="D329" s="4">
        <v>8</v>
      </c>
      <c r="E329" s="72">
        <v>3876.03</v>
      </c>
      <c r="F329" s="3">
        <v>45946</v>
      </c>
      <c r="G329" s="1">
        <v>4200</v>
      </c>
      <c r="H329" s="1">
        <v>3876.03</v>
      </c>
      <c r="I329" s="1">
        <f t="shared" si="57"/>
        <v>323.9699999999998</v>
      </c>
      <c r="J329" s="1">
        <f t="shared" si="59"/>
        <v>2591.7599999999984</v>
      </c>
      <c r="K329" s="9">
        <f t="shared" si="58"/>
        <v>8.3582944404455017E-2</v>
      </c>
      <c r="L329" s="19">
        <f t="shared" si="52"/>
        <v>0</v>
      </c>
    </row>
    <row r="330" spans="1:12" x14ac:dyDescent="0.35">
      <c r="A330" s="2" t="s">
        <v>40</v>
      </c>
      <c r="B330" t="s">
        <v>41</v>
      </c>
      <c r="C330" s="21" t="s">
        <v>275</v>
      </c>
      <c r="D330" s="4">
        <v>9</v>
      </c>
      <c r="E330" s="72">
        <v>3876.03</v>
      </c>
      <c r="F330" s="3">
        <v>45953</v>
      </c>
      <c r="G330" s="1">
        <v>4200</v>
      </c>
      <c r="H330" s="1">
        <v>3876.03</v>
      </c>
      <c r="I330" s="1">
        <f t="shared" si="57"/>
        <v>323.9699999999998</v>
      </c>
      <c r="J330" s="1">
        <f t="shared" si="59"/>
        <v>2915.7299999999982</v>
      </c>
      <c r="K330" s="9">
        <f t="shared" si="58"/>
        <v>8.3582944404455017E-2</v>
      </c>
      <c r="L330" s="19">
        <f t="shared" si="52"/>
        <v>0</v>
      </c>
    </row>
    <row r="331" spans="1:12" x14ac:dyDescent="0.35">
      <c r="A331" s="2" t="s">
        <v>40</v>
      </c>
      <c r="B331" t="s">
        <v>41</v>
      </c>
      <c r="C331" s="21" t="s">
        <v>275</v>
      </c>
      <c r="D331" s="4">
        <v>10</v>
      </c>
      <c r="E331" s="72">
        <v>3876.03</v>
      </c>
      <c r="F331" s="3">
        <v>45960</v>
      </c>
      <c r="G331" s="1">
        <v>4200</v>
      </c>
      <c r="H331" s="1">
        <v>3876.03</v>
      </c>
      <c r="I331" s="1">
        <f t="shared" si="57"/>
        <v>323.9699999999998</v>
      </c>
      <c r="J331" s="1">
        <f t="shared" si="59"/>
        <v>3239.699999999998</v>
      </c>
      <c r="K331" s="9">
        <f t="shared" si="58"/>
        <v>8.3582944404455017E-2</v>
      </c>
      <c r="L331" s="19">
        <f t="shared" si="52"/>
        <v>0</v>
      </c>
    </row>
    <row r="332" spans="1:12" x14ac:dyDescent="0.35">
      <c r="A332" s="2" t="s">
        <v>40</v>
      </c>
      <c r="B332" t="s">
        <v>41</v>
      </c>
      <c r="C332" s="21" t="s">
        <v>275</v>
      </c>
      <c r="D332" s="4">
        <v>11</v>
      </c>
      <c r="E332" s="72">
        <v>3876.03</v>
      </c>
      <c r="F332" s="3">
        <v>45967</v>
      </c>
      <c r="G332" s="1">
        <v>4200</v>
      </c>
      <c r="H332" s="34">
        <v>3876.03</v>
      </c>
      <c r="I332" s="1">
        <f t="shared" si="57"/>
        <v>323.9699999999998</v>
      </c>
      <c r="J332" s="1">
        <f t="shared" si="59"/>
        <v>3563.6699999999978</v>
      </c>
      <c r="K332" s="9">
        <f t="shared" si="58"/>
        <v>8.3582944404455017E-2</v>
      </c>
      <c r="L332" s="19">
        <f t="shared" si="52"/>
        <v>0</v>
      </c>
    </row>
    <row r="333" spans="1:12" x14ac:dyDescent="0.35">
      <c r="A333" s="2" t="s">
        <v>40</v>
      </c>
      <c r="B333" t="s">
        <v>41</v>
      </c>
      <c r="C333" s="21" t="s">
        <v>275</v>
      </c>
      <c r="D333" s="4">
        <v>12</v>
      </c>
      <c r="E333" s="72">
        <v>3876.03</v>
      </c>
      <c r="G333" s="1"/>
      <c r="H333" s="1"/>
      <c r="I333" s="1">
        <f t="shared" si="57"/>
        <v>0</v>
      </c>
      <c r="J333" s="1">
        <f t="shared" si="59"/>
        <v>3563.6699999999978</v>
      </c>
      <c r="K333" s="9" t="e">
        <f t="shared" si="58"/>
        <v>#DIV/0!</v>
      </c>
      <c r="L333" s="19">
        <f t="shared" si="52"/>
        <v>3876.03</v>
      </c>
    </row>
    <row r="334" spans="1:12" x14ac:dyDescent="0.35">
      <c r="A334" s="2" t="s">
        <v>40</v>
      </c>
      <c r="B334" t="s">
        <v>41</v>
      </c>
      <c r="C334" s="21" t="s">
        <v>275</v>
      </c>
      <c r="D334" s="4">
        <v>13</v>
      </c>
      <c r="E334" s="72">
        <v>3876.03</v>
      </c>
      <c r="G334" s="1"/>
      <c r="H334" s="1"/>
      <c r="I334" s="1">
        <f t="shared" si="57"/>
        <v>0</v>
      </c>
      <c r="J334" s="1">
        <f t="shared" si="59"/>
        <v>3563.6699999999978</v>
      </c>
      <c r="K334" s="9" t="e">
        <f t="shared" si="58"/>
        <v>#DIV/0!</v>
      </c>
      <c r="L334" s="19">
        <f t="shared" si="52"/>
        <v>3876.03</v>
      </c>
    </row>
    <row r="335" spans="1:12" x14ac:dyDescent="0.35">
      <c r="A335" s="2" t="s">
        <v>40</v>
      </c>
      <c r="B335" t="s">
        <v>41</v>
      </c>
      <c r="C335" s="21" t="s">
        <v>275</v>
      </c>
      <c r="D335" s="4">
        <v>14</v>
      </c>
      <c r="E335" s="72">
        <v>3876.03</v>
      </c>
      <c r="G335" s="1"/>
      <c r="H335" s="1"/>
      <c r="I335" s="1">
        <f t="shared" si="57"/>
        <v>0</v>
      </c>
      <c r="J335" s="1">
        <f t="shared" si="59"/>
        <v>3563.6699999999978</v>
      </c>
      <c r="K335" s="9" t="e">
        <f t="shared" si="58"/>
        <v>#DIV/0!</v>
      </c>
      <c r="L335" s="19">
        <f t="shared" si="52"/>
        <v>3876.03</v>
      </c>
    </row>
    <row r="336" spans="1:12" x14ac:dyDescent="0.35">
      <c r="A336" s="2" t="s">
        <v>40</v>
      </c>
      <c r="B336" t="s">
        <v>41</v>
      </c>
      <c r="C336" s="21" t="s">
        <v>275</v>
      </c>
      <c r="D336" s="4">
        <v>15</v>
      </c>
      <c r="E336" s="72">
        <v>3876.03</v>
      </c>
      <c r="G336" s="1"/>
      <c r="H336" s="1"/>
      <c r="I336" s="1">
        <f t="shared" si="57"/>
        <v>0</v>
      </c>
      <c r="J336" s="1">
        <f t="shared" si="59"/>
        <v>3563.6699999999978</v>
      </c>
      <c r="K336" s="9" t="e">
        <f t="shared" si="58"/>
        <v>#DIV/0!</v>
      </c>
      <c r="L336" s="19">
        <f t="shared" si="52"/>
        <v>3876.03</v>
      </c>
    </row>
    <row r="337" spans="1:12" ht="15" thickBot="1" x14ac:dyDescent="0.4">
      <c r="A337" s="12" t="s">
        <v>40</v>
      </c>
      <c r="B337" s="13" t="s">
        <v>41</v>
      </c>
      <c r="C337" s="22" t="s">
        <v>275</v>
      </c>
      <c r="D337" s="14">
        <v>16</v>
      </c>
      <c r="E337" s="15">
        <v>3876.03</v>
      </c>
      <c r="F337" s="13"/>
      <c r="G337" s="15"/>
      <c r="H337" s="15"/>
      <c r="I337" s="15">
        <f t="shared" si="57"/>
        <v>0</v>
      </c>
      <c r="J337" s="15">
        <f t="shared" si="59"/>
        <v>3563.6699999999978</v>
      </c>
      <c r="K337" s="13"/>
      <c r="L337" s="24">
        <f t="shared" si="52"/>
        <v>3876.03</v>
      </c>
    </row>
    <row r="338" spans="1:12" x14ac:dyDescent="0.35">
      <c r="A338" s="2" t="s">
        <v>39</v>
      </c>
      <c r="B338" t="s">
        <v>42</v>
      </c>
      <c r="C338" s="21" t="s">
        <v>275</v>
      </c>
      <c r="D338" s="4">
        <v>1</v>
      </c>
      <c r="E338" s="73">
        <v>5852.05</v>
      </c>
      <c r="F338" s="3">
        <v>45896</v>
      </c>
      <c r="G338" s="1">
        <v>6236</v>
      </c>
      <c r="H338" s="1">
        <v>5852</v>
      </c>
      <c r="I338" s="1">
        <f t="shared" si="57"/>
        <v>384</v>
      </c>
      <c r="J338" s="1">
        <f>I338</f>
        <v>384</v>
      </c>
      <c r="K338" s="9">
        <f t="shared" ref="K338:K352" si="60">I338/H338</f>
        <v>6.5618591934381409E-2</v>
      </c>
      <c r="L338" s="19">
        <f t="shared" si="52"/>
        <v>5.0000000000181899E-2</v>
      </c>
    </row>
    <row r="339" spans="1:12" x14ac:dyDescent="0.35">
      <c r="A339" s="2" t="s">
        <v>39</v>
      </c>
      <c r="B339" t="s">
        <v>42</v>
      </c>
      <c r="C339" s="21" t="s">
        <v>275</v>
      </c>
      <c r="D339" s="4">
        <v>2</v>
      </c>
      <c r="E339" s="73">
        <v>5852.05</v>
      </c>
      <c r="F339" s="3">
        <v>45903</v>
      </c>
      <c r="G339" s="1">
        <v>6160</v>
      </c>
      <c r="H339" s="1">
        <v>5852</v>
      </c>
      <c r="I339" s="1">
        <f t="shared" si="57"/>
        <v>308</v>
      </c>
      <c r="J339" s="1">
        <f>J338+I339</f>
        <v>692</v>
      </c>
      <c r="K339" s="9">
        <f t="shared" si="60"/>
        <v>5.2631578947368418E-2</v>
      </c>
      <c r="L339" s="19">
        <f t="shared" si="52"/>
        <v>5.0000000000181899E-2</v>
      </c>
    </row>
    <row r="340" spans="1:12" x14ac:dyDescent="0.35">
      <c r="A340" s="2" t="s">
        <v>39</v>
      </c>
      <c r="B340" t="s">
        <v>42</v>
      </c>
      <c r="C340" s="21" t="s">
        <v>275</v>
      </c>
      <c r="D340" s="4">
        <v>3</v>
      </c>
      <c r="E340" s="73">
        <v>5852.05</v>
      </c>
      <c r="F340" s="3">
        <v>45909</v>
      </c>
      <c r="G340" s="1">
        <v>6238</v>
      </c>
      <c r="H340" s="1">
        <v>5852</v>
      </c>
      <c r="I340" s="1">
        <f t="shared" si="57"/>
        <v>386</v>
      </c>
      <c r="J340" s="1">
        <f t="shared" ref="J340:J353" si="61">J339+I340</f>
        <v>1078</v>
      </c>
      <c r="K340" s="9">
        <f t="shared" si="60"/>
        <v>6.596035543403965E-2</v>
      </c>
      <c r="L340" s="19">
        <f t="shared" si="52"/>
        <v>5.0000000000181899E-2</v>
      </c>
    </row>
    <row r="341" spans="1:12" x14ac:dyDescent="0.35">
      <c r="A341" s="2" t="s">
        <v>39</v>
      </c>
      <c r="B341" t="s">
        <v>42</v>
      </c>
      <c r="C341" s="21" t="s">
        <v>275</v>
      </c>
      <c r="D341" s="4">
        <v>4</v>
      </c>
      <c r="E341" s="73">
        <v>5852.05</v>
      </c>
      <c r="F341" s="3">
        <v>45917</v>
      </c>
      <c r="G341" s="1">
        <v>6238</v>
      </c>
      <c r="H341" s="1">
        <v>5852</v>
      </c>
      <c r="I341" s="1">
        <f t="shared" si="57"/>
        <v>386</v>
      </c>
      <c r="J341" s="1">
        <f t="shared" si="61"/>
        <v>1464</v>
      </c>
      <c r="K341" s="9">
        <f t="shared" si="60"/>
        <v>6.596035543403965E-2</v>
      </c>
      <c r="L341" s="19">
        <f t="shared" si="52"/>
        <v>5.0000000000181899E-2</v>
      </c>
    </row>
    <row r="342" spans="1:12" x14ac:dyDescent="0.35">
      <c r="A342" s="2" t="s">
        <v>39</v>
      </c>
      <c r="B342" t="s">
        <v>42</v>
      </c>
      <c r="C342" s="21" t="s">
        <v>275</v>
      </c>
      <c r="D342" s="4">
        <v>5</v>
      </c>
      <c r="E342" s="73">
        <v>5852.05</v>
      </c>
      <c r="F342" s="3">
        <v>45924</v>
      </c>
      <c r="G342" s="1">
        <v>6238</v>
      </c>
      <c r="H342" s="1">
        <v>5852</v>
      </c>
      <c r="I342" s="1">
        <f t="shared" si="57"/>
        <v>386</v>
      </c>
      <c r="J342" s="1">
        <f t="shared" si="61"/>
        <v>1850</v>
      </c>
      <c r="K342" s="9">
        <f t="shared" si="60"/>
        <v>6.596035543403965E-2</v>
      </c>
      <c r="L342" s="19">
        <f t="shared" si="52"/>
        <v>5.0000000000181899E-2</v>
      </c>
    </row>
    <row r="343" spans="1:12" x14ac:dyDescent="0.35">
      <c r="A343" s="2" t="s">
        <v>39</v>
      </c>
      <c r="B343" t="s">
        <v>42</v>
      </c>
      <c r="C343" s="21" t="s">
        <v>275</v>
      </c>
      <c r="D343" s="4">
        <v>6</v>
      </c>
      <c r="E343" s="73">
        <v>5852.05</v>
      </c>
      <c r="F343" s="3">
        <v>45931</v>
      </c>
      <c r="G343" s="1">
        <v>6238</v>
      </c>
      <c r="H343" s="1">
        <v>5852</v>
      </c>
      <c r="I343" s="1">
        <f t="shared" si="57"/>
        <v>386</v>
      </c>
      <c r="J343" s="1">
        <f t="shared" si="61"/>
        <v>2236</v>
      </c>
      <c r="K343" s="9">
        <f t="shared" si="60"/>
        <v>6.596035543403965E-2</v>
      </c>
      <c r="L343" s="19">
        <f t="shared" si="52"/>
        <v>5.0000000000181899E-2</v>
      </c>
    </row>
    <row r="344" spans="1:12" x14ac:dyDescent="0.35">
      <c r="A344" s="2" t="s">
        <v>39</v>
      </c>
      <c r="B344" t="s">
        <v>42</v>
      </c>
      <c r="C344" s="21" t="s">
        <v>275</v>
      </c>
      <c r="D344" s="4">
        <v>7</v>
      </c>
      <c r="E344" s="73">
        <v>5852.05</v>
      </c>
      <c r="F344" s="3">
        <v>45938</v>
      </c>
      <c r="G344" s="1">
        <v>6238</v>
      </c>
      <c r="H344" s="1">
        <v>5852</v>
      </c>
      <c r="I344" s="1">
        <f t="shared" si="57"/>
        <v>386</v>
      </c>
      <c r="J344" s="1">
        <f t="shared" si="61"/>
        <v>2622</v>
      </c>
      <c r="K344" s="9">
        <f t="shared" si="60"/>
        <v>6.596035543403965E-2</v>
      </c>
      <c r="L344" s="19">
        <f t="shared" si="52"/>
        <v>5.0000000000181899E-2</v>
      </c>
    </row>
    <row r="345" spans="1:12" x14ac:dyDescent="0.35">
      <c r="A345" s="2" t="s">
        <v>39</v>
      </c>
      <c r="B345" t="s">
        <v>42</v>
      </c>
      <c r="C345" s="21" t="s">
        <v>275</v>
      </c>
      <c r="D345" s="4">
        <v>8</v>
      </c>
      <c r="E345" s="73">
        <v>5852.05</v>
      </c>
      <c r="F345" s="3">
        <v>45945</v>
      </c>
      <c r="G345" s="1">
        <v>6238</v>
      </c>
      <c r="H345" s="1">
        <v>5852</v>
      </c>
      <c r="I345" s="1">
        <f t="shared" si="57"/>
        <v>386</v>
      </c>
      <c r="J345" s="1">
        <f t="shared" si="61"/>
        <v>3008</v>
      </c>
      <c r="K345" s="9">
        <f t="shared" si="60"/>
        <v>6.596035543403965E-2</v>
      </c>
      <c r="L345" s="19">
        <f t="shared" si="52"/>
        <v>5.0000000000181899E-2</v>
      </c>
    </row>
    <row r="346" spans="1:12" x14ac:dyDescent="0.35">
      <c r="A346" s="2" t="s">
        <v>39</v>
      </c>
      <c r="B346" t="s">
        <v>42</v>
      </c>
      <c r="C346" s="21" t="s">
        <v>275</v>
      </c>
      <c r="D346" s="4">
        <v>9</v>
      </c>
      <c r="E346" s="73">
        <v>5852.05</v>
      </c>
      <c r="F346" s="3">
        <v>45952</v>
      </c>
      <c r="G346" s="1">
        <v>6238</v>
      </c>
      <c r="H346" s="1">
        <v>5852</v>
      </c>
      <c r="I346" s="1">
        <f t="shared" si="57"/>
        <v>386</v>
      </c>
      <c r="J346" s="1">
        <f t="shared" si="61"/>
        <v>3394</v>
      </c>
      <c r="K346" s="9">
        <f t="shared" si="60"/>
        <v>6.596035543403965E-2</v>
      </c>
      <c r="L346" s="19">
        <f t="shared" si="52"/>
        <v>5.0000000000181899E-2</v>
      </c>
    </row>
    <row r="347" spans="1:12" x14ac:dyDescent="0.35">
      <c r="A347" s="2" t="s">
        <v>39</v>
      </c>
      <c r="B347" t="s">
        <v>42</v>
      </c>
      <c r="C347" s="21" t="s">
        <v>275</v>
      </c>
      <c r="D347" s="4">
        <v>10</v>
      </c>
      <c r="E347" s="73">
        <v>5852.05</v>
      </c>
      <c r="F347" s="3">
        <v>45959</v>
      </c>
      <c r="G347" s="1">
        <v>6152</v>
      </c>
      <c r="H347" s="1">
        <v>5852</v>
      </c>
      <c r="I347" s="1">
        <f t="shared" si="57"/>
        <v>300</v>
      </c>
      <c r="J347" s="1">
        <f t="shared" si="61"/>
        <v>3694</v>
      </c>
      <c r="K347" s="9">
        <f t="shared" si="60"/>
        <v>5.1264524948735478E-2</v>
      </c>
      <c r="L347" s="19">
        <f t="shared" si="52"/>
        <v>5.0000000000181899E-2</v>
      </c>
    </row>
    <row r="348" spans="1:12" x14ac:dyDescent="0.35">
      <c r="A348" s="2" t="s">
        <v>39</v>
      </c>
      <c r="B348" t="s">
        <v>42</v>
      </c>
      <c r="C348" s="21" t="s">
        <v>275</v>
      </c>
      <c r="D348" s="4">
        <v>11</v>
      </c>
      <c r="E348" s="73">
        <v>5852.05</v>
      </c>
      <c r="F348" s="3">
        <v>45966</v>
      </c>
      <c r="G348" s="1">
        <v>6152</v>
      </c>
      <c r="H348" s="1">
        <v>5854</v>
      </c>
      <c r="I348" s="1">
        <f t="shared" si="57"/>
        <v>298</v>
      </c>
      <c r="J348" s="1">
        <f t="shared" si="61"/>
        <v>3992</v>
      </c>
      <c r="K348" s="9">
        <f t="shared" si="60"/>
        <v>5.0905363853775198E-2</v>
      </c>
      <c r="L348" s="19">
        <f t="shared" si="52"/>
        <v>-1.9499999999998181</v>
      </c>
    </row>
    <row r="349" spans="1:12" x14ac:dyDescent="0.35">
      <c r="A349" s="2" t="s">
        <v>39</v>
      </c>
      <c r="B349" t="s">
        <v>42</v>
      </c>
      <c r="C349" s="21" t="s">
        <v>275</v>
      </c>
      <c r="D349" s="4">
        <v>12</v>
      </c>
      <c r="E349" s="73">
        <v>5852.05</v>
      </c>
      <c r="G349" s="1"/>
      <c r="H349" s="1"/>
      <c r="I349" s="1">
        <f t="shared" si="57"/>
        <v>0</v>
      </c>
      <c r="J349" s="1">
        <f t="shared" si="61"/>
        <v>3992</v>
      </c>
      <c r="K349" s="9" t="e">
        <f t="shared" si="60"/>
        <v>#DIV/0!</v>
      </c>
      <c r="L349" s="19">
        <f t="shared" si="52"/>
        <v>5852.05</v>
      </c>
    </row>
    <row r="350" spans="1:12" x14ac:dyDescent="0.35">
      <c r="A350" s="2" t="s">
        <v>39</v>
      </c>
      <c r="B350" t="s">
        <v>42</v>
      </c>
      <c r="C350" s="21" t="s">
        <v>275</v>
      </c>
      <c r="D350" s="4">
        <v>13</v>
      </c>
      <c r="E350" s="73">
        <v>5852.05</v>
      </c>
      <c r="G350" s="1"/>
      <c r="H350" s="1"/>
      <c r="I350" s="1">
        <f t="shared" si="57"/>
        <v>0</v>
      </c>
      <c r="J350" s="1">
        <f t="shared" si="61"/>
        <v>3992</v>
      </c>
      <c r="K350" s="9" t="e">
        <f t="shared" si="60"/>
        <v>#DIV/0!</v>
      </c>
      <c r="L350" s="19">
        <f t="shared" si="52"/>
        <v>5852.05</v>
      </c>
    </row>
    <row r="351" spans="1:12" x14ac:dyDescent="0.35">
      <c r="A351" s="2" t="s">
        <v>39</v>
      </c>
      <c r="B351" t="s">
        <v>42</v>
      </c>
      <c r="C351" s="21" t="s">
        <v>275</v>
      </c>
      <c r="D351" s="4">
        <v>14</v>
      </c>
      <c r="E351" s="73">
        <v>5852.05</v>
      </c>
      <c r="G351" s="1"/>
      <c r="H351" s="1"/>
      <c r="I351" s="1">
        <f t="shared" si="57"/>
        <v>0</v>
      </c>
      <c r="J351" s="1">
        <f t="shared" si="61"/>
        <v>3992</v>
      </c>
      <c r="K351" s="9" t="e">
        <f t="shared" si="60"/>
        <v>#DIV/0!</v>
      </c>
      <c r="L351" s="19">
        <f t="shared" si="52"/>
        <v>5852.05</v>
      </c>
    </row>
    <row r="352" spans="1:12" x14ac:dyDescent="0.35">
      <c r="A352" s="2" t="s">
        <v>39</v>
      </c>
      <c r="B352" t="s">
        <v>42</v>
      </c>
      <c r="C352" s="21" t="s">
        <v>275</v>
      </c>
      <c r="D352" s="4">
        <v>15</v>
      </c>
      <c r="E352" s="73">
        <v>5852.05</v>
      </c>
      <c r="G352" s="1"/>
      <c r="H352" s="1"/>
      <c r="I352" s="1">
        <f t="shared" si="57"/>
        <v>0</v>
      </c>
      <c r="J352" s="1">
        <f t="shared" si="61"/>
        <v>3992</v>
      </c>
      <c r="K352" s="9" t="e">
        <f t="shared" si="60"/>
        <v>#DIV/0!</v>
      </c>
      <c r="L352" s="19">
        <f t="shared" si="52"/>
        <v>5852.05</v>
      </c>
    </row>
    <row r="353" spans="1:12" ht="15" thickBot="1" x14ac:dyDescent="0.4">
      <c r="A353" s="12" t="s">
        <v>39</v>
      </c>
      <c r="B353" s="13" t="s">
        <v>42</v>
      </c>
      <c r="C353" s="22" t="s">
        <v>275</v>
      </c>
      <c r="D353" s="14">
        <v>16</v>
      </c>
      <c r="E353" s="15">
        <v>5852.05</v>
      </c>
      <c r="F353" s="13"/>
      <c r="G353" s="15"/>
      <c r="H353" s="15"/>
      <c r="I353" s="15">
        <f t="shared" si="57"/>
        <v>0</v>
      </c>
      <c r="J353" s="15">
        <f t="shared" si="61"/>
        <v>3992</v>
      </c>
      <c r="K353" s="13"/>
      <c r="L353" s="24">
        <f t="shared" si="52"/>
        <v>5852.05</v>
      </c>
    </row>
    <row r="354" spans="1:12" x14ac:dyDescent="0.35">
      <c r="A354" s="2" t="s">
        <v>44</v>
      </c>
      <c r="B354" t="s">
        <v>43</v>
      </c>
      <c r="C354" s="21" t="s">
        <v>275</v>
      </c>
      <c r="D354" s="4">
        <v>1</v>
      </c>
      <c r="E354" s="74">
        <v>5776.05</v>
      </c>
      <c r="F354" s="3">
        <v>45904</v>
      </c>
      <c r="G354" s="1">
        <v>6150</v>
      </c>
      <c r="H354" s="1">
        <v>5783</v>
      </c>
      <c r="I354" s="1">
        <f t="shared" si="57"/>
        <v>367</v>
      </c>
      <c r="J354" s="1">
        <f>I354</f>
        <v>367</v>
      </c>
      <c r="K354" s="9">
        <f t="shared" ref="K354:K368" si="62">I354/H354</f>
        <v>6.3461871001210438E-2</v>
      </c>
      <c r="L354" s="19">
        <f t="shared" ref="L354:L417" si="63">E354-H354</f>
        <v>-6.9499999999998181</v>
      </c>
    </row>
    <row r="355" spans="1:12" x14ac:dyDescent="0.35">
      <c r="A355" s="2" t="s">
        <v>44</v>
      </c>
      <c r="B355" t="s">
        <v>43</v>
      </c>
      <c r="C355" s="21" t="s">
        <v>275</v>
      </c>
      <c r="D355" s="4">
        <v>2</v>
      </c>
      <c r="E355" s="74">
        <v>5776.05</v>
      </c>
      <c r="F355" s="3">
        <v>45911</v>
      </c>
      <c r="G355" s="1">
        <v>6163</v>
      </c>
      <c r="H355" s="1">
        <v>5783</v>
      </c>
      <c r="I355" s="1">
        <f t="shared" si="57"/>
        <v>380</v>
      </c>
      <c r="J355" s="1">
        <f>J354+I355</f>
        <v>747</v>
      </c>
      <c r="K355" s="9">
        <f t="shared" si="62"/>
        <v>6.5709839183814622E-2</v>
      </c>
      <c r="L355" s="19">
        <f t="shared" si="63"/>
        <v>-6.9499999999998181</v>
      </c>
    </row>
    <row r="356" spans="1:12" x14ac:dyDescent="0.35">
      <c r="A356" s="2" t="s">
        <v>44</v>
      </c>
      <c r="B356" t="s">
        <v>43</v>
      </c>
      <c r="C356" s="21" t="s">
        <v>275</v>
      </c>
      <c r="D356" s="4">
        <v>3</v>
      </c>
      <c r="E356" s="74">
        <v>5776.05</v>
      </c>
      <c r="F356" s="3">
        <v>45918</v>
      </c>
      <c r="G356" s="1">
        <v>6163</v>
      </c>
      <c r="H356" s="1">
        <v>5783</v>
      </c>
      <c r="I356" s="1">
        <f t="shared" si="57"/>
        <v>380</v>
      </c>
      <c r="J356" s="1">
        <f t="shared" ref="J356:J369" si="64">J355+I356</f>
        <v>1127</v>
      </c>
      <c r="K356" s="9">
        <f t="shared" si="62"/>
        <v>6.5709839183814622E-2</v>
      </c>
      <c r="L356" s="19">
        <f t="shared" si="63"/>
        <v>-6.9499999999998181</v>
      </c>
    </row>
    <row r="357" spans="1:12" x14ac:dyDescent="0.35">
      <c r="A357" s="2" t="s">
        <v>44</v>
      </c>
      <c r="B357" t="s">
        <v>43</v>
      </c>
      <c r="C357" s="21" t="s">
        <v>275</v>
      </c>
      <c r="D357" s="4">
        <v>4</v>
      </c>
      <c r="E357" s="74">
        <v>5776.05</v>
      </c>
      <c r="F357" s="3">
        <v>45925</v>
      </c>
      <c r="G357" s="1">
        <v>6130</v>
      </c>
      <c r="H357" s="1">
        <v>5783</v>
      </c>
      <c r="I357" s="1">
        <f t="shared" si="57"/>
        <v>347</v>
      </c>
      <c r="J357" s="1">
        <f t="shared" si="64"/>
        <v>1474</v>
      </c>
      <c r="K357" s="9">
        <f t="shared" si="62"/>
        <v>6.0003458412588619E-2</v>
      </c>
      <c r="L357" s="19">
        <f t="shared" si="63"/>
        <v>-6.9499999999998181</v>
      </c>
    </row>
    <row r="358" spans="1:12" x14ac:dyDescent="0.35">
      <c r="A358" s="2" t="s">
        <v>44</v>
      </c>
      <c r="B358" t="s">
        <v>43</v>
      </c>
      <c r="C358" s="21" t="s">
        <v>275</v>
      </c>
      <c r="D358" s="4">
        <v>5</v>
      </c>
      <c r="E358" s="74">
        <v>5776.05</v>
      </c>
      <c r="F358" s="3">
        <v>45932</v>
      </c>
      <c r="G358" s="1">
        <v>6163</v>
      </c>
      <c r="H358" s="1">
        <v>5783</v>
      </c>
      <c r="I358" s="1">
        <f t="shared" si="57"/>
        <v>380</v>
      </c>
      <c r="J358" s="1">
        <f t="shared" si="64"/>
        <v>1854</v>
      </c>
      <c r="K358" s="9">
        <f t="shared" si="62"/>
        <v>6.5709839183814622E-2</v>
      </c>
      <c r="L358" s="19">
        <f t="shared" si="63"/>
        <v>-6.9499999999998181</v>
      </c>
    </row>
    <row r="359" spans="1:12" x14ac:dyDescent="0.35">
      <c r="A359" s="2" t="s">
        <v>44</v>
      </c>
      <c r="B359" t="s">
        <v>43</v>
      </c>
      <c r="C359" s="21" t="s">
        <v>275</v>
      </c>
      <c r="D359" s="4">
        <v>6</v>
      </c>
      <c r="E359" s="74">
        <v>5776.05</v>
      </c>
      <c r="F359" s="3">
        <v>45939</v>
      </c>
      <c r="G359" s="1">
        <v>6163</v>
      </c>
      <c r="H359" s="1">
        <v>5783</v>
      </c>
      <c r="I359" s="1">
        <f t="shared" si="57"/>
        <v>380</v>
      </c>
      <c r="J359" s="1">
        <f t="shared" si="64"/>
        <v>2234</v>
      </c>
      <c r="K359" s="9">
        <f t="shared" si="62"/>
        <v>6.5709839183814622E-2</v>
      </c>
      <c r="L359" s="19">
        <f t="shared" si="63"/>
        <v>-6.9499999999998181</v>
      </c>
    </row>
    <row r="360" spans="1:12" x14ac:dyDescent="0.35">
      <c r="A360" s="2" t="s">
        <v>44</v>
      </c>
      <c r="B360" t="s">
        <v>43</v>
      </c>
      <c r="C360" s="21" t="s">
        <v>275</v>
      </c>
      <c r="D360" s="4">
        <v>7</v>
      </c>
      <c r="E360" s="74">
        <v>5776.05</v>
      </c>
      <c r="F360" s="3">
        <v>45946</v>
      </c>
      <c r="G360" s="1">
        <v>6163</v>
      </c>
      <c r="H360" s="1">
        <v>5783</v>
      </c>
      <c r="I360" s="1">
        <f t="shared" si="57"/>
        <v>380</v>
      </c>
      <c r="J360" s="1">
        <f t="shared" si="64"/>
        <v>2614</v>
      </c>
      <c r="K360" s="9">
        <f t="shared" si="62"/>
        <v>6.5709839183814622E-2</v>
      </c>
      <c r="L360" s="19">
        <f t="shared" si="63"/>
        <v>-6.9499999999998181</v>
      </c>
    </row>
    <row r="361" spans="1:12" x14ac:dyDescent="0.35">
      <c r="A361" s="2" t="s">
        <v>44</v>
      </c>
      <c r="B361" t="s">
        <v>43</v>
      </c>
      <c r="C361" s="21" t="s">
        <v>275</v>
      </c>
      <c r="D361" s="4">
        <v>8</v>
      </c>
      <c r="E361" s="74">
        <v>5776.05</v>
      </c>
      <c r="F361" s="3">
        <v>45953</v>
      </c>
      <c r="G361" s="1">
        <v>6133</v>
      </c>
      <c r="H361" s="1">
        <v>5783</v>
      </c>
      <c r="I361" s="1">
        <f t="shared" si="57"/>
        <v>350</v>
      </c>
      <c r="J361" s="1">
        <f t="shared" si="64"/>
        <v>2964</v>
      </c>
      <c r="K361" s="9">
        <f t="shared" si="62"/>
        <v>6.0522220300881897E-2</v>
      </c>
      <c r="L361" s="19">
        <f t="shared" si="63"/>
        <v>-6.9499999999998181</v>
      </c>
    </row>
    <row r="362" spans="1:12" x14ac:dyDescent="0.35">
      <c r="A362" s="2" t="s">
        <v>44</v>
      </c>
      <c r="B362" t="s">
        <v>43</v>
      </c>
      <c r="C362" s="21" t="s">
        <v>275</v>
      </c>
      <c r="D362" s="4">
        <v>9</v>
      </c>
      <c r="E362" s="74">
        <v>5776.05</v>
      </c>
      <c r="F362" s="3">
        <v>45960</v>
      </c>
      <c r="G362" s="1">
        <v>6161</v>
      </c>
      <c r="H362" s="1">
        <v>5783</v>
      </c>
      <c r="I362" s="1">
        <f t="shared" si="57"/>
        <v>378</v>
      </c>
      <c r="J362" s="1">
        <f t="shared" si="64"/>
        <v>3342</v>
      </c>
      <c r="K362" s="9">
        <f t="shared" si="62"/>
        <v>6.5363997924952441E-2</v>
      </c>
      <c r="L362" s="19">
        <f t="shared" si="63"/>
        <v>-6.9499999999998181</v>
      </c>
    </row>
    <row r="363" spans="1:12" x14ac:dyDescent="0.35">
      <c r="A363" s="2" t="s">
        <v>44</v>
      </c>
      <c r="B363" t="s">
        <v>43</v>
      </c>
      <c r="C363" s="21" t="s">
        <v>275</v>
      </c>
      <c r="D363" s="4">
        <v>10</v>
      </c>
      <c r="E363" s="74">
        <v>5776.05</v>
      </c>
      <c r="F363" s="3">
        <v>45967</v>
      </c>
      <c r="G363" s="1">
        <v>6130</v>
      </c>
      <c r="H363" s="1">
        <v>5783</v>
      </c>
      <c r="I363" s="1">
        <f t="shared" si="57"/>
        <v>347</v>
      </c>
      <c r="J363" s="1">
        <f t="shared" si="64"/>
        <v>3689</v>
      </c>
      <c r="K363" s="9">
        <f t="shared" si="62"/>
        <v>6.0003458412588619E-2</v>
      </c>
      <c r="L363" s="19">
        <f t="shared" si="63"/>
        <v>-6.9499999999998181</v>
      </c>
    </row>
    <row r="364" spans="1:12" x14ac:dyDescent="0.35">
      <c r="A364" s="2" t="s">
        <v>44</v>
      </c>
      <c r="B364" t="s">
        <v>43</v>
      </c>
      <c r="C364" s="21" t="s">
        <v>275</v>
      </c>
      <c r="D364" s="4">
        <v>11</v>
      </c>
      <c r="E364" s="74">
        <v>5776.05</v>
      </c>
      <c r="G364" s="1"/>
      <c r="H364" s="1"/>
      <c r="I364" s="1">
        <f t="shared" si="57"/>
        <v>0</v>
      </c>
      <c r="J364" s="1">
        <f t="shared" si="64"/>
        <v>3689</v>
      </c>
      <c r="K364" s="9" t="e">
        <f t="shared" si="62"/>
        <v>#DIV/0!</v>
      </c>
      <c r="L364" s="19">
        <f t="shared" si="63"/>
        <v>5776.05</v>
      </c>
    </row>
    <row r="365" spans="1:12" x14ac:dyDescent="0.35">
      <c r="A365" s="2" t="s">
        <v>44</v>
      </c>
      <c r="B365" t="s">
        <v>43</v>
      </c>
      <c r="C365" s="21" t="s">
        <v>275</v>
      </c>
      <c r="D365" s="4">
        <v>12</v>
      </c>
      <c r="E365" s="74">
        <v>5776.05</v>
      </c>
      <c r="G365" s="1"/>
      <c r="H365" s="1"/>
      <c r="I365" s="1">
        <f t="shared" si="57"/>
        <v>0</v>
      </c>
      <c r="J365" s="1">
        <f t="shared" si="64"/>
        <v>3689</v>
      </c>
      <c r="K365" s="9" t="e">
        <f t="shared" si="62"/>
        <v>#DIV/0!</v>
      </c>
      <c r="L365" s="19">
        <f t="shared" si="63"/>
        <v>5776.05</v>
      </c>
    </row>
    <row r="366" spans="1:12" x14ac:dyDescent="0.35">
      <c r="A366" s="2" t="s">
        <v>44</v>
      </c>
      <c r="B366" t="s">
        <v>43</v>
      </c>
      <c r="C366" s="21" t="s">
        <v>275</v>
      </c>
      <c r="D366" s="4">
        <v>13</v>
      </c>
      <c r="E366" s="74">
        <v>5776.05</v>
      </c>
      <c r="G366" s="1"/>
      <c r="H366" s="1"/>
      <c r="I366" s="1">
        <f t="shared" si="57"/>
        <v>0</v>
      </c>
      <c r="J366" s="1">
        <f t="shared" si="64"/>
        <v>3689</v>
      </c>
      <c r="K366" s="9" t="e">
        <f t="shared" si="62"/>
        <v>#DIV/0!</v>
      </c>
      <c r="L366" s="19">
        <f t="shared" si="63"/>
        <v>5776.05</v>
      </c>
    </row>
    <row r="367" spans="1:12" x14ac:dyDescent="0.35">
      <c r="A367" s="2" t="s">
        <v>44</v>
      </c>
      <c r="B367" t="s">
        <v>43</v>
      </c>
      <c r="C367" s="21" t="s">
        <v>275</v>
      </c>
      <c r="D367" s="4">
        <v>14</v>
      </c>
      <c r="E367" s="74">
        <v>5776.05</v>
      </c>
      <c r="G367" s="1"/>
      <c r="H367" s="1"/>
      <c r="I367" s="1">
        <f t="shared" si="57"/>
        <v>0</v>
      </c>
      <c r="J367" s="1">
        <f t="shared" si="64"/>
        <v>3689</v>
      </c>
      <c r="K367" s="9" t="e">
        <f t="shared" si="62"/>
        <v>#DIV/0!</v>
      </c>
      <c r="L367" s="19">
        <f t="shared" si="63"/>
        <v>5776.05</v>
      </c>
    </row>
    <row r="368" spans="1:12" x14ac:dyDescent="0.35">
      <c r="A368" s="2" t="s">
        <v>44</v>
      </c>
      <c r="B368" t="s">
        <v>43</v>
      </c>
      <c r="C368" s="21" t="s">
        <v>275</v>
      </c>
      <c r="D368" s="4">
        <v>15</v>
      </c>
      <c r="E368" s="74">
        <v>5776.05</v>
      </c>
      <c r="G368" s="1"/>
      <c r="H368" s="1"/>
      <c r="I368" s="1">
        <f t="shared" si="57"/>
        <v>0</v>
      </c>
      <c r="J368" s="1">
        <f t="shared" si="64"/>
        <v>3689</v>
      </c>
      <c r="K368" s="9" t="e">
        <f t="shared" si="62"/>
        <v>#DIV/0!</v>
      </c>
      <c r="L368" s="19">
        <f t="shared" si="63"/>
        <v>5776.05</v>
      </c>
    </row>
    <row r="369" spans="1:12" ht="15" thickBot="1" x14ac:dyDescent="0.4">
      <c r="A369" s="12" t="s">
        <v>44</v>
      </c>
      <c r="B369" s="13" t="s">
        <v>43</v>
      </c>
      <c r="C369" s="22" t="s">
        <v>275</v>
      </c>
      <c r="D369" s="14">
        <v>16</v>
      </c>
      <c r="E369" s="15">
        <v>5776.05</v>
      </c>
      <c r="F369" s="13"/>
      <c r="G369" s="15"/>
      <c r="H369" s="15"/>
      <c r="I369" s="15">
        <f t="shared" si="57"/>
        <v>0</v>
      </c>
      <c r="J369" s="15">
        <f t="shared" si="64"/>
        <v>3689</v>
      </c>
      <c r="K369" s="13"/>
      <c r="L369" s="24">
        <f t="shared" si="63"/>
        <v>5776.05</v>
      </c>
    </row>
    <row r="370" spans="1:12" x14ac:dyDescent="0.35">
      <c r="A370" s="2" t="s">
        <v>45</v>
      </c>
      <c r="B370" t="s">
        <v>46</v>
      </c>
      <c r="C370" s="21" t="s">
        <v>275</v>
      </c>
      <c r="D370" s="4">
        <v>1</v>
      </c>
      <c r="E370" s="75">
        <v>11400.1</v>
      </c>
      <c r="F370" s="3">
        <v>45901</v>
      </c>
      <c r="G370" s="1">
        <v>12160</v>
      </c>
      <c r="H370" s="1">
        <v>11408</v>
      </c>
      <c r="I370" s="1">
        <f t="shared" si="57"/>
        <v>752</v>
      </c>
      <c r="J370" s="1">
        <f>I370</f>
        <v>752</v>
      </c>
      <c r="K370" s="9">
        <f t="shared" ref="K370:K384" si="65">I370/H370</f>
        <v>6.5918653576437586E-2</v>
      </c>
      <c r="L370" s="19">
        <f t="shared" si="63"/>
        <v>-7.8999999999996362</v>
      </c>
    </row>
    <row r="371" spans="1:12" x14ac:dyDescent="0.35">
      <c r="A371" s="2" t="s">
        <v>45</v>
      </c>
      <c r="B371" t="s">
        <v>46</v>
      </c>
      <c r="C371" s="21" t="s">
        <v>275</v>
      </c>
      <c r="D371" s="4">
        <v>2</v>
      </c>
      <c r="E371" s="75">
        <v>11400.1</v>
      </c>
      <c r="F371" s="3">
        <v>45908</v>
      </c>
      <c r="G371" s="1">
        <v>12160</v>
      </c>
      <c r="H371" s="1">
        <v>11408</v>
      </c>
      <c r="I371" s="1">
        <f t="shared" si="57"/>
        <v>752</v>
      </c>
      <c r="J371" s="1">
        <f>J370+I371</f>
        <v>1504</v>
      </c>
      <c r="K371" s="9">
        <f t="shared" si="65"/>
        <v>6.5918653576437586E-2</v>
      </c>
      <c r="L371" s="19">
        <f t="shared" si="63"/>
        <v>-7.8999999999996362</v>
      </c>
    </row>
    <row r="372" spans="1:12" x14ac:dyDescent="0.35">
      <c r="A372" s="2" t="s">
        <v>45</v>
      </c>
      <c r="B372" t="s">
        <v>46</v>
      </c>
      <c r="C372" s="21" t="s">
        <v>275</v>
      </c>
      <c r="D372" s="4">
        <v>3</v>
      </c>
      <c r="E372" s="75">
        <v>11400.1</v>
      </c>
      <c r="F372" s="3">
        <v>45914</v>
      </c>
      <c r="G372" s="1">
        <v>12160</v>
      </c>
      <c r="H372" s="1">
        <v>11408</v>
      </c>
      <c r="I372" s="1">
        <f t="shared" si="57"/>
        <v>752</v>
      </c>
      <c r="J372" s="1">
        <f t="shared" ref="J372:J385" si="66">J371+I372</f>
        <v>2256</v>
      </c>
      <c r="K372" s="9">
        <f t="shared" si="65"/>
        <v>6.5918653576437586E-2</v>
      </c>
      <c r="L372" s="19">
        <f t="shared" si="63"/>
        <v>-7.8999999999996362</v>
      </c>
    </row>
    <row r="373" spans="1:12" x14ac:dyDescent="0.35">
      <c r="A373" s="2" t="s">
        <v>45</v>
      </c>
      <c r="B373" t="s">
        <v>46</v>
      </c>
      <c r="C373" s="21" t="s">
        <v>275</v>
      </c>
      <c r="D373" s="4">
        <v>4</v>
      </c>
      <c r="E373" s="75">
        <v>11400.1</v>
      </c>
      <c r="F373" s="3">
        <v>45922</v>
      </c>
      <c r="G373" s="1">
        <v>12160</v>
      </c>
      <c r="H373" s="1">
        <v>11408</v>
      </c>
      <c r="I373" s="1">
        <f t="shared" si="57"/>
        <v>752</v>
      </c>
      <c r="J373" s="1">
        <f t="shared" si="66"/>
        <v>3008</v>
      </c>
      <c r="K373" s="9">
        <f t="shared" si="65"/>
        <v>6.5918653576437586E-2</v>
      </c>
      <c r="L373" s="19">
        <f t="shared" si="63"/>
        <v>-7.8999999999996362</v>
      </c>
    </row>
    <row r="374" spans="1:12" x14ac:dyDescent="0.35">
      <c r="A374" s="2" t="s">
        <v>45</v>
      </c>
      <c r="B374" t="s">
        <v>46</v>
      </c>
      <c r="C374" s="21" t="s">
        <v>275</v>
      </c>
      <c r="D374" s="4">
        <v>5</v>
      </c>
      <c r="E374" s="75">
        <v>11400.1</v>
      </c>
      <c r="F374" s="3">
        <v>45929</v>
      </c>
      <c r="G374" s="1">
        <v>12160</v>
      </c>
      <c r="H374" s="1">
        <v>11408</v>
      </c>
      <c r="I374" s="1">
        <f t="shared" ref="I374:I437" si="67">G374-H374</f>
        <v>752</v>
      </c>
      <c r="J374" s="1">
        <f t="shared" si="66"/>
        <v>3760</v>
      </c>
      <c r="K374" s="9">
        <f t="shared" si="65"/>
        <v>6.5918653576437586E-2</v>
      </c>
      <c r="L374" s="19">
        <f t="shared" si="63"/>
        <v>-7.8999999999996362</v>
      </c>
    </row>
    <row r="375" spans="1:12" x14ac:dyDescent="0.35">
      <c r="A375" s="2" t="s">
        <v>45</v>
      </c>
      <c r="B375" t="s">
        <v>46</v>
      </c>
      <c r="C375" s="21" t="s">
        <v>275</v>
      </c>
      <c r="D375" s="4">
        <v>6</v>
      </c>
      <c r="E375" s="75">
        <v>11400.1</v>
      </c>
      <c r="F375" s="3">
        <v>45936</v>
      </c>
      <c r="G375" s="1">
        <v>12170</v>
      </c>
      <c r="H375" s="1">
        <v>11408</v>
      </c>
      <c r="I375" s="1">
        <f t="shared" si="67"/>
        <v>762</v>
      </c>
      <c r="J375" s="1">
        <f t="shared" si="66"/>
        <v>4522</v>
      </c>
      <c r="K375" s="9">
        <f t="shared" si="65"/>
        <v>6.6795231416549791E-2</v>
      </c>
      <c r="L375" s="19">
        <f t="shared" si="63"/>
        <v>-7.8999999999996362</v>
      </c>
    </row>
    <row r="376" spans="1:12" x14ac:dyDescent="0.35">
      <c r="A376" s="2" t="s">
        <v>45</v>
      </c>
      <c r="B376" t="s">
        <v>46</v>
      </c>
      <c r="C376" s="21" t="s">
        <v>275</v>
      </c>
      <c r="D376" s="4">
        <v>7</v>
      </c>
      <c r="E376" s="75">
        <v>11400.1</v>
      </c>
      <c r="F376" s="3">
        <v>45943</v>
      </c>
      <c r="G376" s="1">
        <v>12160</v>
      </c>
      <c r="H376" s="1">
        <v>11408</v>
      </c>
      <c r="I376" s="1">
        <f t="shared" si="67"/>
        <v>752</v>
      </c>
      <c r="J376" s="1">
        <f t="shared" si="66"/>
        <v>5274</v>
      </c>
      <c r="K376" s="9">
        <f t="shared" si="65"/>
        <v>6.5918653576437586E-2</v>
      </c>
      <c r="L376" s="19">
        <f t="shared" si="63"/>
        <v>-7.8999999999996362</v>
      </c>
    </row>
    <row r="377" spans="1:12" x14ac:dyDescent="0.35">
      <c r="A377" s="2" t="s">
        <v>45</v>
      </c>
      <c r="B377" t="s">
        <v>46</v>
      </c>
      <c r="C377" s="21" t="s">
        <v>275</v>
      </c>
      <c r="D377" s="4">
        <v>8</v>
      </c>
      <c r="E377" s="75">
        <v>11400.1</v>
      </c>
      <c r="F377" s="3">
        <v>45950</v>
      </c>
      <c r="G377" s="1">
        <v>12160</v>
      </c>
      <c r="H377" s="1">
        <v>11408</v>
      </c>
      <c r="I377" s="1">
        <f t="shared" si="67"/>
        <v>752</v>
      </c>
      <c r="J377" s="1">
        <f t="shared" si="66"/>
        <v>6026</v>
      </c>
      <c r="K377" s="9">
        <f t="shared" si="65"/>
        <v>6.5918653576437586E-2</v>
      </c>
      <c r="L377" s="19">
        <f t="shared" si="63"/>
        <v>-7.8999999999996362</v>
      </c>
    </row>
    <row r="378" spans="1:12" x14ac:dyDescent="0.35">
      <c r="A378" s="2" t="s">
        <v>45</v>
      </c>
      <c r="B378" t="s">
        <v>46</v>
      </c>
      <c r="C378" s="21" t="s">
        <v>275</v>
      </c>
      <c r="D378" s="4">
        <v>9</v>
      </c>
      <c r="E378" s="75">
        <v>11400.1</v>
      </c>
      <c r="F378" s="3">
        <v>45957</v>
      </c>
      <c r="G378" s="1">
        <v>12168</v>
      </c>
      <c r="H378" s="1">
        <v>11408</v>
      </c>
      <c r="I378" s="1">
        <f t="shared" si="67"/>
        <v>760</v>
      </c>
      <c r="J378" s="1">
        <f t="shared" si="66"/>
        <v>6786</v>
      </c>
      <c r="K378" s="9">
        <f t="shared" si="65"/>
        <v>6.6619915848527347E-2</v>
      </c>
      <c r="L378" s="19">
        <f t="shared" si="63"/>
        <v>-7.8999999999996362</v>
      </c>
    </row>
    <row r="379" spans="1:12" x14ac:dyDescent="0.35">
      <c r="A379" s="2" t="s">
        <v>45</v>
      </c>
      <c r="B379" t="s">
        <v>46</v>
      </c>
      <c r="C379" s="21" t="s">
        <v>275</v>
      </c>
      <c r="D379" s="4">
        <v>10</v>
      </c>
      <c r="E379" s="75">
        <v>11400.1</v>
      </c>
      <c r="F379" s="3">
        <v>45964</v>
      </c>
      <c r="G379" s="1">
        <v>12160</v>
      </c>
      <c r="H379" s="1">
        <v>11408</v>
      </c>
      <c r="I379" s="1">
        <f t="shared" si="67"/>
        <v>752</v>
      </c>
      <c r="J379" s="1">
        <f t="shared" si="66"/>
        <v>7538</v>
      </c>
      <c r="K379" s="9">
        <f t="shared" si="65"/>
        <v>6.5918653576437586E-2</v>
      </c>
      <c r="L379" s="19">
        <f t="shared" si="63"/>
        <v>-7.8999999999996362</v>
      </c>
    </row>
    <row r="380" spans="1:12" x14ac:dyDescent="0.35">
      <c r="A380" s="2" t="s">
        <v>45</v>
      </c>
      <c r="B380" t="s">
        <v>46</v>
      </c>
      <c r="C380" s="21" t="s">
        <v>275</v>
      </c>
      <c r="D380" s="4">
        <v>11</v>
      </c>
      <c r="E380" s="75">
        <v>11400.1</v>
      </c>
      <c r="G380" s="1"/>
      <c r="H380" s="1"/>
      <c r="I380" s="1">
        <f t="shared" si="67"/>
        <v>0</v>
      </c>
      <c r="J380" s="1">
        <f t="shared" si="66"/>
        <v>7538</v>
      </c>
      <c r="K380" s="9" t="e">
        <f t="shared" si="65"/>
        <v>#DIV/0!</v>
      </c>
      <c r="L380" s="19">
        <f t="shared" si="63"/>
        <v>11400.1</v>
      </c>
    </row>
    <row r="381" spans="1:12" x14ac:dyDescent="0.35">
      <c r="A381" s="2" t="s">
        <v>45</v>
      </c>
      <c r="B381" t="s">
        <v>46</v>
      </c>
      <c r="C381" s="21" t="s">
        <v>275</v>
      </c>
      <c r="D381" s="4">
        <v>12</v>
      </c>
      <c r="E381" s="75">
        <v>11400.1</v>
      </c>
      <c r="G381" s="1"/>
      <c r="H381" s="1"/>
      <c r="I381" s="1">
        <f t="shared" si="67"/>
        <v>0</v>
      </c>
      <c r="J381" s="1">
        <f t="shared" si="66"/>
        <v>7538</v>
      </c>
      <c r="K381" s="9" t="e">
        <f t="shared" si="65"/>
        <v>#DIV/0!</v>
      </c>
      <c r="L381" s="19">
        <f t="shared" si="63"/>
        <v>11400.1</v>
      </c>
    </row>
    <row r="382" spans="1:12" x14ac:dyDescent="0.35">
      <c r="A382" s="2" t="s">
        <v>45</v>
      </c>
      <c r="B382" t="s">
        <v>46</v>
      </c>
      <c r="C382" s="21" t="s">
        <v>275</v>
      </c>
      <c r="D382" s="4">
        <v>13</v>
      </c>
      <c r="E382" s="75">
        <v>11400.1</v>
      </c>
      <c r="G382" s="1"/>
      <c r="H382" s="1"/>
      <c r="I382" s="1">
        <f t="shared" si="67"/>
        <v>0</v>
      </c>
      <c r="J382" s="1">
        <f t="shared" si="66"/>
        <v>7538</v>
      </c>
      <c r="K382" s="9" t="e">
        <f t="shared" si="65"/>
        <v>#DIV/0!</v>
      </c>
      <c r="L382" s="19">
        <f t="shared" si="63"/>
        <v>11400.1</v>
      </c>
    </row>
    <row r="383" spans="1:12" x14ac:dyDescent="0.35">
      <c r="A383" s="2" t="s">
        <v>45</v>
      </c>
      <c r="B383" t="s">
        <v>46</v>
      </c>
      <c r="C383" s="21" t="s">
        <v>275</v>
      </c>
      <c r="D383" s="4">
        <v>14</v>
      </c>
      <c r="E383" s="75">
        <v>11400.1</v>
      </c>
      <c r="G383" s="1"/>
      <c r="H383" s="1"/>
      <c r="I383" s="1">
        <f t="shared" si="67"/>
        <v>0</v>
      </c>
      <c r="J383" s="1">
        <f t="shared" si="66"/>
        <v>7538</v>
      </c>
      <c r="K383" s="9" t="e">
        <f t="shared" si="65"/>
        <v>#DIV/0!</v>
      </c>
      <c r="L383" s="19">
        <f t="shared" si="63"/>
        <v>11400.1</v>
      </c>
    </row>
    <row r="384" spans="1:12" x14ac:dyDescent="0.35">
      <c r="A384" s="2" t="s">
        <v>45</v>
      </c>
      <c r="B384" t="s">
        <v>46</v>
      </c>
      <c r="C384" s="21" t="s">
        <v>275</v>
      </c>
      <c r="D384" s="4">
        <v>15</v>
      </c>
      <c r="E384" s="75">
        <v>11400.1</v>
      </c>
      <c r="G384" s="1"/>
      <c r="H384" s="1"/>
      <c r="I384" s="1">
        <f t="shared" si="67"/>
        <v>0</v>
      </c>
      <c r="J384" s="1">
        <f t="shared" si="66"/>
        <v>7538</v>
      </c>
      <c r="K384" s="9" t="e">
        <f t="shared" si="65"/>
        <v>#DIV/0!</v>
      </c>
      <c r="L384" s="19">
        <f t="shared" si="63"/>
        <v>11400.1</v>
      </c>
    </row>
    <row r="385" spans="1:12" ht="15" thickBot="1" x14ac:dyDescent="0.4">
      <c r="A385" s="12" t="s">
        <v>45</v>
      </c>
      <c r="B385" s="13" t="s">
        <v>46</v>
      </c>
      <c r="C385" s="22" t="s">
        <v>275</v>
      </c>
      <c r="D385" s="14">
        <v>16</v>
      </c>
      <c r="E385" s="15">
        <v>11400.1</v>
      </c>
      <c r="F385" s="13"/>
      <c r="G385" s="15"/>
      <c r="H385" s="15"/>
      <c r="I385" s="15">
        <f t="shared" si="67"/>
        <v>0</v>
      </c>
      <c r="J385" s="15">
        <f t="shared" si="66"/>
        <v>7538</v>
      </c>
      <c r="K385" s="13"/>
      <c r="L385" s="24">
        <f t="shared" si="63"/>
        <v>11400.1</v>
      </c>
    </row>
    <row r="386" spans="1:12" x14ac:dyDescent="0.35">
      <c r="A386" s="2" t="s">
        <v>47</v>
      </c>
      <c r="B386" t="s">
        <v>48</v>
      </c>
      <c r="C386" s="21" t="s">
        <v>275</v>
      </c>
      <c r="D386" s="4">
        <v>1</v>
      </c>
      <c r="E386" s="76">
        <v>10184.09</v>
      </c>
      <c r="F386" s="3">
        <v>45898</v>
      </c>
      <c r="G386" s="1">
        <v>10693</v>
      </c>
      <c r="H386" s="1">
        <v>10184.09</v>
      </c>
      <c r="I386" s="1">
        <f t="shared" si="67"/>
        <v>508.90999999999985</v>
      </c>
      <c r="J386" s="1">
        <f>I386</f>
        <v>508.90999999999985</v>
      </c>
      <c r="K386" s="9">
        <f t="shared" ref="K386:K400" si="68">I386/H386</f>
        <v>4.9971082345108872E-2</v>
      </c>
      <c r="L386" s="19">
        <f t="shared" si="63"/>
        <v>0</v>
      </c>
    </row>
    <row r="387" spans="1:12" x14ac:dyDescent="0.35">
      <c r="A387" s="2" t="s">
        <v>47</v>
      </c>
      <c r="B387" t="s">
        <v>48</v>
      </c>
      <c r="C387" s="21" t="s">
        <v>275</v>
      </c>
      <c r="D387" s="4">
        <v>2</v>
      </c>
      <c r="E387" s="76">
        <v>10184.09</v>
      </c>
      <c r="F387" s="3">
        <v>45905</v>
      </c>
      <c r="G387" s="1">
        <v>10693</v>
      </c>
      <c r="H387" s="1">
        <v>10184.09</v>
      </c>
      <c r="I387" s="1">
        <f t="shared" si="67"/>
        <v>508.90999999999985</v>
      </c>
      <c r="J387" s="1">
        <f>J386+I387</f>
        <v>1017.8199999999997</v>
      </c>
      <c r="K387" s="9">
        <f t="shared" si="68"/>
        <v>4.9971082345108872E-2</v>
      </c>
      <c r="L387" s="19">
        <f t="shared" si="63"/>
        <v>0</v>
      </c>
    </row>
    <row r="388" spans="1:12" x14ac:dyDescent="0.35">
      <c r="A388" s="2" t="s">
        <v>47</v>
      </c>
      <c r="B388" t="s">
        <v>48</v>
      </c>
      <c r="C388" s="21" t="s">
        <v>275</v>
      </c>
      <c r="D388" s="4">
        <v>3</v>
      </c>
      <c r="E388" s="76">
        <v>10184.09</v>
      </c>
      <c r="F388" s="3">
        <v>45912</v>
      </c>
      <c r="G388" s="1">
        <v>10693</v>
      </c>
      <c r="H388" s="1">
        <v>10184.09</v>
      </c>
      <c r="I388" s="1">
        <f t="shared" si="67"/>
        <v>508.90999999999985</v>
      </c>
      <c r="J388" s="1">
        <f t="shared" ref="J388:J401" si="69">J387+I388</f>
        <v>1526.7299999999996</v>
      </c>
      <c r="K388" s="9">
        <f t="shared" si="68"/>
        <v>4.9971082345108872E-2</v>
      </c>
      <c r="L388" s="19">
        <f t="shared" si="63"/>
        <v>0</v>
      </c>
    </row>
    <row r="389" spans="1:12" x14ac:dyDescent="0.35">
      <c r="A389" s="2" t="s">
        <v>47</v>
      </c>
      <c r="B389" t="s">
        <v>48</v>
      </c>
      <c r="C389" s="21" t="s">
        <v>275</v>
      </c>
      <c r="D389" s="4">
        <v>4</v>
      </c>
      <c r="E389" s="76">
        <v>10184.09</v>
      </c>
      <c r="F389" s="3">
        <v>45919</v>
      </c>
      <c r="G389" s="1">
        <v>10693</v>
      </c>
      <c r="H389" s="1">
        <v>10184.09</v>
      </c>
      <c r="I389" s="1">
        <f t="shared" si="67"/>
        <v>508.90999999999985</v>
      </c>
      <c r="J389" s="1">
        <f t="shared" si="69"/>
        <v>2035.6399999999994</v>
      </c>
      <c r="K389" s="9">
        <f t="shared" si="68"/>
        <v>4.9971082345108872E-2</v>
      </c>
      <c r="L389" s="19">
        <f t="shared" si="63"/>
        <v>0</v>
      </c>
    </row>
    <row r="390" spans="1:12" x14ac:dyDescent="0.35">
      <c r="A390" s="2" t="s">
        <v>47</v>
      </c>
      <c r="B390" t="s">
        <v>48</v>
      </c>
      <c r="C390" s="21" t="s">
        <v>275</v>
      </c>
      <c r="D390" s="4">
        <v>5</v>
      </c>
      <c r="E390" s="76">
        <v>10184.09</v>
      </c>
      <c r="F390" s="3">
        <v>45926</v>
      </c>
      <c r="G390" s="1">
        <v>10693</v>
      </c>
      <c r="H390" s="1">
        <v>10184.09</v>
      </c>
      <c r="I390" s="1">
        <f t="shared" si="67"/>
        <v>508.90999999999985</v>
      </c>
      <c r="J390" s="1">
        <f t="shared" si="69"/>
        <v>2544.5499999999993</v>
      </c>
      <c r="K390" s="9">
        <f t="shared" si="68"/>
        <v>4.9971082345108872E-2</v>
      </c>
      <c r="L390" s="19">
        <f t="shared" si="63"/>
        <v>0</v>
      </c>
    </row>
    <row r="391" spans="1:12" x14ac:dyDescent="0.35">
      <c r="A391" s="2" t="s">
        <v>47</v>
      </c>
      <c r="B391" t="s">
        <v>48</v>
      </c>
      <c r="C391" s="21" t="s">
        <v>275</v>
      </c>
      <c r="D391" s="4">
        <v>6</v>
      </c>
      <c r="E391" s="76">
        <v>10184.09</v>
      </c>
      <c r="F391" s="3">
        <v>45933</v>
      </c>
      <c r="G391" s="1">
        <v>10693</v>
      </c>
      <c r="H391" s="1">
        <v>10184.09</v>
      </c>
      <c r="I391" s="1">
        <f t="shared" si="67"/>
        <v>508.90999999999985</v>
      </c>
      <c r="J391" s="1">
        <f t="shared" si="69"/>
        <v>3053.4599999999991</v>
      </c>
      <c r="K391" s="9">
        <f t="shared" si="68"/>
        <v>4.9971082345108872E-2</v>
      </c>
      <c r="L391" s="19">
        <f t="shared" si="63"/>
        <v>0</v>
      </c>
    </row>
    <row r="392" spans="1:12" x14ac:dyDescent="0.35">
      <c r="A392" s="2" t="s">
        <v>47</v>
      </c>
      <c r="B392" t="s">
        <v>48</v>
      </c>
      <c r="C392" s="21" t="s">
        <v>275</v>
      </c>
      <c r="D392" s="4">
        <v>7</v>
      </c>
      <c r="E392" s="76">
        <v>10184.09</v>
      </c>
      <c r="F392" s="3">
        <v>45940</v>
      </c>
      <c r="G392" s="1">
        <v>10693</v>
      </c>
      <c r="H392" s="1">
        <v>10184.09</v>
      </c>
      <c r="I392" s="1">
        <f t="shared" si="67"/>
        <v>508.90999999999985</v>
      </c>
      <c r="J392" s="1">
        <f t="shared" si="69"/>
        <v>3562.369999999999</v>
      </c>
      <c r="K392" s="9">
        <f t="shared" si="68"/>
        <v>4.9971082345108872E-2</v>
      </c>
      <c r="L392" s="19">
        <f t="shared" si="63"/>
        <v>0</v>
      </c>
    </row>
    <row r="393" spans="1:12" x14ac:dyDescent="0.35">
      <c r="A393" s="2" t="s">
        <v>47</v>
      </c>
      <c r="B393" t="s">
        <v>48</v>
      </c>
      <c r="C393" s="21" t="s">
        <v>275</v>
      </c>
      <c r="D393" s="4">
        <v>8</v>
      </c>
      <c r="E393" s="76">
        <v>10184.09</v>
      </c>
      <c r="F393" s="3">
        <v>45947</v>
      </c>
      <c r="G393" s="1">
        <v>10693</v>
      </c>
      <c r="H393" s="1">
        <v>10184.09</v>
      </c>
      <c r="I393" s="1">
        <f t="shared" si="67"/>
        <v>508.90999999999985</v>
      </c>
      <c r="J393" s="1">
        <f t="shared" si="69"/>
        <v>4071.2799999999988</v>
      </c>
      <c r="K393" s="9">
        <f t="shared" si="68"/>
        <v>4.9971082345108872E-2</v>
      </c>
      <c r="L393" s="19">
        <f t="shared" si="63"/>
        <v>0</v>
      </c>
    </row>
    <row r="394" spans="1:12" x14ac:dyDescent="0.35">
      <c r="A394" s="2" t="s">
        <v>47</v>
      </c>
      <c r="B394" t="s">
        <v>48</v>
      </c>
      <c r="C394" s="21" t="s">
        <v>275</v>
      </c>
      <c r="D394" s="4">
        <v>9</v>
      </c>
      <c r="E394" s="76">
        <v>10184.09</v>
      </c>
      <c r="F394" s="3">
        <v>45954</v>
      </c>
      <c r="G394" s="1">
        <v>10693</v>
      </c>
      <c r="H394" s="1">
        <v>10184.09</v>
      </c>
      <c r="I394" s="1">
        <f t="shared" si="67"/>
        <v>508.90999999999985</v>
      </c>
      <c r="J394" s="1">
        <f t="shared" si="69"/>
        <v>4580.1899999999987</v>
      </c>
      <c r="K394" s="9">
        <f t="shared" si="68"/>
        <v>4.9971082345108872E-2</v>
      </c>
      <c r="L394" s="19">
        <f t="shared" si="63"/>
        <v>0</v>
      </c>
    </row>
    <row r="395" spans="1:12" x14ac:dyDescent="0.35">
      <c r="A395" s="2" t="s">
        <v>47</v>
      </c>
      <c r="B395" t="s">
        <v>48</v>
      </c>
      <c r="C395" s="21" t="s">
        <v>275</v>
      </c>
      <c r="D395" s="4">
        <v>10</v>
      </c>
      <c r="E395" s="76">
        <v>10184.09</v>
      </c>
      <c r="F395" s="3">
        <v>45961</v>
      </c>
      <c r="G395" s="1">
        <v>10693</v>
      </c>
      <c r="H395" s="1">
        <v>10184.09</v>
      </c>
      <c r="I395" s="1">
        <f t="shared" si="67"/>
        <v>508.90999999999985</v>
      </c>
      <c r="J395" s="1">
        <f t="shared" si="69"/>
        <v>5089.0999999999985</v>
      </c>
      <c r="K395" s="9">
        <f t="shared" si="68"/>
        <v>4.9971082345108872E-2</v>
      </c>
      <c r="L395" s="19">
        <f t="shared" si="63"/>
        <v>0</v>
      </c>
    </row>
    <row r="396" spans="1:12" x14ac:dyDescent="0.35">
      <c r="A396" s="2" t="s">
        <v>47</v>
      </c>
      <c r="B396" t="s">
        <v>48</v>
      </c>
      <c r="C396" s="21" t="s">
        <v>275</v>
      </c>
      <c r="D396" s="4">
        <v>11</v>
      </c>
      <c r="E396" s="76">
        <v>10184.09</v>
      </c>
      <c r="G396" s="1"/>
      <c r="H396" s="1"/>
      <c r="I396" s="1">
        <f t="shared" si="67"/>
        <v>0</v>
      </c>
      <c r="J396" s="1">
        <f t="shared" si="69"/>
        <v>5089.0999999999985</v>
      </c>
      <c r="K396" s="9" t="e">
        <f t="shared" si="68"/>
        <v>#DIV/0!</v>
      </c>
      <c r="L396" s="19">
        <f t="shared" si="63"/>
        <v>10184.09</v>
      </c>
    </row>
    <row r="397" spans="1:12" x14ac:dyDescent="0.35">
      <c r="A397" s="2" t="s">
        <v>47</v>
      </c>
      <c r="B397" t="s">
        <v>48</v>
      </c>
      <c r="C397" s="21" t="s">
        <v>275</v>
      </c>
      <c r="D397" s="4">
        <v>12</v>
      </c>
      <c r="E397" s="76">
        <v>10184.09</v>
      </c>
      <c r="G397" s="1"/>
      <c r="H397" s="1"/>
      <c r="I397" s="1">
        <f t="shared" si="67"/>
        <v>0</v>
      </c>
      <c r="J397" s="1">
        <f t="shared" si="69"/>
        <v>5089.0999999999985</v>
      </c>
      <c r="K397" s="9" t="e">
        <f t="shared" si="68"/>
        <v>#DIV/0!</v>
      </c>
      <c r="L397" s="19">
        <f t="shared" si="63"/>
        <v>10184.09</v>
      </c>
    </row>
    <row r="398" spans="1:12" x14ac:dyDescent="0.35">
      <c r="A398" s="2" t="s">
        <v>47</v>
      </c>
      <c r="B398" t="s">
        <v>48</v>
      </c>
      <c r="C398" s="21" t="s">
        <v>275</v>
      </c>
      <c r="D398" s="4">
        <v>13</v>
      </c>
      <c r="E398" s="76">
        <v>10184.09</v>
      </c>
      <c r="G398" s="1"/>
      <c r="H398" s="1"/>
      <c r="I398" s="1">
        <f t="shared" si="67"/>
        <v>0</v>
      </c>
      <c r="J398" s="1">
        <f t="shared" si="69"/>
        <v>5089.0999999999985</v>
      </c>
      <c r="K398" s="9" t="e">
        <f t="shared" si="68"/>
        <v>#DIV/0!</v>
      </c>
      <c r="L398" s="19">
        <f t="shared" si="63"/>
        <v>10184.09</v>
      </c>
    </row>
    <row r="399" spans="1:12" x14ac:dyDescent="0.35">
      <c r="A399" s="2" t="s">
        <v>47</v>
      </c>
      <c r="B399" t="s">
        <v>48</v>
      </c>
      <c r="C399" s="21" t="s">
        <v>275</v>
      </c>
      <c r="D399" s="4">
        <v>14</v>
      </c>
      <c r="E399" s="76">
        <v>10184.09</v>
      </c>
      <c r="G399" s="1"/>
      <c r="H399" s="1"/>
      <c r="I399" s="1">
        <f t="shared" si="67"/>
        <v>0</v>
      </c>
      <c r="J399" s="1">
        <f t="shared" si="69"/>
        <v>5089.0999999999985</v>
      </c>
      <c r="K399" s="9" t="e">
        <f t="shared" si="68"/>
        <v>#DIV/0!</v>
      </c>
      <c r="L399" s="19">
        <f t="shared" si="63"/>
        <v>10184.09</v>
      </c>
    </row>
    <row r="400" spans="1:12" x14ac:dyDescent="0.35">
      <c r="A400" s="2" t="s">
        <v>47</v>
      </c>
      <c r="B400" t="s">
        <v>48</v>
      </c>
      <c r="C400" s="21" t="s">
        <v>275</v>
      </c>
      <c r="D400" s="4">
        <v>15</v>
      </c>
      <c r="E400" s="76">
        <v>10184.09</v>
      </c>
      <c r="G400" s="1"/>
      <c r="H400" s="1"/>
      <c r="I400" s="1">
        <f t="shared" si="67"/>
        <v>0</v>
      </c>
      <c r="J400" s="1">
        <f t="shared" si="69"/>
        <v>5089.0999999999985</v>
      </c>
      <c r="K400" s="9" t="e">
        <f t="shared" si="68"/>
        <v>#DIV/0!</v>
      </c>
      <c r="L400" s="19">
        <f t="shared" si="63"/>
        <v>10184.09</v>
      </c>
    </row>
    <row r="401" spans="1:12" ht="15" thickBot="1" x14ac:dyDescent="0.4">
      <c r="A401" s="12" t="s">
        <v>47</v>
      </c>
      <c r="B401" s="13" t="s">
        <v>48</v>
      </c>
      <c r="C401" s="22" t="s">
        <v>275</v>
      </c>
      <c r="D401" s="14">
        <v>16</v>
      </c>
      <c r="E401" s="15">
        <v>10184.09</v>
      </c>
      <c r="F401" s="13"/>
      <c r="G401" s="15"/>
      <c r="H401" s="15"/>
      <c r="I401" s="15">
        <f t="shared" si="67"/>
        <v>0</v>
      </c>
      <c r="J401" s="15">
        <f t="shared" si="69"/>
        <v>5089.0999999999985</v>
      </c>
      <c r="K401" s="13"/>
      <c r="L401" s="24">
        <f t="shared" si="63"/>
        <v>10184.09</v>
      </c>
    </row>
    <row r="402" spans="1:12" x14ac:dyDescent="0.35">
      <c r="A402" s="2" t="s">
        <v>49</v>
      </c>
      <c r="B402" t="s">
        <v>50</v>
      </c>
      <c r="C402" s="21" t="s">
        <v>275</v>
      </c>
      <c r="D402" s="4">
        <v>1</v>
      </c>
      <c r="E402" s="77">
        <v>5852.05</v>
      </c>
      <c r="F402" s="3">
        <v>45897</v>
      </c>
      <c r="G402" s="1">
        <v>6160</v>
      </c>
      <c r="H402" s="1">
        <v>5852</v>
      </c>
      <c r="I402" s="1">
        <f t="shared" si="67"/>
        <v>308</v>
      </c>
      <c r="J402" s="1">
        <f>I402</f>
        <v>308</v>
      </c>
      <c r="K402" s="9">
        <f t="shared" ref="K402:K416" si="70">I402/H402</f>
        <v>5.2631578947368418E-2</v>
      </c>
      <c r="L402" s="19">
        <f t="shared" si="63"/>
        <v>5.0000000000181899E-2</v>
      </c>
    </row>
    <row r="403" spans="1:12" x14ac:dyDescent="0.35">
      <c r="A403" s="2" t="s">
        <v>49</v>
      </c>
      <c r="B403" t="s">
        <v>50</v>
      </c>
      <c r="C403" s="21" t="s">
        <v>275</v>
      </c>
      <c r="D403" s="4">
        <v>2</v>
      </c>
      <c r="E403" s="77">
        <v>5852.05</v>
      </c>
      <c r="F403" s="3">
        <v>45904</v>
      </c>
      <c r="G403" s="1">
        <v>6160</v>
      </c>
      <c r="H403" s="1">
        <v>5852</v>
      </c>
      <c r="I403" s="1">
        <f t="shared" si="67"/>
        <v>308</v>
      </c>
      <c r="J403" s="1">
        <f>J402+I403</f>
        <v>616</v>
      </c>
      <c r="K403" s="9">
        <f t="shared" si="70"/>
        <v>5.2631578947368418E-2</v>
      </c>
      <c r="L403" s="19">
        <f t="shared" si="63"/>
        <v>5.0000000000181899E-2</v>
      </c>
    </row>
    <row r="404" spans="1:12" x14ac:dyDescent="0.35">
      <c r="A404" s="2" t="s">
        <v>49</v>
      </c>
      <c r="B404" t="s">
        <v>50</v>
      </c>
      <c r="C404" s="21" t="s">
        <v>275</v>
      </c>
      <c r="D404" s="4">
        <v>3</v>
      </c>
      <c r="E404" s="77">
        <v>5852.05</v>
      </c>
      <c r="F404" s="3">
        <v>45911</v>
      </c>
      <c r="G404" s="1">
        <v>6160</v>
      </c>
      <c r="H404" s="1">
        <v>5852</v>
      </c>
      <c r="I404" s="1">
        <f t="shared" si="67"/>
        <v>308</v>
      </c>
      <c r="J404" s="1">
        <f t="shared" ref="J404:J417" si="71">J403+I404</f>
        <v>924</v>
      </c>
      <c r="K404" s="9">
        <f t="shared" si="70"/>
        <v>5.2631578947368418E-2</v>
      </c>
      <c r="L404" s="19">
        <f t="shared" si="63"/>
        <v>5.0000000000181899E-2</v>
      </c>
    </row>
    <row r="405" spans="1:12" x14ac:dyDescent="0.35">
      <c r="A405" s="2" t="s">
        <v>49</v>
      </c>
      <c r="B405" t="s">
        <v>50</v>
      </c>
      <c r="C405" s="21" t="s">
        <v>275</v>
      </c>
      <c r="D405" s="4">
        <v>4</v>
      </c>
      <c r="E405" s="77">
        <v>5852.05</v>
      </c>
      <c r="F405" s="3">
        <v>45918</v>
      </c>
      <c r="G405" s="1">
        <v>6160</v>
      </c>
      <c r="H405" s="1">
        <v>5852</v>
      </c>
      <c r="I405" s="1">
        <f t="shared" si="67"/>
        <v>308</v>
      </c>
      <c r="J405" s="1">
        <f t="shared" si="71"/>
        <v>1232</v>
      </c>
      <c r="K405" s="9">
        <f t="shared" si="70"/>
        <v>5.2631578947368418E-2</v>
      </c>
      <c r="L405" s="19">
        <f t="shared" si="63"/>
        <v>5.0000000000181899E-2</v>
      </c>
    </row>
    <row r="406" spans="1:12" x14ac:dyDescent="0.35">
      <c r="A406" s="2" t="s">
        <v>49</v>
      </c>
      <c r="B406" t="s">
        <v>50</v>
      </c>
      <c r="C406" s="21" t="s">
        <v>275</v>
      </c>
      <c r="D406" s="4">
        <v>5</v>
      </c>
      <c r="E406" s="77">
        <v>5852.05</v>
      </c>
      <c r="F406" s="3">
        <v>45925</v>
      </c>
      <c r="G406" s="1">
        <v>6160</v>
      </c>
      <c r="H406" s="1">
        <v>5852</v>
      </c>
      <c r="I406" s="1">
        <f t="shared" si="67"/>
        <v>308</v>
      </c>
      <c r="J406" s="1">
        <f t="shared" si="71"/>
        <v>1540</v>
      </c>
      <c r="K406" s="9">
        <f t="shared" si="70"/>
        <v>5.2631578947368418E-2</v>
      </c>
      <c r="L406" s="19">
        <f t="shared" si="63"/>
        <v>5.0000000000181899E-2</v>
      </c>
    </row>
    <row r="407" spans="1:12" x14ac:dyDescent="0.35">
      <c r="A407" s="2" t="s">
        <v>49</v>
      </c>
      <c r="B407" t="s">
        <v>50</v>
      </c>
      <c r="C407" s="21" t="s">
        <v>275</v>
      </c>
      <c r="D407" s="4">
        <v>6</v>
      </c>
      <c r="E407" s="77">
        <v>5852.05</v>
      </c>
      <c r="F407" s="3">
        <v>45932</v>
      </c>
      <c r="G407" s="1">
        <v>6170</v>
      </c>
      <c r="H407" s="1">
        <v>5852</v>
      </c>
      <c r="I407" s="1">
        <f t="shared" si="67"/>
        <v>318</v>
      </c>
      <c r="J407" s="1">
        <f t="shared" si="71"/>
        <v>1858</v>
      </c>
      <c r="K407" s="9">
        <f t="shared" si="70"/>
        <v>5.4340396445659606E-2</v>
      </c>
      <c r="L407" s="19">
        <f t="shared" si="63"/>
        <v>5.0000000000181899E-2</v>
      </c>
    </row>
    <row r="408" spans="1:12" x14ac:dyDescent="0.35">
      <c r="A408" s="2" t="s">
        <v>49</v>
      </c>
      <c r="B408" t="s">
        <v>50</v>
      </c>
      <c r="C408" s="21" t="s">
        <v>275</v>
      </c>
      <c r="D408" s="4">
        <v>7</v>
      </c>
      <c r="E408" s="77">
        <v>5852.05</v>
      </c>
      <c r="F408" s="3">
        <v>45939</v>
      </c>
      <c r="G408" s="1">
        <v>6160</v>
      </c>
      <c r="H408" s="1">
        <v>5852</v>
      </c>
      <c r="I408" s="1">
        <f t="shared" si="67"/>
        <v>308</v>
      </c>
      <c r="J408" s="1">
        <f t="shared" si="71"/>
        <v>2166</v>
      </c>
      <c r="K408" s="9">
        <f t="shared" si="70"/>
        <v>5.2631578947368418E-2</v>
      </c>
      <c r="L408" s="19">
        <f t="shared" si="63"/>
        <v>5.0000000000181899E-2</v>
      </c>
    </row>
    <row r="409" spans="1:12" x14ac:dyDescent="0.35">
      <c r="A409" s="2" t="s">
        <v>49</v>
      </c>
      <c r="B409" t="s">
        <v>50</v>
      </c>
      <c r="C409" s="21" t="s">
        <v>275</v>
      </c>
      <c r="D409" s="4">
        <v>8</v>
      </c>
      <c r="E409" s="77">
        <v>5852.05</v>
      </c>
      <c r="F409" s="3">
        <v>45946</v>
      </c>
      <c r="G409" s="1">
        <v>6200</v>
      </c>
      <c r="H409" s="1">
        <v>5852</v>
      </c>
      <c r="I409" s="1">
        <f t="shared" si="67"/>
        <v>348</v>
      </c>
      <c r="J409" s="1">
        <f t="shared" si="71"/>
        <v>2514</v>
      </c>
      <c r="K409" s="9">
        <f t="shared" si="70"/>
        <v>5.9466848940533154E-2</v>
      </c>
      <c r="L409" s="19">
        <f t="shared" si="63"/>
        <v>5.0000000000181899E-2</v>
      </c>
    </row>
    <row r="410" spans="1:12" x14ac:dyDescent="0.35">
      <c r="A410" s="2" t="s">
        <v>49</v>
      </c>
      <c r="B410" t="s">
        <v>50</v>
      </c>
      <c r="C410" s="21" t="s">
        <v>275</v>
      </c>
      <c r="D410" s="4">
        <v>9</v>
      </c>
      <c r="E410" s="77">
        <v>5852.05</v>
      </c>
      <c r="F410" s="3">
        <v>45953</v>
      </c>
      <c r="G410" s="1">
        <v>6170</v>
      </c>
      <c r="H410" s="1">
        <v>5852</v>
      </c>
      <c r="I410" s="1">
        <f t="shared" si="67"/>
        <v>318</v>
      </c>
      <c r="J410" s="1">
        <f t="shared" si="71"/>
        <v>2832</v>
      </c>
      <c r="K410" s="9">
        <f t="shared" si="70"/>
        <v>5.4340396445659606E-2</v>
      </c>
      <c r="L410" s="19">
        <f t="shared" si="63"/>
        <v>5.0000000000181899E-2</v>
      </c>
    </row>
    <row r="411" spans="1:12" x14ac:dyDescent="0.35">
      <c r="A411" s="2" t="s">
        <v>49</v>
      </c>
      <c r="B411" t="s">
        <v>50</v>
      </c>
      <c r="C411" s="21" t="s">
        <v>275</v>
      </c>
      <c r="D411" s="4">
        <v>10</v>
      </c>
      <c r="E411" s="77">
        <v>5852.05</v>
      </c>
      <c r="F411" s="3">
        <v>45960</v>
      </c>
      <c r="G411" s="1">
        <v>6160</v>
      </c>
      <c r="H411" s="1">
        <v>5832</v>
      </c>
      <c r="I411" s="1">
        <f t="shared" si="67"/>
        <v>328</v>
      </c>
      <c r="J411" s="1">
        <f t="shared" si="71"/>
        <v>3160</v>
      </c>
      <c r="K411" s="9">
        <f t="shared" si="70"/>
        <v>5.6241426611796985E-2</v>
      </c>
      <c r="L411" s="19">
        <f t="shared" si="63"/>
        <v>20.050000000000182</v>
      </c>
    </row>
    <row r="412" spans="1:12" x14ac:dyDescent="0.35">
      <c r="A412" s="2" t="s">
        <v>49</v>
      </c>
      <c r="B412" t="s">
        <v>50</v>
      </c>
      <c r="C412" s="21" t="s">
        <v>275</v>
      </c>
      <c r="D412" s="4">
        <v>11</v>
      </c>
      <c r="E412" s="77">
        <v>5852.05</v>
      </c>
      <c r="F412" s="3">
        <v>45967</v>
      </c>
      <c r="G412" s="1">
        <v>6160</v>
      </c>
      <c r="H412" s="1">
        <v>5832</v>
      </c>
      <c r="I412" s="1">
        <f t="shared" si="67"/>
        <v>328</v>
      </c>
      <c r="J412" s="1">
        <f t="shared" si="71"/>
        <v>3488</v>
      </c>
      <c r="K412" s="9">
        <f t="shared" si="70"/>
        <v>5.6241426611796985E-2</v>
      </c>
      <c r="L412" s="19">
        <f t="shared" si="63"/>
        <v>20.050000000000182</v>
      </c>
    </row>
    <row r="413" spans="1:12" x14ac:dyDescent="0.35">
      <c r="A413" s="2" t="s">
        <v>49</v>
      </c>
      <c r="B413" t="s">
        <v>50</v>
      </c>
      <c r="C413" s="21" t="s">
        <v>275</v>
      </c>
      <c r="D413" s="4">
        <v>12</v>
      </c>
      <c r="E413" s="77">
        <v>5852.05</v>
      </c>
      <c r="G413" s="1"/>
      <c r="H413" s="1"/>
      <c r="I413" s="1">
        <f t="shared" si="67"/>
        <v>0</v>
      </c>
      <c r="J413" s="1">
        <f t="shared" si="71"/>
        <v>3488</v>
      </c>
      <c r="K413" s="9" t="e">
        <f t="shared" si="70"/>
        <v>#DIV/0!</v>
      </c>
      <c r="L413" s="19">
        <f t="shared" si="63"/>
        <v>5852.05</v>
      </c>
    </row>
    <row r="414" spans="1:12" x14ac:dyDescent="0.35">
      <c r="A414" s="2" t="s">
        <v>49</v>
      </c>
      <c r="B414" t="s">
        <v>50</v>
      </c>
      <c r="C414" s="21" t="s">
        <v>275</v>
      </c>
      <c r="D414" s="4">
        <v>13</v>
      </c>
      <c r="E414" s="77">
        <v>5852.05</v>
      </c>
      <c r="G414" s="1"/>
      <c r="H414" s="1"/>
      <c r="I414" s="1">
        <f t="shared" si="67"/>
        <v>0</v>
      </c>
      <c r="J414" s="1">
        <f t="shared" si="71"/>
        <v>3488</v>
      </c>
      <c r="K414" s="9" t="e">
        <f t="shared" si="70"/>
        <v>#DIV/0!</v>
      </c>
      <c r="L414" s="19">
        <f t="shared" si="63"/>
        <v>5852.05</v>
      </c>
    </row>
    <row r="415" spans="1:12" x14ac:dyDescent="0.35">
      <c r="A415" s="2" t="s">
        <v>49</v>
      </c>
      <c r="B415" t="s">
        <v>50</v>
      </c>
      <c r="C415" s="21" t="s">
        <v>275</v>
      </c>
      <c r="D415" s="4">
        <v>14</v>
      </c>
      <c r="E415" s="77">
        <v>5852.05</v>
      </c>
      <c r="G415" s="1"/>
      <c r="H415" s="1"/>
      <c r="I415" s="1">
        <f t="shared" si="67"/>
        <v>0</v>
      </c>
      <c r="J415" s="1">
        <f t="shared" si="71"/>
        <v>3488</v>
      </c>
      <c r="K415" s="9" t="e">
        <f t="shared" si="70"/>
        <v>#DIV/0!</v>
      </c>
      <c r="L415" s="19">
        <f t="shared" si="63"/>
        <v>5852.05</v>
      </c>
    </row>
    <row r="416" spans="1:12" x14ac:dyDescent="0.35">
      <c r="A416" s="2" t="s">
        <v>49</v>
      </c>
      <c r="B416" t="s">
        <v>50</v>
      </c>
      <c r="C416" s="21" t="s">
        <v>275</v>
      </c>
      <c r="D416" s="4">
        <v>15</v>
      </c>
      <c r="E416" s="77">
        <v>5852.05</v>
      </c>
      <c r="G416" s="1"/>
      <c r="H416" s="1"/>
      <c r="I416" s="1">
        <f t="shared" si="67"/>
        <v>0</v>
      </c>
      <c r="J416" s="1">
        <f t="shared" si="71"/>
        <v>3488</v>
      </c>
      <c r="K416" s="9" t="e">
        <f t="shared" si="70"/>
        <v>#DIV/0!</v>
      </c>
      <c r="L416" s="19">
        <f t="shared" si="63"/>
        <v>5852.05</v>
      </c>
    </row>
    <row r="417" spans="1:12" ht="15" thickBot="1" x14ac:dyDescent="0.4">
      <c r="A417" s="12" t="s">
        <v>49</v>
      </c>
      <c r="B417" s="13" t="s">
        <v>50</v>
      </c>
      <c r="C417" s="22" t="s">
        <v>275</v>
      </c>
      <c r="D417" s="14">
        <v>16</v>
      </c>
      <c r="E417" s="15">
        <v>5852.05</v>
      </c>
      <c r="F417" s="13"/>
      <c r="G417" s="15"/>
      <c r="H417" s="15"/>
      <c r="I417" s="15">
        <f t="shared" si="67"/>
        <v>0</v>
      </c>
      <c r="J417" s="15">
        <f t="shared" si="71"/>
        <v>3488</v>
      </c>
      <c r="K417" s="13"/>
      <c r="L417" s="24">
        <f t="shared" si="63"/>
        <v>5852.05</v>
      </c>
    </row>
    <row r="418" spans="1:12" x14ac:dyDescent="0.35">
      <c r="A418" s="2" t="s">
        <v>51</v>
      </c>
      <c r="B418" t="s">
        <v>52</v>
      </c>
      <c r="C418" s="21" t="s">
        <v>275</v>
      </c>
      <c r="D418" s="4">
        <v>1</v>
      </c>
      <c r="E418" s="78">
        <v>12692.11</v>
      </c>
      <c r="F418" s="3">
        <v>45897</v>
      </c>
      <c r="G418" s="1">
        <v>13955</v>
      </c>
      <c r="H418" s="1">
        <v>12696</v>
      </c>
      <c r="I418" s="1">
        <f t="shared" si="67"/>
        <v>1259</v>
      </c>
      <c r="J418" s="1">
        <f>I418</f>
        <v>1259</v>
      </c>
      <c r="K418" s="17">
        <f t="shared" ref="K418:K432" si="72">I418/H418</f>
        <v>9.9165091367359792E-2</v>
      </c>
      <c r="L418" s="19">
        <f t="shared" ref="L418:L481" si="73">E418-H418</f>
        <v>-3.8899999999994179</v>
      </c>
    </row>
    <row r="419" spans="1:12" x14ac:dyDescent="0.35">
      <c r="A419" s="2" t="s">
        <v>51</v>
      </c>
      <c r="B419" t="s">
        <v>52</v>
      </c>
      <c r="C419" s="21" t="s">
        <v>275</v>
      </c>
      <c r="D419" s="4">
        <v>2</v>
      </c>
      <c r="E419" s="78">
        <v>12692.11</v>
      </c>
      <c r="F419" s="3">
        <v>45905</v>
      </c>
      <c r="G419" s="1">
        <v>14045</v>
      </c>
      <c r="H419" s="1">
        <v>12696</v>
      </c>
      <c r="I419" s="1">
        <f t="shared" si="67"/>
        <v>1349</v>
      </c>
      <c r="J419" s="1">
        <f>J418+I419</f>
        <v>2608</v>
      </c>
      <c r="K419" s="9">
        <f t="shared" si="72"/>
        <v>0.10625393824826718</v>
      </c>
      <c r="L419" s="19">
        <f t="shared" si="73"/>
        <v>-3.8899999999994179</v>
      </c>
    </row>
    <row r="420" spans="1:12" x14ac:dyDescent="0.35">
      <c r="A420" s="2" t="s">
        <v>51</v>
      </c>
      <c r="B420" t="s">
        <v>52</v>
      </c>
      <c r="C420" s="21" t="s">
        <v>275</v>
      </c>
      <c r="D420" s="4">
        <v>3</v>
      </c>
      <c r="E420" s="78">
        <v>12692.11</v>
      </c>
      <c r="F420" s="3">
        <v>45912</v>
      </c>
      <c r="G420" s="1">
        <v>13942</v>
      </c>
      <c r="H420" s="1">
        <v>12696</v>
      </c>
      <c r="I420" s="1">
        <f t="shared" si="67"/>
        <v>1246</v>
      </c>
      <c r="J420" s="1">
        <f t="shared" ref="J420:J433" si="74">J419+I420</f>
        <v>3854</v>
      </c>
      <c r="K420" s="9">
        <f t="shared" si="72"/>
        <v>9.8141146817895403E-2</v>
      </c>
      <c r="L420" s="19">
        <f t="shared" si="73"/>
        <v>-3.8899999999994179</v>
      </c>
    </row>
    <row r="421" spans="1:12" x14ac:dyDescent="0.35">
      <c r="A421" s="2" t="s">
        <v>51</v>
      </c>
      <c r="B421" t="s">
        <v>52</v>
      </c>
      <c r="C421" s="21" t="s">
        <v>275</v>
      </c>
      <c r="D421" s="4">
        <v>4</v>
      </c>
      <c r="E421" s="78">
        <v>12692.11</v>
      </c>
      <c r="F421" s="3">
        <v>45919</v>
      </c>
      <c r="G421" s="1">
        <v>14045</v>
      </c>
      <c r="H421" s="1">
        <v>12696</v>
      </c>
      <c r="I421" s="1">
        <f t="shared" si="67"/>
        <v>1349</v>
      </c>
      <c r="J421" s="1">
        <f t="shared" si="74"/>
        <v>5203</v>
      </c>
      <c r="K421" s="9">
        <f t="shared" si="72"/>
        <v>0.10625393824826718</v>
      </c>
      <c r="L421" s="19">
        <f t="shared" si="73"/>
        <v>-3.8899999999994179</v>
      </c>
    </row>
    <row r="422" spans="1:12" x14ac:dyDescent="0.35">
      <c r="A422" s="2" t="s">
        <v>51</v>
      </c>
      <c r="B422" t="s">
        <v>52</v>
      </c>
      <c r="C422" s="21" t="s">
        <v>275</v>
      </c>
      <c r="D422" s="4">
        <v>5</v>
      </c>
      <c r="E422" s="78">
        <v>12692.11</v>
      </c>
      <c r="F422" s="3">
        <v>45926</v>
      </c>
      <c r="G422" s="1">
        <v>14051</v>
      </c>
      <c r="H422" s="1">
        <v>12696</v>
      </c>
      <c r="I422" s="1">
        <f t="shared" si="67"/>
        <v>1355</v>
      </c>
      <c r="J422" s="1">
        <f t="shared" si="74"/>
        <v>6558</v>
      </c>
      <c r="K422" s="9">
        <f t="shared" si="72"/>
        <v>0.10672652804032766</v>
      </c>
      <c r="L422" s="19">
        <f t="shared" si="73"/>
        <v>-3.8899999999994179</v>
      </c>
    </row>
    <row r="423" spans="1:12" x14ac:dyDescent="0.35">
      <c r="A423" s="2" t="s">
        <v>51</v>
      </c>
      <c r="B423" t="s">
        <v>52</v>
      </c>
      <c r="C423" s="21" t="s">
        <v>275</v>
      </c>
      <c r="D423" s="4">
        <v>6</v>
      </c>
      <c r="E423" s="78">
        <v>12692.11</v>
      </c>
      <c r="F423" s="3">
        <v>45933</v>
      </c>
      <c r="G423" s="1">
        <v>14051</v>
      </c>
      <c r="H423" s="1">
        <v>12696</v>
      </c>
      <c r="I423" s="1">
        <f t="shared" si="67"/>
        <v>1355</v>
      </c>
      <c r="J423" s="1">
        <f t="shared" si="74"/>
        <v>7913</v>
      </c>
      <c r="K423" s="9">
        <f t="shared" si="72"/>
        <v>0.10672652804032766</v>
      </c>
      <c r="L423" s="19">
        <f t="shared" si="73"/>
        <v>-3.8899999999994179</v>
      </c>
    </row>
    <row r="424" spans="1:12" x14ac:dyDescent="0.35">
      <c r="A424" s="2" t="s">
        <v>51</v>
      </c>
      <c r="B424" t="s">
        <v>52</v>
      </c>
      <c r="C424" s="21" t="s">
        <v>275</v>
      </c>
      <c r="D424" s="4">
        <v>7</v>
      </c>
      <c r="E424" s="78">
        <v>12692.11</v>
      </c>
      <c r="F424" s="3">
        <v>45940</v>
      </c>
      <c r="G424" s="1">
        <v>14051</v>
      </c>
      <c r="H424" s="1">
        <v>12696</v>
      </c>
      <c r="I424" s="1">
        <f t="shared" si="67"/>
        <v>1355</v>
      </c>
      <c r="J424" s="1">
        <f t="shared" si="74"/>
        <v>9268</v>
      </c>
      <c r="K424" s="9">
        <f t="shared" si="72"/>
        <v>0.10672652804032766</v>
      </c>
      <c r="L424" s="19">
        <f t="shared" si="73"/>
        <v>-3.8899999999994179</v>
      </c>
    </row>
    <row r="425" spans="1:12" x14ac:dyDescent="0.35">
      <c r="A425" s="2" t="s">
        <v>51</v>
      </c>
      <c r="B425" t="s">
        <v>52</v>
      </c>
      <c r="C425" s="21" t="s">
        <v>275</v>
      </c>
      <c r="D425" s="4">
        <v>8</v>
      </c>
      <c r="E425" s="78">
        <v>12692.11</v>
      </c>
      <c r="F425" s="3">
        <v>45947</v>
      </c>
      <c r="G425" s="1">
        <v>14051</v>
      </c>
      <c r="H425" s="1">
        <v>12693</v>
      </c>
      <c r="I425" s="1">
        <f t="shared" si="67"/>
        <v>1358</v>
      </c>
      <c r="J425" s="1">
        <f t="shared" si="74"/>
        <v>10626</v>
      </c>
      <c r="K425" s="9">
        <f t="shared" si="72"/>
        <v>0.10698810367919326</v>
      </c>
      <c r="L425" s="19">
        <f t="shared" si="73"/>
        <v>-0.88999999999941792</v>
      </c>
    </row>
    <row r="426" spans="1:12" x14ac:dyDescent="0.35">
      <c r="A426" s="2" t="s">
        <v>51</v>
      </c>
      <c r="B426" t="s">
        <v>52</v>
      </c>
      <c r="C426" s="21" t="s">
        <v>275</v>
      </c>
      <c r="D426" s="4">
        <v>9</v>
      </c>
      <c r="E426" s="78">
        <v>12692.11</v>
      </c>
      <c r="F426" s="3">
        <v>45954</v>
      </c>
      <c r="G426" s="1">
        <v>13864</v>
      </c>
      <c r="H426" s="1">
        <v>12693</v>
      </c>
      <c r="I426" s="1">
        <f t="shared" si="67"/>
        <v>1171</v>
      </c>
      <c r="J426" s="1">
        <f t="shared" si="74"/>
        <v>11797</v>
      </c>
      <c r="K426" s="9">
        <f t="shared" si="72"/>
        <v>9.2255573938391233E-2</v>
      </c>
      <c r="L426" s="19">
        <f t="shared" si="73"/>
        <v>-0.88999999999941792</v>
      </c>
    </row>
    <row r="427" spans="1:12" x14ac:dyDescent="0.35">
      <c r="A427" s="2" t="s">
        <v>51</v>
      </c>
      <c r="B427" t="s">
        <v>52</v>
      </c>
      <c r="C427" s="21" t="s">
        <v>275</v>
      </c>
      <c r="D427" s="4">
        <v>10</v>
      </c>
      <c r="E427" s="78">
        <v>12692.11</v>
      </c>
      <c r="F427" s="3">
        <v>45961</v>
      </c>
      <c r="G427" s="1">
        <v>13351</v>
      </c>
      <c r="H427" s="1">
        <v>12696</v>
      </c>
      <c r="I427" s="1">
        <f t="shared" si="67"/>
        <v>655</v>
      </c>
      <c r="J427" s="1">
        <f t="shared" si="74"/>
        <v>12452</v>
      </c>
      <c r="K427" s="9">
        <f t="shared" si="72"/>
        <v>5.159105229993699E-2</v>
      </c>
      <c r="L427" s="19">
        <f t="shared" si="73"/>
        <v>-3.8899999999994179</v>
      </c>
    </row>
    <row r="428" spans="1:12" x14ac:dyDescent="0.35">
      <c r="A428" s="2" t="s">
        <v>51</v>
      </c>
      <c r="B428" t="s">
        <v>52</v>
      </c>
      <c r="C428" s="21" t="s">
        <v>275</v>
      </c>
      <c r="D428" s="4">
        <v>11</v>
      </c>
      <c r="E428" s="78">
        <v>12692.11</v>
      </c>
      <c r="F428" s="3">
        <v>45968</v>
      </c>
      <c r="G428" s="1">
        <v>13423</v>
      </c>
      <c r="H428" s="1">
        <v>12696</v>
      </c>
      <c r="I428" s="1">
        <f t="shared" si="67"/>
        <v>727</v>
      </c>
      <c r="J428" s="1">
        <f t="shared" si="74"/>
        <v>13179</v>
      </c>
      <c r="K428" s="9">
        <f t="shared" si="72"/>
        <v>5.7262129804662887E-2</v>
      </c>
      <c r="L428" s="19">
        <f t="shared" si="73"/>
        <v>-3.8899999999994179</v>
      </c>
    </row>
    <row r="429" spans="1:12" x14ac:dyDescent="0.35">
      <c r="A429" s="2" t="s">
        <v>51</v>
      </c>
      <c r="B429" t="s">
        <v>52</v>
      </c>
      <c r="C429" s="21" t="s">
        <v>275</v>
      </c>
      <c r="D429" s="4">
        <v>12</v>
      </c>
      <c r="E429" s="78">
        <v>12692.11</v>
      </c>
      <c r="G429" s="1"/>
      <c r="H429" s="1"/>
      <c r="I429" s="1">
        <f t="shared" si="67"/>
        <v>0</v>
      </c>
      <c r="J429" s="1">
        <f t="shared" si="74"/>
        <v>13179</v>
      </c>
      <c r="K429" s="9" t="e">
        <f t="shared" si="72"/>
        <v>#DIV/0!</v>
      </c>
      <c r="L429" s="19">
        <f t="shared" si="73"/>
        <v>12692.11</v>
      </c>
    </row>
    <row r="430" spans="1:12" x14ac:dyDescent="0.35">
      <c r="A430" s="2" t="s">
        <v>51</v>
      </c>
      <c r="B430" t="s">
        <v>52</v>
      </c>
      <c r="C430" s="21" t="s">
        <v>275</v>
      </c>
      <c r="D430" s="4">
        <v>13</v>
      </c>
      <c r="E430" s="78">
        <v>12692.11</v>
      </c>
      <c r="G430" s="1"/>
      <c r="H430" s="1"/>
      <c r="I430" s="1">
        <f t="shared" si="67"/>
        <v>0</v>
      </c>
      <c r="J430" s="1">
        <f t="shared" si="74"/>
        <v>13179</v>
      </c>
      <c r="K430" s="9" t="e">
        <f t="shared" si="72"/>
        <v>#DIV/0!</v>
      </c>
      <c r="L430" s="19">
        <f t="shared" si="73"/>
        <v>12692.11</v>
      </c>
    </row>
    <row r="431" spans="1:12" x14ac:dyDescent="0.35">
      <c r="A431" s="2" t="s">
        <v>51</v>
      </c>
      <c r="B431" t="s">
        <v>52</v>
      </c>
      <c r="C431" s="21" t="s">
        <v>275</v>
      </c>
      <c r="D431" s="4">
        <v>14</v>
      </c>
      <c r="E431" s="78">
        <v>12692.11</v>
      </c>
      <c r="G431" s="1"/>
      <c r="H431" s="1"/>
      <c r="I431" s="1">
        <f t="shared" si="67"/>
        <v>0</v>
      </c>
      <c r="J431" s="1">
        <f t="shared" si="74"/>
        <v>13179</v>
      </c>
      <c r="K431" s="9" t="e">
        <f t="shared" si="72"/>
        <v>#DIV/0!</v>
      </c>
      <c r="L431" s="19">
        <f t="shared" si="73"/>
        <v>12692.11</v>
      </c>
    </row>
    <row r="432" spans="1:12" x14ac:dyDescent="0.35">
      <c r="A432" s="2" t="s">
        <v>51</v>
      </c>
      <c r="B432" t="s">
        <v>52</v>
      </c>
      <c r="C432" s="21" t="s">
        <v>275</v>
      </c>
      <c r="D432" s="4">
        <v>15</v>
      </c>
      <c r="E432" s="78">
        <v>12692.11</v>
      </c>
      <c r="G432" s="1"/>
      <c r="H432" s="1"/>
      <c r="I432" s="1">
        <f t="shared" si="67"/>
        <v>0</v>
      </c>
      <c r="J432" s="1">
        <f t="shared" si="74"/>
        <v>13179</v>
      </c>
      <c r="K432" s="9" t="e">
        <f t="shared" si="72"/>
        <v>#DIV/0!</v>
      </c>
      <c r="L432" s="19">
        <f t="shared" si="73"/>
        <v>12692.11</v>
      </c>
    </row>
    <row r="433" spans="1:12" ht="15" thickBot="1" x14ac:dyDescent="0.4">
      <c r="A433" s="12" t="s">
        <v>51</v>
      </c>
      <c r="B433" s="13" t="s">
        <v>52</v>
      </c>
      <c r="C433" s="22" t="s">
        <v>275</v>
      </c>
      <c r="D433" s="14">
        <v>16</v>
      </c>
      <c r="E433" s="15">
        <v>12692.11</v>
      </c>
      <c r="F433" s="13"/>
      <c r="G433" s="15"/>
      <c r="H433" s="15"/>
      <c r="I433" s="15">
        <f t="shared" si="67"/>
        <v>0</v>
      </c>
      <c r="J433" s="15">
        <f t="shared" si="74"/>
        <v>13179</v>
      </c>
      <c r="K433" s="13"/>
      <c r="L433" s="24">
        <f t="shared" si="73"/>
        <v>12692.11</v>
      </c>
    </row>
    <row r="434" spans="1:12" x14ac:dyDescent="0.35">
      <c r="A434" s="2" t="s">
        <v>53</v>
      </c>
      <c r="B434" t="s">
        <v>54</v>
      </c>
      <c r="C434" s="21" t="s">
        <v>275</v>
      </c>
      <c r="D434" s="4">
        <v>1</v>
      </c>
      <c r="E434" s="79">
        <v>5320.05</v>
      </c>
      <c r="F434" s="3">
        <v>45898</v>
      </c>
      <c r="G434" s="1">
        <v>5681</v>
      </c>
      <c r="H434" s="1">
        <v>5321</v>
      </c>
      <c r="I434" s="1">
        <f t="shared" si="67"/>
        <v>360</v>
      </c>
      <c r="J434" s="1">
        <f>I434</f>
        <v>360</v>
      </c>
      <c r="K434" s="9">
        <f t="shared" ref="K434:K446" si="75">I434/H434</f>
        <v>6.7656455553467387E-2</v>
      </c>
      <c r="L434" s="19">
        <f t="shared" si="73"/>
        <v>-0.9499999999998181</v>
      </c>
    </row>
    <row r="435" spans="1:12" x14ac:dyDescent="0.35">
      <c r="A435" s="2" t="s">
        <v>53</v>
      </c>
      <c r="B435" t="s">
        <v>54</v>
      </c>
      <c r="C435" s="21" t="s">
        <v>275</v>
      </c>
      <c r="D435" s="4">
        <v>2</v>
      </c>
      <c r="E435" s="79">
        <v>5320.05</v>
      </c>
      <c r="F435" s="3">
        <v>45905</v>
      </c>
      <c r="G435" s="1">
        <v>5681</v>
      </c>
      <c r="H435" s="1">
        <v>5324</v>
      </c>
      <c r="I435" s="1">
        <f t="shared" si="67"/>
        <v>357</v>
      </c>
      <c r="J435" s="1">
        <f>J434+I435</f>
        <v>717</v>
      </c>
      <c r="K435" s="9">
        <f t="shared" si="75"/>
        <v>6.7054845980465821E-2</v>
      </c>
      <c r="L435" s="19">
        <f t="shared" si="73"/>
        <v>-3.9499999999998181</v>
      </c>
    </row>
    <row r="436" spans="1:12" x14ac:dyDescent="0.35">
      <c r="A436" s="2" t="s">
        <v>53</v>
      </c>
      <c r="B436" t="s">
        <v>54</v>
      </c>
      <c r="C436" s="21" t="s">
        <v>275</v>
      </c>
      <c r="D436" s="4">
        <v>3</v>
      </c>
      <c r="E436" s="79">
        <v>5320.05</v>
      </c>
      <c r="F436" s="3">
        <v>45912</v>
      </c>
      <c r="G436" s="1">
        <v>5681</v>
      </c>
      <c r="H436" s="1">
        <v>5324</v>
      </c>
      <c r="I436" s="1">
        <f t="shared" si="67"/>
        <v>357</v>
      </c>
      <c r="J436" s="1">
        <f t="shared" ref="J436:J449" si="76">J435+I436</f>
        <v>1074</v>
      </c>
      <c r="K436" s="9">
        <f t="shared" si="75"/>
        <v>6.7054845980465821E-2</v>
      </c>
      <c r="L436" s="19">
        <f t="shared" si="73"/>
        <v>-3.9499999999998181</v>
      </c>
    </row>
    <row r="437" spans="1:12" x14ac:dyDescent="0.35">
      <c r="A437" s="2" t="s">
        <v>53</v>
      </c>
      <c r="B437" t="s">
        <v>54</v>
      </c>
      <c r="C437" s="21" t="s">
        <v>275</v>
      </c>
      <c r="D437" s="4">
        <v>4</v>
      </c>
      <c r="E437" s="79">
        <v>5320.05</v>
      </c>
      <c r="F437" s="3">
        <v>45919</v>
      </c>
      <c r="G437" s="1">
        <v>5681</v>
      </c>
      <c r="H437" s="1">
        <v>5324</v>
      </c>
      <c r="I437" s="1">
        <f t="shared" si="67"/>
        <v>357</v>
      </c>
      <c r="J437" s="1">
        <f t="shared" si="76"/>
        <v>1431</v>
      </c>
      <c r="K437" s="9">
        <f t="shared" si="75"/>
        <v>6.7054845980465821E-2</v>
      </c>
      <c r="L437" s="19">
        <f t="shared" si="73"/>
        <v>-3.9499999999998181</v>
      </c>
    </row>
    <row r="438" spans="1:12" x14ac:dyDescent="0.35">
      <c r="A438" s="2" t="s">
        <v>53</v>
      </c>
      <c r="B438" t="s">
        <v>54</v>
      </c>
      <c r="C438" s="21" t="s">
        <v>275</v>
      </c>
      <c r="D438" s="4">
        <v>5</v>
      </c>
      <c r="E438" s="79">
        <v>5320.05</v>
      </c>
      <c r="F438" s="3">
        <v>45926</v>
      </c>
      <c r="G438" s="1">
        <v>5681</v>
      </c>
      <c r="H438" s="1">
        <v>5324</v>
      </c>
      <c r="I438" s="1">
        <f t="shared" ref="I438:I501" si="77">G438-H438</f>
        <v>357</v>
      </c>
      <c r="J438" s="1">
        <f t="shared" si="76"/>
        <v>1788</v>
      </c>
      <c r="K438" s="9">
        <f t="shared" si="75"/>
        <v>6.7054845980465821E-2</v>
      </c>
      <c r="L438" s="19">
        <f t="shared" si="73"/>
        <v>-3.9499999999998181</v>
      </c>
    </row>
    <row r="439" spans="1:12" x14ac:dyDescent="0.35">
      <c r="A439" s="2" t="s">
        <v>53</v>
      </c>
      <c r="B439" t="s">
        <v>54</v>
      </c>
      <c r="C439" s="21" t="s">
        <v>275</v>
      </c>
      <c r="D439" s="4">
        <v>6</v>
      </c>
      <c r="E439" s="80">
        <v>4560.04</v>
      </c>
      <c r="F439" s="3">
        <v>45933</v>
      </c>
      <c r="G439" s="1">
        <v>5681</v>
      </c>
      <c r="H439" s="1">
        <v>5324</v>
      </c>
      <c r="I439" s="1">
        <f t="shared" si="77"/>
        <v>357</v>
      </c>
      <c r="J439" s="1">
        <f t="shared" si="76"/>
        <v>2145</v>
      </c>
      <c r="K439" s="9">
        <f t="shared" si="75"/>
        <v>6.7054845980465821E-2</v>
      </c>
      <c r="L439" s="19">
        <f t="shared" si="73"/>
        <v>-763.96</v>
      </c>
    </row>
    <row r="440" spans="1:12" x14ac:dyDescent="0.35">
      <c r="A440" s="2" t="s">
        <v>53</v>
      </c>
      <c r="B440" t="s">
        <v>54</v>
      </c>
      <c r="C440" s="21" t="s">
        <v>275</v>
      </c>
      <c r="D440" s="4">
        <v>7</v>
      </c>
      <c r="E440" s="80">
        <v>4560.04</v>
      </c>
      <c r="F440" s="3">
        <v>45940</v>
      </c>
      <c r="G440" s="1">
        <v>5681</v>
      </c>
      <c r="H440" s="1">
        <v>5321</v>
      </c>
      <c r="I440" s="1">
        <f t="shared" si="77"/>
        <v>360</v>
      </c>
      <c r="J440" s="1">
        <f t="shared" si="76"/>
        <v>2505</v>
      </c>
      <c r="K440" s="9">
        <f t="shared" si="75"/>
        <v>6.7656455553467387E-2</v>
      </c>
      <c r="L440" s="19">
        <f t="shared" si="73"/>
        <v>-760.96</v>
      </c>
    </row>
    <row r="441" spans="1:12" x14ac:dyDescent="0.35">
      <c r="A441" s="2" t="s">
        <v>53</v>
      </c>
      <c r="B441" t="s">
        <v>54</v>
      </c>
      <c r="C441" s="21" t="s">
        <v>275</v>
      </c>
      <c r="D441" s="4">
        <v>8</v>
      </c>
      <c r="E441" s="80">
        <v>4560.04</v>
      </c>
      <c r="F441" s="3">
        <v>45947</v>
      </c>
      <c r="G441" s="1">
        <v>5681</v>
      </c>
      <c r="H441" s="1">
        <v>5324</v>
      </c>
      <c r="I441" s="1">
        <f t="shared" si="77"/>
        <v>357</v>
      </c>
      <c r="J441" s="1">
        <f t="shared" si="76"/>
        <v>2862</v>
      </c>
      <c r="K441" s="9">
        <f t="shared" si="75"/>
        <v>6.7054845980465821E-2</v>
      </c>
      <c r="L441" s="19">
        <f t="shared" si="73"/>
        <v>-763.96</v>
      </c>
    </row>
    <row r="442" spans="1:12" x14ac:dyDescent="0.35">
      <c r="A442" s="2" t="s">
        <v>53</v>
      </c>
      <c r="B442" t="s">
        <v>54</v>
      </c>
      <c r="C442" s="21" t="s">
        <v>275</v>
      </c>
      <c r="D442" s="4">
        <v>9</v>
      </c>
      <c r="E442" s="80">
        <v>4560.04</v>
      </c>
      <c r="F442" s="3">
        <v>45954</v>
      </c>
      <c r="G442" s="1">
        <v>5681</v>
      </c>
      <c r="H442" s="1">
        <v>5324</v>
      </c>
      <c r="I442" s="1">
        <f t="shared" si="77"/>
        <v>357</v>
      </c>
      <c r="J442" s="1">
        <f t="shared" si="76"/>
        <v>3219</v>
      </c>
      <c r="K442" s="9">
        <f t="shared" si="75"/>
        <v>6.7054845980465821E-2</v>
      </c>
      <c r="L442" s="19">
        <f t="shared" si="73"/>
        <v>-763.96</v>
      </c>
    </row>
    <row r="443" spans="1:12" x14ac:dyDescent="0.35">
      <c r="A443" s="2" t="s">
        <v>53</v>
      </c>
      <c r="B443" t="s">
        <v>54</v>
      </c>
      <c r="C443" s="21" t="s">
        <v>275</v>
      </c>
      <c r="D443" s="4">
        <v>10</v>
      </c>
      <c r="E443" s="80">
        <v>4560.04</v>
      </c>
      <c r="F443" s="3">
        <v>45961</v>
      </c>
      <c r="G443" s="1">
        <v>4881</v>
      </c>
      <c r="H443" s="1">
        <v>4524</v>
      </c>
      <c r="I443" s="1">
        <f t="shared" si="77"/>
        <v>357</v>
      </c>
      <c r="J443" s="1">
        <f t="shared" si="76"/>
        <v>3576</v>
      </c>
      <c r="K443" s="9">
        <f t="shared" si="75"/>
        <v>7.8912466843501325E-2</v>
      </c>
      <c r="L443" s="19">
        <f t="shared" si="73"/>
        <v>36.039999999999964</v>
      </c>
    </row>
    <row r="444" spans="1:12" x14ac:dyDescent="0.35">
      <c r="A444" s="2" t="s">
        <v>53</v>
      </c>
      <c r="B444" t="s">
        <v>54</v>
      </c>
      <c r="C444" s="21" t="s">
        <v>275</v>
      </c>
      <c r="D444" s="4">
        <v>11</v>
      </c>
      <c r="E444" s="80">
        <v>4560.04</v>
      </c>
      <c r="F444" s="3">
        <v>45968</v>
      </c>
      <c r="G444" s="1">
        <v>4881</v>
      </c>
      <c r="H444" s="1">
        <v>4563</v>
      </c>
      <c r="I444" s="1">
        <f t="shared" si="77"/>
        <v>318</v>
      </c>
      <c r="J444" s="1">
        <f t="shared" si="76"/>
        <v>3894</v>
      </c>
      <c r="K444" s="9">
        <f t="shared" si="75"/>
        <v>6.9690992767915849E-2</v>
      </c>
      <c r="L444" s="19">
        <f t="shared" si="73"/>
        <v>-2.9600000000000364</v>
      </c>
    </row>
    <row r="445" spans="1:12" x14ac:dyDescent="0.35">
      <c r="A445" s="2" t="s">
        <v>53</v>
      </c>
      <c r="B445" t="s">
        <v>54</v>
      </c>
      <c r="C445" s="21" t="s">
        <v>275</v>
      </c>
      <c r="D445" s="4">
        <v>12</v>
      </c>
      <c r="E445" s="80">
        <v>4560.04</v>
      </c>
      <c r="G445" s="1"/>
      <c r="H445" s="1"/>
      <c r="I445" s="1">
        <f t="shared" si="77"/>
        <v>0</v>
      </c>
      <c r="J445" s="1">
        <f t="shared" si="76"/>
        <v>3894</v>
      </c>
      <c r="K445" s="9" t="e">
        <f t="shared" si="75"/>
        <v>#DIV/0!</v>
      </c>
      <c r="L445" s="19">
        <f t="shared" si="73"/>
        <v>4560.04</v>
      </c>
    </row>
    <row r="446" spans="1:12" x14ac:dyDescent="0.35">
      <c r="A446" s="2" t="s">
        <v>53</v>
      </c>
      <c r="B446" t="s">
        <v>54</v>
      </c>
      <c r="C446" s="21" t="s">
        <v>275</v>
      </c>
      <c r="D446" s="4">
        <v>13</v>
      </c>
      <c r="E446" s="80">
        <v>4560.04</v>
      </c>
      <c r="G446" s="1"/>
      <c r="H446" s="1"/>
      <c r="I446" s="1">
        <f t="shared" si="77"/>
        <v>0</v>
      </c>
      <c r="J446" s="1">
        <f t="shared" si="76"/>
        <v>3894</v>
      </c>
      <c r="K446" s="9" t="e">
        <f t="shared" si="75"/>
        <v>#DIV/0!</v>
      </c>
      <c r="L446" s="19">
        <f t="shared" si="73"/>
        <v>4560.04</v>
      </c>
    </row>
    <row r="447" spans="1:12" x14ac:dyDescent="0.35">
      <c r="A447" s="2" t="s">
        <v>53</v>
      </c>
      <c r="B447" t="s">
        <v>54</v>
      </c>
      <c r="C447" s="21" t="s">
        <v>275</v>
      </c>
      <c r="D447" s="4">
        <v>14</v>
      </c>
      <c r="E447" s="80">
        <v>4560.04</v>
      </c>
      <c r="G447" s="1"/>
      <c r="H447" s="1"/>
      <c r="I447" s="1">
        <f t="shared" si="77"/>
        <v>0</v>
      </c>
      <c r="J447" s="1">
        <f t="shared" si="76"/>
        <v>3894</v>
      </c>
      <c r="L447" s="19">
        <f t="shared" si="73"/>
        <v>4560.04</v>
      </c>
    </row>
    <row r="448" spans="1:12" x14ac:dyDescent="0.35">
      <c r="A448" s="2" t="s">
        <v>53</v>
      </c>
      <c r="B448" t="s">
        <v>54</v>
      </c>
      <c r="C448" s="21" t="s">
        <v>275</v>
      </c>
      <c r="D448" s="4">
        <v>15</v>
      </c>
      <c r="E448" s="80">
        <v>4560.04</v>
      </c>
      <c r="G448" s="1"/>
      <c r="H448" s="1"/>
      <c r="I448" s="1">
        <f t="shared" si="77"/>
        <v>0</v>
      </c>
      <c r="J448" s="1">
        <f t="shared" si="76"/>
        <v>3894</v>
      </c>
      <c r="L448" s="19">
        <f t="shared" si="73"/>
        <v>4560.04</v>
      </c>
    </row>
    <row r="449" spans="1:12" ht="15" thickBot="1" x14ac:dyDescent="0.4">
      <c r="A449" s="12" t="s">
        <v>53</v>
      </c>
      <c r="B449" s="13" t="s">
        <v>54</v>
      </c>
      <c r="C449" s="22" t="s">
        <v>275</v>
      </c>
      <c r="D449" s="14">
        <v>16</v>
      </c>
      <c r="E449" s="86">
        <v>4560.04</v>
      </c>
      <c r="F449" s="13"/>
      <c r="G449" s="15"/>
      <c r="H449" s="15"/>
      <c r="I449" s="15">
        <f t="shared" si="77"/>
        <v>0</v>
      </c>
      <c r="J449" s="15">
        <f t="shared" si="76"/>
        <v>3894</v>
      </c>
      <c r="K449" s="13"/>
      <c r="L449" s="24">
        <f t="shared" si="73"/>
        <v>4560.04</v>
      </c>
    </row>
    <row r="450" spans="1:12" x14ac:dyDescent="0.35">
      <c r="A450" s="2" t="s">
        <v>55</v>
      </c>
      <c r="B450" t="s">
        <v>56</v>
      </c>
      <c r="C450" s="21" t="s">
        <v>275</v>
      </c>
      <c r="D450" s="4">
        <v>1</v>
      </c>
      <c r="E450" s="82">
        <v>7068.06</v>
      </c>
      <c r="F450" s="3">
        <v>45903</v>
      </c>
      <c r="G450" s="1">
        <v>7593</v>
      </c>
      <c r="H450" s="1">
        <v>7077</v>
      </c>
      <c r="I450" s="1">
        <f t="shared" si="77"/>
        <v>516</v>
      </c>
      <c r="J450" s="1">
        <f>I450</f>
        <v>516</v>
      </c>
      <c r="K450" s="9">
        <f t="shared" ref="K450:K464" si="78">I450/H450</f>
        <v>7.2912250953793986E-2</v>
      </c>
      <c r="L450" s="19">
        <f t="shared" si="73"/>
        <v>-8.9399999999995998</v>
      </c>
    </row>
    <row r="451" spans="1:12" x14ac:dyDescent="0.35">
      <c r="A451" s="2" t="s">
        <v>55</v>
      </c>
      <c r="B451" t="s">
        <v>56</v>
      </c>
      <c r="C451" s="21" t="s">
        <v>275</v>
      </c>
      <c r="D451" s="4">
        <v>2</v>
      </c>
      <c r="E451" s="82">
        <v>7068.06</v>
      </c>
      <c r="F451" s="3">
        <v>45910</v>
      </c>
      <c r="G451" s="1">
        <v>7722</v>
      </c>
      <c r="H451" s="1">
        <v>7077</v>
      </c>
      <c r="I451" s="1">
        <f t="shared" si="77"/>
        <v>645</v>
      </c>
      <c r="J451" s="1">
        <f>J450+I451</f>
        <v>1161</v>
      </c>
      <c r="K451" s="9">
        <f t="shared" si="78"/>
        <v>9.1140313692242472E-2</v>
      </c>
      <c r="L451" s="19">
        <f t="shared" si="73"/>
        <v>-8.9399999999995998</v>
      </c>
    </row>
    <row r="452" spans="1:12" x14ac:dyDescent="0.35">
      <c r="A452" s="2" t="s">
        <v>55</v>
      </c>
      <c r="B452" t="s">
        <v>56</v>
      </c>
      <c r="C452" s="21" t="s">
        <v>275</v>
      </c>
      <c r="D452" s="4">
        <v>3</v>
      </c>
      <c r="E452" s="82">
        <v>7068.06</v>
      </c>
      <c r="F452" s="3">
        <v>45917</v>
      </c>
      <c r="G452" s="1">
        <v>7722</v>
      </c>
      <c r="H452" s="1">
        <v>7069</v>
      </c>
      <c r="I452" s="1">
        <f t="shared" si="77"/>
        <v>653</v>
      </c>
      <c r="J452" s="1">
        <f t="shared" ref="J452:J465" si="79">J451+I452</f>
        <v>1814</v>
      </c>
      <c r="K452" s="9">
        <f t="shared" si="78"/>
        <v>9.2375159145565142E-2</v>
      </c>
      <c r="L452" s="19">
        <f t="shared" si="73"/>
        <v>-0.93999999999959982</v>
      </c>
    </row>
    <row r="453" spans="1:12" x14ac:dyDescent="0.35">
      <c r="A453" s="2" t="s">
        <v>55</v>
      </c>
      <c r="B453" t="s">
        <v>56</v>
      </c>
      <c r="C453" s="21" t="s">
        <v>275</v>
      </c>
      <c r="D453" s="4">
        <v>4</v>
      </c>
      <c r="E453" s="82">
        <v>7068.06</v>
      </c>
      <c r="F453" s="3">
        <v>45924</v>
      </c>
      <c r="G453" s="1">
        <v>7776</v>
      </c>
      <c r="H453" s="1">
        <v>7069</v>
      </c>
      <c r="I453" s="1">
        <f t="shared" si="77"/>
        <v>707</v>
      </c>
      <c r="J453" s="1">
        <f t="shared" si="79"/>
        <v>2521</v>
      </c>
      <c r="K453" s="9">
        <f t="shared" si="78"/>
        <v>0.10001414627245721</v>
      </c>
      <c r="L453" s="19">
        <f t="shared" si="73"/>
        <v>-0.93999999999959982</v>
      </c>
    </row>
    <row r="454" spans="1:12" x14ac:dyDescent="0.35">
      <c r="A454" s="2" t="s">
        <v>55</v>
      </c>
      <c r="B454" t="s">
        <v>56</v>
      </c>
      <c r="C454" s="21" t="s">
        <v>275</v>
      </c>
      <c r="D454" s="4">
        <v>5</v>
      </c>
      <c r="E454" s="82">
        <v>7068.06</v>
      </c>
      <c r="F454" s="3">
        <v>45931</v>
      </c>
      <c r="G454" s="1">
        <v>7753</v>
      </c>
      <c r="H454" s="1">
        <v>7077</v>
      </c>
      <c r="I454" s="1">
        <f t="shared" si="77"/>
        <v>676</v>
      </c>
      <c r="J454" s="1">
        <f t="shared" si="79"/>
        <v>3197</v>
      </c>
      <c r="K454" s="9">
        <f t="shared" si="78"/>
        <v>9.5520700861947153E-2</v>
      </c>
      <c r="L454" s="19">
        <f t="shared" si="73"/>
        <v>-8.9399999999995998</v>
      </c>
    </row>
    <row r="455" spans="1:12" x14ac:dyDescent="0.35">
      <c r="A455" s="2" t="s">
        <v>55</v>
      </c>
      <c r="B455" t="s">
        <v>56</v>
      </c>
      <c r="C455" s="21" t="s">
        <v>275</v>
      </c>
      <c r="D455" s="4">
        <v>6</v>
      </c>
      <c r="E455" s="82">
        <v>7068.06</v>
      </c>
      <c r="F455" s="3">
        <v>45938</v>
      </c>
      <c r="G455" s="1">
        <v>7756</v>
      </c>
      <c r="H455" s="1">
        <v>7070</v>
      </c>
      <c r="I455" s="1">
        <f t="shared" si="77"/>
        <v>686</v>
      </c>
      <c r="J455" s="1">
        <f t="shared" si="79"/>
        <v>3883</v>
      </c>
      <c r="K455" s="9">
        <f t="shared" si="78"/>
        <v>9.7029702970297033E-2</v>
      </c>
      <c r="L455" s="19">
        <f t="shared" si="73"/>
        <v>-1.9399999999995998</v>
      </c>
    </row>
    <row r="456" spans="1:12" x14ac:dyDescent="0.35">
      <c r="A456" s="2" t="s">
        <v>55</v>
      </c>
      <c r="B456" t="s">
        <v>56</v>
      </c>
      <c r="C456" s="21" t="s">
        <v>275</v>
      </c>
      <c r="D456" s="4">
        <v>7</v>
      </c>
      <c r="E456" s="82">
        <v>7068.06</v>
      </c>
      <c r="F456" s="3">
        <v>45947</v>
      </c>
      <c r="G456" s="1">
        <v>7784</v>
      </c>
      <c r="H456" s="1">
        <v>7077</v>
      </c>
      <c r="I456" s="1">
        <f t="shared" si="77"/>
        <v>707</v>
      </c>
      <c r="J456" s="1">
        <f t="shared" si="79"/>
        <v>4590</v>
      </c>
      <c r="K456" s="9">
        <f t="shared" si="78"/>
        <v>9.9901088031651833E-2</v>
      </c>
      <c r="L456" s="19">
        <f t="shared" si="73"/>
        <v>-8.9399999999995998</v>
      </c>
    </row>
    <row r="457" spans="1:12" x14ac:dyDescent="0.35">
      <c r="A457" s="2" t="s">
        <v>55</v>
      </c>
      <c r="B457" t="s">
        <v>56</v>
      </c>
      <c r="C457" s="21" t="s">
        <v>275</v>
      </c>
      <c r="D457" s="4">
        <v>8</v>
      </c>
      <c r="E457" s="82">
        <v>7068.06</v>
      </c>
      <c r="F457" s="3">
        <v>45952</v>
      </c>
      <c r="G457" s="1">
        <v>7957</v>
      </c>
      <c r="H457" s="1">
        <v>7070</v>
      </c>
      <c r="I457" s="1">
        <f t="shared" si="77"/>
        <v>887</v>
      </c>
      <c r="J457" s="1">
        <f t="shared" si="79"/>
        <v>5477</v>
      </c>
      <c r="K457" s="9">
        <f t="shared" si="78"/>
        <v>0.12545968882602546</v>
      </c>
      <c r="L457" s="19">
        <f t="shared" si="73"/>
        <v>-1.9399999999995998</v>
      </c>
    </row>
    <row r="458" spans="1:12" x14ac:dyDescent="0.35">
      <c r="A458" s="2" t="s">
        <v>55</v>
      </c>
      <c r="B458" t="s">
        <v>56</v>
      </c>
      <c r="C458" s="21" t="s">
        <v>275</v>
      </c>
      <c r="D458" s="4">
        <v>9</v>
      </c>
      <c r="E458" s="82">
        <v>7068.06</v>
      </c>
      <c r="F458" s="3">
        <v>45959</v>
      </c>
      <c r="G458" s="1">
        <v>8073</v>
      </c>
      <c r="H458" s="1">
        <v>7077</v>
      </c>
      <c r="I458" s="1">
        <f t="shared" si="77"/>
        <v>996</v>
      </c>
      <c r="J458" s="1">
        <f t="shared" si="79"/>
        <v>6473</v>
      </c>
      <c r="K458" s="9">
        <f t="shared" si="78"/>
        <v>0.1407376006782535</v>
      </c>
      <c r="L458" s="19">
        <f t="shared" si="73"/>
        <v>-8.9399999999995998</v>
      </c>
    </row>
    <row r="459" spans="1:12" x14ac:dyDescent="0.35">
      <c r="A459" s="2" t="s">
        <v>55</v>
      </c>
      <c r="B459" t="s">
        <v>56</v>
      </c>
      <c r="C459" s="21" t="s">
        <v>275</v>
      </c>
      <c r="D459" s="4">
        <v>10</v>
      </c>
      <c r="E459" s="82">
        <v>7068.06</v>
      </c>
      <c r="F459" s="3">
        <v>45966</v>
      </c>
      <c r="G459" s="1">
        <v>7998</v>
      </c>
      <c r="H459" s="1">
        <v>7077</v>
      </c>
      <c r="I459" s="1">
        <f t="shared" si="77"/>
        <v>921</v>
      </c>
      <c r="J459" s="1">
        <f t="shared" si="79"/>
        <v>7394</v>
      </c>
      <c r="K459" s="9">
        <f t="shared" si="78"/>
        <v>0.13013988978380669</v>
      </c>
      <c r="L459" s="19">
        <f t="shared" si="73"/>
        <v>-8.9399999999995998</v>
      </c>
    </row>
    <row r="460" spans="1:12" x14ac:dyDescent="0.35">
      <c r="A460" s="2" t="s">
        <v>55</v>
      </c>
      <c r="B460" t="s">
        <v>56</v>
      </c>
      <c r="C460" s="21" t="s">
        <v>275</v>
      </c>
      <c r="D460" s="4">
        <v>11</v>
      </c>
      <c r="E460" s="82">
        <v>7068.06</v>
      </c>
      <c r="G460" s="1"/>
      <c r="H460" s="1"/>
      <c r="I460" s="1">
        <f t="shared" si="77"/>
        <v>0</v>
      </c>
      <c r="J460" s="1">
        <f t="shared" si="79"/>
        <v>7394</v>
      </c>
      <c r="K460" s="9" t="e">
        <f t="shared" si="78"/>
        <v>#DIV/0!</v>
      </c>
      <c r="L460" s="19">
        <f t="shared" si="73"/>
        <v>7068.06</v>
      </c>
    </row>
    <row r="461" spans="1:12" x14ac:dyDescent="0.35">
      <c r="A461" s="2" t="s">
        <v>55</v>
      </c>
      <c r="B461" t="s">
        <v>56</v>
      </c>
      <c r="C461" s="21" t="s">
        <v>275</v>
      </c>
      <c r="D461" s="4">
        <v>12</v>
      </c>
      <c r="E461" s="82">
        <v>7068.06</v>
      </c>
      <c r="G461" s="1"/>
      <c r="H461" s="1"/>
      <c r="I461" s="1">
        <f t="shared" si="77"/>
        <v>0</v>
      </c>
      <c r="J461" s="1">
        <f t="shared" si="79"/>
        <v>7394</v>
      </c>
      <c r="K461" s="9" t="e">
        <f t="shared" si="78"/>
        <v>#DIV/0!</v>
      </c>
      <c r="L461" s="19">
        <f t="shared" si="73"/>
        <v>7068.06</v>
      </c>
    </row>
    <row r="462" spans="1:12" x14ac:dyDescent="0.35">
      <c r="A462" s="2" t="s">
        <v>55</v>
      </c>
      <c r="B462" t="s">
        <v>56</v>
      </c>
      <c r="C462" s="21" t="s">
        <v>275</v>
      </c>
      <c r="D462" s="4">
        <v>13</v>
      </c>
      <c r="E462" s="82">
        <v>7068.06</v>
      </c>
      <c r="G462" s="1"/>
      <c r="H462" s="1"/>
      <c r="I462" s="1">
        <f t="shared" si="77"/>
        <v>0</v>
      </c>
      <c r="J462" s="1">
        <f t="shared" si="79"/>
        <v>7394</v>
      </c>
      <c r="K462" s="9" t="e">
        <f t="shared" si="78"/>
        <v>#DIV/0!</v>
      </c>
      <c r="L462" s="19">
        <f t="shared" si="73"/>
        <v>7068.06</v>
      </c>
    </row>
    <row r="463" spans="1:12" x14ac:dyDescent="0.35">
      <c r="A463" s="2" t="s">
        <v>55</v>
      </c>
      <c r="B463" t="s">
        <v>56</v>
      </c>
      <c r="C463" s="21" t="s">
        <v>275</v>
      </c>
      <c r="D463" s="4">
        <v>14</v>
      </c>
      <c r="E463" s="82">
        <v>7068.06</v>
      </c>
      <c r="G463" s="1"/>
      <c r="H463" s="1"/>
      <c r="I463" s="1">
        <f t="shared" si="77"/>
        <v>0</v>
      </c>
      <c r="J463" s="1">
        <f t="shared" si="79"/>
        <v>7394</v>
      </c>
      <c r="K463" s="9" t="e">
        <f t="shared" si="78"/>
        <v>#DIV/0!</v>
      </c>
      <c r="L463" s="19">
        <f t="shared" si="73"/>
        <v>7068.06</v>
      </c>
    </row>
    <row r="464" spans="1:12" x14ac:dyDescent="0.35">
      <c r="A464" s="2" t="s">
        <v>55</v>
      </c>
      <c r="B464" t="s">
        <v>56</v>
      </c>
      <c r="C464" s="21" t="s">
        <v>275</v>
      </c>
      <c r="D464" s="4">
        <v>15</v>
      </c>
      <c r="E464" s="82">
        <v>7068.06</v>
      </c>
      <c r="G464" s="1"/>
      <c r="H464" s="1"/>
      <c r="I464" s="1">
        <f t="shared" si="77"/>
        <v>0</v>
      </c>
      <c r="J464" s="1">
        <f t="shared" si="79"/>
        <v>7394</v>
      </c>
      <c r="K464" s="9" t="e">
        <f t="shared" si="78"/>
        <v>#DIV/0!</v>
      </c>
      <c r="L464" s="19">
        <f t="shared" si="73"/>
        <v>7068.06</v>
      </c>
    </row>
    <row r="465" spans="1:12" ht="15" thickBot="1" x14ac:dyDescent="0.4">
      <c r="A465" s="12" t="s">
        <v>55</v>
      </c>
      <c r="B465" s="13" t="s">
        <v>56</v>
      </c>
      <c r="C465" s="22" t="s">
        <v>275</v>
      </c>
      <c r="D465" s="14">
        <v>16</v>
      </c>
      <c r="E465" s="15">
        <v>7068.06</v>
      </c>
      <c r="F465" s="13"/>
      <c r="G465" s="15"/>
      <c r="H465" s="15"/>
      <c r="I465" s="15">
        <f t="shared" si="77"/>
        <v>0</v>
      </c>
      <c r="J465" s="15">
        <f t="shared" si="79"/>
        <v>7394</v>
      </c>
      <c r="K465" s="13"/>
      <c r="L465" s="24">
        <f t="shared" si="73"/>
        <v>7068.06</v>
      </c>
    </row>
    <row r="466" spans="1:12" x14ac:dyDescent="0.35">
      <c r="A466" s="2" t="s">
        <v>57</v>
      </c>
      <c r="B466" t="s">
        <v>58</v>
      </c>
      <c r="C466" s="21" t="s">
        <v>275</v>
      </c>
      <c r="D466" s="4">
        <v>1</v>
      </c>
      <c r="E466" s="87">
        <v>9804.09</v>
      </c>
      <c r="F466" s="3">
        <v>45902</v>
      </c>
      <c r="G466" s="1">
        <v>10394</v>
      </c>
      <c r="H466" s="1">
        <v>9804</v>
      </c>
      <c r="I466" s="1">
        <f t="shared" si="77"/>
        <v>590</v>
      </c>
      <c r="J466" s="1">
        <f>I466</f>
        <v>590</v>
      </c>
      <c r="K466" s="9">
        <f t="shared" ref="K466:K480" si="80">I466/H466</f>
        <v>6.0179518563851488E-2</v>
      </c>
      <c r="L466" s="19">
        <f t="shared" si="73"/>
        <v>9.0000000000145519E-2</v>
      </c>
    </row>
    <row r="467" spans="1:12" x14ac:dyDescent="0.35">
      <c r="A467" s="2" t="s">
        <v>57</v>
      </c>
      <c r="B467" t="s">
        <v>58</v>
      </c>
      <c r="C467" s="21" t="s">
        <v>275</v>
      </c>
      <c r="D467" s="4">
        <v>2</v>
      </c>
      <c r="E467" s="87">
        <v>9804.09</v>
      </c>
      <c r="F467" s="3">
        <v>45909</v>
      </c>
      <c r="G467" s="1">
        <v>10394</v>
      </c>
      <c r="H467" s="1">
        <v>9804</v>
      </c>
      <c r="I467" s="1">
        <f t="shared" si="77"/>
        <v>590</v>
      </c>
      <c r="J467" s="1">
        <f>J466+I467</f>
        <v>1180</v>
      </c>
      <c r="K467" s="9">
        <f t="shared" si="80"/>
        <v>6.0179518563851488E-2</v>
      </c>
      <c r="L467" s="19">
        <f t="shared" si="73"/>
        <v>9.0000000000145519E-2</v>
      </c>
    </row>
    <row r="468" spans="1:12" x14ac:dyDescent="0.35">
      <c r="A468" s="2" t="s">
        <v>57</v>
      </c>
      <c r="B468" t="s">
        <v>58</v>
      </c>
      <c r="C468" s="21" t="s">
        <v>275</v>
      </c>
      <c r="D468" s="4">
        <v>3</v>
      </c>
      <c r="E468" s="87">
        <v>9804.09</v>
      </c>
      <c r="F468" s="3">
        <v>45916</v>
      </c>
      <c r="G468" s="1">
        <v>10415</v>
      </c>
      <c r="H468" s="1">
        <v>9804</v>
      </c>
      <c r="I468" s="1">
        <f t="shared" si="77"/>
        <v>611</v>
      </c>
      <c r="J468" s="1">
        <f t="shared" ref="J468:J481" si="81">J467+I468</f>
        <v>1791</v>
      </c>
      <c r="K468" s="9">
        <f t="shared" si="80"/>
        <v>6.2321501427988577E-2</v>
      </c>
      <c r="L468" s="19">
        <f t="shared" si="73"/>
        <v>9.0000000000145519E-2</v>
      </c>
    </row>
    <row r="469" spans="1:12" x14ac:dyDescent="0.35">
      <c r="A469" s="2" t="s">
        <v>57</v>
      </c>
      <c r="B469" t="s">
        <v>58</v>
      </c>
      <c r="C469" s="21" t="s">
        <v>275</v>
      </c>
      <c r="D469" s="4">
        <v>4</v>
      </c>
      <c r="E469" s="87">
        <v>9804.09</v>
      </c>
      <c r="F469" s="3">
        <v>45923</v>
      </c>
      <c r="G469" s="1">
        <v>10395</v>
      </c>
      <c r="H469" s="1">
        <v>9804</v>
      </c>
      <c r="I469" s="1">
        <f t="shared" si="77"/>
        <v>591</v>
      </c>
      <c r="J469" s="1">
        <f t="shared" si="81"/>
        <v>2382</v>
      </c>
      <c r="K469" s="9">
        <f t="shared" si="80"/>
        <v>6.0281517747858018E-2</v>
      </c>
      <c r="L469" s="19">
        <f t="shared" si="73"/>
        <v>9.0000000000145519E-2</v>
      </c>
    </row>
    <row r="470" spans="1:12" x14ac:dyDescent="0.35">
      <c r="A470" s="2" t="s">
        <v>57</v>
      </c>
      <c r="B470" t="s">
        <v>58</v>
      </c>
      <c r="C470" s="21" t="s">
        <v>275</v>
      </c>
      <c r="D470" s="4">
        <v>5</v>
      </c>
      <c r="E470" s="87">
        <v>9804.09</v>
      </c>
      <c r="F470" s="3">
        <v>45930</v>
      </c>
      <c r="G470" s="1">
        <v>10395</v>
      </c>
      <c r="H470" s="1">
        <v>9804</v>
      </c>
      <c r="I470" s="1">
        <f t="shared" si="77"/>
        <v>591</v>
      </c>
      <c r="J470" s="1">
        <f t="shared" si="81"/>
        <v>2973</v>
      </c>
      <c r="K470" s="9">
        <f t="shared" si="80"/>
        <v>6.0281517747858018E-2</v>
      </c>
      <c r="L470" s="19">
        <f t="shared" si="73"/>
        <v>9.0000000000145519E-2</v>
      </c>
    </row>
    <row r="471" spans="1:12" x14ac:dyDescent="0.35">
      <c r="A471" s="2" t="s">
        <v>57</v>
      </c>
      <c r="B471" t="s">
        <v>58</v>
      </c>
      <c r="C471" s="21" t="s">
        <v>275</v>
      </c>
      <c r="D471" s="4">
        <v>6</v>
      </c>
      <c r="E471" s="87">
        <v>9804.09</v>
      </c>
      <c r="F471" s="3">
        <v>45937</v>
      </c>
      <c r="G471" s="1">
        <v>10395</v>
      </c>
      <c r="H471" s="1">
        <v>9804</v>
      </c>
      <c r="I471" s="1">
        <f t="shared" si="77"/>
        <v>591</v>
      </c>
      <c r="J471" s="1">
        <f t="shared" si="81"/>
        <v>3564</v>
      </c>
      <c r="K471" s="9">
        <f t="shared" si="80"/>
        <v>6.0281517747858018E-2</v>
      </c>
      <c r="L471" s="19">
        <f t="shared" si="73"/>
        <v>9.0000000000145519E-2</v>
      </c>
    </row>
    <row r="472" spans="1:12" x14ac:dyDescent="0.35">
      <c r="A472" s="2" t="s">
        <v>57</v>
      </c>
      <c r="B472" t="s">
        <v>58</v>
      </c>
      <c r="C472" s="21" t="s">
        <v>275</v>
      </c>
      <c r="D472" s="4">
        <v>7</v>
      </c>
      <c r="E472" s="87">
        <v>9804.09</v>
      </c>
      <c r="F472" s="3">
        <v>45944</v>
      </c>
      <c r="G472" s="1">
        <v>10395</v>
      </c>
      <c r="H472" s="1">
        <v>9804</v>
      </c>
      <c r="I472" s="1">
        <f t="shared" si="77"/>
        <v>591</v>
      </c>
      <c r="J472" s="1">
        <f t="shared" si="81"/>
        <v>4155</v>
      </c>
      <c r="K472" s="9">
        <f t="shared" si="80"/>
        <v>6.0281517747858018E-2</v>
      </c>
      <c r="L472" s="19">
        <f t="shared" si="73"/>
        <v>9.0000000000145519E-2</v>
      </c>
    </row>
    <row r="473" spans="1:12" x14ac:dyDescent="0.35">
      <c r="A473" s="2" t="s">
        <v>57</v>
      </c>
      <c r="B473" t="s">
        <v>58</v>
      </c>
      <c r="C473" s="21" t="s">
        <v>275</v>
      </c>
      <c r="D473" s="4">
        <v>8</v>
      </c>
      <c r="E473" s="87">
        <v>9804.09</v>
      </c>
      <c r="F473" s="3">
        <v>45951</v>
      </c>
      <c r="G473" s="1">
        <v>10395</v>
      </c>
      <c r="H473" s="1">
        <v>9804</v>
      </c>
      <c r="I473" s="1">
        <f t="shared" si="77"/>
        <v>591</v>
      </c>
      <c r="J473" s="1">
        <f t="shared" si="81"/>
        <v>4746</v>
      </c>
      <c r="K473" s="9">
        <f t="shared" si="80"/>
        <v>6.0281517747858018E-2</v>
      </c>
      <c r="L473" s="19">
        <f t="shared" si="73"/>
        <v>9.0000000000145519E-2</v>
      </c>
    </row>
    <row r="474" spans="1:12" x14ac:dyDescent="0.35">
      <c r="A474" s="2" t="s">
        <v>57</v>
      </c>
      <c r="B474" t="s">
        <v>58</v>
      </c>
      <c r="C474" s="21" t="s">
        <v>275</v>
      </c>
      <c r="D474" s="4">
        <v>9</v>
      </c>
      <c r="E474" s="87">
        <v>9804.09</v>
      </c>
      <c r="F474" s="3">
        <v>45958</v>
      </c>
      <c r="G474" s="1">
        <v>10395</v>
      </c>
      <c r="H474" s="1">
        <v>9804</v>
      </c>
      <c r="I474" s="1">
        <f t="shared" si="77"/>
        <v>591</v>
      </c>
      <c r="J474" s="1">
        <f t="shared" si="81"/>
        <v>5337</v>
      </c>
      <c r="K474" s="9">
        <f t="shared" si="80"/>
        <v>6.0281517747858018E-2</v>
      </c>
      <c r="L474" s="19">
        <f t="shared" si="73"/>
        <v>9.0000000000145519E-2</v>
      </c>
    </row>
    <row r="475" spans="1:12" x14ac:dyDescent="0.35">
      <c r="A475" s="2" t="s">
        <v>57</v>
      </c>
      <c r="B475" t="s">
        <v>58</v>
      </c>
      <c r="C475" s="21" t="s">
        <v>275</v>
      </c>
      <c r="D475" s="4">
        <v>10</v>
      </c>
      <c r="E475" s="87">
        <v>9804.09</v>
      </c>
      <c r="F475" s="3">
        <v>45965</v>
      </c>
      <c r="G475" s="1">
        <v>10395</v>
      </c>
      <c r="H475" s="1">
        <v>9804</v>
      </c>
      <c r="I475" s="1">
        <f t="shared" si="77"/>
        <v>591</v>
      </c>
      <c r="J475" s="1">
        <f t="shared" si="81"/>
        <v>5928</v>
      </c>
      <c r="K475" s="9">
        <f t="shared" si="80"/>
        <v>6.0281517747858018E-2</v>
      </c>
      <c r="L475" s="19">
        <f t="shared" si="73"/>
        <v>9.0000000000145519E-2</v>
      </c>
    </row>
    <row r="476" spans="1:12" x14ac:dyDescent="0.35">
      <c r="A476" s="2" t="s">
        <v>57</v>
      </c>
      <c r="B476" t="s">
        <v>58</v>
      </c>
      <c r="C476" s="21" t="s">
        <v>275</v>
      </c>
      <c r="D476" s="4">
        <v>11</v>
      </c>
      <c r="E476" s="87">
        <v>9804.09</v>
      </c>
      <c r="G476" s="1"/>
      <c r="H476" s="1"/>
      <c r="I476" s="1">
        <f t="shared" si="77"/>
        <v>0</v>
      </c>
      <c r="J476" s="1">
        <f t="shared" si="81"/>
        <v>5928</v>
      </c>
      <c r="K476" s="9" t="e">
        <f t="shared" si="80"/>
        <v>#DIV/0!</v>
      </c>
      <c r="L476" s="19">
        <f t="shared" si="73"/>
        <v>9804.09</v>
      </c>
    </row>
    <row r="477" spans="1:12" x14ac:dyDescent="0.35">
      <c r="A477" s="2" t="s">
        <v>57</v>
      </c>
      <c r="B477" t="s">
        <v>58</v>
      </c>
      <c r="C477" s="21" t="s">
        <v>275</v>
      </c>
      <c r="D477" s="4">
        <v>12</v>
      </c>
      <c r="E477" s="87">
        <v>9804.09</v>
      </c>
      <c r="G477" s="1"/>
      <c r="H477" s="1"/>
      <c r="I477" s="1">
        <f t="shared" si="77"/>
        <v>0</v>
      </c>
      <c r="J477" s="1">
        <f t="shared" si="81"/>
        <v>5928</v>
      </c>
      <c r="K477" s="9" t="e">
        <f t="shared" si="80"/>
        <v>#DIV/0!</v>
      </c>
      <c r="L477" s="19">
        <f t="shared" si="73"/>
        <v>9804.09</v>
      </c>
    </row>
    <row r="478" spans="1:12" x14ac:dyDescent="0.35">
      <c r="A478" s="2" t="s">
        <v>57</v>
      </c>
      <c r="B478" t="s">
        <v>58</v>
      </c>
      <c r="C478" s="21" t="s">
        <v>275</v>
      </c>
      <c r="D478" s="4">
        <v>13</v>
      </c>
      <c r="E478" s="87">
        <v>9804.09</v>
      </c>
      <c r="G478" s="1"/>
      <c r="H478" s="1"/>
      <c r="I478" s="1">
        <f t="shared" si="77"/>
        <v>0</v>
      </c>
      <c r="J478" s="1">
        <f t="shared" si="81"/>
        <v>5928</v>
      </c>
      <c r="K478" s="9" t="e">
        <f t="shared" si="80"/>
        <v>#DIV/0!</v>
      </c>
      <c r="L478" s="19">
        <f t="shared" si="73"/>
        <v>9804.09</v>
      </c>
    </row>
    <row r="479" spans="1:12" x14ac:dyDescent="0.35">
      <c r="A479" s="2" t="s">
        <v>57</v>
      </c>
      <c r="B479" t="s">
        <v>58</v>
      </c>
      <c r="C479" s="21" t="s">
        <v>275</v>
      </c>
      <c r="D479" s="4">
        <v>14</v>
      </c>
      <c r="E479" s="87">
        <v>9804.09</v>
      </c>
      <c r="G479" s="1"/>
      <c r="H479" s="1"/>
      <c r="I479" s="1">
        <f t="shared" si="77"/>
        <v>0</v>
      </c>
      <c r="J479" s="1">
        <f t="shared" si="81"/>
        <v>5928</v>
      </c>
      <c r="K479" s="9" t="e">
        <f t="shared" si="80"/>
        <v>#DIV/0!</v>
      </c>
      <c r="L479" s="19">
        <f t="shared" si="73"/>
        <v>9804.09</v>
      </c>
    </row>
    <row r="480" spans="1:12" x14ac:dyDescent="0.35">
      <c r="A480" s="2" t="s">
        <v>57</v>
      </c>
      <c r="B480" t="s">
        <v>58</v>
      </c>
      <c r="C480" s="21" t="s">
        <v>275</v>
      </c>
      <c r="D480" s="4">
        <v>15</v>
      </c>
      <c r="E480" s="87">
        <v>9804.09</v>
      </c>
      <c r="G480" s="1"/>
      <c r="H480" s="1"/>
      <c r="I480" s="1">
        <f t="shared" si="77"/>
        <v>0</v>
      </c>
      <c r="J480" s="1">
        <f t="shared" si="81"/>
        <v>5928</v>
      </c>
      <c r="K480" s="9" t="e">
        <f t="shared" si="80"/>
        <v>#DIV/0!</v>
      </c>
      <c r="L480" s="19">
        <f t="shared" si="73"/>
        <v>9804.09</v>
      </c>
    </row>
    <row r="481" spans="1:12" ht="15" thickBot="1" x14ac:dyDescent="0.4">
      <c r="A481" s="12" t="s">
        <v>57</v>
      </c>
      <c r="B481" s="13" t="s">
        <v>58</v>
      </c>
      <c r="C481" s="21" t="s">
        <v>275</v>
      </c>
      <c r="D481" s="14">
        <v>16</v>
      </c>
      <c r="E481" s="87">
        <v>9804.09</v>
      </c>
      <c r="F481" s="13"/>
      <c r="G481" s="15"/>
      <c r="H481" s="15"/>
      <c r="I481" s="15">
        <f t="shared" si="77"/>
        <v>0</v>
      </c>
      <c r="J481" s="15">
        <f t="shared" si="81"/>
        <v>5928</v>
      </c>
      <c r="K481" s="13"/>
      <c r="L481" s="24">
        <f t="shared" si="73"/>
        <v>9804.09</v>
      </c>
    </row>
    <row r="482" spans="1:12" x14ac:dyDescent="0.35">
      <c r="A482" s="2" t="s">
        <v>59</v>
      </c>
      <c r="B482" t="s">
        <v>60</v>
      </c>
      <c r="C482" s="21" t="s">
        <v>275</v>
      </c>
      <c r="D482" s="4">
        <v>1</v>
      </c>
      <c r="E482" s="88">
        <v>11096.1</v>
      </c>
      <c r="F482" s="3">
        <v>45898</v>
      </c>
      <c r="G482" s="1">
        <v>11700</v>
      </c>
      <c r="H482" s="1">
        <v>11097</v>
      </c>
      <c r="I482" s="1">
        <f t="shared" si="77"/>
        <v>603</v>
      </c>
      <c r="J482" s="1">
        <f>I482</f>
        <v>603</v>
      </c>
      <c r="K482" s="9">
        <f t="shared" ref="K482:K496" si="82">I482/H482</f>
        <v>5.4339010543390104E-2</v>
      </c>
      <c r="L482" s="19">
        <f t="shared" ref="L482:L545" si="83">E482-H482</f>
        <v>-0.8999999999996362</v>
      </c>
    </row>
    <row r="483" spans="1:12" x14ac:dyDescent="0.35">
      <c r="A483" s="2" t="s">
        <v>59</v>
      </c>
      <c r="B483" t="s">
        <v>60</v>
      </c>
      <c r="C483" s="21" t="s">
        <v>275</v>
      </c>
      <c r="D483" s="4">
        <v>2</v>
      </c>
      <c r="E483" s="88">
        <v>11096.1</v>
      </c>
      <c r="F483" s="3">
        <v>45905</v>
      </c>
      <c r="G483" s="1">
        <v>11700</v>
      </c>
      <c r="H483" s="1">
        <v>11096.11</v>
      </c>
      <c r="I483" s="1">
        <f t="shared" si="77"/>
        <v>603.88999999999942</v>
      </c>
      <c r="J483" s="1">
        <f>J482+I483</f>
        <v>1206.8899999999994</v>
      </c>
      <c r="K483" s="9">
        <f t="shared" si="82"/>
        <v>5.4423577271674434E-2</v>
      </c>
      <c r="L483" s="19">
        <f t="shared" si="83"/>
        <v>-1.0000000000218279E-2</v>
      </c>
    </row>
    <row r="484" spans="1:12" x14ac:dyDescent="0.35">
      <c r="A484" s="2" t="s">
        <v>59</v>
      </c>
      <c r="B484" t="s">
        <v>60</v>
      </c>
      <c r="C484" s="21" t="s">
        <v>275</v>
      </c>
      <c r="D484" s="4">
        <v>3</v>
      </c>
      <c r="E484" s="88">
        <v>11096.1</v>
      </c>
      <c r="F484" s="3">
        <v>45911</v>
      </c>
      <c r="G484" s="1">
        <v>11679</v>
      </c>
      <c r="H484" s="1">
        <v>11096.11</v>
      </c>
      <c r="I484" s="1">
        <f t="shared" si="77"/>
        <v>582.88999999999942</v>
      </c>
      <c r="J484" s="1">
        <f t="shared" ref="J484:J497" si="84">J483+I484</f>
        <v>1789.7799999999988</v>
      </c>
      <c r="K484" s="9">
        <f t="shared" si="82"/>
        <v>5.2531022132981685E-2</v>
      </c>
      <c r="L484" s="19">
        <f t="shared" si="83"/>
        <v>-1.0000000000218279E-2</v>
      </c>
    </row>
    <row r="485" spans="1:12" x14ac:dyDescent="0.35">
      <c r="A485" s="2" t="s">
        <v>59</v>
      </c>
      <c r="B485" t="s">
        <v>60</v>
      </c>
      <c r="C485" s="21" t="s">
        <v>275</v>
      </c>
      <c r="D485" s="4">
        <v>4</v>
      </c>
      <c r="E485" s="88">
        <v>11096.1</v>
      </c>
      <c r="F485" s="3">
        <v>45918</v>
      </c>
      <c r="G485" s="1">
        <v>11679</v>
      </c>
      <c r="H485" s="1">
        <v>11096.11</v>
      </c>
      <c r="I485" s="1">
        <f t="shared" si="77"/>
        <v>582.88999999999942</v>
      </c>
      <c r="J485" s="1">
        <f t="shared" si="84"/>
        <v>2372.6699999999983</v>
      </c>
      <c r="K485" s="9">
        <f t="shared" si="82"/>
        <v>5.2531022132981685E-2</v>
      </c>
      <c r="L485" s="19">
        <f t="shared" si="83"/>
        <v>-1.0000000000218279E-2</v>
      </c>
    </row>
    <row r="486" spans="1:12" x14ac:dyDescent="0.35">
      <c r="A486" s="2" t="s">
        <v>59</v>
      </c>
      <c r="B486" t="s">
        <v>60</v>
      </c>
      <c r="C486" s="21" t="s">
        <v>275</v>
      </c>
      <c r="D486" s="4">
        <v>5</v>
      </c>
      <c r="E486" s="88">
        <v>11096.1</v>
      </c>
      <c r="F486" s="3">
        <v>45926</v>
      </c>
      <c r="G486" s="1">
        <v>11679</v>
      </c>
      <c r="H486" s="1">
        <v>11096.11</v>
      </c>
      <c r="I486" s="1">
        <f t="shared" si="77"/>
        <v>582.88999999999942</v>
      </c>
      <c r="J486" s="1">
        <f t="shared" si="84"/>
        <v>2955.5599999999977</v>
      </c>
      <c r="K486" s="9">
        <f t="shared" si="82"/>
        <v>5.2531022132981685E-2</v>
      </c>
      <c r="L486" s="19">
        <f t="shared" si="83"/>
        <v>-1.0000000000218279E-2</v>
      </c>
    </row>
    <row r="487" spans="1:12" x14ac:dyDescent="0.35">
      <c r="A487" s="2" t="s">
        <v>59</v>
      </c>
      <c r="B487" t="s">
        <v>60</v>
      </c>
      <c r="C487" s="21" t="s">
        <v>275</v>
      </c>
      <c r="D487" s="4">
        <v>6</v>
      </c>
      <c r="E487" s="88">
        <v>11096.1</v>
      </c>
      <c r="F487" s="3">
        <v>45933</v>
      </c>
      <c r="G487" s="1">
        <v>11679</v>
      </c>
      <c r="H487" s="1">
        <v>11096.11</v>
      </c>
      <c r="I487" s="1">
        <f t="shared" si="77"/>
        <v>582.88999999999942</v>
      </c>
      <c r="J487" s="1">
        <f t="shared" si="84"/>
        <v>3538.4499999999971</v>
      </c>
      <c r="K487" s="9">
        <f t="shared" si="82"/>
        <v>5.2531022132981685E-2</v>
      </c>
      <c r="L487" s="19">
        <f t="shared" si="83"/>
        <v>-1.0000000000218279E-2</v>
      </c>
    </row>
    <row r="488" spans="1:12" x14ac:dyDescent="0.35">
      <c r="A488" s="2" t="s">
        <v>59</v>
      </c>
      <c r="B488" t="s">
        <v>60</v>
      </c>
      <c r="C488" s="21" t="s">
        <v>275</v>
      </c>
      <c r="D488" s="4">
        <v>7</v>
      </c>
      <c r="E488" s="88">
        <v>11096.1</v>
      </c>
      <c r="F488" s="3">
        <v>45940</v>
      </c>
      <c r="G488" s="1">
        <v>11679</v>
      </c>
      <c r="H488" s="1">
        <v>11096.11</v>
      </c>
      <c r="I488" s="1">
        <f t="shared" si="77"/>
        <v>582.88999999999942</v>
      </c>
      <c r="J488" s="1">
        <f t="shared" si="84"/>
        <v>4121.3399999999965</v>
      </c>
      <c r="K488" s="9">
        <f t="shared" si="82"/>
        <v>5.2531022132981685E-2</v>
      </c>
      <c r="L488" s="19">
        <f t="shared" si="83"/>
        <v>-1.0000000000218279E-2</v>
      </c>
    </row>
    <row r="489" spans="1:12" x14ac:dyDescent="0.35">
      <c r="A489" s="2" t="s">
        <v>59</v>
      </c>
      <c r="B489" t="s">
        <v>60</v>
      </c>
      <c r="C489" s="21" t="s">
        <v>275</v>
      </c>
      <c r="D489" s="4">
        <v>8</v>
      </c>
      <c r="E489" s="88">
        <v>11096.1</v>
      </c>
      <c r="F489" s="3">
        <v>45947</v>
      </c>
      <c r="G489" s="1">
        <v>11679</v>
      </c>
      <c r="H489" s="1">
        <v>11096.11</v>
      </c>
      <c r="I489" s="1">
        <f t="shared" si="77"/>
        <v>582.88999999999942</v>
      </c>
      <c r="J489" s="1">
        <f t="shared" si="84"/>
        <v>4704.2299999999959</v>
      </c>
      <c r="K489" s="9">
        <f t="shared" si="82"/>
        <v>5.2531022132981685E-2</v>
      </c>
      <c r="L489" s="19">
        <f t="shared" si="83"/>
        <v>-1.0000000000218279E-2</v>
      </c>
    </row>
    <row r="490" spans="1:12" x14ac:dyDescent="0.35">
      <c r="A490" s="2" t="s">
        <v>59</v>
      </c>
      <c r="B490" t="s">
        <v>60</v>
      </c>
      <c r="C490" s="21" t="s">
        <v>275</v>
      </c>
      <c r="D490" s="4">
        <v>9</v>
      </c>
      <c r="E490" s="88">
        <v>11096.1</v>
      </c>
      <c r="F490" s="3">
        <v>45954</v>
      </c>
      <c r="G490" s="1">
        <v>11679</v>
      </c>
      <c r="H490" s="1">
        <v>11096.11</v>
      </c>
      <c r="I490" s="1">
        <f t="shared" si="77"/>
        <v>582.88999999999942</v>
      </c>
      <c r="J490" s="1">
        <f t="shared" si="84"/>
        <v>5287.1199999999953</v>
      </c>
      <c r="K490" s="9">
        <f t="shared" si="82"/>
        <v>5.2531022132981685E-2</v>
      </c>
      <c r="L490" s="19">
        <f t="shared" si="83"/>
        <v>-1.0000000000218279E-2</v>
      </c>
    </row>
    <row r="491" spans="1:12" x14ac:dyDescent="0.35">
      <c r="A491" s="2" t="s">
        <v>59</v>
      </c>
      <c r="B491" t="s">
        <v>60</v>
      </c>
      <c r="C491" s="21" t="s">
        <v>275</v>
      </c>
      <c r="D491" s="4">
        <v>10</v>
      </c>
      <c r="E491" s="88">
        <v>11096.1</v>
      </c>
      <c r="F491" s="3">
        <v>45961</v>
      </c>
      <c r="G491" s="1">
        <v>11679</v>
      </c>
      <c r="H491" s="1">
        <v>11096.11</v>
      </c>
      <c r="I491" s="1">
        <f t="shared" si="77"/>
        <v>582.88999999999942</v>
      </c>
      <c r="J491" s="1">
        <f t="shared" si="84"/>
        <v>5870.0099999999948</v>
      </c>
      <c r="K491" s="9">
        <f t="shared" si="82"/>
        <v>5.2531022132981685E-2</v>
      </c>
      <c r="L491" s="19">
        <f t="shared" si="83"/>
        <v>-1.0000000000218279E-2</v>
      </c>
    </row>
    <row r="492" spans="1:12" x14ac:dyDescent="0.35">
      <c r="A492" s="2" t="s">
        <v>59</v>
      </c>
      <c r="B492" t="s">
        <v>60</v>
      </c>
      <c r="C492" s="21" t="s">
        <v>275</v>
      </c>
      <c r="D492" s="4">
        <v>11</v>
      </c>
      <c r="E492" s="88">
        <v>11096.1</v>
      </c>
      <c r="F492" s="3">
        <v>45968</v>
      </c>
      <c r="G492" s="34">
        <v>11679</v>
      </c>
      <c r="H492" s="34">
        <v>11096.11</v>
      </c>
      <c r="I492" s="1">
        <f t="shared" si="77"/>
        <v>582.88999999999942</v>
      </c>
      <c r="J492" s="1">
        <f t="shared" si="84"/>
        <v>6452.8999999999942</v>
      </c>
      <c r="K492" s="9">
        <f t="shared" si="82"/>
        <v>5.2531022132981685E-2</v>
      </c>
      <c r="L492" s="19">
        <f t="shared" si="83"/>
        <v>-1.0000000000218279E-2</v>
      </c>
    </row>
    <row r="493" spans="1:12" x14ac:dyDescent="0.35">
      <c r="A493" s="2" t="s">
        <v>59</v>
      </c>
      <c r="B493" t="s">
        <v>60</v>
      </c>
      <c r="C493" s="21" t="s">
        <v>275</v>
      </c>
      <c r="D493" s="4">
        <v>12</v>
      </c>
      <c r="E493" s="88">
        <v>11096.1</v>
      </c>
      <c r="G493" s="1"/>
      <c r="H493" s="1"/>
      <c r="I493" s="1">
        <f t="shared" si="77"/>
        <v>0</v>
      </c>
      <c r="J493" s="1">
        <f t="shared" si="84"/>
        <v>6452.8999999999942</v>
      </c>
      <c r="K493" s="9" t="e">
        <f t="shared" si="82"/>
        <v>#DIV/0!</v>
      </c>
      <c r="L493" s="19">
        <f t="shared" si="83"/>
        <v>11096.1</v>
      </c>
    </row>
    <row r="494" spans="1:12" x14ac:dyDescent="0.35">
      <c r="A494" s="2" t="s">
        <v>59</v>
      </c>
      <c r="B494" t="s">
        <v>60</v>
      </c>
      <c r="C494" s="21" t="s">
        <v>275</v>
      </c>
      <c r="D494" s="4">
        <v>13</v>
      </c>
      <c r="E494" s="88">
        <v>11096.1</v>
      </c>
      <c r="G494" s="1"/>
      <c r="H494" s="1"/>
      <c r="I494" s="1">
        <f t="shared" si="77"/>
        <v>0</v>
      </c>
      <c r="J494" s="1">
        <f t="shared" si="84"/>
        <v>6452.8999999999942</v>
      </c>
      <c r="K494" s="9" t="e">
        <f t="shared" si="82"/>
        <v>#DIV/0!</v>
      </c>
      <c r="L494" s="19">
        <f t="shared" si="83"/>
        <v>11096.1</v>
      </c>
    </row>
    <row r="495" spans="1:12" x14ac:dyDescent="0.35">
      <c r="A495" s="2" t="s">
        <v>59</v>
      </c>
      <c r="B495" t="s">
        <v>60</v>
      </c>
      <c r="C495" s="21" t="s">
        <v>275</v>
      </c>
      <c r="D495" s="4">
        <v>14</v>
      </c>
      <c r="E495" s="88">
        <v>11096.1</v>
      </c>
      <c r="G495" s="1"/>
      <c r="H495" s="1"/>
      <c r="I495" s="1">
        <f t="shared" si="77"/>
        <v>0</v>
      </c>
      <c r="J495" s="1">
        <f t="shared" si="84"/>
        <v>6452.8999999999942</v>
      </c>
      <c r="K495" s="9" t="e">
        <f t="shared" si="82"/>
        <v>#DIV/0!</v>
      </c>
      <c r="L495" s="19">
        <f t="shared" si="83"/>
        <v>11096.1</v>
      </c>
    </row>
    <row r="496" spans="1:12" x14ac:dyDescent="0.35">
      <c r="A496" s="2" t="s">
        <v>59</v>
      </c>
      <c r="B496" t="s">
        <v>60</v>
      </c>
      <c r="C496" s="21" t="s">
        <v>275</v>
      </c>
      <c r="D496" s="4">
        <v>15</v>
      </c>
      <c r="E496" s="88">
        <v>11096.1</v>
      </c>
      <c r="G496" s="1"/>
      <c r="H496" s="1"/>
      <c r="I496" s="1">
        <f t="shared" si="77"/>
        <v>0</v>
      </c>
      <c r="J496" s="1">
        <f t="shared" si="84"/>
        <v>6452.8999999999942</v>
      </c>
      <c r="K496" s="9" t="e">
        <f t="shared" si="82"/>
        <v>#DIV/0!</v>
      </c>
      <c r="L496" s="19">
        <f t="shared" si="83"/>
        <v>11096.1</v>
      </c>
    </row>
    <row r="497" spans="1:12" ht="15" thickBot="1" x14ac:dyDescent="0.4">
      <c r="A497" s="12" t="s">
        <v>59</v>
      </c>
      <c r="B497" s="13" t="s">
        <v>60</v>
      </c>
      <c r="C497" s="21" t="s">
        <v>275</v>
      </c>
      <c r="D497" s="14">
        <v>16</v>
      </c>
      <c r="E497" s="88">
        <v>11096.1</v>
      </c>
      <c r="F497" s="13"/>
      <c r="G497" s="15"/>
      <c r="H497" s="15"/>
      <c r="I497" s="15">
        <f t="shared" si="77"/>
        <v>0</v>
      </c>
      <c r="J497" s="15">
        <f t="shared" si="84"/>
        <v>6452.8999999999942</v>
      </c>
      <c r="K497" s="13"/>
      <c r="L497" s="24">
        <f t="shared" si="83"/>
        <v>11096.1</v>
      </c>
    </row>
    <row r="498" spans="1:12" x14ac:dyDescent="0.35">
      <c r="A498" s="2" t="s">
        <v>61</v>
      </c>
      <c r="B498" t="s">
        <v>62</v>
      </c>
      <c r="C498" s="21" t="s">
        <v>275</v>
      </c>
      <c r="D498" s="4">
        <v>1</v>
      </c>
      <c r="E498" s="89">
        <v>4332.04</v>
      </c>
      <c r="F498" s="3">
        <v>45902</v>
      </c>
      <c r="G498" s="1">
        <v>4606</v>
      </c>
      <c r="H498" s="1">
        <v>4332.04</v>
      </c>
      <c r="I498" s="1">
        <f t="shared" si="77"/>
        <v>273.96000000000004</v>
      </c>
      <c r="J498" s="1">
        <f>I498</f>
        <v>273.96000000000004</v>
      </c>
      <c r="K498" s="9">
        <f t="shared" ref="K498:K509" si="85">I498/H498</f>
        <v>6.3240413292582717E-2</v>
      </c>
      <c r="L498" s="19">
        <f t="shared" si="83"/>
        <v>0</v>
      </c>
    </row>
    <row r="499" spans="1:12" x14ac:dyDescent="0.35">
      <c r="A499" s="2" t="s">
        <v>61</v>
      </c>
      <c r="B499" t="s">
        <v>62</v>
      </c>
      <c r="C499" s="21" t="s">
        <v>275</v>
      </c>
      <c r="D499" s="4">
        <v>2</v>
      </c>
      <c r="E499" s="89">
        <v>4332.04</v>
      </c>
      <c r="F499" s="3">
        <v>45909</v>
      </c>
      <c r="G499" s="1">
        <v>4551</v>
      </c>
      <c r="H499" s="1">
        <v>4332.04</v>
      </c>
      <c r="I499" s="1">
        <f t="shared" si="77"/>
        <v>218.96000000000004</v>
      </c>
      <c r="J499" s="1">
        <f>J498+I499</f>
        <v>492.92000000000007</v>
      </c>
      <c r="K499" s="9">
        <f t="shared" si="85"/>
        <v>5.0544316303635248E-2</v>
      </c>
      <c r="L499" s="19">
        <f t="shared" si="83"/>
        <v>0</v>
      </c>
    </row>
    <row r="500" spans="1:12" x14ac:dyDescent="0.35">
      <c r="A500" s="2" t="s">
        <v>61</v>
      </c>
      <c r="B500" t="s">
        <v>62</v>
      </c>
      <c r="C500" s="21" t="s">
        <v>275</v>
      </c>
      <c r="D500" s="4">
        <v>3</v>
      </c>
      <c r="E500" s="89">
        <v>4332.04</v>
      </c>
      <c r="F500" s="3">
        <v>45916</v>
      </c>
      <c r="G500" s="1">
        <v>4574</v>
      </c>
      <c r="H500" s="1">
        <v>4332.04</v>
      </c>
      <c r="I500" s="1">
        <f t="shared" si="77"/>
        <v>241.96000000000004</v>
      </c>
      <c r="J500" s="1">
        <f t="shared" ref="J500:J513" si="86">J499+I500</f>
        <v>734.88000000000011</v>
      </c>
      <c r="K500" s="9">
        <f t="shared" si="85"/>
        <v>5.5853593226286011E-2</v>
      </c>
      <c r="L500" s="19">
        <f t="shared" si="83"/>
        <v>0</v>
      </c>
    </row>
    <row r="501" spans="1:12" x14ac:dyDescent="0.35">
      <c r="A501" s="2" t="s">
        <v>61</v>
      </c>
      <c r="B501" t="s">
        <v>62</v>
      </c>
      <c r="C501" s="21" t="s">
        <v>275</v>
      </c>
      <c r="D501" s="4">
        <v>4</v>
      </c>
      <c r="E501" s="89">
        <v>4332.04</v>
      </c>
      <c r="F501" s="3">
        <v>45923</v>
      </c>
      <c r="G501" s="1">
        <v>4550</v>
      </c>
      <c r="H501" s="1">
        <v>4332.04</v>
      </c>
      <c r="I501" s="1">
        <f t="shared" si="77"/>
        <v>217.96000000000004</v>
      </c>
      <c r="J501" s="1">
        <f t="shared" si="86"/>
        <v>952.84000000000015</v>
      </c>
      <c r="K501" s="9">
        <f t="shared" si="85"/>
        <v>5.0313478176563474E-2</v>
      </c>
      <c r="L501" s="19">
        <f t="shared" si="83"/>
        <v>0</v>
      </c>
    </row>
    <row r="502" spans="1:12" x14ac:dyDescent="0.35">
      <c r="A502" s="2" t="s">
        <v>61</v>
      </c>
      <c r="B502" t="s">
        <v>62</v>
      </c>
      <c r="C502" s="21" t="s">
        <v>275</v>
      </c>
      <c r="D502" s="4">
        <v>5</v>
      </c>
      <c r="E502" s="89">
        <v>4332.04</v>
      </c>
      <c r="F502" s="3">
        <v>45930</v>
      </c>
      <c r="G502" s="1">
        <v>4550</v>
      </c>
      <c r="H502" s="1">
        <v>4332.04</v>
      </c>
      <c r="I502" s="1">
        <f t="shared" ref="I502:I565" si="87">G502-H502</f>
        <v>217.96000000000004</v>
      </c>
      <c r="J502" s="1">
        <f t="shared" si="86"/>
        <v>1170.8000000000002</v>
      </c>
      <c r="K502" s="9">
        <f t="shared" si="85"/>
        <v>5.0313478176563474E-2</v>
      </c>
      <c r="L502" s="19">
        <f t="shared" si="83"/>
        <v>0</v>
      </c>
    </row>
    <row r="503" spans="1:12" x14ac:dyDescent="0.35">
      <c r="A503" s="2" t="s">
        <v>61</v>
      </c>
      <c r="B503" t="s">
        <v>62</v>
      </c>
      <c r="C503" s="21" t="s">
        <v>275</v>
      </c>
      <c r="D503" s="4">
        <v>6</v>
      </c>
      <c r="E503" s="89">
        <v>4332.04</v>
      </c>
      <c r="F503" s="3">
        <v>45937</v>
      </c>
      <c r="G503" s="1">
        <v>4550</v>
      </c>
      <c r="H503" s="1">
        <v>4332.04</v>
      </c>
      <c r="I503" s="1">
        <f t="shared" si="87"/>
        <v>217.96000000000004</v>
      </c>
      <c r="J503" s="1">
        <f t="shared" si="86"/>
        <v>1388.7600000000002</v>
      </c>
      <c r="K503" s="9">
        <f t="shared" si="85"/>
        <v>5.0313478176563474E-2</v>
      </c>
      <c r="L503" s="19">
        <f t="shared" si="83"/>
        <v>0</v>
      </c>
    </row>
    <row r="504" spans="1:12" x14ac:dyDescent="0.35">
      <c r="A504" s="2" t="s">
        <v>61</v>
      </c>
      <c r="B504" t="s">
        <v>62</v>
      </c>
      <c r="C504" s="21" t="s">
        <v>275</v>
      </c>
      <c r="D504" s="4">
        <v>7</v>
      </c>
      <c r="E504" s="89">
        <v>4332.04</v>
      </c>
      <c r="F504" s="3">
        <v>45944</v>
      </c>
      <c r="G504" s="1">
        <v>4550</v>
      </c>
      <c r="H504" s="1">
        <v>4332.04</v>
      </c>
      <c r="I504" s="1">
        <f t="shared" si="87"/>
        <v>217.96000000000004</v>
      </c>
      <c r="J504" s="1">
        <f t="shared" si="86"/>
        <v>1606.7200000000003</v>
      </c>
      <c r="K504" s="9">
        <f t="shared" si="85"/>
        <v>5.0313478176563474E-2</v>
      </c>
      <c r="L504" s="19">
        <f t="shared" si="83"/>
        <v>0</v>
      </c>
    </row>
    <row r="505" spans="1:12" x14ac:dyDescent="0.35">
      <c r="A505" s="2" t="s">
        <v>61</v>
      </c>
      <c r="B505" t="s">
        <v>62</v>
      </c>
      <c r="C505" s="21" t="s">
        <v>275</v>
      </c>
      <c r="D505" s="4">
        <v>8</v>
      </c>
      <c r="E505" s="89">
        <v>4332.04</v>
      </c>
      <c r="F505" s="3">
        <v>45951</v>
      </c>
      <c r="G505" s="1">
        <v>4550</v>
      </c>
      <c r="H505" s="1">
        <v>4332.04</v>
      </c>
      <c r="I505" s="1">
        <f t="shared" si="87"/>
        <v>217.96000000000004</v>
      </c>
      <c r="J505" s="1">
        <f t="shared" si="86"/>
        <v>1824.6800000000003</v>
      </c>
      <c r="K505" s="9">
        <f t="shared" si="85"/>
        <v>5.0313478176563474E-2</v>
      </c>
      <c r="L505" s="19">
        <f t="shared" si="83"/>
        <v>0</v>
      </c>
    </row>
    <row r="506" spans="1:12" x14ac:dyDescent="0.35">
      <c r="A506" s="2" t="s">
        <v>61</v>
      </c>
      <c r="B506" t="s">
        <v>62</v>
      </c>
      <c r="C506" s="21" t="s">
        <v>275</v>
      </c>
      <c r="D506" s="4">
        <v>9</v>
      </c>
      <c r="E506" s="89">
        <v>4332.04</v>
      </c>
      <c r="F506" s="3">
        <v>45958</v>
      </c>
      <c r="G506" s="1">
        <v>4550</v>
      </c>
      <c r="H506" s="1">
        <v>4332.04</v>
      </c>
      <c r="I506" s="1">
        <f t="shared" si="87"/>
        <v>217.96000000000004</v>
      </c>
      <c r="J506" s="1">
        <f t="shared" si="86"/>
        <v>2042.6400000000003</v>
      </c>
      <c r="K506" s="9">
        <f t="shared" si="85"/>
        <v>5.0313478176563474E-2</v>
      </c>
      <c r="L506" s="19">
        <f t="shared" si="83"/>
        <v>0</v>
      </c>
    </row>
    <row r="507" spans="1:12" x14ac:dyDescent="0.35">
      <c r="A507" s="2" t="s">
        <v>61</v>
      </c>
      <c r="B507" t="s">
        <v>62</v>
      </c>
      <c r="C507" s="21" t="s">
        <v>275</v>
      </c>
      <c r="D507" s="4">
        <v>10</v>
      </c>
      <c r="E507" s="89">
        <v>4332.04</v>
      </c>
      <c r="F507" s="3">
        <v>45965</v>
      </c>
      <c r="G507" s="1">
        <v>4550</v>
      </c>
      <c r="H507" s="1">
        <v>4332.04</v>
      </c>
      <c r="I507" s="1">
        <f t="shared" si="87"/>
        <v>217.96000000000004</v>
      </c>
      <c r="J507" s="1">
        <f t="shared" si="86"/>
        <v>2260.6000000000004</v>
      </c>
      <c r="K507" s="9">
        <f t="shared" si="85"/>
        <v>5.0313478176563474E-2</v>
      </c>
      <c r="L507" s="19">
        <f t="shared" si="83"/>
        <v>0</v>
      </c>
    </row>
    <row r="508" spans="1:12" x14ac:dyDescent="0.35">
      <c r="A508" s="2" t="s">
        <v>61</v>
      </c>
      <c r="B508" t="s">
        <v>62</v>
      </c>
      <c r="C508" s="21" t="s">
        <v>275</v>
      </c>
      <c r="D508" s="4">
        <v>11</v>
      </c>
      <c r="E508" s="89">
        <v>4332.04</v>
      </c>
      <c r="G508" s="1"/>
      <c r="H508" s="1"/>
      <c r="I508" s="1">
        <f t="shared" si="87"/>
        <v>0</v>
      </c>
      <c r="J508" s="1">
        <f t="shared" si="86"/>
        <v>2260.6000000000004</v>
      </c>
      <c r="K508" s="9" t="e">
        <f t="shared" si="85"/>
        <v>#DIV/0!</v>
      </c>
      <c r="L508" s="19">
        <f t="shared" si="83"/>
        <v>4332.04</v>
      </c>
    </row>
    <row r="509" spans="1:12" x14ac:dyDescent="0.35">
      <c r="A509" s="2" t="s">
        <v>61</v>
      </c>
      <c r="B509" t="s">
        <v>62</v>
      </c>
      <c r="C509" s="21" t="s">
        <v>275</v>
      </c>
      <c r="D509" s="4">
        <v>12</v>
      </c>
      <c r="E509" s="89">
        <v>4332.04</v>
      </c>
      <c r="G509" s="1"/>
      <c r="H509" s="1"/>
      <c r="I509" s="1">
        <f t="shared" si="87"/>
        <v>0</v>
      </c>
      <c r="J509" s="1">
        <f t="shared" si="86"/>
        <v>2260.6000000000004</v>
      </c>
      <c r="K509" s="9" t="e">
        <f t="shared" si="85"/>
        <v>#DIV/0!</v>
      </c>
      <c r="L509" s="19">
        <f t="shared" si="83"/>
        <v>4332.04</v>
      </c>
    </row>
    <row r="510" spans="1:12" x14ac:dyDescent="0.35">
      <c r="A510" s="2" t="s">
        <v>61</v>
      </c>
      <c r="B510" t="s">
        <v>62</v>
      </c>
      <c r="C510" s="21" t="s">
        <v>275</v>
      </c>
      <c r="D510" s="4">
        <v>13</v>
      </c>
      <c r="E510" s="89">
        <v>4332.04</v>
      </c>
      <c r="G510" s="1"/>
      <c r="H510" s="1"/>
      <c r="I510" s="1">
        <f t="shared" si="87"/>
        <v>0</v>
      </c>
      <c r="J510" s="1">
        <f t="shared" si="86"/>
        <v>2260.6000000000004</v>
      </c>
      <c r="L510" s="19">
        <f t="shared" si="83"/>
        <v>4332.04</v>
      </c>
    </row>
    <row r="511" spans="1:12" x14ac:dyDescent="0.35">
      <c r="A511" s="2" t="s">
        <v>61</v>
      </c>
      <c r="B511" t="s">
        <v>62</v>
      </c>
      <c r="C511" s="21" t="s">
        <v>275</v>
      </c>
      <c r="D511" s="4">
        <v>14</v>
      </c>
      <c r="E511" s="89">
        <v>4332.04</v>
      </c>
      <c r="G511" s="1"/>
      <c r="H511" s="1"/>
      <c r="I511" s="1">
        <f t="shared" si="87"/>
        <v>0</v>
      </c>
      <c r="J511" s="1">
        <f t="shared" si="86"/>
        <v>2260.6000000000004</v>
      </c>
      <c r="L511" s="19">
        <f t="shared" si="83"/>
        <v>4332.04</v>
      </c>
    </row>
    <row r="512" spans="1:12" x14ac:dyDescent="0.35">
      <c r="A512" s="2" t="s">
        <v>61</v>
      </c>
      <c r="B512" t="s">
        <v>62</v>
      </c>
      <c r="C512" s="21" t="s">
        <v>275</v>
      </c>
      <c r="D512" s="4">
        <v>15</v>
      </c>
      <c r="E512" s="89">
        <v>4332.04</v>
      </c>
      <c r="G512" s="1"/>
      <c r="H512" s="1"/>
      <c r="I512" s="1">
        <f t="shared" si="87"/>
        <v>0</v>
      </c>
      <c r="J512" s="1">
        <f t="shared" si="86"/>
        <v>2260.6000000000004</v>
      </c>
      <c r="L512" s="19">
        <f t="shared" si="83"/>
        <v>4332.04</v>
      </c>
    </row>
    <row r="513" spans="1:12" ht="15" thickBot="1" x14ac:dyDescent="0.4">
      <c r="A513" s="12" t="s">
        <v>61</v>
      </c>
      <c r="B513" s="13" t="s">
        <v>62</v>
      </c>
      <c r="C513" s="21" t="s">
        <v>275</v>
      </c>
      <c r="D513" s="14">
        <v>16</v>
      </c>
      <c r="E513" s="89">
        <v>4332.04</v>
      </c>
      <c r="F513" s="13"/>
      <c r="G513" s="15"/>
      <c r="H513" s="15"/>
      <c r="I513" s="15">
        <f t="shared" si="87"/>
        <v>0</v>
      </c>
      <c r="J513" s="15">
        <f t="shared" si="86"/>
        <v>2260.6000000000004</v>
      </c>
      <c r="K513" s="13"/>
      <c r="L513" s="24">
        <f t="shared" si="83"/>
        <v>4332.04</v>
      </c>
    </row>
    <row r="514" spans="1:12" x14ac:dyDescent="0.35">
      <c r="A514" s="2" t="s">
        <v>64</v>
      </c>
      <c r="B514" t="s">
        <v>63</v>
      </c>
      <c r="C514" s="21" t="s">
        <v>275</v>
      </c>
      <c r="D514" s="4">
        <v>1</v>
      </c>
      <c r="E514" s="90">
        <v>9120.08</v>
      </c>
      <c r="F514" s="3">
        <v>45902</v>
      </c>
      <c r="G514" s="1">
        <v>9589</v>
      </c>
      <c r="H514" s="1">
        <v>9120</v>
      </c>
      <c r="I514" s="1">
        <f t="shared" si="87"/>
        <v>469</v>
      </c>
      <c r="J514" s="1">
        <f>I514</f>
        <v>469</v>
      </c>
      <c r="K514" s="9">
        <f t="shared" ref="K514:K528" si="88">I514/H514</f>
        <v>5.1425438596491228E-2</v>
      </c>
      <c r="L514" s="19">
        <f t="shared" si="83"/>
        <v>7.999999999992724E-2</v>
      </c>
    </row>
    <row r="515" spans="1:12" x14ac:dyDescent="0.35">
      <c r="A515" s="2" t="s">
        <v>64</v>
      </c>
      <c r="B515" t="s">
        <v>63</v>
      </c>
      <c r="C515" s="21" t="s">
        <v>275</v>
      </c>
      <c r="D515" s="4">
        <v>2</v>
      </c>
      <c r="E515" s="90">
        <v>9120.08</v>
      </c>
      <c r="F515" s="3">
        <v>45909</v>
      </c>
      <c r="G515" s="1">
        <v>9589</v>
      </c>
      <c r="H515" s="1">
        <v>9120</v>
      </c>
      <c r="I515" s="1">
        <f t="shared" si="87"/>
        <v>469</v>
      </c>
      <c r="J515" s="1">
        <f>J514+I515</f>
        <v>938</v>
      </c>
      <c r="K515" s="9">
        <f t="shared" si="88"/>
        <v>5.1425438596491228E-2</v>
      </c>
      <c r="L515" s="19">
        <f t="shared" si="83"/>
        <v>7.999999999992724E-2</v>
      </c>
    </row>
    <row r="516" spans="1:12" x14ac:dyDescent="0.35">
      <c r="A516" s="2" t="s">
        <v>64</v>
      </c>
      <c r="B516" t="s">
        <v>63</v>
      </c>
      <c r="C516" s="21" t="s">
        <v>275</v>
      </c>
      <c r="D516" s="4">
        <v>3</v>
      </c>
      <c r="E516" s="90">
        <v>9120.08</v>
      </c>
      <c r="F516" s="3">
        <v>45915</v>
      </c>
      <c r="G516" s="1">
        <v>9589</v>
      </c>
      <c r="H516" s="1">
        <v>9120</v>
      </c>
      <c r="I516" s="1">
        <f t="shared" si="87"/>
        <v>469</v>
      </c>
      <c r="J516" s="1">
        <f t="shared" ref="J516:J529" si="89">J515+I516</f>
        <v>1407</v>
      </c>
      <c r="K516" s="9">
        <f t="shared" si="88"/>
        <v>5.1425438596491228E-2</v>
      </c>
      <c r="L516" s="19">
        <f t="shared" si="83"/>
        <v>7.999999999992724E-2</v>
      </c>
    </row>
    <row r="517" spans="1:12" x14ac:dyDescent="0.35">
      <c r="A517" s="2" t="s">
        <v>64</v>
      </c>
      <c r="B517" t="s">
        <v>63</v>
      </c>
      <c r="C517" s="21" t="s">
        <v>275</v>
      </c>
      <c r="D517" s="4">
        <v>4</v>
      </c>
      <c r="E517" s="90">
        <v>9120.08</v>
      </c>
      <c r="F517" s="3">
        <v>45923</v>
      </c>
      <c r="G517" s="1">
        <v>9589</v>
      </c>
      <c r="H517" s="1">
        <v>9120</v>
      </c>
      <c r="I517" s="1">
        <f t="shared" si="87"/>
        <v>469</v>
      </c>
      <c r="J517" s="1">
        <f t="shared" si="89"/>
        <v>1876</v>
      </c>
      <c r="K517" s="9">
        <f t="shared" si="88"/>
        <v>5.1425438596491228E-2</v>
      </c>
      <c r="L517" s="19">
        <f t="shared" si="83"/>
        <v>7.999999999992724E-2</v>
      </c>
    </row>
    <row r="518" spans="1:12" x14ac:dyDescent="0.35">
      <c r="A518" s="2" t="s">
        <v>64</v>
      </c>
      <c r="B518" t="s">
        <v>63</v>
      </c>
      <c r="C518" s="21" t="s">
        <v>275</v>
      </c>
      <c r="D518" s="4">
        <v>5</v>
      </c>
      <c r="E518" s="90">
        <v>9120.08</v>
      </c>
      <c r="F518" s="3">
        <v>45930</v>
      </c>
      <c r="G518" s="1">
        <v>9589</v>
      </c>
      <c r="H518" s="1">
        <v>9120</v>
      </c>
      <c r="I518" s="1">
        <f t="shared" si="87"/>
        <v>469</v>
      </c>
      <c r="J518" s="1">
        <f t="shared" si="89"/>
        <v>2345</v>
      </c>
      <c r="K518" s="9">
        <f t="shared" si="88"/>
        <v>5.1425438596491228E-2</v>
      </c>
      <c r="L518" s="19">
        <f t="shared" si="83"/>
        <v>7.999999999992724E-2</v>
      </c>
    </row>
    <row r="519" spans="1:12" x14ac:dyDescent="0.35">
      <c r="A519" s="2" t="s">
        <v>64</v>
      </c>
      <c r="B519" t="s">
        <v>63</v>
      </c>
      <c r="C519" s="21" t="s">
        <v>275</v>
      </c>
      <c r="D519" s="4">
        <v>6</v>
      </c>
      <c r="E519" s="90">
        <v>9120.08</v>
      </c>
      <c r="F519" s="3">
        <v>45937</v>
      </c>
      <c r="G519" s="1">
        <v>9589</v>
      </c>
      <c r="H519" s="1">
        <v>9120</v>
      </c>
      <c r="I519" s="1">
        <f t="shared" si="87"/>
        <v>469</v>
      </c>
      <c r="J519" s="1">
        <f t="shared" si="89"/>
        <v>2814</v>
      </c>
      <c r="K519" s="9">
        <f t="shared" si="88"/>
        <v>5.1425438596491228E-2</v>
      </c>
      <c r="L519" s="19">
        <f t="shared" si="83"/>
        <v>7.999999999992724E-2</v>
      </c>
    </row>
    <row r="520" spans="1:12" x14ac:dyDescent="0.35">
      <c r="A520" s="2" t="s">
        <v>64</v>
      </c>
      <c r="B520" t="s">
        <v>63</v>
      </c>
      <c r="C520" s="21" t="s">
        <v>275</v>
      </c>
      <c r="D520" s="4">
        <v>7</v>
      </c>
      <c r="E520" s="90">
        <v>9120.08</v>
      </c>
      <c r="F520" s="3">
        <v>45944</v>
      </c>
      <c r="G520" s="1">
        <v>9589</v>
      </c>
      <c r="H520" s="1">
        <v>9120</v>
      </c>
      <c r="I520" s="1">
        <f t="shared" si="87"/>
        <v>469</v>
      </c>
      <c r="J520" s="1">
        <f t="shared" si="89"/>
        <v>3283</v>
      </c>
      <c r="K520" s="9">
        <f t="shared" si="88"/>
        <v>5.1425438596491228E-2</v>
      </c>
      <c r="L520" s="19">
        <f t="shared" si="83"/>
        <v>7.999999999992724E-2</v>
      </c>
    </row>
    <row r="521" spans="1:12" x14ac:dyDescent="0.35">
      <c r="A521" s="2" t="s">
        <v>64</v>
      </c>
      <c r="B521" t="s">
        <v>63</v>
      </c>
      <c r="C521" s="21" t="s">
        <v>275</v>
      </c>
      <c r="D521" s="4">
        <v>8</v>
      </c>
      <c r="E521" s="90">
        <v>9120.08</v>
      </c>
      <c r="F521" s="3">
        <v>45951</v>
      </c>
      <c r="G521" s="1">
        <v>9589</v>
      </c>
      <c r="H521" s="1">
        <v>9120</v>
      </c>
      <c r="I521" s="1">
        <f t="shared" si="87"/>
        <v>469</v>
      </c>
      <c r="J521" s="1">
        <f t="shared" si="89"/>
        <v>3752</v>
      </c>
      <c r="K521" s="9">
        <f t="shared" si="88"/>
        <v>5.1425438596491228E-2</v>
      </c>
      <c r="L521" s="19">
        <f t="shared" si="83"/>
        <v>7.999999999992724E-2</v>
      </c>
    </row>
    <row r="522" spans="1:12" x14ac:dyDescent="0.35">
      <c r="A522" s="2" t="s">
        <v>64</v>
      </c>
      <c r="B522" t="s">
        <v>63</v>
      </c>
      <c r="C522" s="21" t="s">
        <v>275</v>
      </c>
      <c r="D522" s="4">
        <v>9</v>
      </c>
      <c r="E522" s="90">
        <v>9120.08</v>
      </c>
      <c r="F522" s="3">
        <v>45958</v>
      </c>
      <c r="G522" s="1">
        <v>9589</v>
      </c>
      <c r="H522" s="1">
        <v>9120</v>
      </c>
      <c r="I522" s="1">
        <f t="shared" si="87"/>
        <v>469</v>
      </c>
      <c r="J522" s="1">
        <f t="shared" si="89"/>
        <v>4221</v>
      </c>
      <c r="K522" s="9">
        <f t="shared" si="88"/>
        <v>5.1425438596491228E-2</v>
      </c>
      <c r="L522" s="19">
        <f t="shared" si="83"/>
        <v>7.999999999992724E-2</v>
      </c>
    </row>
    <row r="523" spans="1:12" x14ac:dyDescent="0.35">
      <c r="A523" s="2" t="s">
        <v>64</v>
      </c>
      <c r="B523" t="s">
        <v>63</v>
      </c>
      <c r="C523" s="21" t="s">
        <v>275</v>
      </c>
      <c r="D523" s="4">
        <v>10</v>
      </c>
      <c r="E523" s="90">
        <v>9120.08</v>
      </c>
      <c r="F523" s="3">
        <v>45965</v>
      </c>
      <c r="G523" s="1">
        <v>9589</v>
      </c>
      <c r="H523" s="1">
        <v>9120</v>
      </c>
      <c r="I523" s="1">
        <f t="shared" si="87"/>
        <v>469</v>
      </c>
      <c r="J523" s="1">
        <f t="shared" si="89"/>
        <v>4690</v>
      </c>
      <c r="K523" s="9">
        <f t="shared" si="88"/>
        <v>5.1425438596491228E-2</v>
      </c>
      <c r="L523" s="19">
        <f t="shared" si="83"/>
        <v>7.999999999992724E-2</v>
      </c>
    </row>
    <row r="524" spans="1:12" x14ac:dyDescent="0.35">
      <c r="A524" s="2" t="s">
        <v>64</v>
      </c>
      <c r="B524" t="s">
        <v>63</v>
      </c>
      <c r="C524" s="21" t="s">
        <v>275</v>
      </c>
      <c r="D524" s="4">
        <v>11</v>
      </c>
      <c r="E524" s="90">
        <v>9120.08</v>
      </c>
      <c r="G524" s="1"/>
      <c r="H524" s="1"/>
      <c r="I524" s="1">
        <f t="shared" si="87"/>
        <v>0</v>
      </c>
      <c r="J524" s="1">
        <f t="shared" si="89"/>
        <v>4690</v>
      </c>
      <c r="K524" s="9" t="e">
        <f t="shared" si="88"/>
        <v>#DIV/0!</v>
      </c>
      <c r="L524" s="19">
        <f t="shared" si="83"/>
        <v>9120.08</v>
      </c>
    </row>
    <row r="525" spans="1:12" x14ac:dyDescent="0.35">
      <c r="A525" s="2" t="s">
        <v>64</v>
      </c>
      <c r="B525" t="s">
        <v>63</v>
      </c>
      <c r="C525" s="21" t="s">
        <v>275</v>
      </c>
      <c r="D525" s="4">
        <v>12</v>
      </c>
      <c r="E525" s="90">
        <v>9120.08</v>
      </c>
      <c r="G525" s="1"/>
      <c r="H525" s="1"/>
      <c r="I525" s="1">
        <f t="shared" si="87"/>
        <v>0</v>
      </c>
      <c r="J525" s="1">
        <f t="shared" si="89"/>
        <v>4690</v>
      </c>
      <c r="K525" s="9" t="e">
        <f t="shared" si="88"/>
        <v>#DIV/0!</v>
      </c>
      <c r="L525" s="19">
        <f t="shared" si="83"/>
        <v>9120.08</v>
      </c>
    </row>
    <row r="526" spans="1:12" x14ac:dyDescent="0.35">
      <c r="A526" s="2" t="s">
        <v>64</v>
      </c>
      <c r="B526" t="s">
        <v>63</v>
      </c>
      <c r="C526" s="21" t="s">
        <v>275</v>
      </c>
      <c r="D526" s="4">
        <v>13</v>
      </c>
      <c r="E526" s="90">
        <v>9120.08</v>
      </c>
      <c r="G526" s="1"/>
      <c r="H526" s="1"/>
      <c r="I526" s="1">
        <f t="shared" si="87"/>
        <v>0</v>
      </c>
      <c r="J526" s="1">
        <f t="shared" si="89"/>
        <v>4690</v>
      </c>
      <c r="K526" s="9" t="e">
        <f t="shared" si="88"/>
        <v>#DIV/0!</v>
      </c>
      <c r="L526" s="19">
        <f t="shared" si="83"/>
        <v>9120.08</v>
      </c>
    </row>
    <row r="527" spans="1:12" x14ac:dyDescent="0.35">
      <c r="A527" s="2" t="s">
        <v>64</v>
      </c>
      <c r="B527" t="s">
        <v>63</v>
      </c>
      <c r="C527" s="21" t="s">
        <v>275</v>
      </c>
      <c r="D527" s="4">
        <v>14</v>
      </c>
      <c r="E527" s="90">
        <v>9120.08</v>
      </c>
      <c r="G527" s="1"/>
      <c r="H527" s="1"/>
      <c r="I527" s="1">
        <f t="shared" si="87"/>
        <v>0</v>
      </c>
      <c r="J527" s="1">
        <f t="shared" si="89"/>
        <v>4690</v>
      </c>
      <c r="K527" s="9" t="e">
        <f t="shared" si="88"/>
        <v>#DIV/0!</v>
      </c>
      <c r="L527" s="19">
        <f t="shared" si="83"/>
        <v>9120.08</v>
      </c>
    </row>
    <row r="528" spans="1:12" x14ac:dyDescent="0.35">
      <c r="A528" s="2" t="s">
        <v>64</v>
      </c>
      <c r="B528" t="s">
        <v>63</v>
      </c>
      <c r="C528" s="21" t="s">
        <v>275</v>
      </c>
      <c r="D528" s="4">
        <v>15</v>
      </c>
      <c r="E528" s="90">
        <v>9120.08</v>
      </c>
      <c r="G528" s="1"/>
      <c r="H528" s="1"/>
      <c r="I528" s="1">
        <f t="shared" si="87"/>
        <v>0</v>
      </c>
      <c r="J528" s="1">
        <f t="shared" si="89"/>
        <v>4690</v>
      </c>
      <c r="K528" s="9" t="e">
        <f t="shared" si="88"/>
        <v>#DIV/0!</v>
      </c>
      <c r="L528" s="19">
        <f t="shared" si="83"/>
        <v>9120.08</v>
      </c>
    </row>
    <row r="529" spans="1:12" ht="15" thickBot="1" x14ac:dyDescent="0.4">
      <c r="A529" s="12" t="s">
        <v>64</v>
      </c>
      <c r="B529" s="13" t="s">
        <v>63</v>
      </c>
      <c r="C529" s="21" t="s">
        <v>275</v>
      </c>
      <c r="D529" s="14">
        <v>16</v>
      </c>
      <c r="E529" s="90">
        <v>9120.08</v>
      </c>
      <c r="F529" s="13"/>
      <c r="G529" s="15"/>
      <c r="H529" s="15"/>
      <c r="I529" s="15">
        <f t="shared" si="87"/>
        <v>0</v>
      </c>
      <c r="J529" s="15">
        <f t="shared" si="89"/>
        <v>4690</v>
      </c>
      <c r="K529" s="13"/>
      <c r="L529" s="24">
        <f t="shared" si="83"/>
        <v>9120.08</v>
      </c>
    </row>
    <row r="530" spans="1:12" x14ac:dyDescent="0.35">
      <c r="A530" s="2" t="s">
        <v>65</v>
      </c>
      <c r="B530" t="s">
        <v>66</v>
      </c>
      <c r="C530" s="21" t="s">
        <v>275</v>
      </c>
      <c r="D530" s="4">
        <v>1</v>
      </c>
      <c r="E530" s="91">
        <v>7220.06</v>
      </c>
      <c r="F530" s="3">
        <v>45902</v>
      </c>
      <c r="G530" s="1">
        <v>7670</v>
      </c>
      <c r="H530" s="1">
        <v>7220</v>
      </c>
      <c r="I530" s="1">
        <f t="shared" si="87"/>
        <v>450</v>
      </c>
      <c r="J530" s="1">
        <f>I530</f>
        <v>450</v>
      </c>
      <c r="K530" s="9">
        <f t="shared" ref="K530:K544" si="90">I530/H530</f>
        <v>6.2326869806094184E-2</v>
      </c>
      <c r="L530" s="19">
        <f t="shared" si="83"/>
        <v>6.0000000000400178E-2</v>
      </c>
    </row>
    <row r="531" spans="1:12" x14ac:dyDescent="0.35">
      <c r="A531" s="2" t="s">
        <v>65</v>
      </c>
      <c r="B531" t="s">
        <v>66</v>
      </c>
      <c r="C531" s="21" t="s">
        <v>275</v>
      </c>
      <c r="D531" s="4">
        <v>2</v>
      </c>
      <c r="E531" s="91">
        <v>7220.06</v>
      </c>
      <c r="F531" s="3">
        <v>45909</v>
      </c>
      <c r="G531" s="1">
        <v>7680</v>
      </c>
      <c r="H531" s="1">
        <v>7220</v>
      </c>
      <c r="I531" s="1">
        <f t="shared" si="87"/>
        <v>460</v>
      </c>
      <c r="J531" s="1">
        <f>J530+I531</f>
        <v>910</v>
      </c>
      <c r="K531" s="9">
        <f t="shared" si="90"/>
        <v>6.3711911357340723E-2</v>
      </c>
      <c r="L531" s="19">
        <f t="shared" si="83"/>
        <v>6.0000000000400178E-2</v>
      </c>
    </row>
    <row r="532" spans="1:12" x14ac:dyDescent="0.35">
      <c r="A532" s="2" t="s">
        <v>65</v>
      </c>
      <c r="B532" t="s">
        <v>66</v>
      </c>
      <c r="C532" s="21" t="s">
        <v>275</v>
      </c>
      <c r="D532" s="4">
        <v>3</v>
      </c>
      <c r="E532" s="91">
        <v>7220.06</v>
      </c>
      <c r="F532" s="3">
        <v>45915</v>
      </c>
      <c r="G532" s="1">
        <v>7680</v>
      </c>
      <c r="H532" s="1">
        <v>7220</v>
      </c>
      <c r="I532" s="1">
        <f t="shared" si="87"/>
        <v>460</v>
      </c>
      <c r="J532" s="1">
        <f t="shared" ref="J532:J545" si="91">J531+I532</f>
        <v>1370</v>
      </c>
      <c r="K532" s="9">
        <f t="shared" si="90"/>
        <v>6.3711911357340723E-2</v>
      </c>
      <c r="L532" s="19">
        <f t="shared" si="83"/>
        <v>6.0000000000400178E-2</v>
      </c>
    </row>
    <row r="533" spans="1:12" x14ac:dyDescent="0.35">
      <c r="A533" s="2" t="s">
        <v>65</v>
      </c>
      <c r="B533" t="s">
        <v>66</v>
      </c>
      <c r="C533" s="21" t="s">
        <v>275</v>
      </c>
      <c r="D533" s="4">
        <v>4</v>
      </c>
      <c r="E533" s="91">
        <v>7220.06</v>
      </c>
      <c r="F533" s="3">
        <v>45923</v>
      </c>
      <c r="G533" s="1">
        <v>7680</v>
      </c>
      <c r="H533" s="1">
        <v>7220</v>
      </c>
      <c r="I533" s="1">
        <f t="shared" si="87"/>
        <v>460</v>
      </c>
      <c r="J533" s="1">
        <f t="shared" si="91"/>
        <v>1830</v>
      </c>
      <c r="K533" s="9">
        <f t="shared" si="90"/>
        <v>6.3711911357340723E-2</v>
      </c>
      <c r="L533" s="19">
        <f t="shared" si="83"/>
        <v>6.0000000000400178E-2</v>
      </c>
    </row>
    <row r="534" spans="1:12" x14ac:dyDescent="0.35">
      <c r="A534" s="2" t="s">
        <v>65</v>
      </c>
      <c r="B534" t="s">
        <v>66</v>
      </c>
      <c r="C534" s="21" t="s">
        <v>275</v>
      </c>
      <c r="D534" s="4">
        <v>5</v>
      </c>
      <c r="E534" s="91">
        <v>7220.06</v>
      </c>
      <c r="F534" s="3">
        <v>45930</v>
      </c>
      <c r="G534" s="1">
        <v>7690</v>
      </c>
      <c r="H534" s="1">
        <v>7220</v>
      </c>
      <c r="I534" s="1">
        <f t="shared" si="87"/>
        <v>470</v>
      </c>
      <c r="J534" s="1">
        <f t="shared" si="91"/>
        <v>2300</v>
      </c>
      <c r="K534" s="9">
        <f t="shared" si="90"/>
        <v>6.5096952908587261E-2</v>
      </c>
      <c r="L534" s="19">
        <f t="shared" si="83"/>
        <v>6.0000000000400178E-2</v>
      </c>
    </row>
    <row r="535" spans="1:12" x14ac:dyDescent="0.35">
      <c r="A535" s="2" t="s">
        <v>65</v>
      </c>
      <c r="B535" t="s">
        <v>66</v>
      </c>
      <c r="C535" s="21" t="s">
        <v>275</v>
      </c>
      <c r="D535" s="4">
        <v>6</v>
      </c>
      <c r="E535" s="91">
        <v>7220.06</v>
      </c>
      <c r="F535" s="3">
        <v>45937</v>
      </c>
      <c r="G535" s="1">
        <v>7690</v>
      </c>
      <c r="H535" s="1">
        <v>7220</v>
      </c>
      <c r="I535" s="1">
        <f t="shared" si="87"/>
        <v>470</v>
      </c>
      <c r="J535" s="1">
        <f t="shared" si="91"/>
        <v>2770</v>
      </c>
      <c r="K535" s="9">
        <f t="shared" si="90"/>
        <v>6.5096952908587261E-2</v>
      </c>
      <c r="L535" s="19">
        <f t="shared" si="83"/>
        <v>6.0000000000400178E-2</v>
      </c>
    </row>
    <row r="536" spans="1:12" x14ac:dyDescent="0.35">
      <c r="A536" s="2" t="s">
        <v>65</v>
      </c>
      <c r="B536" t="s">
        <v>66</v>
      </c>
      <c r="C536" s="21" t="s">
        <v>275</v>
      </c>
      <c r="D536" s="4">
        <v>7</v>
      </c>
      <c r="E536" s="91">
        <v>7220.06</v>
      </c>
      <c r="F536" s="3">
        <v>45944</v>
      </c>
      <c r="G536" s="1">
        <v>7690</v>
      </c>
      <c r="H536" s="1">
        <v>7220</v>
      </c>
      <c r="I536" s="1">
        <f t="shared" si="87"/>
        <v>470</v>
      </c>
      <c r="J536" s="1">
        <f t="shared" si="91"/>
        <v>3240</v>
      </c>
      <c r="K536" s="9">
        <f t="shared" si="90"/>
        <v>6.5096952908587261E-2</v>
      </c>
      <c r="L536" s="19">
        <f t="shared" si="83"/>
        <v>6.0000000000400178E-2</v>
      </c>
    </row>
    <row r="537" spans="1:12" x14ac:dyDescent="0.35">
      <c r="A537" s="2" t="s">
        <v>65</v>
      </c>
      <c r="B537" t="s">
        <v>66</v>
      </c>
      <c r="C537" s="21" t="s">
        <v>275</v>
      </c>
      <c r="D537" s="4">
        <v>8</v>
      </c>
      <c r="E537" s="91">
        <v>7220.06</v>
      </c>
      <c r="F537" s="3">
        <v>45951</v>
      </c>
      <c r="G537" s="1">
        <v>7680</v>
      </c>
      <c r="H537" s="1">
        <v>7220</v>
      </c>
      <c r="I537" s="1">
        <f t="shared" si="87"/>
        <v>460</v>
      </c>
      <c r="J537" s="1">
        <f t="shared" si="91"/>
        <v>3700</v>
      </c>
      <c r="K537" s="9">
        <f t="shared" si="90"/>
        <v>6.3711911357340723E-2</v>
      </c>
      <c r="L537" s="19">
        <f t="shared" si="83"/>
        <v>6.0000000000400178E-2</v>
      </c>
    </row>
    <row r="538" spans="1:12" x14ac:dyDescent="0.35">
      <c r="A538" s="2" t="s">
        <v>65</v>
      </c>
      <c r="B538" t="s">
        <v>66</v>
      </c>
      <c r="C538" s="21" t="s">
        <v>275</v>
      </c>
      <c r="D538" s="4">
        <v>9</v>
      </c>
      <c r="E538" s="91">
        <v>7220.06</v>
      </c>
      <c r="F538" s="3">
        <v>45958</v>
      </c>
      <c r="G538" s="1">
        <v>7680</v>
      </c>
      <c r="H538" s="1">
        <v>7220</v>
      </c>
      <c r="I538" s="1">
        <f t="shared" si="87"/>
        <v>460</v>
      </c>
      <c r="J538" s="1">
        <f t="shared" si="91"/>
        <v>4160</v>
      </c>
      <c r="K538" s="9">
        <f t="shared" si="90"/>
        <v>6.3711911357340723E-2</v>
      </c>
      <c r="L538" s="19">
        <f t="shared" si="83"/>
        <v>6.0000000000400178E-2</v>
      </c>
    </row>
    <row r="539" spans="1:12" x14ac:dyDescent="0.35">
      <c r="A539" s="2" t="s">
        <v>65</v>
      </c>
      <c r="B539" t="s">
        <v>66</v>
      </c>
      <c r="C539" s="21" t="s">
        <v>275</v>
      </c>
      <c r="D539" s="4">
        <v>10</v>
      </c>
      <c r="E539" s="91">
        <v>7220.06</v>
      </c>
      <c r="F539" s="3">
        <v>45965</v>
      </c>
      <c r="G539" s="1">
        <f>270+5060+2350</f>
        <v>7680</v>
      </c>
      <c r="H539" s="1">
        <f>270+5060+1890</f>
        <v>7220</v>
      </c>
      <c r="I539" s="1">
        <f t="shared" si="87"/>
        <v>460</v>
      </c>
      <c r="J539" s="1">
        <f t="shared" si="91"/>
        <v>4620</v>
      </c>
      <c r="K539" s="9">
        <f t="shared" si="90"/>
        <v>6.3711911357340723E-2</v>
      </c>
      <c r="L539" s="19">
        <f t="shared" si="83"/>
        <v>6.0000000000400178E-2</v>
      </c>
    </row>
    <row r="540" spans="1:12" x14ac:dyDescent="0.35">
      <c r="A540" s="2" t="s">
        <v>65</v>
      </c>
      <c r="B540" t="s">
        <v>66</v>
      </c>
      <c r="C540" s="21" t="s">
        <v>275</v>
      </c>
      <c r="D540" s="4">
        <v>11</v>
      </c>
      <c r="E540" s="91">
        <v>7220.06</v>
      </c>
      <c r="G540" s="1"/>
      <c r="H540" s="1"/>
      <c r="I540" s="1">
        <f t="shared" si="87"/>
        <v>0</v>
      </c>
      <c r="J540" s="1">
        <f t="shared" si="91"/>
        <v>4620</v>
      </c>
      <c r="K540" s="9" t="e">
        <f t="shared" si="90"/>
        <v>#DIV/0!</v>
      </c>
      <c r="L540" s="19">
        <f t="shared" si="83"/>
        <v>7220.06</v>
      </c>
    </row>
    <row r="541" spans="1:12" x14ac:dyDescent="0.35">
      <c r="A541" s="2" t="s">
        <v>65</v>
      </c>
      <c r="B541" t="s">
        <v>66</v>
      </c>
      <c r="C541" s="21" t="s">
        <v>275</v>
      </c>
      <c r="D541" s="4">
        <v>12</v>
      </c>
      <c r="E541" s="91">
        <v>7220.06</v>
      </c>
      <c r="G541" s="1"/>
      <c r="H541" s="1"/>
      <c r="I541" s="1">
        <f t="shared" si="87"/>
        <v>0</v>
      </c>
      <c r="J541" s="1">
        <f t="shared" si="91"/>
        <v>4620</v>
      </c>
      <c r="K541" s="9" t="e">
        <f t="shared" si="90"/>
        <v>#DIV/0!</v>
      </c>
      <c r="L541" s="19">
        <f t="shared" si="83"/>
        <v>7220.06</v>
      </c>
    </row>
    <row r="542" spans="1:12" x14ac:dyDescent="0.35">
      <c r="A542" s="2" t="s">
        <v>65</v>
      </c>
      <c r="B542" t="s">
        <v>66</v>
      </c>
      <c r="C542" s="21" t="s">
        <v>275</v>
      </c>
      <c r="D542" s="4">
        <v>13</v>
      </c>
      <c r="E542" s="91">
        <v>7220.06</v>
      </c>
      <c r="G542" s="1"/>
      <c r="H542" s="1"/>
      <c r="I542" s="1">
        <f t="shared" si="87"/>
        <v>0</v>
      </c>
      <c r="J542" s="1">
        <f t="shared" si="91"/>
        <v>4620</v>
      </c>
      <c r="K542" s="9" t="e">
        <f t="shared" si="90"/>
        <v>#DIV/0!</v>
      </c>
      <c r="L542" s="19">
        <f t="shared" si="83"/>
        <v>7220.06</v>
      </c>
    </row>
    <row r="543" spans="1:12" x14ac:dyDescent="0.35">
      <c r="A543" s="2" t="s">
        <v>65</v>
      </c>
      <c r="B543" t="s">
        <v>66</v>
      </c>
      <c r="C543" s="21" t="s">
        <v>275</v>
      </c>
      <c r="D543" s="4">
        <v>14</v>
      </c>
      <c r="E543" s="91">
        <v>7220.06</v>
      </c>
      <c r="G543" s="1"/>
      <c r="H543" s="1"/>
      <c r="I543" s="1">
        <f t="shared" si="87"/>
        <v>0</v>
      </c>
      <c r="J543" s="1">
        <f t="shared" si="91"/>
        <v>4620</v>
      </c>
      <c r="K543" s="9" t="e">
        <f t="shared" si="90"/>
        <v>#DIV/0!</v>
      </c>
      <c r="L543" s="19">
        <f t="shared" si="83"/>
        <v>7220.06</v>
      </c>
    </row>
    <row r="544" spans="1:12" x14ac:dyDescent="0.35">
      <c r="A544" s="2" t="s">
        <v>65</v>
      </c>
      <c r="B544" t="s">
        <v>66</v>
      </c>
      <c r="C544" s="21" t="s">
        <v>275</v>
      </c>
      <c r="D544" s="4">
        <v>15</v>
      </c>
      <c r="E544" s="91">
        <v>7220.06</v>
      </c>
      <c r="G544" s="1"/>
      <c r="H544" s="1"/>
      <c r="I544" s="1">
        <f t="shared" si="87"/>
        <v>0</v>
      </c>
      <c r="J544" s="1">
        <f t="shared" si="91"/>
        <v>4620</v>
      </c>
      <c r="K544" s="9" t="e">
        <f t="shared" si="90"/>
        <v>#DIV/0!</v>
      </c>
      <c r="L544" s="19">
        <f t="shared" si="83"/>
        <v>7220.06</v>
      </c>
    </row>
    <row r="545" spans="1:12" ht="15" thickBot="1" x14ac:dyDescent="0.4">
      <c r="A545" s="12" t="s">
        <v>65</v>
      </c>
      <c r="B545" s="13" t="s">
        <v>66</v>
      </c>
      <c r="C545" s="21" t="s">
        <v>275</v>
      </c>
      <c r="D545" s="14">
        <v>16</v>
      </c>
      <c r="E545" s="91">
        <v>7220.06</v>
      </c>
      <c r="F545" s="13"/>
      <c r="G545" s="15"/>
      <c r="H545" s="15"/>
      <c r="I545" s="15">
        <f t="shared" si="87"/>
        <v>0</v>
      </c>
      <c r="J545" s="15">
        <f t="shared" si="91"/>
        <v>4620</v>
      </c>
      <c r="K545" s="13"/>
      <c r="L545" s="24">
        <f t="shared" si="83"/>
        <v>7220.06</v>
      </c>
    </row>
    <row r="546" spans="1:12" x14ac:dyDescent="0.35">
      <c r="A546" s="2" t="s">
        <v>67</v>
      </c>
      <c r="B546" t="s">
        <v>68</v>
      </c>
      <c r="C546" s="21" t="s">
        <v>275</v>
      </c>
      <c r="D546" s="4">
        <v>1</v>
      </c>
      <c r="E546" s="1">
        <v>47500.42</v>
      </c>
      <c r="F546" s="3">
        <v>45902</v>
      </c>
      <c r="G546" s="1">
        <v>52344</v>
      </c>
      <c r="H546" s="1">
        <v>47500.42</v>
      </c>
      <c r="I546" s="1">
        <f t="shared" si="87"/>
        <v>4843.5800000000017</v>
      </c>
      <c r="J546" s="1">
        <f>I546</f>
        <v>4843.5800000000017</v>
      </c>
      <c r="K546" s="9">
        <f t="shared" ref="K546:K560" si="92">I546/H546</f>
        <v>0.10196920364072574</v>
      </c>
      <c r="L546" s="19">
        <f t="shared" ref="L546:L609" si="93">E546-H546</f>
        <v>0</v>
      </c>
    </row>
    <row r="547" spans="1:12" x14ac:dyDescent="0.35">
      <c r="A547" s="2" t="s">
        <v>67</v>
      </c>
      <c r="B547" t="s">
        <v>68</v>
      </c>
      <c r="C547" s="21" t="s">
        <v>275</v>
      </c>
      <c r="D547" s="4">
        <v>2</v>
      </c>
      <c r="E547" s="1">
        <v>47500.42</v>
      </c>
      <c r="F547" s="3">
        <v>45909</v>
      </c>
      <c r="G547" s="1">
        <v>52164</v>
      </c>
      <c r="H547" s="1">
        <v>47500.42</v>
      </c>
      <c r="I547" s="1">
        <f t="shared" si="87"/>
        <v>4663.5800000000017</v>
      </c>
      <c r="J547" s="1">
        <f>J546+I547</f>
        <v>9507.1600000000035</v>
      </c>
      <c r="K547" s="9">
        <f t="shared" si="92"/>
        <v>9.8179763463144151E-2</v>
      </c>
      <c r="L547" s="19">
        <f t="shared" si="93"/>
        <v>0</v>
      </c>
    </row>
    <row r="548" spans="1:12" x14ac:dyDescent="0.35">
      <c r="A548" s="2" t="s">
        <v>67</v>
      </c>
      <c r="B548" t="s">
        <v>68</v>
      </c>
      <c r="C548" s="21" t="s">
        <v>275</v>
      </c>
      <c r="D548" s="4">
        <v>3</v>
      </c>
      <c r="E548" s="1">
        <v>47500.42</v>
      </c>
      <c r="F548" s="3">
        <v>45915</v>
      </c>
      <c r="G548" s="1">
        <v>52344</v>
      </c>
      <c r="H548" s="1">
        <v>47500.42</v>
      </c>
      <c r="I548" s="1">
        <f t="shared" si="87"/>
        <v>4843.5800000000017</v>
      </c>
      <c r="J548" s="1">
        <f t="shared" ref="J548:J561" si="94">J547+I548</f>
        <v>14350.740000000005</v>
      </c>
      <c r="K548" s="9">
        <f t="shared" si="92"/>
        <v>0.10196920364072574</v>
      </c>
      <c r="L548" s="19">
        <f t="shared" si="93"/>
        <v>0</v>
      </c>
    </row>
    <row r="549" spans="1:12" x14ac:dyDescent="0.35">
      <c r="A549" s="2" t="s">
        <v>67</v>
      </c>
      <c r="B549" t="s">
        <v>68</v>
      </c>
      <c r="C549" s="21" t="s">
        <v>275</v>
      </c>
      <c r="D549" s="4">
        <v>4</v>
      </c>
      <c r="E549" s="1">
        <v>47500.42</v>
      </c>
      <c r="F549" s="3">
        <v>45923</v>
      </c>
      <c r="G549" s="1">
        <v>52349</v>
      </c>
      <c r="H549" s="1">
        <v>47500.42</v>
      </c>
      <c r="I549" s="1">
        <f t="shared" si="87"/>
        <v>4848.5800000000017</v>
      </c>
      <c r="J549" s="1">
        <f t="shared" si="94"/>
        <v>19199.320000000007</v>
      </c>
      <c r="K549" s="9">
        <f t="shared" si="92"/>
        <v>0.10207446586788078</v>
      </c>
      <c r="L549" s="19">
        <f t="shared" si="93"/>
        <v>0</v>
      </c>
    </row>
    <row r="550" spans="1:12" x14ac:dyDescent="0.35">
      <c r="A550" s="2" t="s">
        <v>67</v>
      </c>
      <c r="B550" t="s">
        <v>68</v>
      </c>
      <c r="C550" s="21" t="s">
        <v>275</v>
      </c>
      <c r="D550" s="4">
        <v>5</v>
      </c>
      <c r="E550" s="1">
        <v>47500.42</v>
      </c>
      <c r="F550" s="3">
        <v>45930</v>
      </c>
      <c r="G550" s="1">
        <v>52354</v>
      </c>
      <c r="H550" s="1">
        <v>47500.42</v>
      </c>
      <c r="I550" s="1">
        <f t="shared" si="87"/>
        <v>4853.5800000000017</v>
      </c>
      <c r="J550" s="1">
        <f t="shared" si="94"/>
        <v>24052.900000000009</v>
      </c>
      <c r="K550" s="9">
        <f t="shared" si="92"/>
        <v>0.10217972809503584</v>
      </c>
      <c r="L550" s="19">
        <f t="shared" si="93"/>
        <v>0</v>
      </c>
    </row>
    <row r="551" spans="1:12" x14ac:dyDescent="0.35">
      <c r="A551" s="2" t="s">
        <v>67</v>
      </c>
      <c r="B551" t="s">
        <v>68</v>
      </c>
      <c r="C551" s="21" t="s">
        <v>275</v>
      </c>
      <c r="D551" s="4">
        <v>6</v>
      </c>
      <c r="E551" s="1">
        <v>47500.42</v>
      </c>
      <c r="F551" s="3">
        <v>45937</v>
      </c>
      <c r="G551" s="1">
        <v>52224</v>
      </c>
      <c r="H551" s="1">
        <v>47500.42</v>
      </c>
      <c r="I551" s="1">
        <f t="shared" si="87"/>
        <v>4723.5800000000017</v>
      </c>
      <c r="J551" s="1">
        <f t="shared" si="94"/>
        <v>28776.48000000001</v>
      </c>
      <c r="K551" s="9">
        <f t="shared" si="92"/>
        <v>9.9442910189004682E-2</v>
      </c>
      <c r="L551" s="19">
        <f t="shared" si="93"/>
        <v>0</v>
      </c>
    </row>
    <row r="552" spans="1:12" x14ac:dyDescent="0.35">
      <c r="A552" s="2" t="s">
        <v>67</v>
      </c>
      <c r="B552" t="s">
        <v>68</v>
      </c>
      <c r="C552" s="21" t="s">
        <v>275</v>
      </c>
      <c r="D552" s="4">
        <v>7</v>
      </c>
      <c r="E552" s="1">
        <v>47500.42</v>
      </c>
      <c r="F552" s="3">
        <v>45944</v>
      </c>
      <c r="G552" s="1">
        <v>52124</v>
      </c>
      <c r="H552" s="1">
        <v>47500.42</v>
      </c>
      <c r="I552" s="1">
        <f t="shared" si="87"/>
        <v>4623.5800000000017</v>
      </c>
      <c r="J552" s="1">
        <f t="shared" si="94"/>
        <v>33400.060000000012</v>
      </c>
      <c r="K552" s="9">
        <f t="shared" si="92"/>
        <v>9.7337665645903806E-2</v>
      </c>
      <c r="L552" s="19">
        <f t="shared" si="93"/>
        <v>0</v>
      </c>
    </row>
    <row r="553" spans="1:12" x14ac:dyDescent="0.35">
      <c r="A553" s="2" t="s">
        <v>67</v>
      </c>
      <c r="B553" t="s">
        <v>68</v>
      </c>
      <c r="C553" s="21" t="s">
        <v>275</v>
      </c>
      <c r="D553" s="4">
        <v>8</v>
      </c>
      <c r="E553" s="1">
        <v>47500.42</v>
      </c>
      <c r="F553" s="3">
        <v>45951</v>
      </c>
      <c r="G553" s="1">
        <v>52224</v>
      </c>
      <c r="H553" s="1">
        <v>47500.42</v>
      </c>
      <c r="I553" s="1">
        <f t="shared" si="87"/>
        <v>4723.5800000000017</v>
      </c>
      <c r="J553" s="1">
        <f t="shared" si="94"/>
        <v>38123.640000000014</v>
      </c>
      <c r="K553" s="9">
        <f t="shared" si="92"/>
        <v>9.9442910189004682E-2</v>
      </c>
      <c r="L553" s="19">
        <f t="shared" si="93"/>
        <v>0</v>
      </c>
    </row>
    <row r="554" spans="1:12" x14ac:dyDescent="0.35">
      <c r="A554" s="2" t="s">
        <v>67</v>
      </c>
      <c r="B554" t="s">
        <v>68</v>
      </c>
      <c r="C554" s="21" t="s">
        <v>275</v>
      </c>
      <c r="D554" s="4">
        <v>9</v>
      </c>
      <c r="E554" s="1">
        <v>47500.42</v>
      </c>
      <c r="F554" s="3">
        <v>45958</v>
      </c>
      <c r="G554" s="1">
        <v>51704</v>
      </c>
      <c r="H554" s="1">
        <v>47500.42</v>
      </c>
      <c r="I554" s="1">
        <f t="shared" si="87"/>
        <v>4203.5800000000017</v>
      </c>
      <c r="J554" s="1">
        <f t="shared" si="94"/>
        <v>42327.220000000016</v>
      </c>
      <c r="K554" s="9">
        <f t="shared" si="92"/>
        <v>8.8495638564880102E-2</v>
      </c>
      <c r="L554" s="19">
        <f t="shared" si="93"/>
        <v>0</v>
      </c>
    </row>
    <row r="555" spans="1:12" x14ac:dyDescent="0.35">
      <c r="A555" s="2" t="s">
        <v>67</v>
      </c>
      <c r="B555" t="s">
        <v>68</v>
      </c>
      <c r="C555" s="21" t="s">
        <v>275</v>
      </c>
      <c r="D555" s="4">
        <v>10</v>
      </c>
      <c r="E555" s="1">
        <v>47500.42</v>
      </c>
      <c r="F555" s="3">
        <v>45965</v>
      </c>
      <c r="G555" s="1">
        <v>51924</v>
      </c>
      <c r="H555" s="1">
        <v>47500.42</v>
      </c>
      <c r="I555" s="1">
        <f t="shared" si="87"/>
        <v>4423.5800000000017</v>
      </c>
      <c r="J555" s="1">
        <f t="shared" si="94"/>
        <v>46750.800000000017</v>
      </c>
      <c r="K555" s="9">
        <f t="shared" si="92"/>
        <v>9.3127176559702041E-2</v>
      </c>
      <c r="L555" s="19">
        <f t="shared" si="93"/>
        <v>0</v>
      </c>
    </row>
    <row r="556" spans="1:12" x14ac:dyDescent="0.35">
      <c r="A556" s="2" t="s">
        <v>67</v>
      </c>
      <c r="B556" t="s">
        <v>68</v>
      </c>
      <c r="C556" s="21" t="s">
        <v>275</v>
      </c>
      <c r="D556" s="4">
        <v>11</v>
      </c>
      <c r="E556" s="1">
        <v>47500.42</v>
      </c>
      <c r="G556" s="1"/>
      <c r="H556" s="1"/>
      <c r="I556" s="1">
        <f t="shared" si="87"/>
        <v>0</v>
      </c>
      <c r="J556" s="1">
        <f t="shared" si="94"/>
        <v>46750.800000000017</v>
      </c>
      <c r="K556" s="9" t="e">
        <f t="shared" si="92"/>
        <v>#DIV/0!</v>
      </c>
      <c r="L556" s="19">
        <f t="shared" si="93"/>
        <v>47500.42</v>
      </c>
    </row>
    <row r="557" spans="1:12" x14ac:dyDescent="0.35">
      <c r="A557" s="2" t="s">
        <v>67</v>
      </c>
      <c r="B557" t="s">
        <v>68</v>
      </c>
      <c r="C557" s="21" t="s">
        <v>275</v>
      </c>
      <c r="D557" s="4">
        <v>12</v>
      </c>
      <c r="E557" s="1">
        <v>47500.42</v>
      </c>
      <c r="G557" s="1"/>
      <c r="H557" s="1"/>
      <c r="I557" s="1">
        <f t="shared" si="87"/>
        <v>0</v>
      </c>
      <c r="J557" s="1">
        <f t="shared" si="94"/>
        <v>46750.800000000017</v>
      </c>
      <c r="K557" s="9" t="e">
        <f t="shared" si="92"/>
        <v>#DIV/0!</v>
      </c>
      <c r="L557" s="19">
        <f t="shared" si="93"/>
        <v>47500.42</v>
      </c>
    </row>
    <row r="558" spans="1:12" x14ac:dyDescent="0.35">
      <c r="A558" s="2" t="s">
        <v>67</v>
      </c>
      <c r="B558" t="s">
        <v>68</v>
      </c>
      <c r="C558" s="21" t="s">
        <v>275</v>
      </c>
      <c r="D558" s="4">
        <v>13</v>
      </c>
      <c r="E558" s="1">
        <v>47500.42</v>
      </c>
      <c r="G558" s="1"/>
      <c r="H558" s="1"/>
      <c r="I558" s="1">
        <f t="shared" si="87"/>
        <v>0</v>
      </c>
      <c r="J558" s="1">
        <f t="shared" si="94"/>
        <v>46750.800000000017</v>
      </c>
      <c r="K558" s="9" t="e">
        <f t="shared" si="92"/>
        <v>#DIV/0!</v>
      </c>
      <c r="L558" s="19">
        <f t="shared" si="93"/>
        <v>47500.42</v>
      </c>
    </row>
    <row r="559" spans="1:12" x14ac:dyDescent="0.35">
      <c r="A559" s="2" t="s">
        <v>67</v>
      </c>
      <c r="B559" t="s">
        <v>68</v>
      </c>
      <c r="C559" s="21" t="s">
        <v>275</v>
      </c>
      <c r="D559" s="4">
        <v>14</v>
      </c>
      <c r="E559" s="1">
        <v>47500.42</v>
      </c>
      <c r="G559" s="1"/>
      <c r="H559" s="1"/>
      <c r="I559" s="1">
        <f t="shared" si="87"/>
        <v>0</v>
      </c>
      <c r="J559" s="1">
        <f t="shared" si="94"/>
        <v>46750.800000000017</v>
      </c>
      <c r="K559" s="9" t="e">
        <f t="shared" si="92"/>
        <v>#DIV/0!</v>
      </c>
      <c r="L559" s="19">
        <f t="shared" si="93"/>
        <v>47500.42</v>
      </c>
    </row>
    <row r="560" spans="1:12" x14ac:dyDescent="0.35">
      <c r="A560" s="2" t="s">
        <v>67</v>
      </c>
      <c r="B560" t="s">
        <v>68</v>
      </c>
      <c r="C560" s="21" t="s">
        <v>275</v>
      </c>
      <c r="D560" s="4">
        <v>15</v>
      </c>
      <c r="E560" s="1">
        <v>47500.42</v>
      </c>
      <c r="G560" s="1"/>
      <c r="H560" s="1"/>
      <c r="I560" s="1">
        <f t="shared" si="87"/>
        <v>0</v>
      </c>
      <c r="J560" s="1">
        <f t="shared" si="94"/>
        <v>46750.800000000017</v>
      </c>
      <c r="K560" s="9" t="e">
        <f t="shared" si="92"/>
        <v>#DIV/0!</v>
      </c>
      <c r="L560" s="19">
        <f t="shared" si="93"/>
        <v>47500.42</v>
      </c>
    </row>
    <row r="561" spans="1:12" ht="15" thickBot="1" x14ac:dyDescent="0.4">
      <c r="A561" s="12" t="s">
        <v>67</v>
      </c>
      <c r="B561" s="13" t="s">
        <v>68</v>
      </c>
      <c r="C561" s="21" t="s">
        <v>275</v>
      </c>
      <c r="D561" s="14">
        <v>16</v>
      </c>
      <c r="E561" s="1">
        <v>47500.42</v>
      </c>
      <c r="F561" s="13"/>
      <c r="G561" s="15"/>
      <c r="H561" s="15"/>
      <c r="I561" s="15">
        <f t="shared" si="87"/>
        <v>0</v>
      </c>
      <c r="J561" s="15">
        <f t="shared" si="94"/>
        <v>46750.800000000017</v>
      </c>
      <c r="K561" s="13"/>
      <c r="L561" s="24">
        <f t="shared" si="93"/>
        <v>47500.42</v>
      </c>
    </row>
    <row r="562" spans="1:12" x14ac:dyDescent="0.35">
      <c r="A562" s="2" t="s">
        <v>69</v>
      </c>
      <c r="B562" t="s">
        <v>70</v>
      </c>
      <c r="C562" s="21" t="s">
        <v>275</v>
      </c>
      <c r="D562" s="4">
        <v>1</v>
      </c>
      <c r="E562" s="92">
        <v>6080.05</v>
      </c>
      <c r="F562" s="3">
        <v>45903</v>
      </c>
      <c r="G562" s="1">
        <v>6384</v>
      </c>
      <c r="H562" s="1">
        <v>6085</v>
      </c>
      <c r="I562" s="1">
        <f t="shared" si="87"/>
        <v>299</v>
      </c>
      <c r="J562" s="1">
        <f>I562</f>
        <v>299</v>
      </c>
      <c r="K562" s="9">
        <f t="shared" ref="K562:K576" si="95">I562/H562</f>
        <v>4.9137222678718159E-2</v>
      </c>
      <c r="L562" s="19">
        <f t="shared" si="93"/>
        <v>-4.9499999999998181</v>
      </c>
    </row>
    <row r="563" spans="1:12" x14ac:dyDescent="0.35">
      <c r="A563" s="2" t="s">
        <v>69</v>
      </c>
      <c r="B563" t="s">
        <v>70</v>
      </c>
      <c r="C563" s="21" t="s">
        <v>275</v>
      </c>
      <c r="D563" s="4">
        <v>2</v>
      </c>
      <c r="E563" s="92">
        <v>6080.05</v>
      </c>
      <c r="F563" s="3">
        <v>45910</v>
      </c>
      <c r="G563" s="1">
        <v>6387</v>
      </c>
      <c r="H563" s="1">
        <v>6085</v>
      </c>
      <c r="I563" s="1">
        <f t="shared" si="87"/>
        <v>302</v>
      </c>
      <c r="J563" s="1">
        <f>J562+I563</f>
        <v>601</v>
      </c>
      <c r="K563" s="9">
        <f t="shared" si="95"/>
        <v>4.963023829087921E-2</v>
      </c>
      <c r="L563" s="19">
        <f t="shared" si="93"/>
        <v>-4.9499999999998181</v>
      </c>
    </row>
    <row r="564" spans="1:12" x14ac:dyDescent="0.35">
      <c r="A564" s="2" t="s">
        <v>69</v>
      </c>
      <c r="B564" t="s">
        <v>70</v>
      </c>
      <c r="C564" s="21" t="s">
        <v>275</v>
      </c>
      <c r="D564" s="4">
        <v>3</v>
      </c>
      <c r="E564" s="92">
        <v>6080.05</v>
      </c>
      <c r="F564" s="3">
        <v>45917</v>
      </c>
      <c r="G564" s="1">
        <v>6383</v>
      </c>
      <c r="H564" s="1">
        <v>6085</v>
      </c>
      <c r="I564" s="1">
        <f t="shared" si="87"/>
        <v>298</v>
      </c>
      <c r="J564" s="1">
        <f t="shared" ref="J564:J577" si="96">J563+I564</f>
        <v>899</v>
      </c>
      <c r="K564" s="9">
        <f t="shared" si="95"/>
        <v>4.8972884141331142E-2</v>
      </c>
      <c r="L564" s="19">
        <f t="shared" si="93"/>
        <v>-4.9499999999998181</v>
      </c>
    </row>
    <row r="565" spans="1:12" x14ac:dyDescent="0.35">
      <c r="A565" s="2" t="s">
        <v>69</v>
      </c>
      <c r="B565" t="s">
        <v>70</v>
      </c>
      <c r="C565" s="21" t="s">
        <v>275</v>
      </c>
      <c r="D565" s="4">
        <v>4</v>
      </c>
      <c r="E565" s="92">
        <v>6080.05</v>
      </c>
      <c r="F565" s="3">
        <v>45923</v>
      </c>
      <c r="G565" s="1">
        <v>6384</v>
      </c>
      <c r="H565" s="1">
        <v>6085</v>
      </c>
      <c r="I565" s="1">
        <f t="shared" si="87"/>
        <v>299</v>
      </c>
      <c r="J565" s="1">
        <f t="shared" si="96"/>
        <v>1198</v>
      </c>
      <c r="K565" s="9">
        <f t="shared" si="95"/>
        <v>4.9137222678718159E-2</v>
      </c>
      <c r="L565" s="19">
        <f t="shared" si="93"/>
        <v>-4.9499999999998181</v>
      </c>
    </row>
    <row r="566" spans="1:12" x14ac:dyDescent="0.35">
      <c r="A566" s="2" t="s">
        <v>69</v>
      </c>
      <c r="B566" t="s">
        <v>70</v>
      </c>
      <c r="C566" s="21" t="s">
        <v>275</v>
      </c>
      <c r="D566" s="4">
        <v>5</v>
      </c>
      <c r="E566" s="92">
        <v>6080.05</v>
      </c>
      <c r="F566" s="3">
        <v>45931</v>
      </c>
      <c r="G566" s="1">
        <v>6383</v>
      </c>
      <c r="H566" s="1">
        <v>6085</v>
      </c>
      <c r="I566" s="1">
        <f t="shared" ref="I566:I629" si="97">G566-H566</f>
        <v>298</v>
      </c>
      <c r="J566" s="1">
        <f t="shared" si="96"/>
        <v>1496</v>
      </c>
      <c r="K566" s="9">
        <f t="shared" si="95"/>
        <v>4.8972884141331142E-2</v>
      </c>
      <c r="L566" s="19">
        <f t="shared" si="93"/>
        <v>-4.9499999999998181</v>
      </c>
    </row>
    <row r="567" spans="1:12" x14ac:dyDescent="0.35">
      <c r="A567" s="2" t="s">
        <v>69</v>
      </c>
      <c r="B567" t="s">
        <v>70</v>
      </c>
      <c r="C567" s="21" t="s">
        <v>275</v>
      </c>
      <c r="D567" s="4">
        <v>6</v>
      </c>
      <c r="E567" s="92">
        <v>6080.05</v>
      </c>
      <c r="F567" s="3">
        <v>45938</v>
      </c>
      <c r="G567" s="1">
        <v>6384</v>
      </c>
      <c r="H567" s="1">
        <v>6085</v>
      </c>
      <c r="I567" s="1">
        <f t="shared" si="97"/>
        <v>299</v>
      </c>
      <c r="J567" s="1">
        <f t="shared" si="96"/>
        <v>1795</v>
      </c>
      <c r="K567" s="9">
        <f t="shared" si="95"/>
        <v>4.9137222678718159E-2</v>
      </c>
      <c r="L567" s="19">
        <f t="shared" si="93"/>
        <v>-4.9499999999998181</v>
      </c>
    </row>
    <row r="568" spans="1:12" x14ac:dyDescent="0.35">
      <c r="A568" s="2" t="s">
        <v>69</v>
      </c>
      <c r="B568" t="s">
        <v>70</v>
      </c>
      <c r="C568" s="21" t="s">
        <v>275</v>
      </c>
      <c r="D568" s="4">
        <v>7</v>
      </c>
      <c r="E568" s="92">
        <v>6080.05</v>
      </c>
      <c r="F568" s="3">
        <v>45945</v>
      </c>
      <c r="G568" s="1">
        <v>6384</v>
      </c>
      <c r="H568" s="1">
        <v>6085</v>
      </c>
      <c r="I568" s="1">
        <f t="shared" si="97"/>
        <v>299</v>
      </c>
      <c r="J568" s="1">
        <f t="shared" si="96"/>
        <v>2094</v>
      </c>
      <c r="K568" s="9">
        <f t="shared" si="95"/>
        <v>4.9137222678718159E-2</v>
      </c>
      <c r="L568" s="19">
        <f t="shared" si="93"/>
        <v>-4.9499999999998181</v>
      </c>
    </row>
    <row r="569" spans="1:12" x14ac:dyDescent="0.35">
      <c r="A569" s="2" t="s">
        <v>69</v>
      </c>
      <c r="B569" t="s">
        <v>70</v>
      </c>
      <c r="C569" s="21" t="s">
        <v>275</v>
      </c>
      <c r="D569" s="4">
        <v>8</v>
      </c>
      <c r="E569" s="92">
        <v>6080.05</v>
      </c>
      <c r="F569" s="3">
        <v>45952</v>
      </c>
      <c r="G569" s="1">
        <v>6384</v>
      </c>
      <c r="H569" s="1">
        <v>6085</v>
      </c>
      <c r="I569" s="1">
        <f t="shared" si="97"/>
        <v>299</v>
      </c>
      <c r="J569" s="1">
        <f t="shared" si="96"/>
        <v>2393</v>
      </c>
      <c r="K569" s="9">
        <f t="shared" si="95"/>
        <v>4.9137222678718159E-2</v>
      </c>
      <c r="L569" s="19">
        <f t="shared" si="93"/>
        <v>-4.9499999999998181</v>
      </c>
    </row>
    <row r="570" spans="1:12" x14ac:dyDescent="0.35">
      <c r="A570" s="2" t="s">
        <v>69</v>
      </c>
      <c r="B570" t="s">
        <v>70</v>
      </c>
      <c r="C570" s="21" t="s">
        <v>275</v>
      </c>
      <c r="D570" s="4">
        <v>9</v>
      </c>
      <c r="E570" s="92">
        <v>6080.05</v>
      </c>
      <c r="F570" s="3">
        <v>45959</v>
      </c>
      <c r="G570" s="1">
        <v>6384</v>
      </c>
      <c r="H570" s="1">
        <v>6085</v>
      </c>
      <c r="I570" s="1">
        <f t="shared" si="97"/>
        <v>299</v>
      </c>
      <c r="J570" s="1">
        <f t="shared" si="96"/>
        <v>2692</v>
      </c>
      <c r="K570" s="9">
        <f t="shared" si="95"/>
        <v>4.9137222678718159E-2</v>
      </c>
      <c r="L570" s="19">
        <f t="shared" si="93"/>
        <v>-4.9499999999998181</v>
      </c>
    </row>
    <row r="571" spans="1:12" x14ac:dyDescent="0.35">
      <c r="A571" s="2" t="s">
        <v>69</v>
      </c>
      <c r="B571" t="s">
        <v>70</v>
      </c>
      <c r="C571" s="21" t="s">
        <v>275</v>
      </c>
      <c r="D571" s="4">
        <v>10</v>
      </c>
      <c r="E571" s="92">
        <v>6080.05</v>
      </c>
      <c r="F571" s="3">
        <v>45967</v>
      </c>
      <c r="G571" s="1">
        <v>6384</v>
      </c>
      <c r="H571" s="1">
        <v>6085</v>
      </c>
      <c r="I571" s="1">
        <f t="shared" si="97"/>
        <v>299</v>
      </c>
      <c r="J571" s="1">
        <f t="shared" si="96"/>
        <v>2991</v>
      </c>
      <c r="K571" s="9">
        <f t="shared" si="95"/>
        <v>4.9137222678718159E-2</v>
      </c>
      <c r="L571" s="19">
        <f t="shared" si="93"/>
        <v>-4.9499999999998181</v>
      </c>
    </row>
    <row r="572" spans="1:12" x14ac:dyDescent="0.35">
      <c r="A572" s="2" t="s">
        <v>69</v>
      </c>
      <c r="B572" t="s">
        <v>70</v>
      </c>
      <c r="C572" s="21" t="s">
        <v>275</v>
      </c>
      <c r="D572" s="4">
        <v>11</v>
      </c>
      <c r="E572" s="92">
        <v>6080.05</v>
      </c>
      <c r="G572" s="1"/>
      <c r="H572" s="1"/>
      <c r="I572" s="1">
        <f t="shared" si="97"/>
        <v>0</v>
      </c>
      <c r="J572" s="1">
        <f t="shared" si="96"/>
        <v>2991</v>
      </c>
      <c r="K572" s="9" t="e">
        <f t="shared" si="95"/>
        <v>#DIV/0!</v>
      </c>
      <c r="L572" s="19">
        <f t="shared" si="93"/>
        <v>6080.05</v>
      </c>
    </row>
    <row r="573" spans="1:12" x14ac:dyDescent="0.35">
      <c r="A573" s="2" t="s">
        <v>69</v>
      </c>
      <c r="B573" t="s">
        <v>70</v>
      </c>
      <c r="C573" s="21" t="s">
        <v>275</v>
      </c>
      <c r="D573" s="4">
        <v>12</v>
      </c>
      <c r="E573" s="92">
        <v>6080.05</v>
      </c>
      <c r="G573" s="1"/>
      <c r="H573" s="1"/>
      <c r="I573" s="1">
        <f t="shared" si="97"/>
        <v>0</v>
      </c>
      <c r="J573" s="1">
        <f t="shared" si="96"/>
        <v>2991</v>
      </c>
      <c r="K573" s="9" t="e">
        <f t="shared" si="95"/>
        <v>#DIV/0!</v>
      </c>
      <c r="L573" s="19">
        <f t="shared" si="93"/>
        <v>6080.05</v>
      </c>
    </row>
    <row r="574" spans="1:12" x14ac:dyDescent="0.35">
      <c r="A574" s="2" t="s">
        <v>69</v>
      </c>
      <c r="B574" t="s">
        <v>70</v>
      </c>
      <c r="C574" s="21" t="s">
        <v>275</v>
      </c>
      <c r="D574" s="4">
        <v>13</v>
      </c>
      <c r="E574" s="92">
        <v>6080.05</v>
      </c>
      <c r="G574" s="1"/>
      <c r="H574" s="1"/>
      <c r="I574" s="1">
        <f t="shared" si="97"/>
        <v>0</v>
      </c>
      <c r="J574" s="1">
        <f t="shared" si="96"/>
        <v>2991</v>
      </c>
      <c r="K574" s="9" t="e">
        <f t="shared" si="95"/>
        <v>#DIV/0!</v>
      </c>
      <c r="L574" s="19">
        <f t="shared" si="93"/>
        <v>6080.05</v>
      </c>
    </row>
    <row r="575" spans="1:12" x14ac:dyDescent="0.35">
      <c r="A575" s="2" t="s">
        <v>69</v>
      </c>
      <c r="B575" t="s">
        <v>70</v>
      </c>
      <c r="C575" s="21" t="s">
        <v>275</v>
      </c>
      <c r="D575" s="4">
        <v>14</v>
      </c>
      <c r="E575" s="92">
        <v>6080.05</v>
      </c>
      <c r="G575" s="1"/>
      <c r="H575" s="1"/>
      <c r="I575" s="1">
        <f t="shared" si="97"/>
        <v>0</v>
      </c>
      <c r="J575" s="1">
        <f t="shared" si="96"/>
        <v>2991</v>
      </c>
      <c r="K575" s="9" t="e">
        <f t="shared" si="95"/>
        <v>#DIV/0!</v>
      </c>
      <c r="L575" s="19">
        <f t="shared" si="93"/>
        <v>6080.05</v>
      </c>
    </row>
    <row r="576" spans="1:12" x14ac:dyDescent="0.35">
      <c r="A576" s="2" t="s">
        <v>69</v>
      </c>
      <c r="B576" t="s">
        <v>70</v>
      </c>
      <c r="C576" s="21" t="s">
        <v>275</v>
      </c>
      <c r="D576" s="4">
        <v>15</v>
      </c>
      <c r="E576" s="92">
        <v>6080.05</v>
      </c>
      <c r="G576" s="1"/>
      <c r="H576" s="1"/>
      <c r="I576" s="1">
        <f t="shared" si="97"/>
        <v>0</v>
      </c>
      <c r="J576" s="1">
        <f t="shared" si="96"/>
        <v>2991</v>
      </c>
      <c r="K576" s="9" t="e">
        <f t="shared" si="95"/>
        <v>#DIV/0!</v>
      </c>
      <c r="L576" s="19">
        <f t="shared" si="93"/>
        <v>6080.05</v>
      </c>
    </row>
    <row r="577" spans="1:12" ht="15" thickBot="1" x14ac:dyDescent="0.4">
      <c r="A577" s="12" t="s">
        <v>69</v>
      </c>
      <c r="B577" s="13" t="s">
        <v>70</v>
      </c>
      <c r="C577" s="21" t="s">
        <v>275</v>
      </c>
      <c r="D577" s="14">
        <v>16</v>
      </c>
      <c r="E577" s="92">
        <v>6080.05</v>
      </c>
      <c r="F577" s="13"/>
      <c r="G577" s="15"/>
      <c r="H577" s="15"/>
      <c r="I577" s="15">
        <f t="shared" si="97"/>
        <v>0</v>
      </c>
      <c r="J577" s="15">
        <f t="shared" si="96"/>
        <v>2991</v>
      </c>
      <c r="K577" s="13"/>
      <c r="L577" s="19">
        <f t="shared" si="93"/>
        <v>6080.05</v>
      </c>
    </row>
    <row r="578" spans="1:12" x14ac:dyDescent="0.35">
      <c r="A578" s="2" t="s">
        <v>71</v>
      </c>
      <c r="B578" t="s">
        <v>72</v>
      </c>
      <c r="C578" s="21" t="s">
        <v>275</v>
      </c>
      <c r="D578" s="4">
        <v>1</v>
      </c>
      <c r="E578" s="93">
        <v>6460.06</v>
      </c>
      <c r="F578" s="3">
        <v>45903</v>
      </c>
      <c r="G578" s="1">
        <v>6756</v>
      </c>
      <c r="H578" s="1">
        <v>6467</v>
      </c>
      <c r="I578" s="1">
        <f t="shared" si="97"/>
        <v>289</v>
      </c>
      <c r="J578" s="1">
        <f>I578</f>
        <v>289</v>
      </c>
      <c r="K578" s="9">
        <f t="shared" ref="K578:K591" si="98">I578/H578</f>
        <v>4.4688418122777178E-2</v>
      </c>
      <c r="L578" s="19">
        <f t="shared" si="93"/>
        <v>-6.9399999999995998</v>
      </c>
    </row>
    <row r="579" spans="1:12" x14ac:dyDescent="0.35">
      <c r="A579" s="2" t="s">
        <v>71</v>
      </c>
      <c r="B579" t="s">
        <v>72</v>
      </c>
      <c r="C579" s="21" t="s">
        <v>275</v>
      </c>
      <c r="D579" s="4">
        <v>2</v>
      </c>
      <c r="E579" s="93">
        <v>6460.06</v>
      </c>
      <c r="F579" s="3">
        <v>45909</v>
      </c>
      <c r="G579" s="1">
        <v>6700</v>
      </c>
      <c r="H579" s="1">
        <v>6467</v>
      </c>
      <c r="I579" s="1">
        <f t="shared" si="97"/>
        <v>233</v>
      </c>
      <c r="J579" s="1">
        <f>J578+I579</f>
        <v>522</v>
      </c>
      <c r="K579" s="9">
        <f t="shared" si="98"/>
        <v>3.6029070666460494E-2</v>
      </c>
      <c r="L579" s="19">
        <f t="shared" si="93"/>
        <v>-6.9399999999995998</v>
      </c>
    </row>
    <row r="580" spans="1:12" x14ac:dyDescent="0.35">
      <c r="A580" s="2" t="s">
        <v>71</v>
      </c>
      <c r="B580" t="s">
        <v>72</v>
      </c>
      <c r="C580" s="21" t="s">
        <v>275</v>
      </c>
      <c r="D580" s="4">
        <v>3</v>
      </c>
      <c r="E580" s="93">
        <v>6460.06</v>
      </c>
      <c r="F580" s="3">
        <v>45917</v>
      </c>
      <c r="G580" s="1">
        <v>6856</v>
      </c>
      <c r="H580" s="1">
        <v>6467</v>
      </c>
      <c r="I580" s="1">
        <f t="shared" si="97"/>
        <v>389</v>
      </c>
      <c r="J580" s="1">
        <f t="shared" ref="J580:J593" si="99">J579+I580</f>
        <v>911</v>
      </c>
      <c r="K580" s="9">
        <f t="shared" si="98"/>
        <v>6.0151538580485539E-2</v>
      </c>
      <c r="L580" s="19">
        <f t="shared" si="93"/>
        <v>-6.9399999999995998</v>
      </c>
    </row>
    <row r="581" spans="1:12" x14ac:dyDescent="0.35">
      <c r="A581" s="2" t="s">
        <v>71</v>
      </c>
      <c r="B581" t="s">
        <v>72</v>
      </c>
      <c r="C581" s="21" t="s">
        <v>275</v>
      </c>
      <c r="D581" s="4">
        <v>4</v>
      </c>
      <c r="E581" s="93">
        <v>6460.06</v>
      </c>
      <c r="F581" s="3">
        <v>45924</v>
      </c>
      <c r="G581" s="1">
        <v>6756</v>
      </c>
      <c r="H581" s="1">
        <v>6467</v>
      </c>
      <c r="I581" s="1">
        <f t="shared" si="97"/>
        <v>289</v>
      </c>
      <c r="J581" s="1">
        <f t="shared" si="99"/>
        <v>1200</v>
      </c>
      <c r="K581" s="9">
        <f t="shared" si="98"/>
        <v>4.4688418122777178E-2</v>
      </c>
      <c r="L581" s="19">
        <f t="shared" si="93"/>
        <v>-6.9399999999995998</v>
      </c>
    </row>
    <row r="582" spans="1:12" x14ac:dyDescent="0.35">
      <c r="A582" s="2" t="s">
        <v>71</v>
      </c>
      <c r="B582" t="s">
        <v>72</v>
      </c>
      <c r="C582" s="21" t="s">
        <v>275</v>
      </c>
      <c r="D582" s="4">
        <v>5</v>
      </c>
      <c r="E582" s="93">
        <v>6460.06</v>
      </c>
      <c r="F582" s="3">
        <v>45931</v>
      </c>
      <c r="G582" s="1">
        <v>6756</v>
      </c>
      <c r="H582" s="1">
        <v>6467</v>
      </c>
      <c r="I582" s="1">
        <f t="shared" si="97"/>
        <v>289</v>
      </c>
      <c r="J582" s="1">
        <f t="shared" si="99"/>
        <v>1489</v>
      </c>
      <c r="K582" s="9">
        <f t="shared" si="98"/>
        <v>4.4688418122777178E-2</v>
      </c>
      <c r="L582" s="19">
        <f t="shared" si="93"/>
        <v>-6.9399999999995998</v>
      </c>
    </row>
    <row r="583" spans="1:12" x14ac:dyDescent="0.35">
      <c r="A583" s="2" t="s">
        <v>71</v>
      </c>
      <c r="B583" t="s">
        <v>72</v>
      </c>
      <c r="C583" s="21" t="s">
        <v>275</v>
      </c>
      <c r="D583" s="4">
        <v>6</v>
      </c>
      <c r="E583" s="93">
        <v>6460.06</v>
      </c>
      <c r="F583" s="3">
        <v>45938</v>
      </c>
      <c r="G583" s="1">
        <v>6756</v>
      </c>
      <c r="H583" s="1">
        <v>6467</v>
      </c>
      <c r="I583" s="1">
        <f t="shared" si="97"/>
        <v>289</v>
      </c>
      <c r="J583" s="1">
        <f t="shared" si="99"/>
        <v>1778</v>
      </c>
      <c r="K583" s="9">
        <f t="shared" si="98"/>
        <v>4.4688418122777178E-2</v>
      </c>
      <c r="L583" s="19">
        <f t="shared" si="93"/>
        <v>-6.9399999999995998</v>
      </c>
    </row>
    <row r="584" spans="1:12" x14ac:dyDescent="0.35">
      <c r="A584" s="2" t="s">
        <v>71</v>
      </c>
      <c r="B584" t="s">
        <v>72</v>
      </c>
      <c r="C584" s="21" t="s">
        <v>275</v>
      </c>
      <c r="D584" s="4">
        <v>7</v>
      </c>
      <c r="E584" s="93">
        <v>6460.06</v>
      </c>
      <c r="F584" s="3">
        <v>45945</v>
      </c>
      <c r="G584" s="1">
        <v>6756</v>
      </c>
      <c r="H584" s="1">
        <v>6467</v>
      </c>
      <c r="I584" s="1">
        <f t="shared" si="97"/>
        <v>289</v>
      </c>
      <c r="J584" s="1">
        <f t="shared" si="99"/>
        <v>2067</v>
      </c>
      <c r="K584" s="9">
        <f t="shared" si="98"/>
        <v>4.4688418122777178E-2</v>
      </c>
      <c r="L584" s="19">
        <f t="shared" si="93"/>
        <v>-6.9399999999995998</v>
      </c>
    </row>
    <row r="585" spans="1:12" x14ac:dyDescent="0.35">
      <c r="A585" s="2" t="s">
        <v>71</v>
      </c>
      <c r="B585" t="s">
        <v>72</v>
      </c>
      <c r="C585" s="21" t="s">
        <v>275</v>
      </c>
      <c r="D585" s="4">
        <v>8</v>
      </c>
      <c r="E585" s="93">
        <v>6460.06</v>
      </c>
      <c r="F585" s="3">
        <v>45952</v>
      </c>
      <c r="G585" s="1">
        <v>6756</v>
      </c>
      <c r="H585" s="1">
        <v>6467</v>
      </c>
      <c r="I585" s="1">
        <f t="shared" si="97"/>
        <v>289</v>
      </c>
      <c r="J585" s="1">
        <f t="shared" si="99"/>
        <v>2356</v>
      </c>
      <c r="K585" s="9">
        <f t="shared" si="98"/>
        <v>4.4688418122777178E-2</v>
      </c>
      <c r="L585" s="19">
        <f t="shared" si="93"/>
        <v>-6.9399999999995998</v>
      </c>
    </row>
    <row r="586" spans="1:12" x14ac:dyDescent="0.35">
      <c r="A586" s="2" t="s">
        <v>71</v>
      </c>
      <c r="B586" t="s">
        <v>72</v>
      </c>
      <c r="C586" s="21" t="s">
        <v>275</v>
      </c>
      <c r="D586" s="4">
        <v>9</v>
      </c>
      <c r="E586" s="93">
        <v>6460.06</v>
      </c>
      <c r="F586" s="3">
        <v>45958</v>
      </c>
      <c r="G586" s="1">
        <v>6765</v>
      </c>
      <c r="H586" s="1">
        <v>6467</v>
      </c>
      <c r="I586" s="1">
        <f t="shared" si="97"/>
        <v>298</v>
      </c>
      <c r="J586" s="1">
        <f t="shared" si="99"/>
        <v>2654</v>
      </c>
      <c r="K586" s="9">
        <f t="shared" si="98"/>
        <v>4.6080098963970931E-2</v>
      </c>
      <c r="L586" s="19">
        <f t="shared" si="93"/>
        <v>-6.9399999999995998</v>
      </c>
    </row>
    <row r="587" spans="1:12" x14ac:dyDescent="0.35">
      <c r="A587" s="2" t="s">
        <v>71</v>
      </c>
      <c r="B587" t="s">
        <v>72</v>
      </c>
      <c r="C587" s="21" t="s">
        <v>275</v>
      </c>
      <c r="D587" s="4">
        <v>10</v>
      </c>
      <c r="E587" s="93">
        <v>6460.06</v>
      </c>
      <c r="F587" s="3">
        <v>45966</v>
      </c>
      <c r="G587" s="1">
        <v>6756</v>
      </c>
      <c r="H587" s="1">
        <v>6467</v>
      </c>
      <c r="I587" s="1">
        <f t="shared" si="97"/>
        <v>289</v>
      </c>
      <c r="J587" s="1">
        <f t="shared" si="99"/>
        <v>2943</v>
      </c>
      <c r="K587" s="9">
        <f t="shared" si="98"/>
        <v>4.4688418122777178E-2</v>
      </c>
      <c r="L587" s="19">
        <f t="shared" si="93"/>
        <v>-6.9399999999995998</v>
      </c>
    </row>
    <row r="588" spans="1:12" x14ac:dyDescent="0.35">
      <c r="A588" s="2" t="s">
        <v>71</v>
      </c>
      <c r="B588" t="s">
        <v>72</v>
      </c>
      <c r="C588" s="21" t="s">
        <v>275</v>
      </c>
      <c r="D588" s="4">
        <v>11</v>
      </c>
      <c r="E588" s="93">
        <v>6460.06</v>
      </c>
      <c r="G588" s="1"/>
      <c r="H588" s="1"/>
      <c r="I588" s="1">
        <f t="shared" si="97"/>
        <v>0</v>
      </c>
      <c r="J588" s="1">
        <f t="shared" si="99"/>
        <v>2943</v>
      </c>
      <c r="K588" s="9" t="e">
        <f t="shared" si="98"/>
        <v>#DIV/0!</v>
      </c>
      <c r="L588" s="19">
        <f t="shared" si="93"/>
        <v>6460.06</v>
      </c>
    </row>
    <row r="589" spans="1:12" x14ac:dyDescent="0.35">
      <c r="A589" s="2" t="s">
        <v>71</v>
      </c>
      <c r="B589" t="s">
        <v>72</v>
      </c>
      <c r="C589" s="21" t="s">
        <v>275</v>
      </c>
      <c r="D589" s="4">
        <v>12</v>
      </c>
      <c r="E589" s="93">
        <v>6460.06</v>
      </c>
      <c r="G589" s="1"/>
      <c r="H589" s="1"/>
      <c r="I589" s="1">
        <f t="shared" si="97"/>
        <v>0</v>
      </c>
      <c r="J589" s="1">
        <f t="shared" si="99"/>
        <v>2943</v>
      </c>
      <c r="K589" s="9" t="e">
        <f t="shared" si="98"/>
        <v>#DIV/0!</v>
      </c>
      <c r="L589" s="19">
        <f t="shared" si="93"/>
        <v>6460.06</v>
      </c>
    </row>
    <row r="590" spans="1:12" x14ac:dyDescent="0.35">
      <c r="A590" s="2" t="s">
        <v>71</v>
      </c>
      <c r="B590" t="s">
        <v>72</v>
      </c>
      <c r="C590" s="21" t="s">
        <v>275</v>
      </c>
      <c r="D590" s="4">
        <v>13</v>
      </c>
      <c r="E590" s="93">
        <v>6460.06</v>
      </c>
      <c r="G590" s="1"/>
      <c r="H590" s="1"/>
      <c r="I590" s="1">
        <f t="shared" si="97"/>
        <v>0</v>
      </c>
      <c r="J590" s="1">
        <f t="shared" si="99"/>
        <v>2943</v>
      </c>
      <c r="K590" s="9" t="e">
        <f t="shared" si="98"/>
        <v>#DIV/0!</v>
      </c>
      <c r="L590" s="19">
        <f t="shared" si="93"/>
        <v>6460.06</v>
      </c>
    </row>
    <row r="591" spans="1:12" x14ac:dyDescent="0.35">
      <c r="A591" s="2" t="s">
        <v>71</v>
      </c>
      <c r="B591" t="s">
        <v>72</v>
      </c>
      <c r="C591" s="21" t="s">
        <v>275</v>
      </c>
      <c r="D591" s="4">
        <v>14</v>
      </c>
      <c r="E591" s="93">
        <v>6460.06</v>
      </c>
      <c r="G591" s="1"/>
      <c r="H591" s="1"/>
      <c r="I591" s="1">
        <f t="shared" si="97"/>
        <v>0</v>
      </c>
      <c r="J591" s="1">
        <f t="shared" si="99"/>
        <v>2943</v>
      </c>
      <c r="K591" s="9" t="e">
        <f t="shared" si="98"/>
        <v>#DIV/0!</v>
      </c>
      <c r="L591" s="19">
        <f t="shared" si="93"/>
        <v>6460.06</v>
      </c>
    </row>
    <row r="592" spans="1:12" x14ac:dyDescent="0.35">
      <c r="A592" s="2" t="s">
        <v>71</v>
      </c>
      <c r="B592" t="s">
        <v>72</v>
      </c>
      <c r="C592" s="21" t="s">
        <v>275</v>
      </c>
      <c r="D592" s="4">
        <v>15</v>
      </c>
      <c r="E592" s="93">
        <v>6460.06</v>
      </c>
      <c r="G592" s="1"/>
      <c r="H592" s="1"/>
      <c r="I592" s="1">
        <f t="shared" si="97"/>
        <v>0</v>
      </c>
      <c r="J592" s="1">
        <f t="shared" si="99"/>
        <v>2943</v>
      </c>
      <c r="L592" s="19">
        <f t="shared" si="93"/>
        <v>6460.06</v>
      </c>
    </row>
    <row r="593" spans="1:12" ht="15" thickBot="1" x14ac:dyDescent="0.4">
      <c r="A593" s="12" t="s">
        <v>71</v>
      </c>
      <c r="B593" s="13" t="s">
        <v>72</v>
      </c>
      <c r="C593" s="21" t="s">
        <v>275</v>
      </c>
      <c r="D593" s="14">
        <v>16</v>
      </c>
      <c r="E593" s="93">
        <v>6460.06</v>
      </c>
      <c r="F593" s="13"/>
      <c r="G593" s="15"/>
      <c r="H593" s="15"/>
      <c r="I593" s="15">
        <f t="shared" si="97"/>
        <v>0</v>
      </c>
      <c r="J593" s="15">
        <f t="shared" si="99"/>
        <v>2943</v>
      </c>
      <c r="K593" s="13"/>
      <c r="L593" s="19">
        <f t="shared" si="93"/>
        <v>6460.06</v>
      </c>
    </row>
    <row r="594" spans="1:12" x14ac:dyDescent="0.35">
      <c r="A594" s="2" t="s">
        <v>74</v>
      </c>
      <c r="B594" t="s">
        <v>73</v>
      </c>
      <c r="C594" s="21" t="s">
        <v>275</v>
      </c>
      <c r="D594" s="4">
        <v>1</v>
      </c>
      <c r="E594" s="94">
        <v>7600.07</v>
      </c>
      <c r="F594" s="3">
        <v>45903</v>
      </c>
      <c r="G594" s="1">
        <v>7981</v>
      </c>
      <c r="H594" s="1">
        <v>7600</v>
      </c>
      <c r="I594" s="1">
        <f t="shared" si="97"/>
        <v>381</v>
      </c>
      <c r="J594" s="1">
        <f>I594</f>
        <v>381</v>
      </c>
      <c r="K594" s="9">
        <f t="shared" ref="K594:K607" si="100">I594/H594</f>
        <v>5.0131578947368423E-2</v>
      </c>
      <c r="L594" s="19">
        <f t="shared" si="93"/>
        <v>6.9999999999708962E-2</v>
      </c>
    </row>
    <row r="595" spans="1:12" x14ac:dyDescent="0.35">
      <c r="A595" s="2" t="s">
        <v>74</v>
      </c>
      <c r="B595" t="s">
        <v>73</v>
      </c>
      <c r="C595" s="21" t="s">
        <v>275</v>
      </c>
      <c r="D595" s="4">
        <v>2</v>
      </c>
      <c r="E595" s="94">
        <v>7600.07</v>
      </c>
      <c r="F595" s="3">
        <v>45910</v>
      </c>
      <c r="G595" s="1">
        <v>7981</v>
      </c>
      <c r="H595" s="1">
        <v>7600</v>
      </c>
      <c r="I595" s="1">
        <f t="shared" si="97"/>
        <v>381</v>
      </c>
      <c r="J595" s="1">
        <f>J594+I595</f>
        <v>762</v>
      </c>
      <c r="K595" s="9">
        <f t="shared" si="100"/>
        <v>5.0131578947368423E-2</v>
      </c>
      <c r="L595" s="19">
        <f t="shared" si="93"/>
        <v>6.9999999999708962E-2</v>
      </c>
    </row>
    <row r="596" spans="1:12" x14ac:dyDescent="0.35">
      <c r="A596" s="2" t="s">
        <v>74</v>
      </c>
      <c r="B596" t="s">
        <v>73</v>
      </c>
      <c r="C596" s="21" t="s">
        <v>275</v>
      </c>
      <c r="D596" s="4">
        <v>3</v>
      </c>
      <c r="E596" s="94">
        <v>7600.07</v>
      </c>
      <c r="F596" s="3">
        <v>45917</v>
      </c>
      <c r="G596" s="1">
        <v>7981</v>
      </c>
      <c r="H596" s="1">
        <v>7600</v>
      </c>
      <c r="I596" s="1">
        <f t="shared" si="97"/>
        <v>381</v>
      </c>
      <c r="J596" s="1">
        <f t="shared" ref="J596:J609" si="101">J595+I596</f>
        <v>1143</v>
      </c>
      <c r="K596" s="9">
        <f t="shared" si="100"/>
        <v>5.0131578947368423E-2</v>
      </c>
      <c r="L596" s="19">
        <f t="shared" si="93"/>
        <v>6.9999999999708962E-2</v>
      </c>
    </row>
    <row r="597" spans="1:12" x14ac:dyDescent="0.35">
      <c r="A597" s="2" t="s">
        <v>74</v>
      </c>
      <c r="B597" t="s">
        <v>73</v>
      </c>
      <c r="C597" s="21" t="s">
        <v>275</v>
      </c>
      <c r="D597" s="4">
        <v>4</v>
      </c>
      <c r="E597" s="94">
        <v>7600.07</v>
      </c>
      <c r="F597" s="3">
        <v>45924</v>
      </c>
      <c r="G597" s="1">
        <v>7981</v>
      </c>
      <c r="H597" s="1">
        <v>7600</v>
      </c>
      <c r="I597" s="1">
        <f t="shared" si="97"/>
        <v>381</v>
      </c>
      <c r="J597" s="1">
        <f t="shared" si="101"/>
        <v>1524</v>
      </c>
      <c r="K597" s="9">
        <f t="shared" si="100"/>
        <v>5.0131578947368423E-2</v>
      </c>
      <c r="L597" s="19">
        <f t="shared" si="93"/>
        <v>6.9999999999708962E-2</v>
      </c>
    </row>
    <row r="598" spans="1:12" x14ac:dyDescent="0.35">
      <c r="A598" s="2" t="s">
        <v>74</v>
      </c>
      <c r="B598" t="s">
        <v>73</v>
      </c>
      <c r="C598" s="21" t="s">
        <v>275</v>
      </c>
      <c r="D598" s="4">
        <v>5</v>
      </c>
      <c r="E598" s="94">
        <v>7600.07</v>
      </c>
      <c r="F598" s="3">
        <v>45931</v>
      </c>
      <c r="G598" s="1">
        <v>7981</v>
      </c>
      <c r="H598" s="1">
        <v>7600</v>
      </c>
      <c r="I598" s="1">
        <f t="shared" si="97"/>
        <v>381</v>
      </c>
      <c r="J598" s="1">
        <f t="shared" si="101"/>
        <v>1905</v>
      </c>
      <c r="K598" s="9">
        <f t="shared" si="100"/>
        <v>5.0131578947368423E-2</v>
      </c>
      <c r="L598" s="19">
        <f t="shared" si="93"/>
        <v>6.9999999999708962E-2</v>
      </c>
    </row>
    <row r="599" spans="1:12" x14ac:dyDescent="0.35">
      <c r="A599" s="2" t="s">
        <v>74</v>
      </c>
      <c r="B599" t="s">
        <v>73</v>
      </c>
      <c r="C599" s="21" t="s">
        <v>275</v>
      </c>
      <c r="D599" s="4">
        <v>6</v>
      </c>
      <c r="E599" s="94">
        <v>7600.07</v>
      </c>
      <c r="F599" s="3">
        <v>45939</v>
      </c>
      <c r="G599" s="1">
        <v>7981</v>
      </c>
      <c r="H599" s="1">
        <v>7600</v>
      </c>
      <c r="I599" s="1">
        <f t="shared" si="97"/>
        <v>381</v>
      </c>
      <c r="J599" s="1">
        <f t="shared" si="101"/>
        <v>2286</v>
      </c>
      <c r="K599" s="9">
        <f t="shared" si="100"/>
        <v>5.0131578947368423E-2</v>
      </c>
      <c r="L599" s="19">
        <f t="shared" si="93"/>
        <v>6.9999999999708962E-2</v>
      </c>
    </row>
    <row r="600" spans="1:12" x14ac:dyDescent="0.35">
      <c r="A600" s="2" t="s">
        <v>74</v>
      </c>
      <c r="B600" t="s">
        <v>73</v>
      </c>
      <c r="C600" s="21" t="s">
        <v>275</v>
      </c>
      <c r="D600" s="4">
        <v>7</v>
      </c>
      <c r="E600" s="94">
        <v>7600.07</v>
      </c>
      <c r="F600" s="3">
        <v>45945</v>
      </c>
      <c r="G600" s="1">
        <v>9121</v>
      </c>
      <c r="H600" s="1">
        <v>8741</v>
      </c>
      <c r="I600" s="1">
        <f t="shared" si="97"/>
        <v>380</v>
      </c>
      <c r="J600" s="1">
        <f t="shared" si="101"/>
        <v>2666</v>
      </c>
      <c r="K600" s="9">
        <f t="shared" si="100"/>
        <v>4.3473286809289552E-2</v>
      </c>
      <c r="L600" s="19">
        <f t="shared" si="93"/>
        <v>-1140.9300000000003</v>
      </c>
    </row>
    <row r="601" spans="1:12" x14ac:dyDescent="0.35">
      <c r="A601" s="2" t="s">
        <v>74</v>
      </c>
      <c r="B601" t="s">
        <v>73</v>
      </c>
      <c r="C601" s="21" t="s">
        <v>275</v>
      </c>
      <c r="D601" s="4">
        <v>8</v>
      </c>
      <c r="E601" s="94">
        <v>7600.07</v>
      </c>
      <c r="F601" s="3">
        <v>45952</v>
      </c>
      <c r="G601" s="1">
        <v>9121</v>
      </c>
      <c r="H601" s="1">
        <v>8741</v>
      </c>
      <c r="I601" s="1">
        <f t="shared" si="97"/>
        <v>380</v>
      </c>
      <c r="J601" s="1">
        <f t="shared" si="101"/>
        <v>3046</v>
      </c>
      <c r="K601" s="9">
        <f t="shared" si="100"/>
        <v>4.3473286809289552E-2</v>
      </c>
      <c r="L601" s="19">
        <f t="shared" si="93"/>
        <v>-1140.9300000000003</v>
      </c>
    </row>
    <row r="602" spans="1:12" x14ac:dyDescent="0.35">
      <c r="A602" s="2" t="s">
        <v>74</v>
      </c>
      <c r="B602" t="s">
        <v>73</v>
      </c>
      <c r="C602" s="21" t="s">
        <v>275</v>
      </c>
      <c r="D602" s="4">
        <v>9</v>
      </c>
      <c r="E602" s="94">
        <v>7600.07</v>
      </c>
      <c r="F602" s="3">
        <v>45961</v>
      </c>
      <c r="G602" s="1">
        <v>9121</v>
      </c>
      <c r="H602" s="1">
        <v>8737</v>
      </c>
      <c r="I602" s="1">
        <f t="shared" si="97"/>
        <v>384</v>
      </c>
      <c r="J602" s="1">
        <f t="shared" si="101"/>
        <v>3430</v>
      </c>
      <c r="K602" s="9">
        <f t="shared" si="100"/>
        <v>4.3951012933501205E-2</v>
      </c>
      <c r="L602" s="19">
        <f t="shared" si="93"/>
        <v>-1136.9300000000003</v>
      </c>
    </row>
    <row r="603" spans="1:12" x14ac:dyDescent="0.35">
      <c r="A603" s="2" t="s">
        <v>74</v>
      </c>
      <c r="B603" t="s">
        <v>73</v>
      </c>
      <c r="C603" s="21" t="s">
        <v>275</v>
      </c>
      <c r="D603" s="4">
        <v>10</v>
      </c>
      <c r="E603" s="94">
        <v>7600.07</v>
      </c>
      <c r="F603" s="3">
        <v>45966</v>
      </c>
      <c r="G603" s="1">
        <v>8933</v>
      </c>
      <c r="H603" s="1">
        <v>8553</v>
      </c>
      <c r="I603" s="1">
        <f t="shared" si="97"/>
        <v>380</v>
      </c>
      <c r="J603" s="1">
        <f t="shared" si="101"/>
        <v>3810</v>
      </c>
      <c r="K603" s="9">
        <f t="shared" si="100"/>
        <v>4.442885537238396E-2</v>
      </c>
      <c r="L603" s="19">
        <f t="shared" si="93"/>
        <v>-952.93000000000029</v>
      </c>
    </row>
    <row r="604" spans="1:12" x14ac:dyDescent="0.35">
      <c r="A604" s="2" t="s">
        <v>74</v>
      </c>
      <c r="B604" t="s">
        <v>73</v>
      </c>
      <c r="C604" s="21" t="s">
        <v>275</v>
      </c>
      <c r="D604" s="4">
        <v>11</v>
      </c>
      <c r="E604" s="94">
        <v>7600.07</v>
      </c>
      <c r="G604" s="1"/>
      <c r="H604" s="1"/>
      <c r="I604" s="1">
        <f t="shared" si="97"/>
        <v>0</v>
      </c>
      <c r="J604" s="1">
        <f t="shared" si="101"/>
        <v>3810</v>
      </c>
      <c r="K604" s="9" t="e">
        <f t="shared" si="100"/>
        <v>#DIV/0!</v>
      </c>
      <c r="L604" s="19">
        <f t="shared" si="93"/>
        <v>7600.07</v>
      </c>
    </row>
    <row r="605" spans="1:12" x14ac:dyDescent="0.35">
      <c r="A605" s="2" t="s">
        <v>74</v>
      </c>
      <c r="B605" t="s">
        <v>73</v>
      </c>
      <c r="C605" s="21" t="s">
        <v>275</v>
      </c>
      <c r="D605" s="4">
        <v>12</v>
      </c>
      <c r="E605" s="94">
        <v>7600.07</v>
      </c>
      <c r="G605" s="1"/>
      <c r="H605" s="1"/>
      <c r="I605" s="1">
        <f t="shared" si="97"/>
        <v>0</v>
      </c>
      <c r="J605" s="1">
        <f t="shared" si="101"/>
        <v>3810</v>
      </c>
      <c r="K605" s="9" t="e">
        <f t="shared" si="100"/>
        <v>#DIV/0!</v>
      </c>
      <c r="L605" s="19">
        <f t="shared" si="93"/>
        <v>7600.07</v>
      </c>
    </row>
    <row r="606" spans="1:12" x14ac:dyDescent="0.35">
      <c r="A606" s="2" t="s">
        <v>74</v>
      </c>
      <c r="B606" t="s">
        <v>73</v>
      </c>
      <c r="C606" s="21" t="s">
        <v>275</v>
      </c>
      <c r="D606" s="4">
        <v>13</v>
      </c>
      <c r="E606" s="94">
        <v>7600.07</v>
      </c>
      <c r="G606" s="1"/>
      <c r="H606" s="1"/>
      <c r="I606" s="1">
        <f t="shared" si="97"/>
        <v>0</v>
      </c>
      <c r="J606" s="1">
        <f t="shared" si="101"/>
        <v>3810</v>
      </c>
      <c r="K606" s="9" t="e">
        <f t="shared" si="100"/>
        <v>#DIV/0!</v>
      </c>
      <c r="L606" s="19">
        <f t="shared" si="93"/>
        <v>7600.07</v>
      </c>
    </row>
    <row r="607" spans="1:12" x14ac:dyDescent="0.35">
      <c r="A607" s="2" t="s">
        <v>74</v>
      </c>
      <c r="B607" t="s">
        <v>73</v>
      </c>
      <c r="C607" s="21" t="s">
        <v>275</v>
      </c>
      <c r="D607" s="4">
        <v>14</v>
      </c>
      <c r="E607" s="94">
        <v>7600.07</v>
      </c>
      <c r="G607" s="1"/>
      <c r="H607" s="1"/>
      <c r="I607" s="1">
        <f t="shared" si="97"/>
        <v>0</v>
      </c>
      <c r="J607" s="1">
        <f t="shared" si="101"/>
        <v>3810</v>
      </c>
      <c r="K607" s="9" t="e">
        <f t="shared" si="100"/>
        <v>#DIV/0!</v>
      </c>
      <c r="L607" s="19">
        <f t="shared" si="93"/>
        <v>7600.07</v>
      </c>
    </row>
    <row r="608" spans="1:12" x14ac:dyDescent="0.35">
      <c r="A608" s="2" t="s">
        <v>74</v>
      </c>
      <c r="B608" t="s">
        <v>73</v>
      </c>
      <c r="C608" s="21" t="s">
        <v>275</v>
      </c>
      <c r="D608" s="4">
        <v>15</v>
      </c>
      <c r="E608" s="94">
        <v>7600.07</v>
      </c>
      <c r="G608" s="1"/>
      <c r="H608" s="1"/>
      <c r="I608" s="1">
        <f t="shared" si="97"/>
        <v>0</v>
      </c>
      <c r="J608" s="1">
        <f t="shared" si="101"/>
        <v>3810</v>
      </c>
      <c r="L608" s="19">
        <f t="shared" si="93"/>
        <v>7600.07</v>
      </c>
    </row>
    <row r="609" spans="1:12" ht="15" thickBot="1" x14ac:dyDescent="0.4">
      <c r="A609" s="12" t="s">
        <v>74</v>
      </c>
      <c r="B609" s="13" t="s">
        <v>73</v>
      </c>
      <c r="C609" s="21" t="s">
        <v>275</v>
      </c>
      <c r="D609" s="14">
        <v>16</v>
      </c>
      <c r="E609" s="94">
        <v>7600.07</v>
      </c>
      <c r="F609" s="13"/>
      <c r="G609" s="15"/>
      <c r="H609" s="15"/>
      <c r="I609" s="15">
        <f t="shared" si="97"/>
        <v>0</v>
      </c>
      <c r="J609" s="15">
        <f t="shared" si="101"/>
        <v>3810</v>
      </c>
      <c r="K609" s="13"/>
      <c r="L609" s="19">
        <f t="shared" si="93"/>
        <v>7600.07</v>
      </c>
    </row>
    <row r="610" spans="1:12" x14ac:dyDescent="0.35">
      <c r="A610" s="2" t="s">
        <v>75</v>
      </c>
      <c r="B610" t="s">
        <v>76</v>
      </c>
      <c r="C610" s="21" t="s">
        <v>275</v>
      </c>
      <c r="D610" s="4">
        <v>1</v>
      </c>
      <c r="E610" s="95">
        <v>8740.08</v>
      </c>
      <c r="F610" s="3">
        <v>45902</v>
      </c>
      <c r="G610" s="1">
        <v>9334</v>
      </c>
      <c r="H610" s="1">
        <v>8748</v>
      </c>
      <c r="I610" s="1">
        <f t="shared" si="97"/>
        <v>586</v>
      </c>
      <c r="J610" s="1">
        <f>I610</f>
        <v>586</v>
      </c>
      <c r="K610" s="9">
        <f t="shared" ref="K610:K624" si="102">I610/H610</f>
        <v>6.6986739826246006E-2</v>
      </c>
      <c r="L610" s="19">
        <f t="shared" ref="L610:L673" si="103">E610-H610</f>
        <v>-7.9200000000000728</v>
      </c>
    </row>
    <row r="611" spans="1:12" x14ac:dyDescent="0.35">
      <c r="A611" s="2" t="s">
        <v>75</v>
      </c>
      <c r="B611" t="s">
        <v>76</v>
      </c>
      <c r="C611" s="21" t="s">
        <v>275</v>
      </c>
      <c r="D611" s="4">
        <v>2</v>
      </c>
      <c r="E611" s="95">
        <v>8740.08</v>
      </c>
      <c r="F611" s="3">
        <v>45909</v>
      </c>
      <c r="G611" s="1">
        <v>9285</v>
      </c>
      <c r="H611" s="1">
        <v>8748</v>
      </c>
      <c r="I611" s="1">
        <f t="shared" si="97"/>
        <v>537</v>
      </c>
      <c r="J611" s="1">
        <f>J610+I611</f>
        <v>1123</v>
      </c>
      <c r="K611" s="9">
        <f t="shared" si="102"/>
        <v>6.1385459533607682E-2</v>
      </c>
      <c r="L611" s="19">
        <f t="shared" si="103"/>
        <v>-7.9200000000000728</v>
      </c>
    </row>
    <row r="612" spans="1:12" x14ac:dyDescent="0.35">
      <c r="A612" s="2" t="s">
        <v>75</v>
      </c>
      <c r="B612" t="s">
        <v>76</v>
      </c>
      <c r="C612" s="21" t="s">
        <v>275</v>
      </c>
      <c r="D612" s="4">
        <v>3</v>
      </c>
      <c r="E612" s="95">
        <v>8740.08</v>
      </c>
      <c r="F612" s="3">
        <v>45915</v>
      </c>
      <c r="G612" s="1">
        <v>9285</v>
      </c>
      <c r="H612" s="1">
        <v>8741</v>
      </c>
      <c r="I612" s="1">
        <f t="shared" si="97"/>
        <v>544</v>
      </c>
      <c r="J612" s="1">
        <f t="shared" ref="J612:J625" si="104">J611+I612</f>
        <v>1667</v>
      </c>
      <c r="K612" s="9">
        <f t="shared" si="102"/>
        <v>6.2235442169088204E-2</v>
      </c>
      <c r="L612" s="19">
        <f t="shared" si="103"/>
        <v>-0.92000000000007276</v>
      </c>
    </row>
    <row r="613" spans="1:12" x14ac:dyDescent="0.35">
      <c r="A613" s="2" t="s">
        <v>75</v>
      </c>
      <c r="B613" t="s">
        <v>76</v>
      </c>
      <c r="C613" s="21" t="s">
        <v>275</v>
      </c>
      <c r="D613" s="4">
        <v>4</v>
      </c>
      <c r="E613" s="95">
        <v>8740.08</v>
      </c>
      <c r="F613" s="3">
        <v>45923</v>
      </c>
      <c r="G613" s="1">
        <v>9300</v>
      </c>
      <c r="H613" s="1">
        <v>8748</v>
      </c>
      <c r="I613" s="1">
        <f t="shared" si="97"/>
        <v>552</v>
      </c>
      <c r="J613" s="1">
        <f t="shared" si="104"/>
        <v>2219</v>
      </c>
      <c r="K613" s="9">
        <f t="shared" si="102"/>
        <v>6.3100137174211243E-2</v>
      </c>
      <c r="L613" s="19">
        <f t="shared" si="103"/>
        <v>-7.9200000000000728</v>
      </c>
    </row>
    <row r="614" spans="1:12" x14ac:dyDescent="0.35">
      <c r="A614" s="2" t="s">
        <v>75</v>
      </c>
      <c r="B614" t="s">
        <v>76</v>
      </c>
      <c r="C614" s="21" t="s">
        <v>275</v>
      </c>
      <c r="D614" s="4">
        <v>5</v>
      </c>
      <c r="E614" s="95">
        <v>8740.08</v>
      </c>
      <c r="F614" s="3">
        <v>45930</v>
      </c>
      <c r="G614" s="1">
        <v>9310</v>
      </c>
      <c r="H614" s="1">
        <v>8748</v>
      </c>
      <c r="I614" s="1">
        <f t="shared" si="97"/>
        <v>562</v>
      </c>
      <c r="J614" s="1">
        <f t="shared" si="104"/>
        <v>2781</v>
      </c>
      <c r="K614" s="9">
        <f t="shared" si="102"/>
        <v>6.4243255601280289E-2</v>
      </c>
      <c r="L614" s="19">
        <f t="shared" si="103"/>
        <v>-7.9200000000000728</v>
      </c>
    </row>
    <row r="615" spans="1:12" x14ac:dyDescent="0.35">
      <c r="A615" s="2" t="s">
        <v>75</v>
      </c>
      <c r="B615" t="s">
        <v>76</v>
      </c>
      <c r="C615" s="21" t="s">
        <v>275</v>
      </c>
      <c r="D615" s="4">
        <v>6</v>
      </c>
      <c r="E615" s="95">
        <v>8740.08</v>
      </c>
      <c r="F615" s="3">
        <v>45937</v>
      </c>
      <c r="G615" s="1">
        <v>9310</v>
      </c>
      <c r="H615" s="1">
        <v>8748</v>
      </c>
      <c r="I615" s="1">
        <f t="shared" si="97"/>
        <v>562</v>
      </c>
      <c r="J615" s="1">
        <f t="shared" si="104"/>
        <v>3343</v>
      </c>
      <c r="K615" s="9">
        <f t="shared" si="102"/>
        <v>6.4243255601280289E-2</v>
      </c>
      <c r="L615" s="19">
        <f t="shared" si="103"/>
        <v>-7.9200000000000728</v>
      </c>
    </row>
    <row r="616" spans="1:12" x14ac:dyDescent="0.35">
      <c r="A616" s="2" t="s">
        <v>75</v>
      </c>
      <c r="B616" t="s">
        <v>76</v>
      </c>
      <c r="C616" s="21" t="s">
        <v>275</v>
      </c>
      <c r="D616" s="4">
        <v>7</v>
      </c>
      <c r="E616" s="95">
        <v>8740.08</v>
      </c>
      <c r="F616" s="3">
        <v>45944</v>
      </c>
      <c r="G616" s="1">
        <v>9310</v>
      </c>
      <c r="H616" s="1">
        <v>8748</v>
      </c>
      <c r="I616" s="1">
        <f t="shared" si="97"/>
        <v>562</v>
      </c>
      <c r="J616" s="1">
        <f t="shared" si="104"/>
        <v>3905</v>
      </c>
      <c r="K616" s="9">
        <f t="shared" si="102"/>
        <v>6.4243255601280289E-2</v>
      </c>
      <c r="L616" s="19">
        <f t="shared" si="103"/>
        <v>-7.9200000000000728</v>
      </c>
    </row>
    <row r="617" spans="1:12" x14ac:dyDescent="0.35">
      <c r="A617" s="2" t="s">
        <v>75</v>
      </c>
      <c r="B617" t="s">
        <v>76</v>
      </c>
      <c r="C617" s="21" t="s">
        <v>275</v>
      </c>
      <c r="D617" s="4">
        <v>8</v>
      </c>
      <c r="E617" s="95">
        <v>8740.08</v>
      </c>
      <c r="F617" s="3">
        <v>45952</v>
      </c>
      <c r="G617" s="1">
        <v>9305</v>
      </c>
      <c r="H617" s="1">
        <v>8865</v>
      </c>
      <c r="I617" s="1">
        <f t="shared" si="97"/>
        <v>440</v>
      </c>
      <c r="J617" s="1">
        <f t="shared" si="104"/>
        <v>4345</v>
      </c>
      <c r="K617" s="9">
        <f t="shared" si="102"/>
        <v>4.9633389734912575E-2</v>
      </c>
      <c r="L617" s="19">
        <f t="shared" si="103"/>
        <v>-124.92000000000007</v>
      </c>
    </row>
    <row r="618" spans="1:12" x14ac:dyDescent="0.35">
      <c r="A618" s="2" t="s">
        <v>75</v>
      </c>
      <c r="B618" t="s">
        <v>76</v>
      </c>
      <c r="C618" s="21" t="s">
        <v>275</v>
      </c>
      <c r="D618" s="4">
        <v>9</v>
      </c>
      <c r="E618" s="95">
        <v>8740.08</v>
      </c>
      <c r="F618" s="3">
        <v>45958</v>
      </c>
      <c r="G618" s="1">
        <v>9310</v>
      </c>
      <c r="H618" s="1">
        <v>8748</v>
      </c>
      <c r="I618" s="1">
        <f t="shared" si="97"/>
        <v>562</v>
      </c>
      <c r="J618" s="1">
        <f t="shared" si="104"/>
        <v>4907</v>
      </c>
      <c r="K618" s="9">
        <f t="shared" si="102"/>
        <v>6.4243255601280289E-2</v>
      </c>
      <c r="L618" s="19">
        <f t="shared" si="103"/>
        <v>-7.9200000000000728</v>
      </c>
    </row>
    <row r="619" spans="1:12" x14ac:dyDescent="0.35">
      <c r="A619" s="2" t="s">
        <v>75</v>
      </c>
      <c r="B619" t="s">
        <v>76</v>
      </c>
      <c r="C619" s="21" t="s">
        <v>275</v>
      </c>
      <c r="D619" s="4">
        <v>10</v>
      </c>
      <c r="E619" s="95">
        <v>8740.08</v>
      </c>
      <c r="F619" s="3">
        <v>45966</v>
      </c>
      <c r="G619" s="1">
        <v>9295</v>
      </c>
      <c r="H619" s="1">
        <v>8748</v>
      </c>
      <c r="I619" s="1">
        <f t="shared" si="97"/>
        <v>547</v>
      </c>
      <c r="J619" s="1">
        <f t="shared" si="104"/>
        <v>5454</v>
      </c>
      <c r="K619" s="9">
        <f t="shared" si="102"/>
        <v>6.2528577960676721E-2</v>
      </c>
      <c r="L619" s="19">
        <f t="shared" si="103"/>
        <v>-7.9200000000000728</v>
      </c>
    </row>
    <row r="620" spans="1:12" x14ac:dyDescent="0.35">
      <c r="A620" s="2" t="s">
        <v>75</v>
      </c>
      <c r="B620" t="s">
        <v>76</v>
      </c>
      <c r="C620" s="21" t="s">
        <v>275</v>
      </c>
      <c r="D620" s="4">
        <v>11</v>
      </c>
      <c r="E620" s="95">
        <v>8740.08</v>
      </c>
      <c r="G620" s="1"/>
      <c r="H620" s="1"/>
      <c r="I620" s="1">
        <f t="shared" si="97"/>
        <v>0</v>
      </c>
      <c r="J620" s="1">
        <f t="shared" si="104"/>
        <v>5454</v>
      </c>
      <c r="K620" s="9" t="e">
        <f t="shared" si="102"/>
        <v>#DIV/0!</v>
      </c>
      <c r="L620" s="19">
        <f t="shared" si="103"/>
        <v>8740.08</v>
      </c>
    </row>
    <row r="621" spans="1:12" x14ac:dyDescent="0.35">
      <c r="A621" s="2" t="s">
        <v>75</v>
      </c>
      <c r="B621" t="s">
        <v>76</v>
      </c>
      <c r="C621" s="21" t="s">
        <v>275</v>
      </c>
      <c r="D621" s="4">
        <v>12</v>
      </c>
      <c r="E621" s="95">
        <v>8740.08</v>
      </c>
      <c r="G621" s="1"/>
      <c r="H621" s="1"/>
      <c r="I621" s="1">
        <f t="shared" si="97"/>
        <v>0</v>
      </c>
      <c r="J621" s="1">
        <f t="shared" si="104"/>
        <v>5454</v>
      </c>
      <c r="K621" s="9" t="e">
        <f t="shared" si="102"/>
        <v>#DIV/0!</v>
      </c>
      <c r="L621" s="19">
        <f t="shared" si="103"/>
        <v>8740.08</v>
      </c>
    </row>
    <row r="622" spans="1:12" x14ac:dyDescent="0.35">
      <c r="A622" s="2" t="s">
        <v>75</v>
      </c>
      <c r="B622" t="s">
        <v>76</v>
      </c>
      <c r="C622" s="21" t="s">
        <v>275</v>
      </c>
      <c r="D622" s="4">
        <v>13</v>
      </c>
      <c r="E622" s="95">
        <v>8740.08</v>
      </c>
      <c r="G622" s="1"/>
      <c r="H622" s="1"/>
      <c r="I622" s="1">
        <f t="shared" si="97"/>
        <v>0</v>
      </c>
      <c r="J622" s="1">
        <f t="shared" si="104"/>
        <v>5454</v>
      </c>
      <c r="K622" s="9" t="e">
        <f t="shared" si="102"/>
        <v>#DIV/0!</v>
      </c>
      <c r="L622" s="19">
        <f t="shared" si="103"/>
        <v>8740.08</v>
      </c>
    </row>
    <row r="623" spans="1:12" x14ac:dyDescent="0.35">
      <c r="A623" s="2" t="s">
        <v>75</v>
      </c>
      <c r="B623" t="s">
        <v>76</v>
      </c>
      <c r="C623" s="21" t="s">
        <v>275</v>
      </c>
      <c r="D623" s="4">
        <v>14</v>
      </c>
      <c r="E623" s="95">
        <v>8740.08</v>
      </c>
      <c r="G623" s="1"/>
      <c r="H623" s="1"/>
      <c r="I623" s="1">
        <f t="shared" si="97"/>
        <v>0</v>
      </c>
      <c r="J623" s="1">
        <f t="shared" si="104"/>
        <v>5454</v>
      </c>
      <c r="K623" s="9" t="e">
        <f t="shared" si="102"/>
        <v>#DIV/0!</v>
      </c>
      <c r="L623" s="19">
        <f t="shared" si="103"/>
        <v>8740.08</v>
      </c>
    </row>
    <row r="624" spans="1:12" x14ac:dyDescent="0.35">
      <c r="A624" s="2" t="s">
        <v>75</v>
      </c>
      <c r="B624" t="s">
        <v>76</v>
      </c>
      <c r="C624" s="21" t="s">
        <v>275</v>
      </c>
      <c r="D624" s="4">
        <v>15</v>
      </c>
      <c r="E624" s="95">
        <v>8740.08</v>
      </c>
      <c r="G624" s="1"/>
      <c r="H624" s="1"/>
      <c r="I624" s="1">
        <f t="shared" si="97"/>
        <v>0</v>
      </c>
      <c r="J624" s="1">
        <f t="shared" si="104"/>
        <v>5454</v>
      </c>
      <c r="K624" s="9" t="e">
        <f t="shared" si="102"/>
        <v>#DIV/0!</v>
      </c>
      <c r="L624" s="19">
        <f t="shared" si="103"/>
        <v>8740.08</v>
      </c>
    </row>
    <row r="625" spans="1:12" ht="15" thickBot="1" x14ac:dyDescent="0.4">
      <c r="A625" s="12" t="s">
        <v>75</v>
      </c>
      <c r="B625" s="13" t="s">
        <v>76</v>
      </c>
      <c r="C625" s="21" t="s">
        <v>275</v>
      </c>
      <c r="D625" s="14">
        <v>16</v>
      </c>
      <c r="E625" s="95">
        <v>8740.08</v>
      </c>
      <c r="F625" s="13"/>
      <c r="G625" s="15"/>
      <c r="H625" s="15"/>
      <c r="I625" s="15">
        <f t="shared" si="97"/>
        <v>0</v>
      </c>
      <c r="J625" s="15">
        <f t="shared" si="104"/>
        <v>5454</v>
      </c>
      <c r="K625" s="13"/>
      <c r="L625" s="19">
        <f t="shared" si="103"/>
        <v>8740.08</v>
      </c>
    </row>
    <row r="626" spans="1:12" x14ac:dyDescent="0.35">
      <c r="A626" s="2" t="s">
        <v>77</v>
      </c>
      <c r="B626" t="s">
        <v>78</v>
      </c>
      <c r="C626" s="21" t="s">
        <v>275</v>
      </c>
      <c r="D626" s="4">
        <v>1</v>
      </c>
      <c r="E626" s="96">
        <v>10640.09</v>
      </c>
      <c r="F626" s="3">
        <v>45903</v>
      </c>
      <c r="G626" s="1">
        <v>11704</v>
      </c>
      <c r="H626" s="1">
        <v>10640</v>
      </c>
      <c r="I626" s="1">
        <f t="shared" si="97"/>
        <v>1064</v>
      </c>
      <c r="J626" s="1">
        <f>I626</f>
        <v>1064</v>
      </c>
      <c r="K626" s="9">
        <f t="shared" ref="K626:K636" si="105">I626/H626</f>
        <v>0.1</v>
      </c>
      <c r="L626" s="19">
        <f t="shared" si="103"/>
        <v>9.0000000000145519E-2</v>
      </c>
    </row>
    <row r="627" spans="1:12" x14ac:dyDescent="0.35">
      <c r="A627" s="2" t="s">
        <v>77</v>
      </c>
      <c r="B627" t="s">
        <v>78</v>
      </c>
      <c r="C627" s="21" t="s">
        <v>275</v>
      </c>
      <c r="D627" s="4">
        <v>2</v>
      </c>
      <c r="E627" s="96">
        <v>10640.09</v>
      </c>
      <c r="F627" s="3">
        <v>45910</v>
      </c>
      <c r="G627" s="1">
        <v>11704</v>
      </c>
      <c r="H627" s="1">
        <v>10640</v>
      </c>
      <c r="I627" s="1">
        <f t="shared" si="97"/>
        <v>1064</v>
      </c>
      <c r="J627" s="1">
        <f>J626+I627</f>
        <v>2128</v>
      </c>
      <c r="K627" s="9">
        <f t="shared" si="105"/>
        <v>0.1</v>
      </c>
      <c r="L627" s="19">
        <f t="shared" si="103"/>
        <v>9.0000000000145519E-2</v>
      </c>
    </row>
    <row r="628" spans="1:12" x14ac:dyDescent="0.35">
      <c r="A628" s="2" t="s">
        <v>77</v>
      </c>
      <c r="B628" t="s">
        <v>78</v>
      </c>
      <c r="C628" s="21" t="s">
        <v>275</v>
      </c>
      <c r="D628" s="4">
        <v>3</v>
      </c>
      <c r="E628" s="96">
        <v>10640.09</v>
      </c>
      <c r="F628" s="3">
        <v>45917</v>
      </c>
      <c r="G628" s="1">
        <v>11704</v>
      </c>
      <c r="H628" s="1">
        <v>10640</v>
      </c>
      <c r="I628" s="1">
        <f t="shared" si="97"/>
        <v>1064</v>
      </c>
      <c r="J628" s="1">
        <f t="shared" ref="J628:J641" si="106">J627+I628</f>
        <v>3192</v>
      </c>
      <c r="K628" s="9">
        <f t="shared" si="105"/>
        <v>0.1</v>
      </c>
      <c r="L628" s="19">
        <f t="shared" si="103"/>
        <v>9.0000000000145519E-2</v>
      </c>
    </row>
    <row r="629" spans="1:12" x14ac:dyDescent="0.35">
      <c r="A629" s="2" t="s">
        <v>77</v>
      </c>
      <c r="B629" t="s">
        <v>78</v>
      </c>
      <c r="C629" s="21" t="s">
        <v>275</v>
      </c>
      <c r="D629" s="4">
        <v>4</v>
      </c>
      <c r="E629" s="96">
        <v>10640.09</v>
      </c>
      <c r="F629" s="3">
        <v>45924</v>
      </c>
      <c r="G629" s="1">
        <v>11704</v>
      </c>
      <c r="H629" s="1">
        <v>10640</v>
      </c>
      <c r="I629" s="1">
        <f t="shared" si="97"/>
        <v>1064</v>
      </c>
      <c r="J629" s="1">
        <f t="shared" si="106"/>
        <v>4256</v>
      </c>
      <c r="K629" s="9">
        <f t="shared" si="105"/>
        <v>0.1</v>
      </c>
      <c r="L629" s="19">
        <f t="shared" si="103"/>
        <v>9.0000000000145519E-2</v>
      </c>
    </row>
    <row r="630" spans="1:12" x14ac:dyDescent="0.35">
      <c r="A630" s="2" t="s">
        <v>77</v>
      </c>
      <c r="B630" t="s">
        <v>78</v>
      </c>
      <c r="C630" s="21" t="s">
        <v>275</v>
      </c>
      <c r="D630" s="4">
        <v>5</v>
      </c>
      <c r="E630" s="96">
        <v>10640.09</v>
      </c>
      <c r="F630" s="3">
        <v>45931</v>
      </c>
      <c r="G630" s="1">
        <v>11704</v>
      </c>
      <c r="H630" s="1">
        <v>10640</v>
      </c>
      <c r="I630" s="1">
        <f t="shared" ref="I630:I693" si="107">G630-H630</f>
        <v>1064</v>
      </c>
      <c r="J630" s="1">
        <f t="shared" si="106"/>
        <v>5320</v>
      </c>
      <c r="K630" s="9">
        <f t="shared" si="105"/>
        <v>0.1</v>
      </c>
      <c r="L630" s="19">
        <f t="shared" si="103"/>
        <v>9.0000000000145519E-2</v>
      </c>
    </row>
    <row r="631" spans="1:12" x14ac:dyDescent="0.35">
      <c r="A631" s="2" t="s">
        <v>77</v>
      </c>
      <c r="B631" t="s">
        <v>78</v>
      </c>
      <c r="C631" s="21" t="s">
        <v>275</v>
      </c>
      <c r="D631" s="4">
        <v>6</v>
      </c>
      <c r="E631" s="96">
        <v>10640.09</v>
      </c>
      <c r="F631" s="3">
        <v>45938</v>
      </c>
      <c r="G631" s="1">
        <v>11704</v>
      </c>
      <c r="H631" s="1">
        <v>10640</v>
      </c>
      <c r="I631" s="1">
        <f t="shared" si="107"/>
        <v>1064</v>
      </c>
      <c r="J631" s="1">
        <f t="shared" si="106"/>
        <v>6384</v>
      </c>
      <c r="K631" s="9">
        <f t="shared" si="105"/>
        <v>0.1</v>
      </c>
      <c r="L631" s="19">
        <f t="shared" si="103"/>
        <v>9.0000000000145519E-2</v>
      </c>
    </row>
    <row r="632" spans="1:12" x14ac:dyDescent="0.35">
      <c r="A632" s="2" t="s">
        <v>77</v>
      </c>
      <c r="B632" t="s">
        <v>78</v>
      </c>
      <c r="C632" s="21" t="s">
        <v>275</v>
      </c>
      <c r="D632" s="4">
        <v>7</v>
      </c>
      <c r="E632" s="96">
        <v>10640.09</v>
      </c>
      <c r="F632" s="3">
        <v>45945</v>
      </c>
      <c r="G632" s="1">
        <v>11704</v>
      </c>
      <c r="H632" s="1">
        <v>10640</v>
      </c>
      <c r="I632" s="1">
        <f t="shared" si="107"/>
        <v>1064</v>
      </c>
      <c r="J632" s="1">
        <f t="shared" si="106"/>
        <v>7448</v>
      </c>
      <c r="K632" s="9">
        <f t="shared" si="105"/>
        <v>0.1</v>
      </c>
      <c r="L632" s="19">
        <f t="shared" si="103"/>
        <v>9.0000000000145519E-2</v>
      </c>
    </row>
    <row r="633" spans="1:12" x14ac:dyDescent="0.35">
      <c r="A633" s="2" t="s">
        <v>77</v>
      </c>
      <c r="B633" t="s">
        <v>78</v>
      </c>
      <c r="C633" s="21" t="s">
        <v>275</v>
      </c>
      <c r="D633" s="4">
        <v>8</v>
      </c>
      <c r="E633" s="96">
        <v>10640.09</v>
      </c>
      <c r="F633" s="3">
        <v>45952</v>
      </c>
      <c r="G633" s="1">
        <v>11704</v>
      </c>
      <c r="H633" s="1">
        <v>10640</v>
      </c>
      <c r="I633" s="1">
        <f t="shared" si="107"/>
        <v>1064</v>
      </c>
      <c r="J633" s="1">
        <f t="shared" si="106"/>
        <v>8512</v>
      </c>
      <c r="K633" s="9">
        <f t="shared" si="105"/>
        <v>0.1</v>
      </c>
      <c r="L633" s="19">
        <f t="shared" si="103"/>
        <v>9.0000000000145519E-2</v>
      </c>
    </row>
    <row r="634" spans="1:12" x14ac:dyDescent="0.35">
      <c r="A634" s="2" t="s">
        <v>77</v>
      </c>
      <c r="B634" t="s">
        <v>78</v>
      </c>
      <c r="C634" s="21" t="s">
        <v>275</v>
      </c>
      <c r="D634" s="4">
        <v>9</v>
      </c>
      <c r="E634" s="96">
        <v>10640.09</v>
      </c>
      <c r="F634" s="3">
        <v>45959</v>
      </c>
      <c r="G634" s="1">
        <v>11704</v>
      </c>
      <c r="H634" s="1">
        <v>10640</v>
      </c>
      <c r="I634" s="1">
        <f t="shared" si="107"/>
        <v>1064</v>
      </c>
      <c r="J634" s="1">
        <f t="shared" si="106"/>
        <v>9576</v>
      </c>
      <c r="K634" s="9">
        <f t="shared" si="105"/>
        <v>0.1</v>
      </c>
      <c r="L634" s="19">
        <f t="shared" si="103"/>
        <v>9.0000000000145519E-2</v>
      </c>
    </row>
    <row r="635" spans="1:12" x14ac:dyDescent="0.35">
      <c r="A635" s="2" t="s">
        <v>77</v>
      </c>
      <c r="B635" t="s">
        <v>78</v>
      </c>
      <c r="C635" s="21" t="s">
        <v>275</v>
      </c>
      <c r="D635" s="4">
        <v>10</v>
      </c>
      <c r="E635" s="96">
        <v>10640.09</v>
      </c>
      <c r="F635" s="3">
        <v>45966</v>
      </c>
      <c r="G635" s="1">
        <v>11704</v>
      </c>
      <c r="H635" s="1">
        <v>10640</v>
      </c>
      <c r="I635" s="1">
        <f t="shared" si="107"/>
        <v>1064</v>
      </c>
      <c r="J635" s="1">
        <f t="shared" si="106"/>
        <v>10640</v>
      </c>
      <c r="K635" s="9">
        <f t="shared" si="105"/>
        <v>0.1</v>
      </c>
      <c r="L635" s="19">
        <f t="shared" si="103"/>
        <v>9.0000000000145519E-2</v>
      </c>
    </row>
    <row r="636" spans="1:12" x14ac:dyDescent="0.35">
      <c r="A636" s="2" t="s">
        <v>77</v>
      </c>
      <c r="B636" t="s">
        <v>78</v>
      </c>
      <c r="C636" s="21" t="s">
        <v>275</v>
      </c>
      <c r="D636" s="4">
        <v>11</v>
      </c>
      <c r="E636" s="96">
        <v>10640.09</v>
      </c>
      <c r="G636" s="1"/>
      <c r="H636" s="1"/>
      <c r="I636" s="1">
        <f t="shared" si="107"/>
        <v>0</v>
      </c>
      <c r="J636" s="1">
        <f t="shared" si="106"/>
        <v>10640</v>
      </c>
      <c r="K636" s="9" t="e">
        <f t="shared" si="105"/>
        <v>#DIV/0!</v>
      </c>
      <c r="L636" s="19">
        <f t="shared" si="103"/>
        <v>10640.09</v>
      </c>
    </row>
    <row r="637" spans="1:12" x14ac:dyDescent="0.35">
      <c r="A637" s="2" t="s">
        <v>77</v>
      </c>
      <c r="B637" t="s">
        <v>78</v>
      </c>
      <c r="C637" s="21" t="s">
        <v>275</v>
      </c>
      <c r="D637" s="4">
        <v>12</v>
      </c>
      <c r="E637" s="96">
        <v>10640.09</v>
      </c>
      <c r="G637" s="1"/>
      <c r="H637" s="1"/>
      <c r="I637" s="1">
        <f t="shared" si="107"/>
        <v>0</v>
      </c>
      <c r="J637" s="1">
        <f t="shared" si="106"/>
        <v>10640</v>
      </c>
      <c r="L637" s="19">
        <f t="shared" si="103"/>
        <v>10640.09</v>
      </c>
    </row>
    <row r="638" spans="1:12" x14ac:dyDescent="0.35">
      <c r="A638" s="2" t="s">
        <v>77</v>
      </c>
      <c r="B638" t="s">
        <v>78</v>
      </c>
      <c r="C638" s="21" t="s">
        <v>275</v>
      </c>
      <c r="D638" s="4">
        <v>13</v>
      </c>
      <c r="E638" s="96">
        <v>10640.09</v>
      </c>
      <c r="G638" s="1"/>
      <c r="H638" s="1"/>
      <c r="I638" s="1">
        <f t="shared" si="107"/>
        <v>0</v>
      </c>
      <c r="J638" s="1">
        <f t="shared" si="106"/>
        <v>10640</v>
      </c>
      <c r="L638" s="19">
        <f t="shared" si="103"/>
        <v>10640.09</v>
      </c>
    </row>
    <row r="639" spans="1:12" x14ac:dyDescent="0.35">
      <c r="A639" s="2" t="s">
        <v>77</v>
      </c>
      <c r="B639" t="s">
        <v>78</v>
      </c>
      <c r="C639" s="21" t="s">
        <v>275</v>
      </c>
      <c r="D639" s="4">
        <v>14</v>
      </c>
      <c r="E639" s="96">
        <v>10640.09</v>
      </c>
      <c r="G639" s="1"/>
      <c r="H639" s="1"/>
      <c r="I639" s="1">
        <f t="shared" si="107"/>
        <v>0</v>
      </c>
      <c r="J639" s="1">
        <f t="shared" si="106"/>
        <v>10640</v>
      </c>
      <c r="L639" s="19">
        <f t="shared" si="103"/>
        <v>10640.09</v>
      </c>
    </row>
    <row r="640" spans="1:12" x14ac:dyDescent="0.35">
      <c r="A640" s="2" t="s">
        <v>77</v>
      </c>
      <c r="B640" t="s">
        <v>78</v>
      </c>
      <c r="C640" s="21" t="s">
        <v>275</v>
      </c>
      <c r="D640" s="4">
        <v>15</v>
      </c>
      <c r="E640" s="96">
        <v>10640.09</v>
      </c>
      <c r="G640" s="1"/>
      <c r="H640" s="1"/>
      <c r="I640" s="1">
        <f t="shared" si="107"/>
        <v>0</v>
      </c>
      <c r="J640" s="1">
        <f t="shared" si="106"/>
        <v>10640</v>
      </c>
      <c r="L640" s="19">
        <f t="shared" si="103"/>
        <v>10640.09</v>
      </c>
    </row>
    <row r="641" spans="1:12" ht="15" thickBot="1" x14ac:dyDescent="0.4">
      <c r="A641" s="12" t="s">
        <v>77</v>
      </c>
      <c r="B641" s="13" t="s">
        <v>78</v>
      </c>
      <c r="C641" s="21" t="s">
        <v>275</v>
      </c>
      <c r="D641" s="14">
        <v>16</v>
      </c>
      <c r="E641" s="96">
        <v>10640.09</v>
      </c>
      <c r="F641" s="13"/>
      <c r="G641" s="15"/>
      <c r="H641" s="15"/>
      <c r="I641" s="15">
        <f t="shared" si="107"/>
        <v>0</v>
      </c>
      <c r="J641" s="15">
        <f t="shared" si="106"/>
        <v>10640</v>
      </c>
      <c r="K641" s="13"/>
      <c r="L641" s="19">
        <f t="shared" si="103"/>
        <v>10640.09</v>
      </c>
    </row>
    <row r="642" spans="1:12" x14ac:dyDescent="0.35">
      <c r="A642" s="2" t="s">
        <v>79</v>
      </c>
      <c r="B642" t="s">
        <v>80</v>
      </c>
      <c r="C642" s="21" t="s">
        <v>275</v>
      </c>
      <c r="D642" s="4">
        <v>1</v>
      </c>
      <c r="E642" s="97">
        <v>6460.06</v>
      </c>
      <c r="F642" s="3">
        <v>45903</v>
      </c>
      <c r="G642" s="1">
        <v>6784</v>
      </c>
      <c r="H642" s="1">
        <v>6460</v>
      </c>
      <c r="I642" s="1">
        <f t="shared" si="107"/>
        <v>324</v>
      </c>
      <c r="J642" s="1">
        <f>I642</f>
        <v>324</v>
      </c>
      <c r="K642" s="9">
        <f t="shared" ref="K642:K655" si="108">I642/H642</f>
        <v>5.0154798761609908E-2</v>
      </c>
      <c r="L642" s="19">
        <f t="shared" si="103"/>
        <v>6.0000000000400178E-2</v>
      </c>
    </row>
    <row r="643" spans="1:12" x14ac:dyDescent="0.35">
      <c r="A643" s="2" t="s">
        <v>79</v>
      </c>
      <c r="B643" t="s">
        <v>80</v>
      </c>
      <c r="C643" s="21" t="s">
        <v>275</v>
      </c>
      <c r="D643" s="4">
        <v>2</v>
      </c>
      <c r="E643" s="97">
        <v>6460.06</v>
      </c>
      <c r="F643" s="3">
        <v>45910</v>
      </c>
      <c r="G643" s="1">
        <v>6789</v>
      </c>
      <c r="H643" s="1">
        <v>6460</v>
      </c>
      <c r="I643" s="1">
        <f t="shared" si="107"/>
        <v>329</v>
      </c>
      <c r="J643" s="1">
        <f>J642+I643</f>
        <v>653</v>
      </c>
      <c r="K643" s="9">
        <f t="shared" si="108"/>
        <v>5.0928792569659445E-2</v>
      </c>
      <c r="L643" s="19">
        <f t="shared" si="103"/>
        <v>6.0000000000400178E-2</v>
      </c>
    </row>
    <row r="644" spans="1:12" x14ac:dyDescent="0.35">
      <c r="A644" s="2" t="s">
        <v>79</v>
      </c>
      <c r="B644" t="s">
        <v>80</v>
      </c>
      <c r="C644" s="21" t="s">
        <v>275</v>
      </c>
      <c r="D644" s="4">
        <v>3</v>
      </c>
      <c r="E644" s="97">
        <v>6460.06</v>
      </c>
      <c r="F644" s="3">
        <v>45917</v>
      </c>
      <c r="G644" s="1">
        <v>6810</v>
      </c>
      <c r="H644" s="1">
        <v>6460</v>
      </c>
      <c r="I644" s="1">
        <f t="shared" si="107"/>
        <v>350</v>
      </c>
      <c r="J644" s="1">
        <f t="shared" ref="J644:J657" si="109">J643+I644</f>
        <v>1003</v>
      </c>
      <c r="K644" s="9">
        <f t="shared" si="108"/>
        <v>5.4179566563467493E-2</v>
      </c>
      <c r="L644" s="19">
        <f t="shared" si="103"/>
        <v>6.0000000000400178E-2</v>
      </c>
    </row>
    <row r="645" spans="1:12" x14ac:dyDescent="0.35">
      <c r="A645" s="2" t="s">
        <v>79</v>
      </c>
      <c r="B645" t="s">
        <v>80</v>
      </c>
      <c r="C645" s="21" t="s">
        <v>275</v>
      </c>
      <c r="D645" s="4">
        <v>4</v>
      </c>
      <c r="E645" s="97">
        <v>6460.06</v>
      </c>
      <c r="F645" s="3">
        <v>45924</v>
      </c>
      <c r="G645" s="1">
        <v>6810</v>
      </c>
      <c r="H645" s="1">
        <v>6460</v>
      </c>
      <c r="I645" s="1">
        <f t="shared" si="107"/>
        <v>350</v>
      </c>
      <c r="J645" s="1">
        <f t="shared" si="109"/>
        <v>1353</v>
      </c>
      <c r="K645" s="9">
        <f t="shared" si="108"/>
        <v>5.4179566563467493E-2</v>
      </c>
      <c r="L645" s="19">
        <f t="shared" si="103"/>
        <v>6.0000000000400178E-2</v>
      </c>
    </row>
    <row r="646" spans="1:12" x14ac:dyDescent="0.35">
      <c r="A646" s="2" t="s">
        <v>79</v>
      </c>
      <c r="B646" t="s">
        <v>80</v>
      </c>
      <c r="C646" s="21" t="s">
        <v>275</v>
      </c>
      <c r="D646" s="4">
        <v>5</v>
      </c>
      <c r="E646" s="97">
        <v>6460.06</v>
      </c>
      <c r="F646" s="3">
        <v>45931</v>
      </c>
      <c r="G646" s="1">
        <v>6810</v>
      </c>
      <c r="H646" s="1">
        <v>6460</v>
      </c>
      <c r="I646" s="1">
        <f t="shared" si="107"/>
        <v>350</v>
      </c>
      <c r="J646" s="1">
        <f t="shared" si="109"/>
        <v>1703</v>
      </c>
      <c r="K646" s="9">
        <f t="shared" si="108"/>
        <v>5.4179566563467493E-2</v>
      </c>
      <c r="L646" s="19">
        <f t="shared" si="103"/>
        <v>6.0000000000400178E-2</v>
      </c>
    </row>
    <row r="647" spans="1:12" x14ac:dyDescent="0.35">
      <c r="A647" s="2" t="s">
        <v>79</v>
      </c>
      <c r="B647" t="s">
        <v>80</v>
      </c>
      <c r="C647" s="21" t="s">
        <v>275</v>
      </c>
      <c r="D647" s="4">
        <v>6</v>
      </c>
      <c r="E647" s="97">
        <v>6460.06</v>
      </c>
      <c r="F647" s="3">
        <v>45938</v>
      </c>
      <c r="G647" s="1">
        <v>6010</v>
      </c>
      <c r="H647" s="1">
        <v>5700</v>
      </c>
      <c r="I647" s="1">
        <f t="shared" si="107"/>
        <v>310</v>
      </c>
      <c r="J647" s="1">
        <f t="shared" si="109"/>
        <v>2013</v>
      </c>
      <c r="K647" s="9">
        <f t="shared" si="108"/>
        <v>5.4385964912280704E-2</v>
      </c>
      <c r="L647" s="19">
        <f t="shared" si="103"/>
        <v>760.0600000000004</v>
      </c>
    </row>
    <row r="648" spans="1:12" x14ac:dyDescent="0.35">
      <c r="A648" s="2" t="s">
        <v>79</v>
      </c>
      <c r="B648" t="s">
        <v>80</v>
      </c>
      <c r="C648" s="21" t="s">
        <v>275</v>
      </c>
      <c r="D648" s="4">
        <v>7</v>
      </c>
      <c r="E648" s="97">
        <v>6460.06</v>
      </c>
      <c r="F648" s="3">
        <v>45945</v>
      </c>
      <c r="G648" s="1">
        <v>6012</v>
      </c>
      <c r="H648" s="1">
        <v>5700</v>
      </c>
      <c r="I648" s="1">
        <f t="shared" si="107"/>
        <v>312</v>
      </c>
      <c r="J648" s="1">
        <f t="shared" si="109"/>
        <v>2325</v>
      </c>
      <c r="K648" s="9">
        <f t="shared" si="108"/>
        <v>5.473684210526316E-2</v>
      </c>
      <c r="L648" s="19">
        <f t="shared" si="103"/>
        <v>760.0600000000004</v>
      </c>
    </row>
    <row r="649" spans="1:12" x14ac:dyDescent="0.35">
      <c r="A649" s="2" t="s">
        <v>79</v>
      </c>
      <c r="B649" t="s">
        <v>80</v>
      </c>
      <c r="C649" s="21" t="s">
        <v>275</v>
      </c>
      <c r="D649" s="4">
        <v>8</v>
      </c>
      <c r="E649" s="97">
        <v>6460.06</v>
      </c>
      <c r="F649" s="3">
        <v>45952</v>
      </c>
      <c r="G649" s="1">
        <v>6012</v>
      </c>
      <c r="H649" s="1">
        <v>5700</v>
      </c>
      <c r="I649" s="1">
        <f t="shared" si="107"/>
        <v>312</v>
      </c>
      <c r="J649" s="1">
        <f t="shared" si="109"/>
        <v>2637</v>
      </c>
      <c r="K649" s="9">
        <f t="shared" si="108"/>
        <v>5.473684210526316E-2</v>
      </c>
      <c r="L649" s="19">
        <f t="shared" si="103"/>
        <v>760.0600000000004</v>
      </c>
    </row>
    <row r="650" spans="1:12" x14ac:dyDescent="0.35">
      <c r="A650" s="2" t="s">
        <v>79</v>
      </c>
      <c r="B650" t="s">
        <v>80</v>
      </c>
      <c r="C650" s="21" t="s">
        <v>275</v>
      </c>
      <c r="D650" s="4">
        <v>9</v>
      </c>
      <c r="E650" s="97">
        <v>6460.06</v>
      </c>
      <c r="F650" s="3">
        <v>45959</v>
      </c>
      <c r="G650" s="1">
        <v>6012</v>
      </c>
      <c r="H650" s="1">
        <v>5700</v>
      </c>
      <c r="I650" s="1">
        <f t="shared" si="107"/>
        <v>312</v>
      </c>
      <c r="J650" s="1">
        <f t="shared" si="109"/>
        <v>2949</v>
      </c>
      <c r="K650" s="9">
        <f t="shared" si="108"/>
        <v>5.473684210526316E-2</v>
      </c>
      <c r="L650" s="19">
        <f t="shared" si="103"/>
        <v>760.0600000000004</v>
      </c>
    </row>
    <row r="651" spans="1:12" x14ac:dyDescent="0.35">
      <c r="A651" s="2" t="s">
        <v>79</v>
      </c>
      <c r="B651" t="s">
        <v>80</v>
      </c>
      <c r="C651" s="21" t="s">
        <v>275</v>
      </c>
      <c r="D651" s="4">
        <v>10</v>
      </c>
      <c r="E651" s="97">
        <v>6460.06</v>
      </c>
      <c r="F651" s="3">
        <v>45966</v>
      </c>
      <c r="G651" s="1">
        <v>5990</v>
      </c>
      <c r="H651" s="1">
        <v>5700</v>
      </c>
      <c r="I651" s="1">
        <f t="shared" si="107"/>
        <v>290</v>
      </c>
      <c r="J651" s="1">
        <f t="shared" si="109"/>
        <v>3239</v>
      </c>
      <c r="K651" s="9">
        <f t="shared" si="108"/>
        <v>5.0877192982456139E-2</v>
      </c>
      <c r="L651" s="19">
        <f t="shared" si="103"/>
        <v>760.0600000000004</v>
      </c>
    </row>
    <row r="652" spans="1:12" x14ac:dyDescent="0.35">
      <c r="A652" s="2" t="s">
        <v>79</v>
      </c>
      <c r="B652" t="s">
        <v>80</v>
      </c>
      <c r="C652" s="21" t="s">
        <v>275</v>
      </c>
      <c r="D652" s="4">
        <v>11</v>
      </c>
      <c r="E652" s="97">
        <v>6460.06</v>
      </c>
      <c r="G652" s="1"/>
      <c r="H652" s="1"/>
      <c r="I652" s="1">
        <f t="shared" si="107"/>
        <v>0</v>
      </c>
      <c r="J652" s="1">
        <f t="shared" si="109"/>
        <v>3239</v>
      </c>
      <c r="K652" s="9" t="e">
        <f t="shared" si="108"/>
        <v>#DIV/0!</v>
      </c>
      <c r="L652" s="19">
        <f t="shared" si="103"/>
        <v>6460.06</v>
      </c>
    </row>
    <row r="653" spans="1:12" x14ac:dyDescent="0.35">
      <c r="A653" s="2" t="s">
        <v>79</v>
      </c>
      <c r="B653" t="s">
        <v>80</v>
      </c>
      <c r="C653" s="21" t="s">
        <v>275</v>
      </c>
      <c r="D653" s="4">
        <v>12</v>
      </c>
      <c r="E653" s="97">
        <v>6460.06</v>
      </c>
      <c r="G653" s="1"/>
      <c r="H653" s="1"/>
      <c r="I653" s="1">
        <f t="shared" si="107"/>
        <v>0</v>
      </c>
      <c r="J653" s="1">
        <f t="shared" si="109"/>
        <v>3239</v>
      </c>
      <c r="K653" s="9" t="e">
        <f t="shared" si="108"/>
        <v>#DIV/0!</v>
      </c>
      <c r="L653" s="19">
        <f t="shared" si="103"/>
        <v>6460.06</v>
      </c>
    </row>
    <row r="654" spans="1:12" x14ac:dyDescent="0.35">
      <c r="A654" s="2" t="s">
        <v>79</v>
      </c>
      <c r="B654" t="s">
        <v>80</v>
      </c>
      <c r="C654" s="21" t="s">
        <v>275</v>
      </c>
      <c r="D654" s="4">
        <v>13</v>
      </c>
      <c r="E654" s="97">
        <v>6460.06</v>
      </c>
      <c r="G654" s="1"/>
      <c r="H654" s="1"/>
      <c r="I654" s="1">
        <f t="shared" si="107"/>
        <v>0</v>
      </c>
      <c r="J654" s="1">
        <f t="shared" si="109"/>
        <v>3239</v>
      </c>
      <c r="K654" s="9" t="e">
        <f t="shared" si="108"/>
        <v>#DIV/0!</v>
      </c>
      <c r="L654" s="19">
        <f t="shared" si="103"/>
        <v>6460.06</v>
      </c>
    </row>
    <row r="655" spans="1:12" x14ac:dyDescent="0.35">
      <c r="A655" s="2" t="s">
        <v>79</v>
      </c>
      <c r="B655" t="s">
        <v>80</v>
      </c>
      <c r="C655" s="21" t="s">
        <v>275</v>
      </c>
      <c r="D655" s="4">
        <v>14</v>
      </c>
      <c r="E655" s="97">
        <v>6460.06</v>
      </c>
      <c r="G655" s="1"/>
      <c r="H655" s="1"/>
      <c r="I655" s="1">
        <f t="shared" si="107"/>
        <v>0</v>
      </c>
      <c r="J655" s="1">
        <f t="shared" si="109"/>
        <v>3239</v>
      </c>
      <c r="K655" s="9" t="e">
        <f t="shared" si="108"/>
        <v>#DIV/0!</v>
      </c>
      <c r="L655" s="19">
        <f t="shared" si="103"/>
        <v>6460.06</v>
      </c>
    </row>
    <row r="656" spans="1:12" x14ac:dyDescent="0.35">
      <c r="A656" s="2" t="s">
        <v>79</v>
      </c>
      <c r="B656" t="s">
        <v>80</v>
      </c>
      <c r="C656" s="21" t="s">
        <v>275</v>
      </c>
      <c r="D656" s="4">
        <v>15</v>
      </c>
      <c r="E656" s="97">
        <v>6460.06</v>
      </c>
      <c r="G656" s="1"/>
      <c r="H656" s="1"/>
      <c r="I656" s="1">
        <f t="shared" si="107"/>
        <v>0</v>
      </c>
      <c r="J656" s="1">
        <f t="shared" si="109"/>
        <v>3239</v>
      </c>
      <c r="L656" s="19">
        <f t="shared" si="103"/>
        <v>6460.06</v>
      </c>
    </row>
    <row r="657" spans="1:12" ht="15" thickBot="1" x14ac:dyDescent="0.4">
      <c r="A657" s="12" t="s">
        <v>79</v>
      </c>
      <c r="B657" s="13" t="s">
        <v>80</v>
      </c>
      <c r="C657" s="21" t="s">
        <v>275</v>
      </c>
      <c r="D657" s="14">
        <v>16</v>
      </c>
      <c r="E657" s="97">
        <v>6460.06</v>
      </c>
      <c r="F657" s="13"/>
      <c r="G657" s="15"/>
      <c r="H657" s="15"/>
      <c r="I657" s="15">
        <f t="shared" si="107"/>
        <v>0</v>
      </c>
      <c r="J657" s="15">
        <f t="shared" si="109"/>
        <v>3239</v>
      </c>
      <c r="K657" s="13"/>
      <c r="L657" s="19">
        <f t="shared" si="103"/>
        <v>6460.06</v>
      </c>
    </row>
    <row r="658" spans="1:12" x14ac:dyDescent="0.35">
      <c r="A658" s="2" t="s">
        <v>81</v>
      </c>
      <c r="B658" t="s">
        <v>82</v>
      </c>
      <c r="C658" s="21" t="s">
        <v>275</v>
      </c>
      <c r="D658" s="4">
        <v>1</v>
      </c>
      <c r="E658" s="4">
        <v>10640.09</v>
      </c>
      <c r="F658" s="3">
        <v>45904</v>
      </c>
      <c r="G658" s="1">
        <v>10725</v>
      </c>
      <c r="H658" s="1">
        <v>10647</v>
      </c>
      <c r="I658" s="1">
        <f t="shared" si="107"/>
        <v>78</v>
      </c>
      <c r="J658" s="1">
        <f>I658</f>
        <v>78</v>
      </c>
      <c r="K658" s="9">
        <f t="shared" ref="K658:K672" si="110">I658/H658</f>
        <v>7.326007326007326E-3</v>
      </c>
      <c r="L658" s="19">
        <f t="shared" si="103"/>
        <v>-6.9099999999998545</v>
      </c>
    </row>
    <row r="659" spans="1:12" x14ac:dyDescent="0.35">
      <c r="A659" s="2" t="s">
        <v>81</v>
      </c>
      <c r="B659" t="s">
        <v>82</v>
      </c>
      <c r="C659" s="21" t="s">
        <v>275</v>
      </c>
      <c r="D659" s="4">
        <v>2</v>
      </c>
      <c r="E659" s="4">
        <v>10640.09</v>
      </c>
      <c r="F659" s="3">
        <v>45911</v>
      </c>
      <c r="G659" s="1">
        <v>10710</v>
      </c>
      <c r="H659" s="1">
        <v>10647</v>
      </c>
      <c r="I659" s="1">
        <f t="shared" si="107"/>
        <v>63</v>
      </c>
      <c r="J659" s="1">
        <f>J658+I659</f>
        <v>141</v>
      </c>
      <c r="K659" s="9">
        <f t="shared" si="110"/>
        <v>5.9171597633136093E-3</v>
      </c>
      <c r="L659" s="19">
        <f t="shared" si="103"/>
        <v>-6.9099999999998545</v>
      </c>
    </row>
    <row r="660" spans="1:12" x14ac:dyDescent="0.35">
      <c r="A660" s="2" t="s">
        <v>81</v>
      </c>
      <c r="B660" t="s">
        <v>82</v>
      </c>
      <c r="C660" s="21" t="s">
        <v>275</v>
      </c>
      <c r="D660" s="4">
        <v>3</v>
      </c>
      <c r="E660" s="4">
        <v>10640.09</v>
      </c>
      <c r="F660" s="3">
        <v>45918</v>
      </c>
      <c r="G660" s="1">
        <v>11533</v>
      </c>
      <c r="H660" s="1">
        <v>10647</v>
      </c>
      <c r="I660" s="1">
        <f t="shared" si="107"/>
        <v>886</v>
      </c>
      <c r="J660" s="1">
        <f t="shared" ref="J660:J673" si="111">J659+I660</f>
        <v>1027</v>
      </c>
      <c r="K660" s="9">
        <f t="shared" si="110"/>
        <v>8.3215929369775524E-2</v>
      </c>
      <c r="L660" s="19">
        <f t="shared" si="103"/>
        <v>-6.9099999999998545</v>
      </c>
    </row>
    <row r="661" spans="1:12" x14ac:dyDescent="0.35">
      <c r="A661" s="2" t="s">
        <v>81</v>
      </c>
      <c r="B661" t="s">
        <v>82</v>
      </c>
      <c r="C661" s="21" t="s">
        <v>275</v>
      </c>
      <c r="D661" s="4">
        <v>4</v>
      </c>
      <c r="E661" s="4">
        <v>10640.09</v>
      </c>
      <c r="F661" s="3">
        <v>45925</v>
      </c>
      <c r="G661" s="1">
        <v>10850</v>
      </c>
      <c r="H661" s="1">
        <v>10647</v>
      </c>
      <c r="I661" s="1">
        <f t="shared" si="107"/>
        <v>203</v>
      </c>
      <c r="J661" s="1">
        <f t="shared" si="111"/>
        <v>1230</v>
      </c>
      <c r="K661" s="9">
        <f t="shared" si="110"/>
        <v>1.9066403681788299E-2</v>
      </c>
      <c r="L661" s="19">
        <f t="shared" si="103"/>
        <v>-6.9099999999998545</v>
      </c>
    </row>
    <row r="662" spans="1:12" x14ac:dyDescent="0.35">
      <c r="A662" s="2" t="s">
        <v>81</v>
      </c>
      <c r="B662" t="s">
        <v>82</v>
      </c>
      <c r="C662" s="21" t="s">
        <v>275</v>
      </c>
      <c r="D662" s="4">
        <v>5</v>
      </c>
      <c r="E662" s="4">
        <v>10640.09</v>
      </c>
      <c r="F662" s="3">
        <v>45933</v>
      </c>
      <c r="G662" s="1">
        <v>10698</v>
      </c>
      <c r="H662" s="1">
        <v>10698</v>
      </c>
      <c r="I662" s="1">
        <f t="shared" si="107"/>
        <v>0</v>
      </c>
      <c r="J662" s="1">
        <f t="shared" si="111"/>
        <v>1230</v>
      </c>
      <c r="K662" s="9">
        <f t="shared" si="110"/>
        <v>0</v>
      </c>
      <c r="L662" s="19">
        <f t="shared" si="103"/>
        <v>-57.909999999999854</v>
      </c>
    </row>
    <row r="663" spans="1:12" x14ac:dyDescent="0.35">
      <c r="A663" s="2" t="s">
        <v>81</v>
      </c>
      <c r="B663" t="s">
        <v>82</v>
      </c>
      <c r="C663" s="21" t="s">
        <v>275</v>
      </c>
      <c r="D663" s="4">
        <v>6</v>
      </c>
      <c r="E663" s="4">
        <v>10640.09</v>
      </c>
      <c r="F663" s="3">
        <v>45948</v>
      </c>
      <c r="G663" s="1">
        <v>10640.09</v>
      </c>
      <c r="H663" s="1">
        <v>10640.09</v>
      </c>
      <c r="I663" s="1">
        <f t="shared" si="107"/>
        <v>0</v>
      </c>
      <c r="J663" s="1">
        <f t="shared" si="111"/>
        <v>1230</v>
      </c>
      <c r="K663" s="9">
        <f t="shared" si="110"/>
        <v>0</v>
      </c>
      <c r="L663" s="19">
        <f t="shared" si="103"/>
        <v>0</v>
      </c>
    </row>
    <row r="664" spans="1:12" x14ac:dyDescent="0.35">
      <c r="A664" s="2" t="s">
        <v>81</v>
      </c>
      <c r="B664" t="s">
        <v>82</v>
      </c>
      <c r="C664" s="21" t="s">
        <v>275</v>
      </c>
      <c r="D664" s="4">
        <v>7</v>
      </c>
      <c r="E664" s="4">
        <v>10640.09</v>
      </c>
      <c r="F664" s="3">
        <v>45961</v>
      </c>
      <c r="G664" s="1">
        <v>10640.09</v>
      </c>
      <c r="H664" s="1">
        <v>10640.09</v>
      </c>
      <c r="I664" s="1">
        <f t="shared" si="107"/>
        <v>0</v>
      </c>
      <c r="J664" s="1">
        <f t="shared" si="111"/>
        <v>1230</v>
      </c>
      <c r="K664" s="9">
        <f t="shared" si="110"/>
        <v>0</v>
      </c>
      <c r="L664" s="19">
        <f t="shared" si="103"/>
        <v>0</v>
      </c>
    </row>
    <row r="665" spans="1:12" x14ac:dyDescent="0.35">
      <c r="A665" s="2" t="s">
        <v>81</v>
      </c>
      <c r="B665" t="s">
        <v>82</v>
      </c>
      <c r="C665" s="21" t="s">
        <v>275</v>
      </c>
      <c r="D665" s="4">
        <v>8</v>
      </c>
      <c r="E665" s="4">
        <v>10640.09</v>
      </c>
      <c r="F665" s="3">
        <v>45965</v>
      </c>
      <c r="G665" s="1">
        <f>5221.82+3600+1818.27</f>
        <v>10640.09</v>
      </c>
      <c r="H665" s="1">
        <f>5221.82+3600+1818.27</f>
        <v>10640.09</v>
      </c>
      <c r="I665" s="1">
        <f t="shared" si="107"/>
        <v>0</v>
      </c>
      <c r="J665" s="1">
        <f t="shared" si="111"/>
        <v>1230</v>
      </c>
      <c r="K665" s="9">
        <f t="shared" si="110"/>
        <v>0</v>
      </c>
      <c r="L665" s="19">
        <f t="shared" si="103"/>
        <v>0</v>
      </c>
    </row>
    <row r="666" spans="1:12" x14ac:dyDescent="0.35">
      <c r="A666" s="2" t="s">
        <v>81</v>
      </c>
      <c r="B666" t="s">
        <v>82</v>
      </c>
      <c r="C666" s="21" t="s">
        <v>275</v>
      </c>
      <c r="D666" s="4">
        <v>9</v>
      </c>
      <c r="E666" s="4">
        <v>10640.09</v>
      </c>
      <c r="F666" s="3">
        <v>45967</v>
      </c>
      <c r="G666" s="1">
        <v>681.73</v>
      </c>
      <c r="H666" s="1">
        <v>681.73</v>
      </c>
      <c r="I666" s="1">
        <f t="shared" si="107"/>
        <v>0</v>
      </c>
      <c r="J666" s="1">
        <f t="shared" si="111"/>
        <v>1230</v>
      </c>
      <c r="K666" s="9">
        <f t="shared" si="110"/>
        <v>0</v>
      </c>
      <c r="L666" s="19">
        <f t="shared" si="103"/>
        <v>9958.36</v>
      </c>
    </row>
    <row r="667" spans="1:12" x14ac:dyDescent="0.35">
      <c r="A667" s="2" t="s">
        <v>81</v>
      </c>
      <c r="B667" t="s">
        <v>82</v>
      </c>
      <c r="C667" s="21" t="s">
        <v>275</v>
      </c>
      <c r="D667" s="4">
        <v>10</v>
      </c>
      <c r="E667" s="4">
        <v>10640.09</v>
      </c>
      <c r="G667" s="1"/>
      <c r="H667" s="1"/>
      <c r="I667" s="1">
        <f t="shared" si="107"/>
        <v>0</v>
      </c>
      <c r="J667" s="1">
        <f t="shared" si="111"/>
        <v>1230</v>
      </c>
      <c r="K667" s="9" t="e">
        <f t="shared" si="110"/>
        <v>#DIV/0!</v>
      </c>
      <c r="L667" s="19">
        <f t="shared" si="103"/>
        <v>10640.09</v>
      </c>
    </row>
    <row r="668" spans="1:12" x14ac:dyDescent="0.35">
      <c r="A668" s="2" t="s">
        <v>81</v>
      </c>
      <c r="B668" t="s">
        <v>82</v>
      </c>
      <c r="C668" s="21" t="s">
        <v>275</v>
      </c>
      <c r="D668" s="4">
        <v>11</v>
      </c>
      <c r="E668" s="4">
        <v>10640.09</v>
      </c>
      <c r="G668" s="1"/>
      <c r="H668" s="1"/>
      <c r="I668" s="1">
        <f t="shared" si="107"/>
        <v>0</v>
      </c>
      <c r="J668" s="1">
        <f t="shared" si="111"/>
        <v>1230</v>
      </c>
      <c r="K668" s="9" t="e">
        <f t="shared" si="110"/>
        <v>#DIV/0!</v>
      </c>
      <c r="L668" s="19">
        <f t="shared" si="103"/>
        <v>10640.09</v>
      </c>
    </row>
    <row r="669" spans="1:12" x14ac:dyDescent="0.35">
      <c r="A669" s="2" t="s">
        <v>81</v>
      </c>
      <c r="B669" t="s">
        <v>82</v>
      </c>
      <c r="C669" s="21" t="s">
        <v>275</v>
      </c>
      <c r="D669" s="4">
        <v>12</v>
      </c>
      <c r="E669" s="4">
        <v>10640.09</v>
      </c>
      <c r="G669" s="1"/>
      <c r="H669" s="1"/>
      <c r="I669" s="1">
        <f t="shared" si="107"/>
        <v>0</v>
      </c>
      <c r="J669" s="1">
        <f t="shared" si="111"/>
        <v>1230</v>
      </c>
      <c r="K669" s="9" t="e">
        <f t="shared" si="110"/>
        <v>#DIV/0!</v>
      </c>
      <c r="L669" s="19">
        <f t="shared" si="103"/>
        <v>10640.09</v>
      </c>
    </row>
    <row r="670" spans="1:12" x14ac:dyDescent="0.35">
      <c r="A670" s="2" t="s">
        <v>81</v>
      </c>
      <c r="B670" t="s">
        <v>82</v>
      </c>
      <c r="C670" s="21" t="s">
        <v>275</v>
      </c>
      <c r="D670" s="4">
        <v>13</v>
      </c>
      <c r="E670" s="4">
        <v>10640.09</v>
      </c>
      <c r="G670" s="1"/>
      <c r="H670" s="1"/>
      <c r="I670" s="1">
        <f t="shared" si="107"/>
        <v>0</v>
      </c>
      <c r="J670" s="1">
        <f t="shared" si="111"/>
        <v>1230</v>
      </c>
      <c r="K670" s="9" t="e">
        <f t="shared" si="110"/>
        <v>#DIV/0!</v>
      </c>
      <c r="L670" s="19">
        <f t="shared" si="103"/>
        <v>10640.09</v>
      </c>
    </row>
    <row r="671" spans="1:12" x14ac:dyDescent="0.35">
      <c r="A671" s="2" t="s">
        <v>81</v>
      </c>
      <c r="B671" t="s">
        <v>82</v>
      </c>
      <c r="C671" s="21" t="s">
        <v>275</v>
      </c>
      <c r="D671" s="4">
        <v>14</v>
      </c>
      <c r="E671" s="4">
        <v>10640.09</v>
      </c>
      <c r="G671" s="1"/>
      <c r="H671" s="1"/>
      <c r="I671" s="1">
        <f t="shared" si="107"/>
        <v>0</v>
      </c>
      <c r="J671" s="1">
        <f t="shared" si="111"/>
        <v>1230</v>
      </c>
      <c r="K671" s="9" t="e">
        <f t="shared" si="110"/>
        <v>#DIV/0!</v>
      </c>
      <c r="L671" s="19">
        <f t="shared" si="103"/>
        <v>10640.09</v>
      </c>
    </row>
    <row r="672" spans="1:12" x14ac:dyDescent="0.35">
      <c r="A672" s="2" t="s">
        <v>81</v>
      </c>
      <c r="B672" t="s">
        <v>82</v>
      </c>
      <c r="C672" s="21" t="s">
        <v>275</v>
      </c>
      <c r="D672" s="4">
        <v>15</v>
      </c>
      <c r="E672" s="4">
        <v>10640.09</v>
      </c>
      <c r="G672" s="1"/>
      <c r="H672" s="1"/>
      <c r="I672" s="1">
        <f t="shared" si="107"/>
        <v>0</v>
      </c>
      <c r="J672" s="1">
        <f t="shared" si="111"/>
        <v>1230</v>
      </c>
      <c r="K672" s="9" t="e">
        <f t="shared" si="110"/>
        <v>#DIV/0!</v>
      </c>
      <c r="L672" s="19">
        <f t="shared" si="103"/>
        <v>10640.09</v>
      </c>
    </row>
    <row r="673" spans="1:12" ht="15" thickBot="1" x14ac:dyDescent="0.4">
      <c r="A673" s="12" t="s">
        <v>81</v>
      </c>
      <c r="B673" s="13" t="s">
        <v>82</v>
      </c>
      <c r="C673" s="21" t="s">
        <v>275</v>
      </c>
      <c r="D673" s="14">
        <v>16</v>
      </c>
      <c r="E673" s="4">
        <v>10640.09</v>
      </c>
      <c r="F673" s="13"/>
      <c r="G673" s="15"/>
      <c r="H673" s="15"/>
      <c r="I673" s="15">
        <f t="shared" si="107"/>
        <v>0</v>
      </c>
      <c r="J673" s="15">
        <f t="shared" si="111"/>
        <v>1230</v>
      </c>
      <c r="K673" s="13"/>
      <c r="L673" s="19">
        <f t="shared" si="103"/>
        <v>10640.09</v>
      </c>
    </row>
    <row r="674" spans="1:12" x14ac:dyDescent="0.35">
      <c r="A674" s="2" t="s">
        <v>83</v>
      </c>
      <c r="B674" t="s">
        <v>84</v>
      </c>
      <c r="C674" s="21" t="s">
        <v>275</v>
      </c>
      <c r="D674" s="4">
        <v>1</v>
      </c>
      <c r="E674" s="98">
        <v>7600.07</v>
      </c>
      <c r="F674" s="3">
        <v>45904</v>
      </c>
      <c r="G674" s="1">
        <v>8300</v>
      </c>
      <c r="H674" s="1">
        <v>7600</v>
      </c>
      <c r="I674" s="1">
        <f t="shared" si="107"/>
        <v>700</v>
      </c>
      <c r="J674" s="1">
        <f>I674</f>
        <v>700</v>
      </c>
      <c r="K674" s="9">
        <f t="shared" ref="K674:K688" si="112">I674/H674</f>
        <v>9.2105263157894732E-2</v>
      </c>
      <c r="L674" s="19">
        <f t="shared" ref="L674:L737" si="113">E674-H674</f>
        <v>6.9999999999708962E-2</v>
      </c>
    </row>
    <row r="675" spans="1:12" x14ac:dyDescent="0.35">
      <c r="A675" s="2" t="s">
        <v>83</v>
      </c>
      <c r="B675" t="s">
        <v>84</v>
      </c>
      <c r="C675" s="21" t="s">
        <v>275</v>
      </c>
      <c r="D675" s="4">
        <v>2</v>
      </c>
      <c r="E675" s="98">
        <v>7600.07</v>
      </c>
      <c r="F675" s="3">
        <v>45911</v>
      </c>
      <c r="G675" s="1">
        <v>8340</v>
      </c>
      <c r="H675" s="1">
        <v>7600</v>
      </c>
      <c r="I675" s="1">
        <f t="shared" si="107"/>
        <v>740</v>
      </c>
      <c r="J675" s="1">
        <f>J674+H675</f>
        <v>8300</v>
      </c>
      <c r="K675" s="9">
        <f t="shared" si="112"/>
        <v>9.7368421052631576E-2</v>
      </c>
      <c r="L675" s="19">
        <f t="shared" si="113"/>
        <v>6.9999999999708962E-2</v>
      </c>
    </row>
    <row r="676" spans="1:12" x14ac:dyDescent="0.35">
      <c r="A676" s="2" t="s">
        <v>83</v>
      </c>
      <c r="B676" t="s">
        <v>84</v>
      </c>
      <c r="C676" s="21" t="s">
        <v>275</v>
      </c>
      <c r="D676" s="4">
        <v>3</v>
      </c>
      <c r="E676" s="98">
        <v>7600.07</v>
      </c>
      <c r="F676" s="3">
        <v>45918</v>
      </c>
      <c r="G676" s="1">
        <v>8350</v>
      </c>
      <c r="H676" s="1">
        <v>7600</v>
      </c>
      <c r="I676" s="1">
        <f t="shared" si="107"/>
        <v>750</v>
      </c>
      <c r="J676" s="1">
        <f t="shared" ref="J676:J689" si="114">J675+H676</f>
        <v>15900</v>
      </c>
      <c r="K676" s="9">
        <f t="shared" si="112"/>
        <v>9.8684210526315791E-2</v>
      </c>
      <c r="L676" s="19">
        <f t="shared" si="113"/>
        <v>6.9999999999708962E-2</v>
      </c>
    </row>
    <row r="677" spans="1:12" x14ac:dyDescent="0.35">
      <c r="A677" s="2" t="s">
        <v>83</v>
      </c>
      <c r="B677" t="s">
        <v>84</v>
      </c>
      <c r="C677" s="21" t="s">
        <v>275</v>
      </c>
      <c r="D677" s="4">
        <v>4</v>
      </c>
      <c r="E677" s="98">
        <v>7600.07</v>
      </c>
      <c r="F677" s="3">
        <v>45925</v>
      </c>
      <c r="G677" s="1">
        <v>8360</v>
      </c>
      <c r="H677" s="1">
        <v>7600</v>
      </c>
      <c r="I677" s="1">
        <f t="shared" si="107"/>
        <v>760</v>
      </c>
      <c r="J677" s="1">
        <f t="shared" si="114"/>
        <v>23500</v>
      </c>
      <c r="K677" s="9">
        <f t="shared" si="112"/>
        <v>0.1</v>
      </c>
      <c r="L677" s="19">
        <f t="shared" si="113"/>
        <v>6.9999999999708962E-2</v>
      </c>
    </row>
    <row r="678" spans="1:12" x14ac:dyDescent="0.35">
      <c r="A678" s="2" t="s">
        <v>83</v>
      </c>
      <c r="B678" t="s">
        <v>84</v>
      </c>
      <c r="C678" s="21" t="s">
        <v>275</v>
      </c>
      <c r="D678" s="4">
        <v>5</v>
      </c>
      <c r="E678" s="98">
        <v>7600.07</v>
      </c>
      <c r="F678" s="3">
        <v>45932</v>
      </c>
      <c r="G678" s="1">
        <v>8360</v>
      </c>
      <c r="H678" s="1">
        <v>7600</v>
      </c>
      <c r="I678" s="1">
        <f t="shared" si="107"/>
        <v>760</v>
      </c>
      <c r="J678" s="1">
        <f t="shared" si="114"/>
        <v>31100</v>
      </c>
      <c r="K678" s="9">
        <f t="shared" si="112"/>
        <v>0.1</v>
      </c>
      <c r="L678" s="19">
        <f t="shared" si="113"/>
        <v>6.9999999999708962E-2</v>
      </c>
    </row>
    <row r="679" spans="1:12" x14ac:dyDescent="0.35">
      <c r="A679" s="2" t="s">
        <v>83</v>
      </c>
      <c r="B679" t="s">
        <v>84</v>
      </c>
      <c r="C679" s="21" t="s">
        <v>275</v>
      </c>
      <c r="D679" s="4">
        <v>6</v>
      </c>
      <c r="E679" s="98">
        <v>7600.07</v>
      </c>
      <c r="F679" s="3">
        <v>45946</v>
      </c>
      <c r="G679" s="1">
        <v>8360</v>
      </c>
      <c r="H679" s="1">
        <v>7600</v>
      </c>
      <c r="I679" s="1">
        <f t="shared" si="107"/>
        <v>760</v>
      </c>
      <c r="J679" s="1">
        <f t="shared" si="114"/>
        <v>38700</v>
      </c>
      <c r="K679" s="9">
        <f t="shared" si="112"/>
        <v>0.1</v>
      </c>
      <c r="L679" s="19">
        <f t="shared" si="113"/>
        <v>6.9999999999708962E-2</v>
      </c>
    </row>
    <row r="680" spans="1:12" x14ac:dyDescent="0.35">
      <c r="A680" s="2" t="s">
        <v>83</v>
      </c>
      <c r="B680" t="s">
        <v>84</v>
      </c>
      <c r="C680" s="21" t="s">
        <v>275</v>
      </c>
      <c r="D680" s="4">
        <v>7</v>
      </c>
      <c r="E680" s="98">
        <v>7600.07</v>
      </c>
      <c r="F680" s="3">
        <v>45953</v>
      </c>
      <c r="G680" s="1">
        <v>8360</v>
      </c>
      <c r="H680" s="1">
        <v>7600</v>
      </c>
      <c r="I680" s="1">
        <f t="shared" si="107"/>
        <v>760</v>
      </c>
      <c r="J680" s="1">
        <f t="shared" si="114"/>
        <v>46300</v>
      </c>
      <c r="K680" s="9">
        <f t="shared" si="112"/>
        <v>0.1</v>
      </c>
      <c r="L680" s="19">
        <f t="shared" si="113"/>
        <v>6.9999999999708962E-2</v>
      </c>
    </row>
    <row r="681" spans="1:12" x14ac:dyDescent="0.35">
      <c r="A681" s="2" t="s">
        <v>83</v>
      </c>
      <c r="B681" t="s">
        <v>84</v>
      </c>
      <c r="C681" s="21" t="s">
        <v>275</v>
      </c>
      <c r="D681" s="4">
        <v>8</v>
      </c>
      <c r="E681" s="98">
        <v>7600.07</v>
      </c>
      <c r="F681" s="3">
        <v>45960</v>
      </c>
      <c r="G681" s="1">
        <v>8051</v>
      </c>
      <c r="H681" s="1">
        <v>7600</v>
      </c>
      <c r="I681" s="1">
        <f t="shared" si="107"/>
        <v>451</v>
      </c>
      <c r="J681" s="1">
        <f t="shared" si="114"/>
        <v>53900</v>
      </c>
      <c r="K681" s="9">
        <f t="shared" si="112"/>
        <v>5.9342105263157897E-2</v>
      </c>
      <c r="L681" s="19">
        <f t="shared" si="113"/>
        <v>6.9999999999708962E-2</v>
      </c>
    </row>
    <row r="682" spans="1:12" x14ac:dyDescent="0.35">
      <c r="A682" s="2" t="s">
        <v>83</v>
      </c>
      <c r="B682" t="s">
        <v>84</v>
      </c>
      <c r="C682" s="21" t="s">
        <v>275</v>
      </c>
      <c r="D682" s="4">
        <v>9</v>
      </c>
      <c r="E682" s="98">
        <v>7600.07</v>
      </c>
      <c r="F682" s="3">
        <v>45967</v>
      </c>
      <c r="G682" s="1">
        <v>8187</v>
      </c>
      <c r="H682" s="1">
        <v>7600</v>
      </c>
      <c r="I682" s="1">
        <f t="shared" si="107"/>
        <v>587</v>
      </c>
      <c r="J682" s="1">
        <f t="shared" si="114"/>
        <v>61500</v>
      </c>
      <c r="K682" s="9">
        <f t="shared" si="112"/>
        <v>7.7236842105263159E-2</v>
      </c>
      <c r="L682" s="19">
        <f t="shared" si="113"/>
        <v>6.9999999999708962E-2</v>
      </c>
    </row>
    <row r="683" spans="1:12" x14ac:dyDescent="0.35">
      <c r="A683" s="2" t="s">
        <v>83</v>
      </c>
      <c r="B683" t="s">
        <v>84</v>
      </c>
      <c r="C683" s="21" t="s">
        <v>275</v>
      </c>
      <c r="D683" s="4">
        <v>10</v>
      </c>
      <c r="E683" s="98">
        <v>7600.07</v>
      </c>
      <c r="G683" s="1"/>
      <c r="H683" s="1"/>
      <c r="I683" s="1">
        <f t="shared" si="107"/>
        <v>0</v>
      </c>
      <c r="J683" s="1">
        <f t="shared" si="114"/>
        <v>61500</v>
      </c>
      <c r="K683" s="9" t="e">
        <f t="shared" si="112"/>
        <v>#DIV/0!</v>
      </c>
      <c r="L683" s="19">
        <f t="shared" si="113"/>
        <v>7600.07</v>
      </c>
    </row>
    <row r="684" spans="1:12" x14ac:dyDescent="0.35">
      <c r="A684" s="2" t="s">
        <v>83</v>
      </c>
      <c r="B684" t="s">
        <v>84</v>
      </c>
      <c r="C684" s="21" t="s">
        <v>275</v>
      </c>
      <c r="D684" s="4">
        <v>11</v>
      </c>
      <c r="E684" s="98">
        <v>7600.07</v>
      </c>
      <c r="G684" s="1"/>
      <c r="H684" s="1"/>
      <c r="I684" s="1">
        <f t="shared" si="107"/>
        <v>0</v>
      </c>
      <c r="J684" s="1">
        <f t="shared" si="114"/>
        <v>61500</v>
      </c>
      <c r="K684" s="9" t="e">
        <f t="shared" si="112"/>
        <v>#DIV/0!</v>
      </c>
      <c r="L684" s="19">
        <f t="shared" si="113"/>
        <v>7600.07</v>
      </c>
    </row>
    <row r="685" spans="1:12" x14ac:dyDescent="0.35">
      <c r="A685" s="2" t="s">
        <v>83</v>
      </c>
      <c r="B685" t="s">
        <v>84</v>
      </c>
      <c r="C685" s="21" t="s">
        <v>275</v>
      </c>
      <c r="D685" s="4">
        <v>12</v>
      </c>
      <c r="E685" s="98">
        <v>7600.07</v>
      </c>
      <c r="G685" s="1"/>
      <c r="H685" s="1"/>
      <c r="I685" s="1">
        <f t="shared" si="107"/>
        <v>0</v>
      </c>
      <c r="J685" s="1">
        <f t="shared" si="114"/>
        <v>61500</v>
      </c>
      <c r="K685" s="9" t="e">
        <f t="shared" si="112"/>
        <v>#DIV/0!</v>
      </c>
      <c r="L685" s="19">
        <f t="shared" si="113"/>
        <v>7600.07</v>
      </c>
    </row>
    <row r="686" spans="1:12" x14ac:dyDescent="0.35">
      <c r="A686" s="2" t="s">
        <v>83</v>
      </c>
      <c r="B686" t="s">
        <v>84</v>
      </c>
      <c r="C686" s="21" t="s">
        <v>275</v>
      </c>
      <c r="D686" s="4">
        <v>13</v>
      </c>
      <c r="E686" s="98">
        <v>7600.07</v>
      </c>
      <c r="G686" s="1"/>
      <c r="H686" s="1"/>
      <c r="I686" s="1">
        <f t="shared" si="107"/>
        <v>0</v>
      </c>
      <c r="J686" s="1">
        <f t="shared" si="114"/>
        <v>61500</v>
      </c>
      <c r="K686" s="9" t="e">
        <f t="shared" si="112"/>
        <v>#DIV/0!</v>
      </c>
      <c r="L686" s="19">
        <f t="shared" si="113"/>
        <v>7600.07</v>
      </c>
    </row>
    <row r="687" spans="1:12" x14ac:dyDescent="0.35">
      <c r="A687" s="2" t="s">
        <v>83</v>
      </c>
      <c r="B687" t="s">
        <v>84</v>
      </c>
      <c r="C687" s="21" t="s">
        <v>275</v>
      </c>
      <c r="D687" s="4">
        <v>14</v>
      </c>
      <c r="E687" s="98">
        <v>7600.07</v>
      </c>
      <c r="G687" s="1"/>
      <c r="H687" s="1"/>
      <c r="I687" s="1">
        <f t="shared" si="107"/>
        <v>0</v>
      </c>
      <c r="J687" s="1">
        <f t="shared" si="114"/>
        <v>61500</v>
      </c>
      <c r="K687" s="9" t="e">
        <f t="shared" si="112"/>
        <v>#DIV/0!</v>
      </c>
      <c r="L687" s="19">
        <f t="shared" si="113"/>
        <v>7600.07</v>
      </c>
    </row>
    <row r="688" spans="1:12" x14ac:dyDescent="0.35">
      <c r="A688" s="2" t="s">
        <v>83</v>
      </c>
      <c r="B688" t="s">
        <v>84</v>
      </c>
      <c r="C688" s="21" t="s">
        <v>275</v>
      </c>
      <c r="D688" s="4">
        <v>15</v>
      </c>
      <c r="E688" s="98">
        <v>7600.07</v>
      </c>
      <c r="G688" s="1"/>
      <c r="H688" s="1"/>
      <c r="I688" s="1">
        <f t="shared" si="107"/>
        <v>0</v>
      </c>
      <c r="J688" s="1">
        <f t="shared" si="114"/>
        <v>61500</v>
      </c>
      <c r="K688" s="9" t="e">
        <f t="shared" si="112"/>
        <v>#DIV/0!</v>
      </c>
      <c r="L688" s="19">
        <f t="shared" si="113"/>
        <v>7600.07</v>
      </c>
    </row>
    <row r="689" spans="1:12" ht="15" thickBot="1" x14ac:dyDescent="0.4">
      <c r="A689" s="12" t="s">
        <v>83</v>
      </c>
      <c r="B689" s="13" t="s">
        <v>84</v>
      </c>
      <c r="C689" s="21" t="s">
        <v>275</v>
      </c>
      <c r="D689" s="14">
        <v>16</v>
      </c>
      <c r="E689" s="98">
        <v>7600.07</v>
      </c>
      <c r="F689" s="13"/>
      <c r="G689" s="15"/>
      <c r="H689" s="15"/>
      <c r="I689" s="15">
        <f t="shared" si="107"/>
        <v>0</v>
      </c>
      <c r="J689" s="15">
        <f t="shared" si="114"/>
        <v>61500</v>
      </c>
      <c r="K689" s="13"/>
      <c r="L689" s="19">
        <f t="shared" si="113"/>
        <v>7600.07</v>
      </c>
    </row>
    <row r="690" spans="1:12" x14ac:dyDescent="0.35">
      <c r="A690" s="2" t="s">
        <v>85</v>
      </c>
      <c r="B690" t="s">
        <v>86</v>
      </c>
      <c r="C690" s="21" t="s">
        <v>275</v>
      </c>
      <c r="D690" s="4">
        <v>1</v>
      </c>
      <c r="E690" s="99">
        <v>6004.05</v>
      </c>
      <c r="F690" s="3">
        <v>45904</v>
      </c>
      <c r="G690" s="1">
        <v>6636.05</v>
      </c>
      <c r="H690" s="1">
        <v>6004.05</v>
      </c>
      <c r="I690" s="1">
        <f t="shared" si="107"/>
        <v>632</v>
      </c>
      <c r="J690" s="1">
        <f>I690</f>
        <v>632</v>
      </c>
      <c r="K690" s="9">
        <f t="shared" ref="K690:K704" si="115">I690/H690</f>
        <v>0.10526228129346024</v>
      </c>
      <c r="L690" s="19">
        <f t="shared" si="113"/>
        <v>0</v>
      </c>
    </row>
    <row r="691" spans="1:12" x14ac:dyDescent="0.35">
      <c r="A691" s="2" t="s">
        <v>85</v>
      </c>
      <c r="B691" t="s">
        <v>86</v>
      </c>
      <c r="C691" s="21" t="s">
        <v>275</v>
      </c>
      <c r="D691" s="4">
        <v>2</v>
      </c>
      <c r="E691" s="99">
        <v>6004.05</v>
      </c>
      <c r="F691" s="3">
        <v>45911</v>
      </c>
      <c r="G691" s="1">
        <v>6304</v>
      </c>
      <c r="H691" s="1">
        <v>6004.05</v>
      </c>
      <c r="I691" s="1">
        <f t="shared" si="107"/>
        <v>299.94999999999982</v>
      </c>
      <c r="J691" s="1">
        <f>J690+I691</f>
        <v>931.94999999999982</v>
      </c>
      <c r="K691" s="9">
        <f t="shared" si="115"/>
        <v>4.9957945053755351E-2</v>
      </c>
      <c r="L691" s="19">
        <f t="shared" si="113"/>
        <v>0</v>
      </c>
    </row>
    <row r="692" spans="1:12" x14ac:dyDescent="0.35">
      <c r="A692" s="2" t="s">
        <v>85</v>
      </c>
      <c r="B692" t="s">
        <v>86</v>
      </c>
      <c r="C692" s="21" t="s">
        <v>275</v>
      </c>
      <c r="D692" s="4">
        <v>3</v>
      </c>
      <c r="E692" s="99">
        <v>6004.05</v>
      </c>
      <c r="F692" s="3">
        <v>45918</v>
      </c>
      <c r="G692" s="1">
        <v>6304</v>
      </c>
      <c r="H692" s="1">
        <v>6004.05</v>
      </c>
      <c r="I692" s="1">
        <f t="shared" si="107"/>
        <v>299.94999999999982</v>
      </c>
      <c r="J692" s="1">
        <f t="shared" ref="J692:J705" si="116">J691+I692</f>
        <v>1231.8999999999996</v>
      </c>
      <c r="K692" s="9">
        <f t="shared" si="115"/>
        <v>4.9957945053755351E-2</v>
      </c>
      <c r="L692" s="19">
        <f t="shared" si="113"/>
        <v>0</v>
      </c>
    </row>
    <row r="693" spans="1:12" x14ac:dyDescent="0.35">
      <c r="A693" s="2" t="s">
        <v>85</v>
      </c>
      <c r="B693" t="s">
        <v>86</v>
      </c>
      <c r="C693" s="21" t="s">
        <v>275</v>
      </c>
      <c r="D693" s="4">
        <v>4</v>
      </c>
      <c r="E693" s="99">
        <v>6004.05</v>
      </c>
      <c r="F693" s="3">
        <v>45925</v>
      </c>
      <c r="G693" s="1">
        <v>6304</v>
      </c>
      <c r="H693" s="1">
        <v>6004.05</v>
      </c>
      <c r="I693" s="1">
        <f t="shared" si="107"/>
        <v>299.94999999999982</v>
      </c>
      <c r="J693" s="1">
        <f t="shared" si="116"/>
        <v>1531.8499999999995</v>
      </c>
      <c r="K693" s="9">
        <f t="shared" si="115"/>
        <v>4.9957945053755351E-2</v>
      </c>
      <c r="L693" s="19">
        <f t="shared" si="113"/>
        <v>0</v>
      </c>
    </row>
    <row r="694" spans="1:12" x14ac:dyDescent="0.35">
      <c r="A694" s="2" t="s">
        <v>85</v>
      </c>
      <c r="B694" t="s">
        <v>86</v>
      </c>
      <c r="C694" s="21" t="s">
        <v>275</v>
      </c>
      <c r="D694" s="4">
        <v>5</v>
      </c>
      <c r="E694" s="99">
        <v>6004.05</v>
      </c>
      <c r="F694" s="3">
        <v>45932</v>
      </c>
      <c r="G694" s="1">
        <v>6304</v>
      </c>
      <c r="H694" s="1">
        <v>6004.05</v>
      </c>
      <c r="I694" s="1">
        <f t="shared" ref="I694:I757" si="117">G694-H694</f>
        <v>299.94999999999982</v>
      </c>
      <c r="J694" s="1">
        <f t="shared" si="116"/>
        <v>1831.7999999999993</v>
      </c>
      <c r="K694" s="9">
        <f t="shared" si="115"/>
        <v>4.9957945053755351E-2</v>
      </c>
      <c r="L694" s="19">
        <f t="shared" si="113"/>
        <v>0</v>
      </c>
    </row>
    <row r="695" spans="1:12" x14ac:dyDescent="0.35">
      <c r="A695" s="2" t="s">
        <v>85</v>
      </c>
      <c r="B695" t="s">
        <v>86</v>
      </c>
      <c r="C695" s="21" t="s">
        <v>275</v>
      </c>
      <c r="D695" s="4">
        <v>6</v>
      </c>
      <c r="E695" s="99">
        <v>6004.05</v>
      </c>
      <c r="F695" s="3">
        <v>45939</v>
      </c>
      <c r="G695" s="1">
        <v>6304</v>
      </c>
      <c r="H695" s="1">
        <v>6004.05</v>
      </c>
      <c r="I695" s="1">
        <f t="shared" si="117"/>
        <v>299.94999999999982</v>
      </c>
      <c r="J695" s="1">
        <f t="shared" si="116"/>
        <v>2131.7499999999991</v>
      </c>
      <c r="K695" s="9">
        <f t="shared" si="115"/>
        <v>4.9957945053755351E-2</v>
      </c>
      <c r="L695" s="19">
        <f t="shared" si="113"/>
        <v>0</v>
      </c>
    </row>
    <row r="696" spans="1:12" x14ac:dyDescent="0.35">
      <c r="A696" s="2" t="s">
        <v>85</v>
      </c>
      <c r="B696" t="s">
        <v>86</v>
      </c>
      <c r="C696" s="21" t="s">
        <v>275</v>
      </c>
      <c r="D696" s="4">
        <v>7</v>
      </c>
      <c r="E696" s="99">
        <v>6004.05</v>
      </c>
      <c r="F696" s="3">
        <v>45946</v>
      </c>
      <c r="G696" s="1">
        <v>6304</v>
      </c>
      <c r="H696" s="1">
        <v>6004.05</v>
      </c>
      <c r="I696" s="1">
        <f t="shared" si="117"/>
        <v>299.94999999999982</v>
      </c>
      <c r="J696" s="1">
        <f t="shared" si="116"/>
        <v>2431.6999999999989</v>
      </c>
      <c r="K696" s="9">
        <f t="shared" si="115"/>
        <v>4.9957945053755351E-2</v>
      </c>
      <c r="L696" s="19">
        <f t="shared" si="113"/>
        <v>0</v>
      </c>
    </row>
    <row r="697" spans="1:12" x14ac:dyDescent="0.35">
      <c r="A697" s="2" t="s">
        <v>85</v>
      </c>
      <c r="B697" t="s">
        <v>86</v>
      </c>
      <c r="C697" s="21" t="s">
        <v>275</v>
      </c>
      <c r="D697" s="4">
        <v>8</v>
      </c>
      <c r="E697" s="99">
        <v>6004.05</v>
      </c>
      <c r="F697" s="3">
        <v>45953</v>
      </c>
      <c r="G697" s="1">
        <v>6304</v>
      </c>
      <c r="H697" s="1">
        <v>6004.05</v>
      </c>
      <c r="I697" s="1">
        <f t="shared" si="117"/>
        <v>299.94999999999982</v>
      </c>
      <c r="J697" s="1">
        <f t="shared" si="116"/>
        <v>2731.6499999999987</v>
      </c>
      <c r="K697" s="9">
        <f t="shared" si="115"/>
        <v>4.9957945053755351E-2</v>
      </c>
      <c r="L697" s="19">
        <f t="shared" si="113"/>
        <v>0</v>
      </c>
    </row>
    <row r="698" spans="1:12" x14ac:dyDescent="0.35">
      <c r="A698" s="2" t="s">
        <v>85</v>
      </c>
      <c r="B698" t="s">
        <v>86</v>
      </c>
      <c r="C698" s="21" t="s">
        <v>275</v>
      </c>
      <c r="D698" s="4">
        <v>9</v>
      </c>
      <c r="E698" s="99">
        <v>6004.05</v>
      </c>
      <c r="F698" s="3">
        <v>45960</v>
      </c>
      <c r="G698" s="1">
        <v>6304</v>
      </c>
      <c r="H698" s="1">
        <v>6004.05</v>
      </c>
      <c r="I698" s="1">
        <f t="shared" si="117"/>
        <v>299.94999999999982</v>
      </c>
      <c r="J698" s="1">
        <f t="shared" si="116"/>
        <v>3031.5999999999985</v>
      </c>
      <c r="K698" s="9">
        <f t="shared" si="115"/>
        <v>4.9957945053755351E-2</v>
      </c>
      <c r="L698" s="19">
        <f t="shared" si="113"/>
        <v>0</v>
      </c>
    </row>
    <row r="699" spans="1:12" x14ac:dyDescent="0.35">
      <c r="A699" s="2" t="s">
        <v>85</v>
      </c>
      <c r="B699" t="s">
        <v>86</v>
      </c>
      <c r="C699" s="21" t="s">
        <v>275</v>
      </c>
      <c r="D699" s="4">
        <v>10</v>
      </c>
      <c r="E699" s="99">
        <v>6004.05</v>
      </c>
      <c r="F699" s="3">
        <v>45967</v>
      </c>
      <c r="G699" s="34">
        <v>6304</v>
      </c>
      <c r="H699" s="34">
        <v>6004.05</v>
      </c>
      <c r="I699" s="1">
        <f t="shared" si="117"/>
        <v>299.94999999999982</v>
      </c>
      <c r="J699" s="1">
        <f t="shared" si="116"/>
        <v>3331.5499999999984</v>
      </c>
      <c r="K699" s="9">
        <f t="shared" si="115"/>
        <v>4.9957945053755351E-2</v>
      </c>
      <c r="L699" s="19">
        <f t="shared" si="113"/>
        <v>0</v>
      </c>
    </row>
    <row r="700" spans="1:12" x14ac:dyDescent="0.35">
      <c r="A700" s="2" t="s">
        <v>85</v>
      </c>
      <c r="B700" t="s">
        <v>86</v>
      </c>
      <c r="C700" s="21" t="s">
        <v>275</v>
      </c>
      <c r="D700" s="4">
        <v>11</v>
      </c>
      <c r="E700" s="99">
        <v>6004.05</v>
      </c>
      <c r="G700" s="1"/>
      <c r="H700" s="1"/>
      <c r="I700" s="1">
        <f t="shared" si="117"/>
        <v>0</v>
      </c>
      <c r="J700" s="1">
        <f t="shared" si="116"/>
        <v>3331.5499999999984</v>
      </c>
      <c r="K700" s="9" t="e">
        <f t="shared" si="115"/>
        <v>#DIV/0!</v>
      </c>
      <c r="L700" s="19">
        <f t="shared" si="113"/>
        <v>6004.05</v>
      </c>
    </row>
    <row r="701" spans="1:12" x14ac:dyDescent="0.35">
      <c r="A701" s="2" t="s">
        <v>85</v>
      </c>
      <c r="B701" t="s">
        <v>86</v>
      </c>
      <c r="C701" s="21" t="s">
        <v>275</v>
      </c>
      <c r="D701" s="4">
        <v>12</v>
      </c>
      <c r="E701" s="99">
        <v>6004.05</v>
      </c>
      <c r="G701" s="1"/>
      <c r="H701" s="1"/>
      <c r="I701" s="1">
        <f t="shared" si="117"/>
        <v>0</v>
      </c>
      <c r="J701" s="1">
        <f t="shared" si="116"/>
        <v>3331.5499999999984</v>
      </c>
      <c r="K701" s="9" t="e">
        <f t="shared" si="115"/>
        <v>#DIV/0!</v>
      </c>
      <c r="L701" s="19">
        <f t="shared" si="113"/>
        <v>6004.05</v>
      </c>
    </row>
    <row r="702" spans="1:12" x14ac:dyDescent="0.35">
      <c r="A702" s="2" t="s">
        <v>85</v>
      </c>
      <c r="B702" t="s">
        <v>86</v>
      </c>
      <c r="C702" s="21" t="s">
        <v>275</v>
      </c>
      <c r="D702" s="4">
        <v>13</v>
      </c>
      <c r="E702" s="99">
        <v>6004.05</v>
      </c>
      <c r="G702" s="1"/>
      <c r="H702" s="1"/>
      <c r="I702" s="1">
        <f t="shared" si="117"/>
        <v>0</v>
      </c>
      <c r="J702" s="1">
        <f t="shared" si="116"/>
        <v>3331.5499999999984</v>
      </c>
      <c r="K702" s="9" t="e">
        <f t="shared" si="115"/>
        <v>#DIV/0!</v>
      </c>
      <c r="L702" s="19">
        <f t="shared" si="113"/>
        <v>6004.05</v>
      </c>
    </row>
    <row r="703" spans="1:12" x14ac:dyDescent="0.35">
      <c r="A703" s="2" t="s">
        <v>85</v>
      </c>
      <c r="B703" t="s">
        <v>86</v>
      </c>
      <c r="C703" s="21" t="s">
        <v>275</v>
      </c>
      <c r="D703" s="4">
        <v>14</v>
      </c>
      <c r="E703" s="99">
        <v>6004.05</v>
      </c>
      <c r="G703" s="1"/>
      <c r="H703" s="1"/>
      <c r="I703" s="1">
        <f t="shared" si="117"/>
        <v>0</v>
      </c>
      <c r="J703" s="1">
        <f t="shared" si="116"/>
        <v>3331.5499999999984</v>
      </c>
      <c r="K703" s="9" t="e">
        <f t="shared" si="115"/>
        <v>#DIV/0!</v>
      </c>
      <c r="L703" s="19">
        <f t="shared" si="113"/>
        <v>6004.05</v>
      </c>
    </row>
    <row r="704" spans="1:12" x14ac:dyDescent="0.35">
      <c r="A704" s="2" t="s">
        <v>85</v>
      </c>
      <c r="B704" t="s">
        <v>86</v>
      </c>
      <c r="C704" s="21" t="s">
        <v>275</v>
      </c>
      <c r="D704" s="4">
        <v>15</v>
      </c>
      <c r="E704" s="99">
        <v>6004.05</v>
      </c>
      <c r="G704" s="1"/>
      <c r="H704" s="1"/>
      <c r="I704" s="1">
        <f t="shared" si="117"/>
        <v>0</v>
      </c>
      <c r="J704" s="1">
        <f t="shared" si="116"/>
        <v>3331.5499999999984</v>
      </c>
      <c r="K704" s="9" t="e">
        <f t="shared" si="115"/>
        <v>#DIV/0!</v>
      </c>
      <c r="L704" s="19">
        <f t="shared" si="113"/>
        <v>6004.05</v>
      </c>
    </row>
    <row r="705" spans="1:12" ht="15" thickBot="1" x14ac:dyDescent="0.4">
      <c r="A705" s="12" t="s">
        <v>85</v>
      </c>
      <c r="B705" s="13" t="s">
        <v>86</v>
      </c>
      <c r="C705" s="21" t="s">
        <v>275</v>
      </c>
      <c r="D705" s="14">
        <v>16</v>
      </c>
      <c r="E705" s="99">
        <v>6004.05</v>
      </c>
      <c r="F705" s="13"/>
      <c r="G705" s="15"/>
      <c r="H705" s="15"/>
      <c r="I705" s="15">
        <f t="shared" si="117"/>
        <v>0</v>
      </c>
      <c r="J705" s="15">
        <f t="shared" si="116"/>
        <v>3331.5499999999984</v>
      </c>
      <c r="K705" s="13"/>
      <c r="L705" s="19">
        <f t="shared" si="113"/>
        <v>6004.05</v>
      </c>
    </row>
    <row r="706" spans="1:12" x14ac:dyDescent="0.35">
      <c r="A706" s="2" t="s">
        <v>88</v>
      </c>
      <c r="B706" t="s">
        <v>87</v>
      </c>
      <c r="C706" s="21" t="s">
        <v>275</v>
      </c>
      <c r="D706" s="4">
        <v>1</v>
      </c>
      <c r="E706" s="4"/>
      <c r="F706" s="3">
        <v>45904</v>
      </c>
      <c r="G706" s="1">
        <v>4070</v>
      </c>
      <c r="H706" s="1">
        <v>3877</v>
      </c>
      <c r="I706" s="1">
        <f t="shared" si="117"/>
        <v>193</v>
      </c>
      <c r="J706" s="1">
        <f>I706</f>
        <v>193</v>
      </c>
      <c r="K706" s="9">
        <f t="shared" ref="K706:K712" si="118">I706/H706</f>
        <v>4.9780758318287335E-2</v>
      </c>
      <c r="L706" s="19">
        <f t="shared" si="113"/>
        <v>-3877</v>
      </c>
    </row>
    <row r="707" spans="1:12" x14ac:dyDescent="0.35">
      <c r="A707" s="2" t="s">
        <v>88</v>
      </c>
      <c r="B707" t="s">
        <v>87</v>
      </c>
      <c r="C707" s="21" t="s">
        <v>275</v>
      </c>
      <c r="D707" s="4">
        <v>2</v>
      </c>
      <c r="E707" s="4"/>
      <c r="F707" s="3">
        <v>45911</v>
      </c>
      <c r="G707" s="1">
        <v>4070</v>
      </c>
      <c r="H707" s="1">
        <v>3876</v>
      </c>
      <c r="I707" s="1">
        <f t="shared" si="117"/>
        <v>194</v>
      </c>
      <c r="J707" s="1">
        <f>J706+I707</f>
        <v>387</v>
      </c>
      <c r="K707" s="9">
        <f t="shared" si="118"/>
        <v>5.0051599587203302E-2</v>
      </c>
      <c r="L707" s="19">
        <f t="shared" si="113"/>
        <v>-3876</v>
      </c>
    </row>
    <row r="708" spans="1:12" x14ac:dyDescent="0.35">
      <c r="A708" s="2" t="s">
        <v>88</v>
      </c>
      <c r="B708" t="s">
        <v>87</v>
      </c>
      <c r="C708" s="21" t="s">
        <v>275</v>
      </c>
      <c r="D708" s="4">
        <v>3</v>
      </c>
      <c r="E708" s="4"/>
      <c r="F708" s="3">
        <v>45918</v>
      </c>
      <c r="G708" s="1">
        <v>4070</v>
      </c>
      <c r="H708" s="1">
        <v>3876</v>
      </c>
      <c r="I708" s="1">
        <f t="shared" si="117"/>
        <v>194</v>
      </c>
      <c r="J708" s="1">
        <f t="shared" ref="J708:J721" si="119">J707+I708</f>
        <v>581</v>
      </c>
      <c r="K708" s="9">
        <f t="shared" si="118"/>
        <v>5.0051599587203302E-2</v>
      </c>
      <c r="L708" s="19">
        <f t="shared" si="113"/>
        <v>-3876</v>
      </c>
    </row>
    <row r="709" spans="1:12" x14ac:dyDescent="0.35">
      <c r="A709" s="2" t="s">
        <v>88</v>
      </c>
      <c r="B709" t="s">
        <v>87</v>
      </c>
      <c r="C709" s="21" t="s">
        <v>275</v>
      </c>
      <c r="D709" s="4">
        <v>4</v>
      </c>
      <c r="E709" s="4"/>
      <c r="F709" s="3">
        <v>45925</v>
      </c>
      <c r="G709" s="1">
        <v>4070</v>
      </c>
      <c r="H709" s="1">
        <v>3876</v>
      </c>
      <c r="I709" s="1">
        <f t="shared" si="117"/>
        <v>194</v>
      </c>
      <c r="J709" s="1">
        <f t="shared" si="119"/>
        <v>775</v>
      </c>
      <c r="K709" s="9">
        <f t="shared" si="118"/>
        <v>5.0051599587203302E-2</v>
      </c>
      <c r="L709" s="19">
        <f t="shared" si="113"/>
        <v>-3876</v>
      </c>
    </row>
    <row r="710" spans="1:12" x14ac:dyDescent="0.35">
      <c r="A710" s="2" t="s">
        <v>88</v>
      </c>
      <c r="B710" t="s">
        <v>87</v>
      </c>
      <c r="C710" s="21" t="s">
        <v>275</v>
      </c>
      <c r="D710" s="4">
        <v>5</v>
      </c>
      <c r="E710" s="4"/>
      <c r="F710" s="3">
        <v>45932</v>
      </c>
      <c r="G710" s="1">
        <v>4070</v>
      </c>
      <c r="H710" s="1">
        <v>3876</v>
      </c>
      <c r="I710" s="1">
        <f t="shared" si="117"/>
        <v>194</v>
      </c>
      <c r="J710" s="1">
        <f t="shared" si="119"/>
        <v>969</v>
      </c>
      <c r="K710" s="9">
        <f t="shared" si="118"/>
        <v>5.0051599587203302E-2</v>
      </c>
      <c r="L710" s="19">
        <f t="shared" si="113"/>
        <v>-3876</v>
      </c>
    </row>
    <row r="711" spans="1:12" x14ac:dyDescent="0.35">
      <c r="A711" s="2" t="s">
        <v>88</v>
      </c>
      <c r="B711" t="s">
        <v>87</v>
      </c>
      <c r="C711" s="21" t="s">
        <v>275</v>
      </c>
      <c r="D711" s="4">
        <v>6</v>
      </c>
      <c r="E711" s="4"/>
      <c r="F711" s="3">
        <v>45939</v>
      </c>
      <c r="G711" s="1">
        <v>4070</v>
      </c>
      <c r="H711" s="1">
        <v>3877</v>
      </c>
      <c r="I711" s="1">
        <f t="shared" si="117"/>
        <v>193</v>
      </c>
      <c r="J711" s="1">
        <f t="shared" si="119"/>
        <v>1162</v>
      </c>
      <c r="K711" s="9">
        <f t="shared" si="118"/>
        <v>4.9780758318287335E-2</v>
      </c>
      <c r="L711" s="19">
        <f t="shared" si="113"/>
        <v>-3877</v>
      </c>
    </row>
    <row r="712" spans="1:12" x14ac:dyDescent="0.35">
      <c r="A712" s="2" t="s">
        <v>88</v>
      </c>
      <c r="B712" t="s">
        <v>87</v>
      </c>
      <c r="C712" s="21" t="s">
        <v>275</v>
      </c>
      <c r="D712" s="4">
        <v>7</v>
      </c>
      <c r="E712" s="4"/>
      <c r="F712" s="3">
        <v>45945</v>
      </c>
      <c r="G712" s="1">
        <v>4070</v>
      </c>
      <c r="H712" s="1">
        <v>3877</v>
      </c>
      <c r="I712" s="1">
        <f t="shared" si="117"/>
        <v>193</v>
      </c>
      <c r="J712" s="1">
        <f t="shared" si="119"/>
        <v>1355</v>
      </c>
      <c r="K712" s="9">
        <f t="shared" si="118"/>
        <v>4.9780758318287335E-2</v>
      </c>
      <c r="L712" s="19">
        <f t="shared" si="113"/>
        <v>-3877</v>
      </c>
    </row>
    <row r="713" spans="1:12" x14ac:dyDescent="0.35">
      <c r="A713" s="2" t="s">
        <v>88</v>
      </c>
      <c r="B713" t="s">
        <v>87</v>
      </c>
      <c r="C713" s="21" t="s">
        <v>275</v>
      </c>
      <c r="D713" s="4">
        <v>8</v>
      </c>
      <c r="E713" s="4"/>
      <c r="F713" s="3">
        <v>45953</v>
      </c>
      <c r="G713" s="1">
        <v>4070</v>
      </c>
      <c r="H713" s="1">
        <v>3877</v>
      </c>
      <c r="I713" s="1">
        <f t="shared" si="117"/>
        <v>193</v>
      </c>
      <c r="J713" s="1">
        <f t="shared" si="119"/>
        <v>1548</v>
      </c>
      <c r="K713" s="9">
        <f>I713/H713</f>
        <v>4.9780758318287335E-2</v>
      </c>
      <c r="L713" s="19">
        <f t="shared" si="113"/>
        <v>-3877</v>
      </c>
    </row>
    <row r="714" spans="1:12" x14ac:dyDescent="0.35">
      <c r="A714" s="2" t="s">
        <v>88</v>
      </c>
      <c r="B714" t="s">
        <v>87</v>
      </c>
      <c r="C714" s="21" t="s">
        <v>275</v>
      </c>
      <c r="D714" s="4">
        <v>9</v>
      </c>
      <c r="E714" s="4"/>
      <c r="F714" s="3">
        <v>45960</v>
      </c>
      <c r="G714" s="1">
        <v>4070</v>
      </c>
      <c r="H714" s="1">
        <v>3876</v>
      </c>
      <c r="I714" s="1">
        <f t="shared" si="117"/>
        <v>194</v>
      </c>
      <c r="J714" s="1">
        <f t="shared" si="119"/>
        <v>1742</v>
      </c>
      <c r="K714" s="9">
        <f t="shared" ref="K714:K720" si="120">I714/H714</f>
        <v>5.0051599587203302E-2</v>
      </c>
      <c r="L714" s="19">
        <f t="shared" si="113"/>
        <v>-3876</v>
      </c>
    </row>
    <row r="715" spans="1:12" x14ac:dyDescent="0.35">
      <c r="A715" s="2" t="s">
        <v>88</v>
      </c>
      <c r="B715" t="s">
        <v>87</v>
      </c>
      <c r="C715" s="21" t="s">
        <v>275</v>
      </c>
      <c r="D715" s="4">
        <v>10</v>
      </c>
      <c r="E715" s="4"/>
      <c r="F715" s="3">
        <v>45966</v>
      </c>
      <c r="G715" s="1">
        <v>4070</v>
      </c>
      <c r="H715" s="1">
        <v>3876</v>
      </c>
      <c r="I715" s="1">
        <f t="shared" si="117"/>
        <v>194</v>
      </c>
      <c r="J715" s="1">
        <f t="shared" si="119"/>
        <v>1936</v>
      </c>
      <c r="K715" s="9">
        <f t="shared" si="120"/>
        <v>5.0051599587203302E-2</v>
      </c>
      <c r="L715" s="19">
        <f t="shared" si="113"/>
        <v>-3876</v>
      </c>
    </row>
    <row r="716" spans="1:12" x14ac:dyDescent="0.35">
      <c r="A716" s="2" t="s">
        <v>88</v>
      </c>
      <c r="B716" t="s">
        <v>87</v>
      </c>
      <c r="C716" s="21" t="s">
        <v>275</v>
      </c>
      <c r="D716" s="4">
        <v>11</v>
      </c>
      <c r="E716" s="4"/>
      <c r="F716" s="3"/>
      <c r="G716" s="1"/>
      <c r="H716" s="1"/>
      <c r="I716" s="1">
        <f t="shared" si="117"/>
        <v>0</v>
      </c>
      <c r="J716" s="1">
        <f t="shared" si="119"/>
        <v>1936</v>
      </c>
      <c r="K716" s="9" t="e">
        <f t="shared" si="120"/>
        <v>#DIV/0!</v>
      </c>
      <c r="L716" s="19">
        <f t="shared" si="113"/>
        <v>0</v>
      </c>
    </row>
    <row r="717" spans="1:12" x14ac:dyDescent="0.35">
      <c r="A717" s="2" t="s">
        <v>88</v>
      </c>
      <c r="B717" t="s">
        <v>87</v>
      </c>
      <c r="C717" s="21" t="s">
        <v>275</v>
      </c>
      <c r="D717" s="4">
        <v>12</v>
      </c>
      <c r="E717" s="4"/>
      <c r="G717" s="1"/>
      <c r="H717" s="1"/>
      <c r="I717" s="1">
        <f t="shared" si="117"/>
        <v>0</v>
      </c>
      <c r="J717" s="1">
        <f t="shared" si="119"/>
        <v>1936</v>
      </c>
      <c r="K717" s="9" t="e">
        <f t="shared" si="120"/>
        <v>#DIV/0!</v>
      </c>
      <c r="L717" s="19">
        <f t="shared" si="113"/>
        <v>0</v>
      </c>
    </row>
    <row r="718" spans="1:12" x14ac:dyDescent="0.35">
      <c r="A718" s="2" t="s">
        <v>88</v>
      </c>
      <c r="B718" t="s">
        <v>87</v>
      </c>
      <c r="C718" s="21" t="s">
        <v>275</v>
      </c>
      <c r="D718" s="4">
        <v>13</v>
      </c>
      <c r="E718" s="4"/>
      <c r="G718" s="1"/>
      <c r="H718" s="1"/>
      <c r="I718" s="1">
        <f t="shared" si="117"/>
        <v>0</v>
      </c>
      <c r="J718" s="1">
        <f t="shared" si="119"/>
        <v>1936</v>
      </c>
      <c r="K718" s="9" t="e">
        <f t="shared" si="120"/>
        <v>#DIV/0!</v>
      </c>
      <c r="L718" s="19">
        <f t="shared" si="113"/>
        <v>0</v>
      </c>
    </row>
    <row r="719" spans="1:12" x14ac:dyDescent="0.35">
      <c r="A719" s="2" t="s">
        <v>88</v>
      </c>
      <c r="B719" t="s">
        <v>87</v>
      </c>
      <c r="C719" s="21" t="s">
        <v>275</v>
      </c>
      <c r="D719" s="4">
        <v>14</v>
      </c>
      <c r="E719" s="4"/>
      <c r="G719" s="1"/>
      <c r="H719" s="1"/>
      <c r="I719" s="1">
        <f t="shared" si="117"/>
        <v>0</v>
      </c>
      <c r="J719" s="1">
        <f t="shared" si="119"/>
        <v>1936</v>
      </c>
      <c r="K719" s="9" t="e">
        <f t="shared" si="120"/>
        <v>#DIV/0!</v>
      </c>
      <c r="L719" s="19">
        <f t="shared" si="113"/>
        <v>0</v>
      </c>
    </row>
    <row r="720" spans="1:12" x14ac:dyDescent="0.35">
      <c r="A720" s="2" t="s">
        <v>88</v>
      </c>
      <c r="B720" t="s">
        <v>87</v>
      </c>
      <c r="C720" s="21" t="s">
        <v>275</v>
      </c>
      <c r="D720" s="4">
        <v>15</v>
      </c>
      <c r="E720" s="4"/>
      <c r="G720" s="1"/>
      <c r="H720" s="1"/>
      <c r="I720" s="1">
        <f t="shared" si="117"/>
        <v>0</v>
      </c>
      <c r="J720" s="1">
        <f t="shared" si="119"/>
        <v>1936</v>
      </c>
      <c r="K720" s="9" t="e">
        <f t="shared" si="120"/>
        <v>#DIV/0!</v>
      </c>
      <c r="L720" s="19">
        <f t="shared" si="113"/>
        <v>0</v>
      </c>
    </row>
    <row r="721" spans="1:12" ht="15" thickBot="1" x14ac:dyDescent="0.4">
      <c r="A721" s="12" t="s">
        <v>88</v>
      </c>
      <c r="B721" s="13" t="s">
        <v>87</v>
      </c>
      <c r="C721" s="21" t="s">
        <v>275</v>
      </c>
      <c r="D721" s="14">
        <v>16</v>
      </c>
      <c r="E721" s="14"/>
      <c r="F721" s="13"/>
      <c r="G721" s="15"/>
      <c r="H721" s="15"/>
      <c r="I721" s="15">
        <f t="shared" si="117"/>
        <v>0</v>
      </c>
      <c r="J721" s="15">
        <f t="shared" si="119"/>
        <v>1936</v>
      </c>
      <c r="K721" s="13"/>
      <c r="L721" s="19">
        <f t="shared" si="113"/>
        <v>0</v>
      </c>
    </row>
    <row r="722" spans="1:12" x14ac:dyDescent="0.35">
      <c r="A722" s="2" t="s">
        <v>89</v>
      </c>
      <c r="B722" t="s">
        <v>90</v>
      </c>
      <c r="C722" s="21" t="s">
        <v>275</v>
      </c>
      <c r="D722" s="4">
        <v>1</v>
      </c>
      <c r="E722" s="4"/>
      <c r="F722" s="3">
        <v>45904</v>
      </c>
      <c r="G722" s="1">
        <v>6868</v>
      </c>
      <c r="H722" s="1">
        <v>6004.05</v>
      </c>
      <c r="I722" s="1">
        <f t="shared" si="117"/>
        <v>863.94999999999982</v>
      </c>
      <c r="J722" s="1">
        <f>I722</f>
        <v>863.94999999999982</v>
      </c>
      <c r="K722" s="9">
        <f t="shared" ref="K722:K736" si="121">I722/H722</f>
        <v>0.14389453785361545</v>
      </c>
      <c r="L722" s="19">
        <f t="shared" si="113"/>
        <v>-6004.05</v>
      </c>
    </row>
    <row r="723" spans="1:12" x14ac:dyDescent="0.35">
      <c r="A723" s="2" t="s">
        <v>89</v>
      </c>
      <c r="B723" t="s">
        <v>90</v>
      </c>
      <c r="C723" s="21" t="s">
        <v>275</v>
      </c>
      <c r="D723" s="4">
        <v>2</v>
      </c>
      <c r="E723" s="4"/>
      <c r="F723" s="3">
        <v>45911</v>
      </c>
      <c r="G723" s="1">
        <v>6868</v>
      </c>
      <c r="H723" s="1">
        <v>6004.05</v>
      </c>
      <c r="I723" s="1">
        <f t="shared" si="117"/>
        <v>863.94999999999982</v>
      </c>
      <c r="J723" s="1">
        <f>J722+I723</f>
        <v>1727.8999999999996</v>
      </c>
      <c r="K723" s="9">
        <f t="shared" si="121"/>
        <v>0.14389453785361545</v>
      </c>
      <c r="L723" s="19">
        <f t="shared" si="113"/>
        <v>-6004.05</v>
      </c>
    </row>
    <row r="724" spans="1:12" x14ac:dyDescent="0.35">
      <c r="A724" s="2" t="s">
        <v>89</v>
      </c>
      <c r="B724" t="s">
        <v>90</v>
      </c>
      <c r="C724" s="21" t="s">
        <v>275</v>
      </c>
      <c r="D724" s="4">
        <v>3</v>
      </c>
      <c r="E724" s="4"/>
      <c r="F724" s="3">
        <v>45918</v>
      </c>
      <c r="G724" s="1">
        <v>6859</v>
      </c>
      <c r="H724" s="1">
        <v>6004.05</v>
      </c>
      <c r="I724" s="1">
        <f t="shared" si="117"/>
        <v>854.94999999999982</v>
      </c>
      <c r="J724" s="1">
        <f t="shared" ref="J724:J737" si="122">J723+I724</f>
        <v>2582.8499999999995</v>
      </c>
      <c r="K724" s="9">
        <f t="shared" si="121"/>
        <v>0.14239554967063894</v>
      </c>
      <c r="L724" s="19">
        <f t="shared" si="113"/>
        <v>-6004.05</v>
      </c>
    </row>
    <row r="725" spans="1:12" x14ac:dyDescent="0.35">
      <c r="A725" s="2" t="s">
        <v>89</v>
      </c>
      <c r="B725" t="s">
        <v>90</v>
      </c>
      <c r="C725" s="21" t="s">
        <v>275</v>
      </c>
      <c r="D725" s="4">
        <v>4</v>
      </c>
      <c r="E725" s="4"/>
      <c r="F725" s="3">
        <v>45925</v>
      </c>
      <c r="G725" s="1">
        <v>6867</v>
      </c>
      <c r="H725" s="1">
        <v>6004.05</v>
      </c>
      <c r="I725" s="1">
        <f t="shared" si="117"/>
        <v>862.94999999999982</v>
      </c>
      <c r="J725" s="1">
        <f t="shared" si="122"/>
        <v>3445.7999999999993</v>
      </c>
      <c r="K725" s="9">
        <f t="shared" si="121"/>
        <v>0.14372798361106251</v>
      </c>
      <c r="L725" s="19">
        <f t="shared" si="113"/>
        <v>-6004.05</v>
      </c>
    </row>
    <row r="726" spans="1:12" x14ac:dyDescent="0.35">
      <c r="A726" s="2" t="s">
        <v>89</v>
      </c>
      <c r="B726" t="s">
        <v>90</v>
      </c>
      <c r="C726" s="21" t="s">
        <v>275</v>
      </c>
      <c r="D726" s="4">
        <v>5</v>
      </c>
      <c r="E726" s="4"/>
      <c r="F726" s="3">
        <v>45932</v>
      </c>
      <c r="G726" s="1">
        <v>6868</v>
      </c>
      <c r="H726" s="1">
        <v>6004.05</v>
      </c>
      <c r="I726" s="1">
        <f t="shared" si="117"/>
        <v>863.94999999999982</v>
      </c>
      <c r="J726" s="1">
        <f t="shared" si="122"/>
        <v>4309.7499999999991</v>
      </c>
      <c r="K726" s="9">
        <f t="shared" si="121"/>
        <v>0.14389453785361545</v>
      </c>
      <c r="L726" s="19">
        <f t="shared" si="113"/>
        <v>-6004.05</v>
      </c>
    </row>
    <row r="727" spans="1:12" x14ac:dyDescent="0.35">
      <c r="A727" s="2" t="s">
        <v>89</v>
      </c>
      <c r="B727" t="s">
        <v>90</v>
      </c>
      <c r="C727" s="21" t="s">
        <v>275</v>
      </c>
      <c r="D727" s="4">
        <v>6</v>
      </c>
      <c r="E727" s="4"/>
      <c r="F727" s="3">
        <v>45939</v>
      </c>
      <c r="G727" s="1">
        <v>6868</v>
      </c>
      <c r="H727" s="1">
        <v>6004.05</v>
      </c>
      <c r="I727" s="1">
        <f t="shared" si="117"/>
        <v>863.94999999999982</v>
      </c>
      <c r="J727" s="1">
        <f t="shared" si="122"/>
        <v>5173.6999999999989</v>
      </c>
      <c r="K727" s="9">
        <f t="shared" si="121"/>
        <v>0.14389453785361545</v>
      </c>
      <c r="L727" s="19">
        <f t="shared" si="113"/>
        <v>-6004.05</v>
      </c>
    </row>
    <row r="728" spans="1:12" x14ac:dyDescent="0.35">
      <c r="A728" s="2" t="s">
        <v>89</v>
      </c>
      <c r="B728" t="s">
        <v>90</v>
      </c>
      <c r="C728" s="21" t="s">
        <v>275</v>
      </c>
      <c r="D728" s="4">
        <v>7</v>
      </c>
      <c r="E728" s="4"/>
      <c r="F728" s="3">
        <v>45946</v>
      </c>
      <c r="G728" s="1">
        <v>6868</v>
      </c>
      <c r="H728" s="1">
        <v>6004.05</v>
      </c>
      <c r="I728" s="1">
        <f t="shared" si="117"/>
        <v>863.94999999999982</v>
      </c>
      <c r="J728" s="1">
        <f t="shared" si="122"/>
        <v>6037.6499999999987</v>
      </c>
      <c r="K728" s="9">
        <f t="shared" si="121"/>
        <v>0.14389453785361545</v>
      </c>
      <c r="L728" s="19">
        <f t="shared" si="113"/>
        <v>-6004.05</v>
      </c>
    </row>
    <row r="729" spans="1:12" x14ac:dyDescent="0.35">
      <c r="A729" s="2" t="s">
        <v>89</v>
      </c>
      <c r="B729" t="s">
        <v>90</v>
      </c>
      <c r="C729" s="21" t="s">
        <v>275</v>
      </c>
      <c r="D729" s="4">
        <v>8</v>
      </c>
      <c r="E729" s="4"/>
      <c r="F729" s="3">
        <v>45953</v>
      </c>
      <c r="G729" s="1">
        <v>6868</v>
      </c>
      <c r="H729" s="1">
        <v>6004.05</v>
      </c>
      <c r="I729" s="1">
        <f t="shared" si="117"/>
        <v>863.94999999999982</v>
      </c>
      <c r="J729" s="1">
        <f t="shared" si="122"/>
        <v>6901.5999999999985</v>
      </c>
      <c r="K729" s="9">
        <f t="shared" si="121"/>
        <v>0.14389453785361545</v>
      </c>
      <c r="L729" s="19">
        <f t="shared" si="113"/>
        <v>-6004.05</v>
      </c>
    </row>
    <row r="730" spans="1:12" x14ac:dyDescent="0.35">
      <c r="A730" s="2" t="s">
        <v>89</v>
      </c>
      <c r="B730" t="s">
        <v>90</v>
      </c>
      <c r="C730" s="21" t="s">
        <v>275</v>
      </c>
      <c r="D730" s="4">
        <v>9</v>
      </c>
      <c r="E730" s="4"/>
      <c r="F730" s="3">
        <v>45960</v>
      </c>
      <c r="G730" s="1">
        <v>6868</v>
      </c>
      <c r="H730" s="1">
        <v>6004.05</v>
      </c>
      <c r="I730" s="1">
        <f t="shared" si="117"/>
        <v>863.94999999999982</v>
      </c>
      <c r="J730" s="1">
        <f t="shared" si="122"/>
        <v>7765.5499999999984</v>
      </c>
      <c r="K730" s="9">
        <f t="shared" si="121"/>
        <v>0.14389453785361545</v>
      </c>
      <c r="L730" s="19">
        <f t="shared" si="113"/>
        <v>-6004.05</v>
      </c>
    </row>
    <row r="731" spans="1:12" x14ac:dyDescent="0.35">
      <c r="A731" s="2" t="s">
        <v>89</v>
      </c>
      <c r="B731" t="s">
        <v>90</v>
      </c>
      <c r="C731" s="21" t="s">
        <v>275</v>
      </c>
      <c r="D731" s="4">
        <v>10</v>
      </c>
      <c r="E731" s="4"/>
      <c r="F731" s="3">
        <v>45967</v>
      </c>
      <c r="G731" s="34">
        <v>6868</v>
      </c>
      <c r="H731" s="34">
        <v>6004.05</v>
      </c>
      <c r="I731" s="1">
        <f t="shared" si="117"/>
        <v>863.94999999999982</v>
      </c>
      <c r="J731" s="1">
        <f t="shared" si="122"/>
        <v>8629.4999999999982</v>
      </c>
      <c r="K731" s="9">
        <f t="shared" si="121"/>
        <v>0.14389453785361545</v>
      </c>
      <c r="L731" s="19">
        <f t="shared" si="113"/>
        <v>-6004.05</v>
      </c>
    </row>
    <row r="732" spans="1:12" x14ac:dyDescent="0.35">
      <c r="A732" s="2" t="s">
        <v>89</v>
      </c>
      <c r="B732" t="s">
        <v>90</v>
      </c>
      <c r="C732" s="21" t="s">
        <v>275</v>
      </c>
      <c r="D732" s="4">
        <v>11</v>
      </c>
      <c r="E732" s="4"/>
      <c r="G732" s="1"/>
      <c r="H732" s="1"/>
      <c r="I732" s="1">
        <f t="shared" si="117"/>
        <v>0</v>
      </c>
      <c r="J732" s="1">
        <f t="shared" si="122"/>
        <v>8629.4999999999982</v>
      </c>
      <c r="K732" s="9" t="e">
        <f t="shared" si="121"/>
        <v>#DIV/0!</v>
      </c>
      <c r="L732" s="19">
        <f t="shared" si="113"/>
        <v>0</v>
      </c>
    </row>
    <row r="733" spans="1:12" x14ac:dyDescent="0.35">
      <c r="A733" s="2" t="s">
        <v>89</v>
      </c>
      <c r="B733" t="s">
        <v>90</v>
      </c>
      <c r="C733" s="21" t="s">
        <v>275</v>
      </c>
      <c r="D733" s="4">
        <v>12</v>
      </c>
      <c r="E733" s="4"/>
      <c r="G733" s="1"/>
      <c r="H733" s="1"/>
      <c r="I733" s="1">
        <f t="shared" si="117"/>
        <v>0</v>
      </c>
      <c r="J733" s="1">
        <f t="shared" si="122"/>
        <v>8629.4999999999982</v>
      </c>
      <c r="K733" s="9" t="e">
        <f t="shared" si="121"/>
        <v>#DIV/0!</v>
      </c>
      <c r="L733" s="19">
        <f t="shared" si="113"/>
        <v>0</v>
      </c>
    </row>
    <row r="734" spans="1:12" x14ac:dyDescent="0.35">
      <c r="A734" s="2" t="s">
        <v>89</v>
      </c>
      <c r="B734" t="s">
        <v>90</v>
      </c>
      <c r="C734" s="21" t="s">
        <v>275</v>
      </c>
      <c r="D734" s="4">
        <v>13</v>
      </c>
      <c r="E734" s="4"/>
      <c r="G734" s="1"/>
      <c r="H734" s="1"/>
      <c r="I734" s="1">
        <f t="shared" si="117"/>
        <v>0</v>
      </c>
      <c r="J734" s="1">
        <f t="shared" si="122"/>
        <v>8629.4999999999982</v>
      </c>
      <c r="K734" s="9" t="e">
        <f t="shared" si="121"/>
        <v>#DIV/0!</v>
      </c>
      <c r="L734" s="19">
        <f t="shared" si="113"/>
        <v>0</v>
      </c>
    </row>
    <row r="735" spans="1:12" x14ac:dyDescent="0.35">
      <c r="A735" s="2" t="s">
        <v>89</v>
      </c>
      <c r="B735" t="s">
        <v>90</v>
      </c>
      <c r="C735" s="21" t="s">
        <v>275</v>
      </c>
      <c r="D735" s="4">
        <v>14</v>
      </c>
      <c r="E735" s="4"/>
      <c r="G735" s="1"/>
      <c r="H735" s="1"/>
      <c r="I735" s="1">
        <f t="shared" si="117"/>
        <v>0</v>
      </c>
      <c r="J735" s="1">
        <f t="shared" si="122"/>
        <v>8629.4999999999982</v>
      </c>
      <c r="K735" s="9" t="e">
        <f t="shared" si="121"/>
        <v>#DIV/0!</v>
      </c>
      <c r="L735" s="19">
        <f t="shared" si="113"/>
        <v>0</v>
      </c>
    </row>
    <row r="736" spans="1:12" x14ac:dyDescent="0.35">
      <c r="A736" s="2" t="s">
        <v>89</v>
      </c>
      <c r="B736" t="s">
        <v>90</v>
      </c>
      <c r="C736" s="21" t="s">
        <v>275</v>
      </c>
      <c r="D736" s="4">
        <v>15</v>
      </c>
      <c r="E736" s="4"/>
      <c r="G736" s="1"/>
      <c r="H736" s="1"/>
      <c r="I736" s="1">
        <f t="shared" si="117"/>
        <v>0</v>
      </c>
      <c r="J736" s="1">
        <f t="shared" si="122"/>
        <v>8629.4999999999982</v>
      </c>
      <c r="K736" s="9" t="e">
        <f t="shared" si="121"/>
        <v>#DIV/0!</v>
      </c>
      <c r="L736" s="19">
        <f t="shared" si="113"/>
        <v>0</v>
      </c>
    </row>
    <row r="737" spans="1:12" ht="15" thickBot="1" x14ac:dyDescent="0.4">
      <c r="A737" s="12" t="s">
        <v>89</v>
      </c>
      <c r="B737" s="13" t="s">
        <v>90</v>
      </c>
      <c r="C737" s="21" t="s">
        <v>275</v>
      </c>
      <c r="D737" s="14">
        <v>16</v>
      </c>
      <c r="E737" s="14"/>
      <c r="F737" s="13"/>
      <c r="G737" s="15"/>
      <c r="H737" s="15"/>
      <c r="I737" s="15">
        <f t="shared" si="117"/>
        <v>0</v>
      </c>
      <c r="J737" s="15">
        <f t="shared" si="122"/>
        <v>8629.4999999999982</v>
      </c>
      <c r="K737" s="13"/>
      <c r="L737" s="19">
        <f t="shared" si="113"/>
        <v>0</v>
      </c>
    </row>
    <row r="738" spans="1:12" x14ac:dyDescent="0.35">
      <c r="A738" s="2" t="s">
        <v>91</v>
      </c>
      <c r="B738" t="s">
        <v>92</v>
      </c>
      <c r="C738" s="21" t="s">
        <v>275</v>
      </c>
      <c r="D738" s="4">
        <v>1</v>
      </c>
      <c r="E738" s="4"/>
      <c r="F738" s="3">
        <v>45911</v>
      </c>
      <c r="G738" s="1">
        <v>13800</v>
      </c>
      <c r="H738" s="1">
        <v>12996</v>
      </c>
      <c r="I738" s="1">
        <f t="shared" si="117"/>
        <v>804</v>
      </c>
      <c r="J738" s="1">
        <f>I738</f>
        <v>804</v>
      </c>
      <c r="K738" s="9">
        <f t="shared" ref="K738:K752" si="123">I738/H738</f>
        <v>6.1865189289012003E-2</v>
      </c>
      <c r="L738" s="19">
        <f t="shared" ref="L738:L801" si="124">E738-H738</f>
        <v>-12996</v>
      </c>
    </row>
    <row r="739" spans="1:12" x14ac:dyDescent="0.35">
      <c r="A739" s="2" t="s">
        <v>91</v>
      </c>
      <c r="B739" t="s">
        <v>92</v>
      </c>
      <c r="C739" s="21" t="s">
        <v>275</v>
      </c>
      <c r="D739" s="4">
        <v>2</v>
      </c>
      <c r="E739" s="4"/>
      <c r="F739" s="3">
        <v>45918</v>
      </c>
      <c r="G739" s="1">
        <v>13800</v>
      </c>
      <c r="H739" s="1">
        <v>12996</v>
      </c>
      <c r="I739" s="1">
        <f t="shared" si="117"/>
        <v>804</v>
      </c>
      <c r="J739" s="1">
        <f>J738+I739</f>
        <v>1608</v>
      </c>
      <c r="K739" s="9">
        <f t="shared" si="123"/>
        <v>6.1865189289012003E-2</v>
      </c>
      <c r="L739" s="19">
        <f t="shared" si="124"/>
        <v>-12996</v>
      </c>
    </row>
    <row r="740" spans="1:12" x14ac:dyDescent="0.35">
      <c r="A740" s="2" t="s">
        <v>91</v>
      </c>
      <c r="B740" t="s">
        <v>92</v>
      </c>
      <c r="C740" s="21" t="s">
        <v>275</v>
      </c>
      <c r="D740" s="4">
        <v>3</v>
      </c>
      <c r="E740" s="4"/>
      <c r="F740" s="3">
        <v>45925</v>
      </c>
      <c r="G740" s="1">
        <v>13800</v>
      </c>
      <c r="H740" s="1">
        <v>12996</v>
      </c>
      <c r="I740" s="1">
        <f t="shared" si="117"/>
        <v>804</v>
      </c>
      <c r="J740" s="1">
        <f t="shared" ref="J740:J753" si="125">J739+I740</f>
        <v>2412</v>
      </c>
      <c r="K740" s="9">
        <f t="shared" si="123"/>
        <v>6.1865189289012003E-2</v>
      </c>
      <c r="L740" s="19">
        <f t="shared" si="124"/>
        <v>-12996</v>
      </c>
    </row>
    <row r="741" spans="1:12" x14ac:dyDescent="0.35">
      <c r="A741" s="2" t="s">
        <v>91</v>
      </c>
      <c r="B741" t="s">
        <v>92</v>
      </c>
      <c r="C741" s="21" t="s">
        <v>275</v>
      </c>
      <c r="D741" s="4">
        <v>4</v>
      </c>
      <c r="E741" s="4"/>
      <c r="F741" s="3">
        <v>45932</v>
      </c>
      <c r="G741" s="1">
        <v>13800</v>
      </c>
      <c r="H741" s="1">
        <v>12996</v>
      </c>
      <c r="I741" s="1">
        <f t="shared" si="117"/>
        <v>804</v>
      </c>
      <c r="J741" s="1">
        <f t="shared" si="125"/>
        <v>3216</v>
      </c>
      <c r="K741" s="9">
        <f t="shared" si="123"/>
        <v>6.1865189289012003E-2</v>
      </c>
      <c r="L741" s="19">
        <f t="shared" si="124"/>
        <v>-12996</v>
      </c>
    </row>
    <row r="742" spans="1:12" x14ac:dyDescent="0.35">
      <c r="A742" s="2" t="s">
        <v>91</v>
      </c>
      <c r="B742" t="s">
        <v>92</v>
      </c>
      <c r="C742" s="21" t="s">
        <v>275</v>
      </c>
      <c r="D742" s="4">
        <v>5</v>
      </c>
      <c r="E742" s="4"/>
      <c r="F742" s="3">
        <v>45939</v>
      </c>
      <c r="G742" s="1">
        <v>13800</v>
      </c>
      <c r="H742" s="1">
        <v>12996</v>
      </c>
      <c r="I742" s="1">
        <f t="shared" si="117"/>
        <v>804</v>
      </c>
      <c r="J742" s="1">
        <f t="shared" si="125"/>
        <v>4020</v>
      </c>
      <c r="K742" s="9">
        <f t="shared" si="123"/>
        <v>6.1865189289012003E-2</v>
      </c>
      <c r="L742" s="19">
        <f t="shared" si="124"/>
        <v>-12996</v>
      </c>
    </row>
    <row r="743" spans="1:12" x14ac:dyDescent="0.35">
      <c r="A743" s="2" t="s">
        <v>91</v>
      </c>
      <c r="B743" t="s">
        <v>92</v>
      </c>
      <c r="C743" s="21" t="s">
        <v>275</v>
      </c>
      <c r="D743" s="4">
        <v>6</v>
      </c>
      <c r="E743" s="4"/>
      <c r="F743" s="3">
        <v>45946</v>
      </c>
      <c r="G743" s="1">
        <v>13800</v>
      </c>
      <c r="H743" s="1">
        <v>12996</v>
      </c>
      <c r="I743" s="1">
        <f t="shared" si="117"/>
        <v>804</v>
      </c>
      <c r="J743" s="1">
        <f t="shared" si="125"/>
        <v>4824</v>
      </c>
      <c r="K743" s="9">
        <f t="shared" si="123"/>
        <v>6.1865189289012003E-2</v>
      </c>
      <c r="L743" s="19">
        <f t="shared" si="124"/>
        <v>-12996</v>
      </c>
    </row>
    <row r="744" spans="1:12" x14ac:dyDescent="0.35">
      <c r="A744" s="2" t="s">
        <v>91</v>
      </c>
      <c r="B744" t="s">
        <v>92</v>
      </c>
      <c r="C744" s="21" t="s">
        <v>275</v>
      </c>
      <c r="D744" s="4">
        <v>7</v>
      </c>
      <c r="E744" s="4"/>
      <c r="F744" s="3">
        <v>45954</v>
      </c>
      <c r="G744" s="1">
        <v>13800</v>
      </c>
      <c r="H744" s="1">
        <v>12996</v>
      </c>
      <c r="I744" s="1">
        <f t="shared" si="117"/>
        <v>804</v>
      </c>
      <c r="J744" s="1">
        <f t="shared" si="125"/>
        <v>5628</v>
      </c>
      <c r="K744" s="9">
        <f t="shared" si="123"/>
        <v>6.1865189289012003E-2</v>
      </c>
      <c r="L744" s="19">
        <f t="shared" si="124"/>
        <v>-12996</v>
      </c>
    </row>
    <row r="745" spans="1:12" x14ac:dyDescent="0.35">
      <c r="A745" s="2" t="s">
        <v>91</v>
      </c>
      <c r="B745" t="s">
        <v>92</v>
      </c>
      <c r="C745" s="21" t="s">
        <v>275</v>
      </c>
      <c r="D745" s="4">
        <v>8</v>
      </c>
      <c r="E745" s="4"/>
      <c r="F745" s="3">
        <v>45959</v>
      </c>
      <c r="G745" s="1">
        <v>13800</v>
      </c>
      <c r="H745" s="1">
        <v>12996</v>
      </c>
      <c r="I745" s="1">
        <f t="shared" si="117"/>
        <v>804</v>
      </c>
      <c r="J745" s="1">
        <f t="shared" si="125"/>
        <v>6432</v>
      </c>
      <c r="K745" s="9">
        <f t="shared" si="123"/>
        <v>6.1865189289012003E-2</v>
      </c>
      <c r="L745" s="19">
        <f t="shared" si="124"/>
        <v>-12996</v>
      </c>
    </row>
    <row r="746" spans="1:12" x14ac:dyDescent="0.35">
      <c r="A746" s="2" t="s">
        <v>91</v>
      </c>
      <c r="B746" t="s">
        <v>92</v>
      </c>
      <c r="C746" s="21" t="s">
        <v>275</v>
      </c>
      <c r="D746" s="4">
        <v>9</v>
      </c>
      <c r="E746" s="4"/>
      <c r="F746" s="3">
        <v>45966</v>
      </c>
      <c r="G746" s="1">
        <v>13800</v>
      </c>
      <c r="H746" s="1">
        <v>12996</v>
      </c>
      <c r="I746" s="1">
        <f t="shared" si="117"/>
        <v>804</v>
      </c>
      <c r="J746" s="1">
        <f t="shared" si="125"/>
        <v>7236</v>
      </c>
      <c r="K746" s="9">
        <f t="shared" si="123"/>
        <v>6.1865189289012003E-2</v>
      </c>
      <c r="L746" s="19">
        <f t="shared" si="124"/>
        <v>-12996</v>
      </c>
    </row>
    <row r="747" spans="1:12" x14ac:dyDescent="0.35">
      <c r="A747" s="2" t="s">
        <v>91</v>
      </c>
      <c r="B747" t="s">
        <v>92</v>
      </c>
      <c r="C747" s="21" t="s">
        <v>275</v>
      </c>
      <c r="D747" s="4">
        <v>10</v>
      </c>
      <c r="E747" s="4"/>
      <c r="G747" s="1"/>
      <c r="H747" s="1"/>
      <c r="I747" s="1">
        <f t="shared" si="117"/>
        <v>0</v>
      </c>
      <c r="J747" s="1">
        <f t="shared" si="125"/>
        <v>7236</v>
      </c>
      <c r="K747" s="9" t="e">
        <f t="shared" si="123"/>
        <v>#DIV/0!</v>
      </c>
      <c r="L747" s="19">
        <f t="shared" si="124"/>
        <v>0</v>
      </c>
    </row>
    <row r="748" spans="1:12" x14ac:dyDescent="0.35">
      <c r="A748" s="2" t="s">
        <v>91</v>
      </c>
      <c r="B748" t="s">
        <v>92</v>
      </c>
      <c r="C748" s="21" t="s">
        <v>275</v>
      </c>
      <c r="D748" s="4">
        <v>11</v>
      </c>
      <c r="E748" s="4"/>
      <c r="G748" s="1"/>
      <c r="H748" s="1"/>
      <c r="I748" s="1">
        <f t="shared" si="117"/>
        <v>0</v>
      </c>
      <c r="J748" s="1">
        <f t="shared" si="125"/>
        <v>7236</v>
      </c>
      <c r="K748" s="9" t="e">
        <f t="shared" si="123"/>
        <v>#DIV/0!</v>
      </c>
      <c r="L748" s="19">
        <f t="shared" si="124"/>
        <v>0</v>
      </c>
    </row>
    <row r="749" spans="1:12" x14ac:dyDescent="0.35">
      <c r="A749" s="2" t="s">
        <v>91</v>
      </c>
      <c r="B749" t="s">
        <v>92</v>
      </c>
      <c r="C749" s="21" t="s">
        <v>275</v>
      </c>
      <c r="D749" s="4">
        <v>12</v>
      </c>
      <c r="E749" s="4"/>
      <c r="G749" s="1"/>
      <c r="H749" s="1"/>
      <c r="I749" s="1">
        <f t="shared" si="117"/>
        <v>0</v>
      </c>
      <c r="J749" s="1">
        <f t="shared" si="125"/>
        <v>7236</v>
      </c>
      <c r="K749" s="9" t="e">
        <f t="shared" si="123"/>
        <v>#DIV/0!</v>
      </c>
      <c r="L749" s="19">
        <f t="shared" si="124"/>
        <v>0</v>
      </c>
    </row>
    <row r="750" spans="1:12" x14ac:dyDescent="0.35">
      <c r="A750" s="2" t="s">
        <v>91</v>
      </c>
      <c r="B750" t="s">
        <v>92</v>
      </c>
      <c r="C750" s="21" t="s">
        <v>275</v>
      </c>
      <c r="D750" s="4">
        <v>13</v>
      </c>
      <c r="E750" s="4"/>
      <c r="G750" s="1"/>
      <c r="H750" s="1"/>
      <c r="I750" s="1">
        <f t="shared" si="117"/>
        <v>0</v>
      </c>
      <c r="J750" s="1">
        <f t="shared" si="125"/>
        <v>7236</v>
      </c>
      <c r="K750" s="9" t="e">
        <f t="shared" si="123"/>
        <v>#DIV/0!</v>
      </c>
      <c r="L750" s="19">
        <f t="shared" si="124"/>
        <v>0</v>
      </c>
    </row>
    <row r="751" spans="1:12" x14ac:dyDescent="0.35">
      <c r="A751" s="2" t="s">
        <v>91</v>
      </c>
      <c r="B751" t="s">
        <v>92</v>
      </c>
      <c r="C751" s="21" t="s">
        <v>275</v>
      </c>
      <c r="D751" s="4">
        <v>14</v>
      </c>
      <c r="E751" s="4"/>
      <c r="G751" s="1"/>
      <c r="H751" s="1"/>
      <c r="I751" s="1">
        <f t="shared" si="117"/>
        <v>0</v>
      </c>
      <c r="J751" s="1">
        <f t="shared" si="125"/>
        <v>7236</v>
      </c>
      <c r="K751" s="9" t="e">
        <f t="shared" si="123"/>
        <v>#DIV/0!</v>
      </c>
      <c r="L751" s="19">
        <f t="shared" si="124"/>
        <v>0</v>
      </c>
    </row>
    <row r="752" spans="1:12" x14ac:dyDescent="0.35">
      <c r="A752" s="2" t="s">
        <v>91</v>
      </c>
      <c r="B752" t="s">
        <v>92</v>
      </c>
      <c r="C752" s="21" t="s">
        <v>275</v>
      </c>
      <c r="D752" s="4">
        <v>15</v>
      </c>
      <c r="E752" s="4"/>
      <c r="G752" s="1"/>
      <c r="H752" s="1"/>
      <c r="I752" s="1">
        <f t="shared" si="117"/>
        <v>0</v>
      </c>
      <c r="J752" s="1">
        <f t="shared" si="125"/>
        <v>7236</v>
      </c>
      <c r="K752" s="9" t="e">
        <f t="shared" si="123"/>
        <v>#DIV/0!</v>
      </c>
      <c r="L752" s="19">
        <f t="shared" si="124"/>
        <v>0</v>
      </c>
    </row>
    <row r="753" spans="1:12" ht="15" thickBot="1" x14ac:dyDescent="0.4">
      <c r="A753" s="12" t="s">
        <v>91</v>
      </c>
      <c r="B753" s="13" t="s">
        <v>92</v>
      </c>
      <c r="C753" s="21" t="s">
        <v>275</v>
      </c>
      <c r="D753" s="14">
        <v>16</v>
      </c>
      <c r="E753" s="14"/>
      <c r="F753" s="13"/>
      <c r="G753" s="15"/>
      <c r="H753" s="15"/>
      <c r="I753" s="15">
        <f t="shared" si="117"/>
        <v>0</v>
      </c>
      <c r="J753" s="15">
        <f t="shared" si="125"/>
        <v>7236</v>
      </c>
      <c r="K753" s="13"/>
      <c r="L753" s="19">
        <f t="shared" si="124"/>
        <v>0</v>
      </c>
    </row>
    <row r="754" spans="1:12" x14ac:dyDescent="0.35">
      <c r="A754" s="2" t="s">
        <v>93</v>
      </c>
      <c r="B754" t="s">
        <v>94</v>
      </c>
      <c r="C754" s="21" t="s">
        <v>275</v>
      </c>
      <c r="D754" s="4">
        <v>1</v>
      </c>
      <c r="E754" s="4"/>
      <c r="F754" s="3">
        <v>45904</v>
      </c>
      <c r="G754" s="1">
        <v>3470</v>
      </c>
      <c r="H754" s="1">
        <v>3040.05</v>
      </c>
      <c r="I754" s="1">
        <f t="shared" si="117"/>
        <v>429.94999999999982</v>
      </c>
      <c r="J754" s="1">
        <f>I754</f>
        <v>429.94999999999982</v>
      </c>
      <c r="K754" s="9">
        <f t="shared" ref="K754:K768" si="126">I754/H754</f>
        <v>0.14142859492442553</v>
      </c>
      <c r="L754" s="19">
        <f t="shared" si="124"/>
        <v>-3040.05</v>
      </c>
    </row>
    <row r="755" spans="1:12" x14ac:dyDescent="0.35">
      <c r="A755" s="2" t="s">
        <v>93</v>
      </c>
      <c r="B755" t="s">
        <v>94</v>
      </c>
      <c r="C755" s="21" t="s">
        <v>275</v>
      </c>
      <c r="D755" s="4">
        <v>2</v>
      </c>
      <c r="E755" s="4"/>
      <c r="F755" s="3">
        <v>45911</v>
      </c>
      <c r="G755" s="1">
        <v>3470</v>
      </c>
      <c r="H755" s="1">
        <v>3040.05</v>
      </c>
      <c r="I755" s="1">
        <f t="shared" si="117"/>
        <v>429.94999999999982</v>
      </c>
      <c r="J755" s="1">
        <f>J754+I755</f>
        <v>859.89999999999964</v>
      </c>
      <c r="K755" s="9">
        <f t="shared" si="126"/>
        <v>0.14142859492442553</v>
      </c>
      <c r="L755" s="19">
        <f t="shared" si="124"/>
        <v>-3040.05</v>
      </c>
    </row>
    <row r="756" spans="1:12" x14ac:dyDescent="0.35">
      <c r="A756" s="2" t="s">
        <v>93</v>
      </c>
      <c r="B756" t="s">
        <v>94</v>
      </c>
      <c r="C756" s="21" t="s">
        <v>275</v>
      </c>
      <c r="D756" s="4">
        <v>3</v>
      </c>
      <c r="E756" s="4"/>
      <c r="F756" s="3">
        <v>45918</v>
      </c>
      <c r="G756" s="1">
        <v>3470</v>
      </c>
      <c r="H756" s="1">
        <v>3040.05</v>
      </c>
      <c r="I756" s="1">
        <f t="shared" si="117"/>
        <v>429.94999999999982</v>
      </c>
      <c r="J756" s="1">
        <f t="shared" ref="J756:J769" si="127">J755+I756</f>
        <v>1289.8499999999995</v>
      </c>
      <c r="K756" s="9">
        <f t="shared" si="126"/>
        <v>0.14142859492442553</v>
      </c>
      <c r="L756" s="19">
        <f t="shared" si="124"/>
        <v>-3040.05</v>
      </c>
    </row>
    <row r="757" spans="1:12" x14ac:dyDescent="0.35">
      <c r="A757" s="2" t="s">
        <v>93</v>
      </c>
      <c r="B757" t="s">
        <v>94</v>
      </c>
      <c r="C757" s="21" t="s">
        <v>275</v>
      </c>
      <c r="D757" s="4">
        <v>4</v>
      </c>
      <c r="E757" s="4"/>
      <c r="F757" s="3">
        <v>45925</v>
      </c>
      <c r="G757" s="1">
        <v>3470</v>
      </c>
      <c r="H757" s="1">
        <v>3040.05</v>
      </c>
      <c r="I757" s="1">
        <f t="shared" si="117"/>
        <v>429.94999999999982</v>
      </c>
      <c r="J757" s="1">
        <f t="shared" si="127"/>
        <v>1719.7999999999993</v>
      </c>
      <c r="K757" s="9">
        <f t="shared" si="126"/>
        <v>0.14142859492442553</v>
      </c>
      <c r="L757" s="19">
        <f t="shared" si="124"/>
        <v>-3040.05</v>
      </c>
    </row>
    <row r="758" spans="1:12" x14ac:dyDescent="0.35">
      <c r="A758" s="2" t="s">
        <v>93</v>
      </c>
      <c r="B758" t="s">
        <v>94</v>
      </c>
      <c r="C758" s="21" t="s">
        <v>275</v>
      </c>
      <c r="D758" s="4">
        <v>5</v>
      </c>
      <c r="E758" s="4"/>
      <c r="F758" s="3">
        <v>45932</v>
      </c>
      <c r="G758" s="1">
        <v>3500</v>
      </c>
      <c r="H758" s="1">
        <v>3040.05</v>
      </c>
      <c r="I758" s="1">
        <f t="shared" ref="I758:I821" si="128">G758-H758</f>
        <v>459.94999999999982</v>
      </c>
      <c r="J758" s="1">
        <f t="shared" si="127"/>
        <v>2179.7499999999991</v>
      </c>
      <c r="K758" s="9">
        <f t="shared" si="126"/>
        <v>0.15129685367016982</v>
      </c>
      <c r="L758" s="19">
        <f t="shared" si="124"/>
        <v>-3040.05</v>
      </c>
    </row>
    <row r="759" spans="1:12" x14ac:dyDescent="0.35">
      <c r="A759" s="2" t="s">
        <v>93</v>
      </c>
      <c r="B759" t="s">
        <v>94</v>
      </c>
      <c r="C759" s="21" t="s">
        <v>275</v>
      </c>
      <c r="D759" s="4">
        <v>6</v>
      </c>
      <c r="E759" s="4"/>
      <c r="F759" s="3">
        <v>45939</v>
      </c>
      <c r="G759" s="1">
        <v>3500</v>
      </c>
      <c r="H759" s="1">
        <v>3040.05</v>
      </c>
      <c r="I759" s="1">
        <f t="shared" si="128"/>
        <v>459.94999999999982</v>
      </c>
      <c r="J759" s="1">
        <f t="shared" si="127"/>
        <v>2639.6999999999989</v>
      </c>
      <c r="K759" s="9">
        <f t="shared" si="126"/>
        <v>0.15129685367016982</v>
      </c>
      <c r="L759" s="19">
        <f t="shared" si="124"/>
        <v>-3040.05</v>
      </c>
    </row>
    <row r="760" spans="1:12" x14ac:dyDescent="0.35">
      <c r="A760" s="2" t="s">
        <v>93</v>
      </c>
      <c r="B760" t="s">
        <v>94</v>
      </c>
      <c r="C760" s="21" t="s">
        <v>275</v>
      </c>
      <c r="D760" s="4">
        <v>7</v>
      </c>
      <c r="E760" s="4"/>
      <c r="F760" s="3">
        <v>45946</v>
      </c>
      <c r="G760" s="1">
        <v>3500</v>
      </c>
      <c r="H760" s="1">
        <v>3040.05</v>
      </c>
      <c r="I760" s="1">
        <f t="shared" si="128"/>
        <v>459.94999999999982</v>
      </c>
      <c r="J760" s="1">
        <f t="shared" si="127"/>
        <v>3099.6499999999987</v>
      </c>
      <c r="K760" s="9">
        <f t="shared" si="126"/>
        <v>0.15129685367016982</v>
      </c>
      <c r="L760" s="19">
        <f t="shared" si="124"/>
        <v>-3040.05</v>
      </c>
    </row>
    <row r="761" spans="1:12" x14ac:dyDescent="0.35">
      <c r="A761" s="2" t="s">
        <v>93</v>
      </c>
      <c r="B761" t="s">
        <v>94</v>
      </c>
      <c r="C761" s="21" t="s">
        <v>275</v>
      </c>
      <c r="D761" s="4">
        <v>8</v>
      </c>
      <c r="E761" s="4"/>
      <c r="F761" s="3">
        <v>45953</v>
      </c>
      <c r="G761" s="1">
        <v>3500</v>
      </c>
      <c r="H761" s="1">
        <v>3040.05</v>
      </c>
      <c r="I761" s="1">
        <f t="shared" si="128"/>
        <v>459.94999999999982</v>
      </c>
      <c r="J761" s="1">
        <f t="shared" si="127"/>
        <v>3559.5999999999985</v>
      </c>
      <c r="K761" s="9">
        <f t="shared" si="126"/>
        <v>0.15129685367016982</v>
      </c>
      <c r="L761" s="19">
        <f t="shared" si="124"/>
        <v>-3040.05</v>
      </c>
    </row>
    <row r="762" spans="1:12" x14ac:dyDescent="0.35">
      <c r="A762" s="2" t="s">
        <v>93</v>
      </c>
      <c r="B762" t="s">
        <v>94</v>
      </c>
      <c r="C762" s="21" t="s">
        <v>275</v>
      </c>
      <c r="D762" s="4">
        <v>9</v>
      </c>
      <c r="E762" s="4"/>
      <c r="F762" s="3">
        <v>45960</v>
      </c>
      <c r="G762" s="1">
        <v>3470</v>
      </c>
      <c r="H762" s="1">
        <v>3040.05</v>
      </c>
      <c r="I762" s="1">
        <f t="shared" si="128"/>
        <v>429.94999999999982</v>
      </c>
      <c r="J762" s="1">
        <f t="shared" si="127"/>
        <v>3989.5499999999984</v>
      </c>
      <c r="K762" s="9">
        <f t="shared" si="126"/>
        <v>0.14142859492442553</v>
      </c>
      <c r="L762" s="19">
        <f t="shared" si="124"/>
        <v>-3040.05</v>
      </c>
    </row>
    <row r="763" spans="1:12" x14ac:dyDescent="0.35">
      <c r="A763" s="2" t="s">
        <v>93</v>
      </c>
      <c r="B763" t="s">
        <v>94</v>
      </c>
      <c r="C763" s="21" t="s">
        <v>275</v>
      </c>
      <c r="D763" s="4">
        <v>10</v>
      </c>
      <c r="E763" s="4"/>
      <c r="F763" s="3">
        <v>45967</v>
      </c>
      <c r="G763" s="1">
        <v>3500</v>
      </c>
      <c r="H763" s="1">
        <v>3040.05</v>
      </c>
      <c r="I763" s="1">
        <f t="shared" si="128"/>
        <v>459.94999999999982</v>
      </c>
      <c r="J763" s="1">
        <f t="shared" si="127"/>
        <v>4449.4999999999982</v>
      </c>
      <c r="K763" s="9">
        <f t="shared" si="126"/>
        <v>0.15129685367016982</v>
      </c>
      <c r="L763" s="19">
        <f t="shared" si="124"/>
        <v>-3040.05</v>
      </c>
    </row>
    <row r="764" spans="1:12" x14ac:dyDescent="0.35">
      <c r="A764" s="2" t="s">
        <v>93</v>
      </c>
      <c r="B764" t="s">
        <v>94</v>
      </c>
      <c r="C764" s="21" t="s">
        <v>275</v>
      </c>
      <c r="D764" s="4">
        <v>11</v>
      </c>
      <c r="E764" s="4"/>
      <c r="G764" s="1"/>
      <c r="H764" s="1"/>
      <c r="I764" s="1">
        <f t="shared" si="128"/>
        <v>0</v>
      </c>
      <c r="J764" s="1">
        <f t="shared" si="127"/>
        <v>4449.4999999999982</v>
      </c>
      <c r="K764" s="9" t="e">
        <f t="shared" si="126"/>
        <v>#DIV/0!</v>
      </c>
      <c r="L764" s="19">
        <f t="shared" si="124"/>
        <v>0</v>
      </c>
    </row>
    <row r="765" spans="1:12" x14ac:dyDescent="0.35">
      <c r="A765" s="2" t="s">
        <v>93</v>
      </c>
      <c r="B765" t="s">
        <v>94</v>
      </c>
      <c r="C765" s="21" t="s">
        <v>275</v>
      </c>
      <c r="D765" s="4">
        <v>12</v>
      </c>
      <c r="E765" s="4"/>
      <c r="G765" s="1"/>
      <c r="H765" s="1"/>
      <c r="I765" s="1">
        <f t="shared" si="128"/>
        <v>0</v>
      </c>
      <c r="J765" s="1">
        <f t="shared" si="127"/>
        <v>4449.4999999999982</v>
      </c>
      <c r="K765" s="9" t="e">
        <f t="shared" si="126"/>
        <v>#DIV/0!</v>
      </c>
      <c r="L765" s="19">
        <f t="shared" si="124"/>
        <v>0</v>
      </c>
    </row>
    <row r="766" spans="1:12" x14ac:dyDescent="0.35">
      <c r="A766" s="2" t="s">
        <v>93</v>
      </c>
      <c r="B766" t="s">
        <v>94</v>
      </c>
      <c r="C766" s="21" t="s">
        <v>275</v>
      </c>
      <c r="D766" s="4">
        <v>13</v>
      </c>
      <c r="E766" s="4"/>
      <c r="G766" s="1"/>
      <c r="H766" s="1"/>
      <c r="I766" s="1">
        <f t="shared" si="128"/>
        <v>0</v>
      </c>
      <c r="J766" s="1">
        <f t="shared" si="127"/>
        <v>4449.4999999999982</v>
      </c>
      <c r="K766" s="9" t="e">
        <f t="shared" si="126"/>
        <v>#DIV/0!</v>
      </c>
      <c r="L766" s="19">
        <f t="shared" si="124"/>
        <v>0</v>
      </c>
    </row>
    <row r="767" spans="1:12" x14ac:dyDescent="0.35">
      <c r="A767" s="2" t="s">
        <v>93</v>
      </c>
      <c r="B767" t="s">
        <v>94</v>
      </c>
      <c r="C767" s="21" t="s">
        <v>275</v>
      </c>
      <c r="D767" s="4">
        <v>14</v>
      </c>
      <c r="E767" s="4"/>
      <c r="G767" s="1"/>
      <c r="H767" s="1"/>
      <c r="I767" s="1">
        <f t="shared" si="128"/>
        <v>0</v>
      </c>
      <c r="J767" s="1">
        <f t="shared" si="127"/>
        <v>4449.4999999999982</v>
      </c>
      <c r="K767" s="9" t="e">
        <f t="shared" si="126"/>
        <v>#DIV/0!</v>
      </c>
      <c r="L767" s="19">
        <f t="shared" si="124"/>
        <v>0</v>
      </c>
    </row>
    <row r="768" spans="1:12" x14ac:dyDescent="0.35">
      <c r="A768" s="2" t="s">
        <v>93</v>
      </c>
      <c r="B768" t="s">
        <v>94</v>
      </c>
      <c r="C768" s="21" t="s">
        <v>275</v>
      </c>
      <c r="D768" s="4">
        <v>15</v>
      </c>
      <c r="E768" s="4"/>
      <c r="G768" s="1"/>
      <c r="H768" s="1"/>
      <c r="I768" s="1">
        <f t="shared" si="128"/>
        <v>0</v>
      </c>
      <c r="J768" s="1">
        <f t="shared" si="127"/>
        <v>4449.4999999999982</v>
      </c>
      <c r="K768" s="9" t="e">
        <f t="shared" si="126"/>
        <v>#DIV/0!</v>
      </c>
      <c r="L768" s="19">
        <f t="shared" si="124"/>
        <v>0</v>
      </c>
    </row>
    <row r="769" spans="1:12" ht="15" thickBot="1" x14ac:dyDescent="0.4">
      <c r="A769" s="12" t="s">
        <v>93</v>
      </c>
      <c r="B769" s="13" t="s">
        <v>94</v>
      </c>
      <c r="C769" s="21" t="s">
        <v>275</v>
      </c>
      <c r="D769" s="14">
        <v>16</v>
      </c>
      <c r="E769" s="14"/>
      <c r="F769" s="13"/>
      <c r="G769" s="15"/>
      <c r="H769" s="15"/>
      <c r="I769" s="15">
        <f t="shared" si="128"/>
        <v>0</v>
      </c>
      <c r="J769" s="15">
        <f t="shared" si="127"/>
        <v>4449.4999999999982</v>
      </c>
      <c r="K769" s="13"/>
      <c r="L769" s="19">
        <f t="shared" si="124"/>
        <v>0</v>
      </c>
    </row>
    <row r="770" spans="1:12" x14ac:dyDescent="0.35">
      <c r="A770" s="2" t="s">
        <v>95</v>
      </c>
      <c r="B770" t="s">
        <v>96</v>
      </c>
      <c r="C770" s="21" t="s">
        <v>275</v>
      </c>
      <c r="D770" s="4">
        <v>1</v>
      </c>
      <c r="E770" s="4"/>
      <c r="F770" s="3">
        <v>45904</v>
      </c>
      <c r="G770" s="1">
        <v>9498</v>
      </c>
      <c r="H770" s="1">
        <v>9045</v>
      </c>
      <c r="I770" s="1">
        <f t="shared" si="128"/>
        <v>453</v>
      </c>
      <c r="J770" s="1">
        <f>I770</f>
        <v>453</v>
      </c>
      <c r="K770" s="9">
        <f t="shared" ref="K770:K784" si="129">I770/H770</f>
        <v>5.0082918739635156E-2</v>
      </c>
      <c r="L770" s="19">
        <f t="shared" si="124"/>
        <v>-9045</v>
      </c>
    </row>
    <row r="771" spans="1:12" x14ac:dyDescent="0.35">
      <c r="A771" s="2" t="s">
        <v>95</v>
      </c>
      <c r="B771" t="s">
        <v>96</v>
      </c>
      <c r="C771" s="21" t="s">
        <v>275</v>
      </c>
      <c r="D771" s="4">
        <v>2</v>
      </c>
      <c r="E771" s="4"/>
      <c r="F771" s="3">
        <v>45911</v>
      </c>
      <c r="G771" s="1">
        <v>9498</v>
      </c>
      <c r="H771" s="1">
        <v>9045</v>
      </c>
      <c r="I771" s="1">
        <f t="shared" si="128"/>
        <v>453</v>
      </c>
      <c r="J771" s="1">
        <f>J770+I771</f>
        <v>906</v>
      </c>
      <c r="K771" s="9">
        <f t="shared" si="129"/>
        <v>5.0082918739635156E-2</v>
      </c>
      <c r="L771" s="19">
        <f t="shared" si="124"/>
        <v>-9045</v>
      </c>
    </row>
    <row r="772" spans="1:12" x14ac:dyDescent="0.35">
      <c r="A772" s="2" t="s">
        <v>95</v>
      </c>
      <c r="B772" t="s">
        <v>96</v>
      </c>
      <c r="C772" s="21" t="s">
        <v>275</v>
      </c>
      <c r="D772" s="4">
        <v>3</v>
      </c>
      <c r="E772" s="4"/>
      <c r="F772" s="3">
        <v>45918</v>
      </c>
      <c r="G772" s="1">
        <v>9510</v>
      </c>
      <c r="H772" s="1">
        <v>9045</v>
      </c>
      <c r="I772" s="1">
        <f t="shared" si="128"/>
        <v>465</v>
      </c>
      <c r="J772" s="1">
        <f t="shared" ref="J772:J785" si="130">J771+I772</f>
        <v>1371</v>
      </c>
      <c r="K772" s="9">
        <f t="shared" si="129"/>
        <v>5.140961857379768E-2</v>
      </c>
      <c r="L772" s="19">
        <f t="shared" si="124"/>
        <v>-9045</v>
      </c>
    </row>
    <row r="773" spans="1:12" x14ac:dyDescent="0.35">
      <c r="A773" s="2" t="s">
        <v>95</v>
      </c>
      <c r="B773" t="s">
        <v>96</v>
      </c>
      <c r="C773" s="21" t="s">
        <v>275</v>
      </c>
      <c r="D773" s="4">
        <v>4</v>
      </c>
      <c r="E773" s="4"/>
      <c r="F773" s="3">
        <v>45925</v>
      </c>
      <c r="G773" s="1">
        <v>9510</v>
      </c>
      <c r="H773" s="1">
        <v>9045</v>
      </c>
      <c r="I773" s="1">
        <f t="shared" si="128"/>
        <v>465</v>
      </c>
      <c r="J773" s="1">
        <f t="shared" si="130"/>
        <v>1836</v>
      </c>
      <c r="K773" s="9">
        <f t="shared" si="129"/>
        <v>5.140961857379768E-2</v>
      </c>
      <c r="L773" s="19">
        <f t="shared" si="124"/>
        <v>-9045</v>
      </c>
    </row>
    <row r="774" spans="1:12" x14ac:dyDescent="0.35">
      <c r="A774" s="2" t="s">
        <v>95</v>
      </c>
      <c r="B774" t="s">
        <v>96</v>
      </c>
      <c r="C774" s="21" t="s">
        <v>275</v>
      </c>
      <c r="D774" s="4">
        <v>5</v>
      </c>
      <c r="E774" s="4"/>
      <c r="F774" s="3">
        <v>45933</v>
      </c>
      <c r="G774" s="1">
        <v>9985</v>
      </c>
      <c r="H774" s="1">
        <v>9045</v>
      </c>
      <c r="I774" s="1">
        <f t="shared" si="128"/>
        <v>940</v>
      </c>
      <c r="J774" s="1">
        <f t="shared" si="130"/>
        <v>2776</v>
      </c>
      <c r="K774" s="9">
        <f t="shared" si="129"/>
        <v>0.10392482034273079</v>
      </c>
      <c r="L774" s="19">
        <f t="shared" si="124"/>
        <v>-9045</v>
      </c>
    </row>
    <row r="775" spans="1:12" x14ac:dyDescent="0.35">
      <c r="A775" s="2" t="s">
        <v>95</v>
      </c>
      <c r="B775" t="s">
        <v>96</v>
      </c>
      <c r="C775" s="21" t="s">
        <v>275</v>
      </c>
      <c r="D775" s="4">
        <v>6</v>
      </c>
      <c r="E775" s="4"/>
      <c r="F775" s="3">
        <v>45939</v>
      </c>
      <c r="G775" s="1">
        <v>9498</v>
      </c>
      <c r="H775" s="1">
        <v>9045</v>
      </c>
      <c r="I775" s="1">
        <f t="shared" si="128"/>
        <v>453</v>
      </c>
      <c r="J775" s="1">
        <f t="shared" si="130"/>
        <v>3229</v>
      </c>
      <c r="K775" s="9">
        <f t="shared" si="129"/>
        <v>5.0082918739635156E-2</v>
      </c>
      <c r="L775" s="19">
        <f t="shared" si="124"/>
        <v>-9045</v>
      </c>
    </row>
    <row r="776" spans="1:12" x14ac:dyDescent="0.35">
      <c r="A776" s="2" t="s">
        <v>95</v>
      </c>
      <c r="B776" t="s">
        <v>96</v>
      </c>
      <c r="C776" s="21" t="s">
        <v>275</v>
      </c>
      <c r="D776" s="4">
        <v>7</v>
      </c>
      <c r="E776" s="4"/>
      <c r="F776" s="3">
        <v>45946</v>
      </c>
      <c r="G776" s="1">
        <v>9498</v>
      </c>
      <c r="H776" s="1">
        <v>9045</v>
      </c>
      <c r="I776" s="1">
        <f t="shared" si="128"/>
        <v>453</v>
      </c>
      <c r="J776" s="1">
        <f t="shared" si="130"/>
        <v>3682</v>
      </c>
      <c r="K776" s="9">
        <f t="shared" si="129"/>
        <v>5.0082918739635156E-2</v>
      </c>
      <c r="L776" s="19">
        <f t="shared" si="124"/>
        <v>-9045</v>
      </c>
    </row>
    <row r="777" spans="1:12" x14ac:dyDescent="0.35">
      <c r="A777" s="2" t="s">
        <v>95</v>
      </c>
      <c r="B777" t="s">
        <v>96</v>
      </c>
      <c r="C777" s="21" t="s">
        <v>275</v>
      </c>
      <c r="D777" s="4">
        <v>8</v>
      </c>
      <c r="E777" s="4"/>
      <c r="F777" s="3">
        <v>45953</v>
      </c>
      <c r="G777" s="1">
        <v>9498</v>
      </c>
      <c r="H777" s="1">
        <v>9045</v>
      </c>
      <c r="I777" s="1">
        <f t="shared" si="128"/>
        <v>453</v>
      </c>
      <c r="J777" s="1">
        <f t="shared" si="130"/>
        <v>4135</v>
      </c>
      <c r="K777" s="9">
        <f t="shared" si="129"/>
        <v>5.0082918739635156E-2</v>
      </c>
      <c r="L777" s="19">
        <f t="shared" si="124"/>
        <v>-9045</v>
      </c>
    </row>
    <row r="778" spans="1:12" x14ac:dyDescent="0.35">
      <c r="A778" s="2" t="s">
        <v>95</v>
      </c>
      <c r="B778" t="s">
        <v>96</v>
      </c>
      <c r="C778" s="21" t="s">
        <v>275</v>
      </c>
      <c r="D778" s="4">
        <v>9</v>
      </c>
      <c r="E778" s="4"/>
      <c r="F778" s="3">
        <v>45961</v>
      </c>
      <c r="G778" s="1">
        <v>9498</v>
      </c>
      <c r="H778" s="1">
        <v>9045</v>
      </c>
      <c r="I778" s="1">
        <f t="shared" si="128"/>
        <v>453</v>
      </c>
      <c r="J778" s="1">
        <f t="shared" si="130"/>
        <v>4588</v>
      </c>
      <c r="K778" s="9">
        <f t="shared" si="129"/>
        <v>5.0082918739635156E-2</v>
      </c>
      <c r="L778" s="19">
        <f t="shared" si="124"/>
        <v>-9045</v>
      </c>
    </row>
    <row r="779" spans="1:12" x14ac:dyDescent="0.35">
      <c r="A779" s="2" t="s">
        <v>95</v>
      </c>
      <c r="B779" t="s">
        <v>96</v>
      </c>
      <c r="C779" s="21" t="s">
        <v>275</v>
      </c>
      <c r="D779" s="4">
        <v>10</v>
      </c>
      <c r="E779" s="4"/>
      <c r="G779" s="1"/>
      <c r="H779" s="1"/>
      <c r="I779" s="1">
        <f t="shared" si="128"/>
        <v>0</v>
      </c>
      <c r="J779" s="1">
        <f t="shared" si="130"/>
        <v>4588</v>
      </c>
      <c r="K779" s="9" t="e">
        <f t="shared" si="129"/>
        <v>#DIV/0!</v>
      </c>
      <c r="L779" s="19">
        <f t="shared" si="124"/>
        <v>0</v>
      </c>
    </row>
    <row r="780" spans="1:12" x14ac:dyDescent="0.35">
      <c r="A780" s="2" t="s">
        <v>95</v>
      </c>
      <c r="B780" t="s">
        <v>96</v>
      </c>
      <c r="C780" s="21" t="s">
        <v>275</v>
      </c>
      <c r="D780" s="4">
        <v>11</v>
      </c>
      <c r="E780" s="4"/>
      <c r="G780" s="1"/>
      <c r="H780" s="1"/>
      <c r="I780" s="1">
        <f t="shared" si="128"/>
        <v>0</v>
      </c>
      <c r="J780" s="1">
        <f t="shared" si="130"/>
        <v>4588</v>
      </c>
      <c r="K780" s="9" t="e">
        <f t="shared" si="129"/>
        <v>#DIV/0!</v>
      </c>
      <c r="L780" s="19">
        <f t="shared" si="124"/>
        <v>0</v>
      </c>
    </row>
    <row r="781" spans="1:12" x14ac:dyDescent="0.35">
      <c r="A781" s="2" t="s">
        <v>95</v>
      </c>
      <c r="B781" t="s">
        <v>96</v>
      </c>
      <c r="C781" s="21" t="s">
        <v>275</v>
      </c>
      <c r="D781" s="4">
        <v>12</v>
      </c>
      <c r="E781" s="4"/>
      <c r="G781" s="1"/>
      <c r="H781" s="1"/>
      <c r="I781" s="1">
        <f t="shared" si="128"/>
        <v>0</v>
      </c>
      <c r="J781" s="1">
        <f t="shared" si="130"/>
        <v>4588</v>
      </c>
      <c r="K781" s="9" t="e">
        <f t="shared" si="129"/>
        <v>#DIV/0!</v>
      </c>
      <c r="L781" s="19">
        <f t="shared" si="124"/>
        <v>0</v>
      </c>
    </row>
    <row r="782" spans="1:12" x14ac:dyDescent="0.35">
      <c r="A782" s="2" t="s">
        <v>95</v>
      </c>
      <c r="B782" t="s">
        <v>96</v>
      </c>
      <c r="C782" s="21" t="s">
        <v>275</v>
      </c>
      <c r="D782" s="4">
        <v>13</v>
      </c>
      <c r="E782" s="4"/>
      <c r="G782" s="1"/>
      <c r="H782" s="1"/>
      <c r="I782" s="1">
        <f t="shared" si="128"/>
        <v>0</v>
      </c>
      <c r="J782" s="1">
        <f t="shared" si="130"/>
        <v>4588</v>
      </c>
      <c r="K782" s="9" t="e">
        <f t="shared" si="129"/>
        <v>#DIV/0!</v>
      </c>
      <c r="L782" s="19">
        <f t="shared" si="124"/>
        <v>0</v>
      </c>
    </row>
    <row r="783" spans="1:12" x14ac:dyDescent="0.35">
      <c r="A783" s="2" t="s">
        <v>95</v>
      </c>
      <c r="B783" t="s">
        <v>96</v>
      </c>
      <c r="C783" s="21" t="s">
        <v>275</v>
      </c>
      <c r="D783" s="4">
        <v>14</v>
      </c>
      <c r="E783" s="4"/>
      <c r="G783" s="1"/>
      <c r="H783" s="1"/>
      <c r="I783" s="1">
        <f t="shared" si="128"/>
        <v>0</v>
      </c>
      <c r="J783" s="1">
        <f t="shared" si="130"/>
        <v>4588</v>
      </c>
      <c r="K783" s="9" t="e">
        <f t="shared" si="129"/>
        <v>#DIV/0!</v>
      </c>
      <c r="L783" s="19">
        <f t="shared" si="124"/>
        <v>0</v>
      </c>
    </row>
    <row r="784" spans="1:12" x14ac:dyDescent="0.35">
      <c r="A784" s="2" t="s">
        <v>95</v>
      </c>
      <c r="B784" t="s">
        <v>96</v>
      </c>
      <c r="C784" s="21" t="s">
        <v>275</v>
      </c>
      <c r="D784" s="4">
        <v>15</v>
      </c>
      <c r="E784" s="4"/>
      <c r="G784" s="1"/>
      <c r="H784" s="1"/>
      <c r="I784" s="1">
        <f t="shared" si="128"/>
        <v>0</v>
      </c>
      <c r="J784" s="1">
        <f t="shared" si="130"/>
        <v>4588</v>
      </c>
      <c r="K784" s="9" t="e">
        <f t="shared" si="129"/>
        <v>#DIV/0!</v>
      </c>
      <c r="L784" s="19">
        <f t="shared" si="124"/>
        <v>0</v>
      </c>
    </row>
    <row r="785" spans="1:12" ht="15" thickBot="1" x14ac:dyDescent="0.4">
      <c r="A785" s="12" t="s">
        <v>95</v>
      </c>
      <c r="B785" s="13" t="s">
        <v>96</v>
      </c>
      <c r="C785" s="21" t="s">
        <v>275</v>
      </c>
      <c r="D785" s="14">
        <v>16</v>
      </c>
      <c r="E785" s="14"/>
      <c r="F785" s="13"/>
      <c r="G785" s="15"/>
      <c r="H785" s="15"/>
      <c r="I785" s="15">
        <f t="shared" si="128"/>
        <v>0</v>
      </c>
      <c r="J785" s="15">
        <f t="shared" si="130"/>
        <v>4588</v>
      </c>
      <c r="K785" s="13"/>
      <c r="L785" s="19">
        <f t="shared" si="124"/>
        <v>0</v>
      </c>
    </row>
    <row r="786" spans="1:12" x14ac:dyDescent="0.35">
      <c r="A786" s="2" t="s">
        <v>97</v>
      </c>
      <c r="B786" t="s">
        <v>98</v>
      </c>
      <c r="C786" s="21" t="s">
        <v>275</v>
      </c>
      <c r="D786" s="4">
        <v>1</v>
      </c>
      <c r="E786" s="4"/>
      <c r="F786" s="3">
        <v>45908</v>
      </c>
      <c r="G786" s="1">
        <v>5426</v>
      </c>
      <c r="H786" s="1">
        <v>5168.05</v>
      </c>
      <c r="I786" s="1">
        <f t="shared" si="128"/>
        <v>257.94999999999982</v>
      </c>
      <c r="J786" s="1">
        <f>I786</f>
        <v>257.94999999999982</v>
      </c>
      <c r="K786" s="9">
        <f t="shared" ref="K786:K800" si="131">I786/H786</f>
        <v>4.9912442797573515E-2</v>
      </c>
      <c r="L786" s="19">
        <f t="shared" si="124"/>
        <v>-5168.05</v>
      </c>
    </row>
    <row r="787" spans="1:12" x14ac:dyDescent="0.35">
      <c r="A787" s="2" t="s">
        <v>97</v>
      </c>
      <c r="B787" t="s">
        <v>98</v>
      </c>
      <c r="C787" s="21" t="s">
        <v>275</v>
      </c>
      <c r="D787" s="4">
        <v>2</v>
      </c>
      <c r="E787" s="4"/>
      <c r="F787" s="3">
        <v>45914</v>
      </c>
      <c r="G787" s="1">
        <v>5426</v>
      </c>
      <c r="H787" s="1">
        <v>5168.05</v>
      </c>
      <c r="I787" s="1">
        <f t="shared" si="128"/>
        <v>257.94999999999982</v>
      </c>
      <c r="J787" s="1">
        <f>J786+I787</f>
        <v>515.89999999999964</v>
      </c>
      <c r="K787" s="9">
        <f t="shared" si="131"/>
        <v>4.9912442797573515E-2</v>
      </c>
      <c r="L787" s="19">
        <f t="shared" si="124"/>
        <v>-5168.05</v>
      </c>
    </row>
    <row r="788" spans="1:12" x14ac:dyDescent="0.35">
      <c r="A788" s="2" t="s">
        <v>97</v>
      </c>
      <c r="B788" t="s">
        <v>98</v>
      </c>
      <c r="C788" s="21" t="s">
        <v>275</v>
      </c>
      <c r="D788" s="4">
        <v>3</v>
      </c>
      <c r="E788" s="4"/>
      <c r="F788" s="3">
        <v>45922</v>
      </c>
      <c r="G788" s="1">
        <v>5426</v>
      </c>
      <c r="H788" s="1">
        <v>5168.05</v>
      </c>
      <c r="I788" s="1">
        <f t="shared" si="128"/>
        <v>257.94999999999982</v>
      </c>
      <c r="J788" s="1">
        <f t="shared" ref="J788:J801" si="132">J787+I788</f>
        <v>773.84999999999945</v>
      </c>
      <c r="K788" s="9">
        <f t="shared" si="131"/>
        <v>4.9912442797573515E-2</v>
      </c>
      <c r="L788" s="19">
        <f t="shared" si="124"/>
        <v>-5168.05</v>
      </c>
    </row>
    <row r="789" spans="1:12" x14ac:dyDescent="0.35">
      <c r="A789" s="2" t="s">
        <v>97</v>
      </c>
      <c r="B789" t="s">
        <v>98</v>
      </c>
      <c r="C789" s="21" t="s">
        <v>275</v>
      </c>
      <c r="D789" s="4">
        <v>4</v>
      </c>
      <c r="E789" s="4"/>
      <c r="F789" s="3">
        <v>45936</v>
      </c>
      <c r="G789" s="1">
        <v>5632</v>
      </c>
      <c r="H789" s="1">
        <v>5168.05</v>
      </c>
      <c r="I789" s="1">
        <f t="shared" si="128"/>
        <v>463.94999999999982</v>
      </c>
      <c r="J789" s="1">
        <f t="shared" si="132"/>
        <v>1237.7999999999993</v>
      </c>
      <c r="K789" s="9">
        <f t="shared" si="131"/>
        <v>8.9772738266851101E-2</v>
      </c>
      <c r="L789" s="19">
        <f t="shared" si="124"/>
        <v>-5168.05</v>
      </c>
    </row>
    <row r="790" spans="1:12" x14ac:dyDescent="0.35">
      <c r="A790" s="2" t="s">
        <v>97</v>
      </c>
      <c r="B790" t="s">
        <v>98</v>
      </c>
      <c r="C790" s="21" t="s">
        <v>275</v>
      </c>
      <c r="D790" s="4">
        <v>5</v>
      </c>
      <c r="E790" s="4"/>
      <c r="F790" s="3">
        <v>45943</v>
      </c>
      <c r="G790" s="1">
        <v>5632</v>
      </c>
      <c r="H790" s="1">
        <v>5168.05</v>
      </c>
      <c r="I790" s="1">
        <f t="shared" si="128"/>
        <v>463.94999999999982</v>
      </c>
      <c r="J790" s="1">
        <f t="shared" si="132"/>
        <v>1701.7499999999991</v>
      </c>
      <c r="K790" s="9">
        <f t="shared" si="131"/>
        <v>8.9772738266851101E-2</v>
      </c>
      <c r="L790" s="19">
        <f t="shared" si="124"/>
        <v>-5168.05</v>
      </c>
    </row>
    <row r="791" spans="1:12" x14ac:dyDescent="0.35">
      <c r="A791" s="2" t="s">
        <v>97</v>
      </c>
      <c r="B791" t="s">
        <v>98</v>
      </c>
      <c r="C791" s="21" t="s">
        <v>275</v>
      </c>
      <c r="D791" s="4">
        <v>6</v>
      </c>
      <c r="E791" s="4"/>
      <c r="F791" s="3">
        <v>45950</v>
      </c>
      <c r="G791" s="1">
        <v>5632</v>
      </c>
      <c r="H791" s="1">
        <v>5168.05</v>
      </c>
      <c r="I791" s="1">
        <f t="shared" si="128"/>
        <v>463.94999999999982</v>
      </c>
      <c r="J791" s="1">
        <f t="shared" si="132"/>
        <v>2165.6999999999989</v>
      </c>
      <c r="K791" s="9">
        <f t="shared" si="131"/>
        <v>8.9772738266851101E-2</v>
      </c>
      <c r="L791" s="19">
        <f t="shared" si="124"/>
        <v>-5168.05</v>
      </c>
    </row>
    <row r="792" spans="1:12" x14ac:dyDescent="0.35">
      <c r="A792" s="2" t="s">
        <v>97</v>
      </c>
      <c r="B792" t="s">
        <v>98</v>
      </c>
      <c r="C792" s="21" t="s">
        <v>275</v>
      </c>
      <c r="D792" s="4">
        <v>7</v>
      </c>
      <c r="E792" s="4"/>
      <c r="F792" s="3">
        <v>45957</v>
      </c>
      <c r="G792" s="1">
        <v>5632</v>
      </c>
      <c r="H792" s="1">
        <v>5168.05</v>
      </c>
      <c r="I792" s="1">
        <f t="shared" si="128"/>
        <v>463.94999999999982</v>
      </c>
      <c r="J792" s="1">
        <f t="shared" si="132"/>
        <v>2629.6499999999987</v>
      </c>
      <c r="K792" s="9">
        <f t="shared" si="131"/>
        <v>8.9772738266851101E-2</v>
      </c>
      <c r="L792" s="19">
        <f t="shared" si="124"/>
        <v>-5168.05</v>
      </c>
    </row>
    <row r="793" spans="1:12" x14ac:dyDescent="0.35">
      <c r="A793" s="2" t="s">
        <v>97</v>
      </c>
      <c r="B793" t="s">
        <v>98</v>
      </c>
      <c r="C793" s="21" t="s">
        <v>275</v>
      </c>
      <c r="D793" s="4">
        <v>8</v>
      </c>
      <c r="E793" s="4"/>
      <c r="F793" s="3">
        <v>45964</v>
      </c>
      <c r="G793" s="1">
        <v>5632</v>
      </c>
      <c r="H793" s="1">
        <v>5168.05</v>
      </c>
      <c r="I793" s="1">
        <f t="shared" si="128"/>
        <v>463.94999999999982</v>
      </c>
      <c r="J793" s="1">
        <f t="shared" si="132"/>
        <v>3093.5999999999985</v>
      </c>
      <c r="K793" s="9">
        <f t="shared" si="131"/>
        <v>8.9772738266851101E-2</v>
      </c>
      <c r="L793" s="19">
        <f t="shared" si="124"/>
        <v>-5168.05</v>
      </c>
    </row>
    <row r="794" spans="1:12" x14ac:dyDescent="0.35">
      <c r="A794" s="2" t="s">
        <v>97</v>
      </c>
      <c r="B794" t="s">
        <v>98</v>
      </c>
      <c r="C794" s="21" t="s">
        <v>275</v>
      </c>
      <c r="D794" s="4">
        <v>9</v>
      </c>
      <c r="E794" s="4"/>
      <c r="G794" s="1"/>
      <c r="H794" s="1"/>
      <c r="I794" s="1">
        <f t="shared" si="128"/>
        <v>0</v>
      </c>
      <c r="J794" s="1">
        <f t="shared" si="132"/>
        <v>3093.5999999999985</v>
      </c>
      <c r="K794" s="9" t="e">
        <f t="shared" si="131"/>
        <v>#DIV/0!</v>
      </c>
      <c r="L794" s="19">
        <f t="shared" si="124"/>
        <v>0</v>
      </c>
    </row>
    <row r="795" spans="1:12" x14ac:dyDescent="0.35">
      <c r="A795" s="2" t="s">
        <v>97</v>
      </c>
      <c r="B795" t="s">
        <v>98</v>
      </c>
      <c r="C795" s="21" t="s">
        <v>275</v>
      </c>
      <c r="D795" s="4">
        <v>10</v>
      </c>
      <c r="E795" s="4"/>
      <c r="G795" s="1"/>
      <c r="H795" s="1"/>
      <c r="I795" s="1">
        <f t="shared" si="128"/>
        <v>0</v>
      </c>
      <c r="J795" s="1">
        <f t="shared" si="132"/>
        <v>3093.5999999999985</v>
      </c>
      <c r="K795" s="9" t="e">
        <f t="shared" si="131"/>
        <v>#DIV/0!</v>
      </c>
      <c r="L795" s="19">
        <f t="shared" si="124"/>
        <v>0</v>
      </c>
    </row>
    <row r="796" spans="1:12" x14ac:dyDescent="0.35">
      <c r="A796" s="2" t="s">
        <v>97</v>
      </c>
      <c r="B796" t="s">
        <v>98</v>
      </c>
      <c r="C796" s="21" t="s">
        <v>275</v>
      </c>
      <c r="D796" s="4">
        <v>11</v>
      </c>
      <c r="E796" s="4"/>
      <c r="G796" s="1"/>
      <c r="H796" s="1"/>
      <c r="I796" s="1">
        <f t="shared" si="128"/>
        <v>0</v>
      </c>
      <c r="J796" s="1">
        <f t="shared" si="132"/>
        <v>3093.5999999999985</v>
      </c>
      <c r="K796" s="9" t="e">
        <f t="shared" si="131"/>
        <v>#DIV/0!</v>
      </c>
      <c r="L796" s="19">
        <f t="shared" si="124"/>
        <v>0</v>
      </c>
    </row>
    <row r="797" spans="1:12" x14ac:dyDescent="0.35">
      <c r="A797" s="2" t="s">
        <v>97</v>
      </c>
      <c r="B797" t="s">
        <v>98</v>
      </c>
      <c r="C797" s="21" t="s">
        <v>275</v>
      </c>
      <c r="D797" s="4">
        <v>12</v>
      </c>
      <c r="E797" s="4"/>
      <c r="G797" s="1"/>
      <c r="H797" s="1"/>
      <c r="I797" s="1">
        <f t="shared" si="128"/>
        <v>0</v>
      </c>
      <c r="J797" s="1">
        <f t="shared" si="132"/>
        <v>3093.5999999999985</v>
      </c>
      <c r="K797" s="9" t="e">
        <f t="shared" si="131"/>
        <v>#DIV/0!</v>
      </c>
      <c r="L797" s="19">
        <f t="shared" si="124"/>
        <v>0</v>
      </c>
    </row>
    <row r="798" spans="1:12" x14ac:dyDescent="0.35">
      <c r="A798" s="2" t="s">
        <v>97</v>
      </c>
      <c r="B798" t="s">
        <v>98</v>
      </c>
      <c r="C798" s="21" t="s">
        <v>275</v>
      </c>
      <c r="D798" s="4">
        <v>13</v>
      </c>
      <c r="E798" s="4"/>
      <c r="G798" s="1"/>
      <c r="H798" s="1"/>
      <c r="I798" s="1">
        <f t="shared" si="128"/>
        <v>0</v>
      </c>
      <c r="J798" s="1">
        <f t="shared" si="132"/>
        <v>3093.5999999999985</v>
      </c>
      <c r="K798" s="9" t="e">
        <f t="shared" si="131"/>
        <v>#DIV/0!</v>
      </c>
      <c r="L798" s="19">
        <f t="shared" si="124"/>
        <v>0</v>
      </c>
    </row>
    <row r="799" spans="1:12" x14ac:dyDescent="0.35">
      <c r="A799" s="2" t="s">
        <v>97</v>
      </c>
      <c r="B799" t="s">
        <v>98</v>
      </c>
      <c r="C799" s="21" t="s">
        <v>275</v>
      </c>
      <c r="D799" s="4">
        <v>14</v>
      </c>
      <c r="E799" s="4"/>
      <c r="G799" s="1"/>
      <c r="H799" s="1"/>
      <c r="I799" s="1">
        <f t="shared" si="128"/>
        <v>0</v>
      </c>
      <c r="J799" s="1">
        <f t="shared" si="132"/>
        <v>3093.5999999999985</v>
      </c>
      <c r="K799" s="9" t="e">
        <f t="shared" si="131"/>
        <v>#DIV/0!</v>
      </c>
      <c r="L799" s="19">
        <f t="shared" si="124"/>
        <v>0</v>
      </c>
    </row>
    <row r="800" spans="1:12" x14ac:dyDescent="0.35">
      <c r="A800" s="2" t="s">
        <v>97</v>
      </c>
      <c r="B800" t="s">
        <v>98</v>
      </c>
      <c r="C800" s="21" t="s">
        <v>275</v>
      </c>
      <c r="D800" s="4">
        <v>15</v>
      </c>
      <c r="E800" s="4"/>
      <c r="G800" s="1"/>
      <c r="H800" s="1"/>
      <c r="I800" s="1">
        <f t="shared" si="128"/>
        <v>0</v>
      </c>
      <c r="J800" s="1">
        <f t="shared" si="132"/>
        <v>3093.5999999999985</v>
      </c>
      <c r="K800" s="9" t="e">
        <f t="shared" si="131"/>
        <v>#DIV/0!</v>
      </c>
      <c r="L800" s="19">
        <f t="shared" si="124"/>
        <v>0</v>
      </c>
    </row>
    <row r="801" spans="1:12" ht="15" thickBot="1" x14ac:dyDescent="0.4">
      <c r="A801" s="12" t="s">
        <v>97</v>
      </c>
      <c r="B801" s="13" t="s">
        <v>98</v>
      </c>
      <c r="C801" s="21" t="s">
        <v>275</v>
      </c>
      <c r="D801" s="14">
        <v>16</v>
      </c>
      <c r="E801" s="14"/>
      <c r="F801" s="13"/>
      <c r="G801" s="15"/>
      <c r="H801" s="15"/>
      <c r="I801" s="15">
        <f t="shared" si="128"/>
        <v>0</v>
      </c>
      <c r="J801" s="15">
        <f t="shared" si="132"/>
        <v>3093.5999999999985</v>
      </c>
      <c r="K801" s="13"/>
      <c r="L801" s="19">
        <f t="shared" si="124"/>
        <v>0</v>
      </c>
    </row>
    <row r="802" spans="1:12" x14ac:dyDescent="0.35">
      <c r="A802" s="2" t="s">
        <v>99</v>
      </c>
      <c r="B802" t="s">
        <v>100</v>
      </c>
      <c r="C802" s="21" t="s">
        <v>275</v>
      </c>
      <c r="D802" s="4">
        <v>1</v>
      </c>
      <c r="E802" s="4"/>
      <c r="F802" s="3">
        <v>45909</v>
      </c>
      <c r="G802" s="1">
        <v>17556</v>
      </c>
      <c r="H802" s="1">
        <v>15961</v>
      </c>
      <c r="I802" s="1">
        <f t="shared" si="128"/>
        <v>1595</v>
      </c>
      <c r="J802" s="1">
        <f>I802</f>
        <v>1595</v>
      </c>
      <c r="K802" s="9">
        <f t="shared" ref="K802:K816" si="133">I802/H802</f>
        <v>9.9931082012405234E-2</v>
      </c>
      <c r="L802" s="19">
        <f t="shared" ref="L802:L865" si="134">E802-H802</f>
        <v>-15961</v>
      </c>
    </row>
    <row r="803" spans="1:12" x14ac:dyDescent="0.35">
      <c r="A803" s="2" t="s">
        <v>99</v>
      </c>
      <c r="B803" t="s">
        <v>100</v>
      </c>
      <c r="C803" s="21" t="s">
        <v>275</v>
      </c>
      <c r="D803" s="4">
        <v>2</v>
      </c>
      <c r="E803" s="4"/>
      <c r="F803" s="3">
        <v>45916</v>
      </c>
      <c r="G803" s="1">
        <v>16912</v>
      </c>
      <c r="H803" s="1">
        <v>15961</v>
      </c>
      <c r="I803" s="1">
        <f t="shared" si="128"/>
        <v>951</v>
      </c>
      <c r="J803" s="1">
        <f>J802+I803</f>
        <v>2546</v>
      </c>
      <c r="K803" s="9">
        <f t="shared" si="133"/>
        <v>5.958273291147171E-2</v>
      </c>
      <c r="L803" s="19">
        <f t="shared" si="134"/>
        <v>-15961</v>
      </c>
    </row>
    <row r="804" spans="1:12" x14ac:dyDescent="0.35">
      <c r="A804" s="2" t="s">
        <v>99</v>
      </c>
      <c r="B804" t="s">
        <v>100</v>
      </c>
      <c r="C804" s="21" t="s">
        <v>275</v>
      </c>
      <c r="D804" s="4">
        <v>3</v>
      </c>
      <c r="E804" s="4"/>
      <c r="F804" s="3">
        <v>45923</v>
      </c>
      <c r="G804" s="1">
        <v>16914</v>
      </c>
      <c r="H804" s="1">
        <v>15960</v>
      </c>
      <c r="I804" s="1">
        <f t="shared" si="128"/>
        <v>954</v>
      </c>
      <c r="J804" s="1">
        <f t="shared" ref="J804:J817" si="135">J803+I804</f>
        <v>3500</v>
      </c>
      <c r="K804" s="9">
        <f t="shared" si="133"/>
        <v>5.9774436090225563E-2</v>
      </c>
      <c r="L804" s="19">
        <f t="shared" si="134"/>
        <v>-15960</v>
      </c>
    </row>
    <row r="805" spans="1:12" x14ac:dyDescent="0.35">
      <c r="A805" s="2" t="s">
        <v>99</v>
      </c>
      <c r="B805" t="s">
        <v>100</v>
      </c>
      <c r="C805" s="21" t="s">
        <v>275</v>
      </c>
      <c r="D805" s="4">
        <v>4</v>
      </c>
      <c r="E805" s="4"/>
      <c r="F805" s="3">
        <v>45930</v>
      </c>
      <c r="G805" s="1">
        <v>17370</v>
      </c>
      <c r="H805" s="1">
        <v>15960</v>
      </c>
      <c r="I805" s="1">
        <f t="shared" si="128"/>
        <v>1410</v>
      </c>
      <c r="J805" s="1">
        <f t="shared" si="135"/>
        <v>4910</v>
      </c>
      <c r="K805" s="9">
        <f t="shared" si="133"/>
        <v>8.834586466165413E-2</v>
      </c>
      <c r="L805" s="19">
        <f t="shared" si="134"/>
        <v>-15960</v>
      </c>
    </row>
    <row r="806" spans="1:12" x14ac:dyDescent="0.35">
      <c r="A806" s="2" t="s">
        <v>99</v>
      </c>
      <c r="B806" t="s">
        <v>100</v>
      </c>
      <c r="C806" s="21" t="s">
        <v>275</v>
      </c>
      <c r="D806" s="4">
        <v>5</v>
      </c>
      <c r="E806" s="4"/>
      <c r="F806" s="3">
        <v>45938</v>
      </c>
      <c r="G806" s="1">
        <v>16914</v>
      </c>
      <c r="H806" s="1">
        <v>15963</v>
      </c>
      <c r="I806" s="1">
        <f t="shared" si="128"/>
        <v>951</v>
      </c>
      <c r="J806" s="1">
        <f t="shared" si="135"/>
        <v>5861</v>
      </c>
      <c r="K806" s="9">
        <f t="shared" si="133"/>
        <v>5.957526780680323E-2</v>
      </c>
      <c r="L806" s="19">
        <f t="shared" si="134"/>
        <v>-15963</v>
      </c>
    </row>
    <row r="807" spans="1:12" x14ac:dyDescent="0.35">
      <c r="A807" s="2" t="s">
        <v>99</v>
      </c>
      <c r="B807" t="s">
        <v>100</v>
      </c>
      <c r="C807" s="21" t="s">
        <v>275</v>
      </c>
      <c r="D807" s="4">
        <v>6</v>
      </c>
      <c r="E807" s="4"/>
      <c r="F807" s="3">
        <v>45945</v>
      </c>
      <c r="G807" s="1">
        <v>16616</v>
      </c>
      <c r="H807" s="1">
        <v>15960</v>
      </c>
      <c r="I807" s="1">
        <f t="shared" si="128"/>
        <v>656</v>
      </c>
      <c r="J807" s="1">
        <f t="shared" si="135"/>
        <v>6517</v>
      </c>
      <c r="K807" s="9">
        <f t="shared" si="133"/>
        <v>4.1102756892230578E-2</v>
      </c>
      <c r="L807" s="19">
        <f t="shared" si="134"/>
        <v>-15960</v>
      </c>
    </row>
    <row r="808" spans="1:12" x14ac:dyDescent="0.35">
      <c r="A808" s="2" t="s">
        <v>99</v>
      </c>
      <c r="B808" t="s">
        <v>100</v>
      </c>
      <c r="C808" s="21" t="s">
        <v>275</v>
      </c>
      <c r="D808" s="4">
        <v>7</v>
      </c>
      <c r="E808" s="4"/>
      <c r="F808" s="3">
        <v>45952</v>
      </c>
      <c r="G808" s="1">
        <v>16120</v>
      </c>
      <c r="H808" s="1">
        <v>15960</v>
      </c>
      <c r="I808" s="1">
        <f t="shared" si="128"/>
        <v>160</v>
      </c>
      <c r="J808" s="1">
        <f t="shared" si="135"/>
        <v>6677</v>
      </c>
      <c r="K808" s="9">
        <f t="shared" si="133"/>
        <v>1.0025062656641603E-2</v>
      </c>
      <c r="L808" s="19">
        <f t="shared" si="134"/>
        <v>-15960</v>
      </c>
    </row>
    <row r="809" spans="1:12" x14ac:dyDescent="0.35">
      <c r="A809" s="2" t="s">
        <v>99</v>
      </c>
      <c r="B809" t="s">
        <v>100</v>
      </c>
      <c r="C809" s="21" t="s">
        <v>275</v>
      </c>
      <c r="D809" s="4">
        <v>8</v>
      </c>
      <c r="E809" s="4"/>
      <c r="F809" s="3">
        <v>45959</v>
      </c>
      <c r="G809" s="1">
        <v>16312</v>
      </c>
      <c r="H809" s="1">
        <v>15960</v>
      </c>
      <c r="I809" s="1">
        <f t="shared" si="128"/>
        <v>352</v>
      </c>
      <c r="J809" s="1">
        <f t="shared" si="135"/>
        <v>7029</v>
      </c>
      <c r="K809" s="9">
        <f t="shared" si="133"/>
        <v>2.2055137844611529E-2</v>
      </c>
      <c r="L809" s="19">
        <f t="shared" si="134"/>
        <v>-15960</v>
      </c>
    </row>
    <row r="810" spans="1:12" x14ac:dyDescent="0.35">
      <c r="A810" s="2" t="s">
        <v>99</v>
      </c>
      <c r="B810" t="s">
        <v>100</v>
      </c>
      <c r="C810" s="21" t="s">
        <v>275</v>
      </c>
      <c r="D810" s="4">
        <v>9</v>
      </c>
      <c r="E810" s="4"/>
      <c r="F810" s="3">
        <v>45965</v>
      </c>
      <c r="G810" s="1">
        <v>16352</v>
      </c>
      <c r="H810" s="1">
        <v>15960</v>
      </c>
      <c r="I810" s="1">
        <f t="shared" si="128"/>
        <v>392</v>
      </c>
      <c r="J810" s="1">
        <f t="shared" si="135"/>
        <v>7421</v>
      </c>
      <c r="K810" s="9">
        <f t="shared" si="133"/>
        <v>2.456140350877193E-2</v>
      </c>
      <c r="L810" s="19">
        <f t="shared" si="134"/>
        <v>-15960</v>
      </c>
    </row>
    <row r="811" spans="1:12" x14ac:dyDescent="0.35">
      <c r="A811" s="2" t="s">
        <v>99</v>
      </c>
      <c r="B811" t="s">
        <v>100</v>
      </c>
      <c r="C811" s="21" t="s">
        <v>275</v>
      </c>
      <c r="D811" s="4">
        <v>10</v>
      </c>
      <c r="E811" s="4"/>
      <c r="G811" s="1"/>
      <c r="H811" s="1"/>
      <c r="I811" s="1">
        <f t="shared" si="128"/>
        <v>0</v>
      </c>
      <c r="J811" s="1">
        <f t="shared" si="135"/>
        <v>7421</v>
      </c>
      <c r="K811" s="9" t="e">
        <f t="shared" si="133"/>
        <v>#DIV/0!</v>
      </c>
      <c r="L811" s="19">
        <f t="shared" si="134"/>
        <v>0</v>
      </c>
    </row>
    <row r="812" spans="1:12" x14ac:dyDescent="0.35">
      <c r="A812" s="2" t="s">
        <v>99</v>
      </c>
      <c r="B812" t="s">
        <v>100</v>
      </c>
      <c r="C812" s="21" t="s">
        <v>275</v>
      </c>
      <c r="D812" s="4">
        <v>11</v>
      </c>
      <c r="E812" s="4"/>
      <c r="G812" s="1"/>
      <c r="H812" s="1"/>
      <c r="I812" s="1">
        <f t="shared" si="128"/>
        <v>0</v>
      </c>
      <c r="J812" s="1">
        <f t="shared" si="135"/>
        <v>7421</v>
      </c>
      <c r="K812" s="9" t="e">
        <f t="shared" si="133"/>
        <v>#DIV/0!</v>
      </c>
      <c r="L812" s="19">
        <f t="shared" si="134"/>
        <v>0</v>
      </c>
    </row>
    <row r="813" spans="1:12" x14ac:dyDescent="0.35">
      <c r="A813" s="2" t="s">
        <v>99</v>
      </c>
      <c r="B813" t="s">
        <v>100</v>
      </c>
      <c r="C813" s="21" t="s">
        <v>275</v>
      </c>
      <c r="D813" s="4">
        <v>12</v>
      </c>
      <c r="E813" s="4"/>
      <c r="G813" s="1"/>
      <c r="H813" s="1"/>
      <c r="I813" s="1">
        <f t="shared" si="128"/>
        <v>0</v>
      </c>
      <c r="J813" s="1">
        <f t="shared" si="135"/>
        <v>7421</v>
      </c>
      <c r="K813" s="9" t="e">
        <f t="shared" si="133"/>
        <v>#DIV/0!</v>
      </c>
      <c r="L813" s="19">
        <f t="shared" si="134"/>
        <v>0</v>
      </c>
    </row>
    <row r="814" spans="1:12" x14ac:dyDescent="0.35">
      <c r="A814" s="2" t="s">
        <v>99</v>
      </c>
      <c r="B814" t="s">
        <v>100</v>
      </c>
      <c r="C814" s="21" t="s">
        <v>275</v>
      </c>
      <c r="D814" s="4">
        <v>13</v>
      </c>
      <c r="E814" s="4"/>
      <c r="G814" s="1"/>
      <c r="H814" s="1"/>
      <c r="I814" s="1">
        <f t="shared" si="128"/>
        <v>0</v>
      </c>
      <c r="J814" s="1">
        <f t="shared" si="135"/>
        <v>7421</v>
      </c>
      <c r="K814" s="9" t="e">
        <f t="shared" si="133"/>
        <v>#DIV/0!</v>
      </c>
      <c r="L814" s="19">
        <f t="shared" si="134"/>
        <v>0</v>
      </c>
    </row>
    <row r="815" spans="1:12" x14ac:dyDescent="0.35">
      <c r="A815" s="2" t="s">
        <v>99</v>
      </c>
      <c r="B815" t="s">
        <v>100</v>
      </c>
      <c r="C815" s="21" t="s">
        <v>275</v>
      </c>
      <c r="D815" s="4">
        <v>14</v>
      </c>
      <c r="E815" s="4"/>
      <c r="G815" s="1"/>
      <c r="H815" s="1"/>
      <c r="I815" s="1">
        <f t="shared" si="128"/>
        <v>0</v>
      </c>
      <c r="J815" s="1">
        <f t="shared" si="135"/>
        <v>7421</v>
      </c>
      <c r="K815" s="9" t="e">
        <f t="shared" si="133"/>
        <v>#DIV/0!</v>
      </c>
      <c r="L815" s="19">
        <f t="shared" si="134"/>
        <v>0</v>
      </c>
    </row>
    <row r="816" spans="1:12" x14ac:dyDescent="0.35">
      <c r="A816" s="2" t="s">
        <v>99</v>
      </c>
      <c r="B816" t="s">
        <v>100</v>
      </c>
      <c r="C816" s="21" t="s">
        <v>275</v>
      </c>
      <c r="D816" s="4">
        <v>15</v>
      </c>
      <c r="E816" s="4"/>
      <c r="G816" s="1"/>
      <c r="H816" s="1"/>
      <c r="I816" s="1">
        <f t="shared" si="128"/>
        <v>0</v>
      </c>
      <c r="J816" s="1">
        <f t="shared" si="135"/>
        <v>7421</v>
      </c>
      <c r="K816" s="9" t="e">
        <f t="shared" si="133"/>
        <v>#DIV/0!</v>
      </c>
      <c r="L816" s="19">
        <f t="shared" si="134"/>
        <v>0</v>
      </c>
    </row>
    <row r="817" spans="1:12" ht="15" thickBot="1" x14ac:dyDescent="0.4">
      <c r="A817" s="12" t="s">
        <v>99</v>
      </c>
      <c r="B817" s="13" t="s">
        <v>100</v>
      </c>
      <c r="C817" s="21" t="s">
        <v>275</v>
      </c>
      <c r="D817" s="14">
        <v>16</v>
      </c>
      <c r="E817" s="14"/>
      <c r="F817" s="13"/>
      <c r="G817" s="15"/>
      <c r="H817" s="15"/>
      <c r="I817" s="15">
        <f t="shared" si="128"/>
        <v>0</v>
      </c>
      <c r="J817" s="15">
        <f t="shared" si="135"/>
        <v>7421</v>
      </c>
      <c r="K817" s="13"/>
      <c r="L817" s="19">
        <f t="shared" si="134"/>
        <v>0</v>
      </c>
    </row>
    <row r="818" spans="1:12" x14ac:dyDescent="0.35">
      <c r="A818" s="2" t="s">
        <v>101</v>
      </c>
      <c r="B818" t="s">
        <v>102</v>
      </c>
      <c r="C818" s="21" t="s">
        <v>275</v>
      </c>
      <c r="D818" s="4">
        <v>1</v>
      </c>
      <c r="E818" s="4"/>
      <c r="F818" s="3">
        <v>45910</v>
      </c>
      <c r="G818" s="1">
        <v>8778</v>
      </c>
      <c r="H818" s="1">
        <v>8360.07</v>
      </c>
      <c r="I818" s="1">
        <f t="shared" si="128"/>
        <v>417.93000000000029</v>
      </c>
      <c r="J818" s="1">
        <f>I818</f>
        <v>417.93000000000029</v>
      </c>
      <c r="K818" s="9">
        <f t="shared" ref="K818:K832" si="136">I818/H818</f>
        <v>4.9991208207586818E-2</v>
      </c>
      <c r="L818" s="19">
        <f t="shared" si="134"/>
        <v>-8360.07</v>
      </c>
    </row>
    <row r="819" spans="1:12" x14ac:dyDescent="0.35">
      <c r="A819" s="2" t="s">
        <v>101</v>
      </c>
      <c r="B819" t="s">
        <v>102</v>
      </c>
      <c r="C819" s="21" t="s">
        <v>275</v>
      </c>
      <c r="D819" s="4">
        <v>2</v>
      </c>
      <c r="E819" s="4"/>
      <c r="F819" s="3">
        <v>45917</v>
      </c>
      <c r="G819" s="1">
        <v>8778</v>
      </c>
      <c r="H819" s="1">
        <v>8360.07</v>
      </c>
      <c r="I819" s="1">
        <f t="shared" si="128"/>
        <v>417.93000000000029</v>
      </c>
      <c r="J819" s="1">
        <f>J818+I819</f>
        <v>835.86000000000058</v>
      </c>
      <c r="K819" s="9">
        <f t="shared" si="136"/>
        <v>4.9991208207586818E-2</v>
      </c>
      <c r="L819" s="19">
        <f t="shared" si="134"/>
        <v>-8360.07</v>
      </c>
    </row>
    <row r="820" spans="1:12" x14ac:dyDescent="0.35">
      <c r="A820" s="2" t="s">
        <v>101</v>
      </c>
      <c r="B820" t="s">
        <v>102</v>
      </c>
      <c r="C820" s="21" t="s">
        <v>275</v>
      </c>
      <c r="D820" s="4">
        <v>3</v>
      </c>
      <c r="E820" s="4"/>
      <c r="F820" s="3">
        <v>45924</v>
      </c>
      <c r="G820" s="1">
        <v>8778</v>
      </c>
      <c r="H820" s="1">
        <v>8360.07</v>
      </c>
      <c r="I820" s="1">
        <f t="shared" si="128"/>
        <v>417.93000000000029</v>
      </c>
      <c r="J820" s="1">
        <f t="shared" ref="J820:J833" si="137">J819+I820</f>
        <v>1253.7900000000009</v>
      </c>
      <c r="K820" s="9">
        <f t="shared" si="136"/>
        <v>4.9991208207586818E-2</v>
      </c>
      <c r="L820" s="19">
        <f t="shared" si="134"/>
        <v>-8360.07</v>
      </c>
    </row>
    <row r="821" spans="1:12" x14ac:dyDescent="0.35">
      <c r="A821" s="2" t="s">
        <v>101</v>
      </c>
      <c r="B821" t="s">
        <v>102</v>
      </c>
      <c r="C821" s="21" t="s">
        <v>275</v>
      </c>
      <c r="D821" s="4">
        <v>4</v>
      </c>
      <c r="E821" s="4"/>
      <c r="F821" s="3">
        <v>45931</v>
      </c>
      <c r="G821" s="1">
        <v>8778</v>
      </c>
      <c r="H821" s="1">
        <v>8360.07</v>
      </c>
      <c r="I821" s="1">
        <f t="shared" si="128"/>
        <v>417.93000000000029</v>
      </c>
      <c r="J821" s="1">
        <f t="shared" si="137"/>
        <v>1671.7200000000012</v>
      </c>
      <c r="K821" s="9">
        <f t="shared" si="136"/>
        <v>4.9991208207586818E-2</v>
      </c>
      <c r="L821" s="19">
        <f t="shared" si="134"/>
        <v>-8360.07</v>
      </c>
    </row>
    <row r="822" spans="1:12" x14ac:dyDescent="0.35">
      <c r="A822" s="2" t="s">
        <v>101</v>
      </c>
      <c r="B822" t="s">
        <v>102</v>
      </c>
      <c r="C822" s="21" t="s">
        <v>275</v>
      </c>
      <c r="D822" s="4">
        <v>5</v>
      </c>
      <c r="E822" s="4"/>
      <c r="F822" s="3">
        <v>45938</v>
      </c>
      <c r="G822" s="1">
        <v>8778</v>
      </c>
      <c r="H822" s="1">
        <v>8360.07</v>
      </c>
      <c r="I822" s="1">
        <f t="shared" ref="I822:I885" si="138">G822-H822</f>
        <v>417.93000000000029</v>
      </c>
      <c r="J822" s="1">
        <f t="shared" si="137"/>
        <v>2089.6500000000015</v>
      </c>
      <c r="K822" s="9">
        <f t="shared" si="136"/>
        <v>4.9991208207586818E-2</v>
      </c>
      <c r="L822" s="19">
        <f t="shared" si="134"/>
        <v>-8360.07</v>
      </c>
    </row>
    <row r="823" spans="1:12" x14ac:dyDescent="0.35">
      <c r="A823" s="2" t="s">
        <v>101</v>
      </c>
      <c r="B823" t="s">
        <v>102</v>
      </c>
      <c r="C823" s="21" t="s">
        <v>275</v>
      </c>
      <c r="D823" s="4">
        <v>6</v>
      </c>
      <c r="E823" s="4"/>
      <c r="F823" s="3">
        <v>45945</v>
      </c>
      <c r="G823" s="1">
        <v>8778</v>
      </c>
      <c r="H823" s="1">
        <v>8360.07</v>
      </c>
      <c r="I823" s="1">
        <f t="shared" si="138"/>
        <v>417.93000000000029</v>
      </c>
      <c r="J823" s="1">
        <f t="shared" si="137"/>
        <v>2507.5800000000017</v>
      </c>
      <c r="K823" s="9">
        <f t="shared" si="136"/>
        <v>4.9991208207586818E-2</v>
      </c>
      <c r="L823" s="19">
        <f t="shared" si="134"/>
        <v>-8360.07</v>
      </c>
    </row>
    <row r="824" spans="1:12" x14ac:dyDescent="0.35">
      <c r="A824" s="2" t="s">
        <v>101</v>
      </c>
      <c r="B824" t="s">
        <v>102</v>
      </c>
      <c r="C824" s="21" t="s">
        <v>275</v>
      </c>
      <c r="D824" s="4">
        <v>7</v>
      </c>
      <c r="E824" s="4"/>
      <c r="F824" s="3">
        <v>45952</v>
      </c>
      <c r="G824" s="1">
        <v>8778</v>
      </c>
      <c r="H824" s="1">
        <v>8360.07</v>
      </c>
      <c r="I824" s="1">
        <f t="shared" si="138"/>
        <v>417.93000000000029</v>
      </c>
      <c r="J824" s="1">
        <f t="shared" si="137"/>
        <v>2925.510000000002</v>
      </c>
      <c r="K824" s="9">
        <f t="shared" si="136"/>
        <v>4.9991208207586818E-2</v>
      </c>
      <c r="L824" s="19">
        <f t="shared" si="134"/>
        <v>-8360.07</v>
      </c>
    </row>
    <row r="825" spans="1:12" x14ac:dyDescent="0.35">
      <c r="A825" s="2" t="s">
        <v>101</v>
      </c>
      <c r="B825" t="s">
        <v>102</v>
      </c>
      <c r="C825" s="21" t="s">
        <v>275</v>
      </c>
      <c r="D825" s="4">
        <v>8</v>
      </c>
      <c r="E825" s="4"/>
      <c r="F825" s="3">
        <v>45959</v>
      </c>
      <c r="G825" s="1">
        <v>8778</v>
      </c>
      <c r="H825" s="1">
        <v>8360.07</v>
      </c>
      <c r="I825" s="1">
        <f t="shared" si="138"/>
        <v>417.93000000000029</v>
      </c>
      <c r="J825" s="1">
        <f t="shared" si="137"/>
        <v>3343.4400000000023</v>
      </c>
      <c r="K825" s="9">
        <f t="shared" si="136"/>
        <v>4.9991208207586818E-2</v>
      </c>
      <c r="L825" s="19">
        <f t="shared" si="134"/>
        <v>-8360.07</v>
      </c>
    </row>
    <row r="826" spans="1:12" x14ac:dyDescent="0.35">
      <c r="A826" s="2" t="s">
        <v>101</v>
      </c>
      <c r="B826" t="s">
        <v>102</v>
      </c>
      <c r="C826" s="21" t="s">
        <v>275</v>
      </c>
      <c r="D826" s="4">
        <v>9</v>
      </c>
      <c r="E826" s="4"/>
      <c r="F826" s="3">
        <v>45966</v>
      </c>
      <c r="G826" s="1">
        <v>8778</v>
      </c>
      <c r="H826" s="1">
        <v>8360.07</v>
      </c>
      <c r="I826" s="1">
        <f t="shared" si="138"/>
        <v>417.93000000000029</v>
      </c>
      <c r="J826" s="1">
        <f t="shared" si="137"/>
        <v>3761.3700000000026</v>
      </c>
      <c r="K826" s="9">
        <f t="shared" si="136"/>
        <v>4.9991208207586818E-2</v>
      </c>
      <c r="L826" s="19">
        <f t="shared" si="134"/>
        <v>-8360.07</v>
      </c>
    </row>
    <row r="827" spans="1:12" x14ac:dyDescent="0.35">
      <c r="A827" s="2" t="s">
        <v>101</v>
      </c>
      <c r="B827" t="s">
        <v>102</v>
      </c>
      <c r="C827" s="21" t="s">
        <v>275</v>
      </c>
      <c r="D827" s="4">
        <v>10</v>
      </c>
      <c r="E827" s="4"/>
      <c r="G827" s="1"/>
      <c r="H827" s="1"/>
      <c r="I827" s="1">
        <f t="shared" si="138"/>
        <v>0</v>
      </c>
      <c r="J827" s="1">
        <f t="shared" si="137"/>
        <v>3761.3700000000026</v>
      </c>
      <c r="K827" s="9" t="e">
        <f t="shared" si="136"/>
        <v>#DIV/0!</v>
      </c>
      <c r="L827" s="19">
        <f t="shared" si="134"/>
        <v>0</v>
      </c>
    </row>
    <row r="828" spans="1:12" x14ac:dyDescent="0.35">
      <c r="A828" s="2" t="s">
        <v>101</v>
      </c>
      <c r="B828" t="s">
        <v>102</v>
      </c>
      <c r="C828" s="21" t="s">
        <v>275</v>
      </c>
      <c r="D828" s="4">
        <v>11</v>
      </c>
      <c r="E828" s="4"/>
      <c r="G828" s="1"/>
      <c r="H828" s="1"/>
      <c r="I828" s="1">
        <f t="shared" si="138"/>
        <v>0</v>
      </c>
      <c r="J828" s="1">
        <f t="shared" si="137"/>
        <v>3761.3700000000026</v>
      </c>
      <c r="K828" s="9" t="e">
        <f t="shared" si="136"/>
        <v>#DIV/0!</v>
      </c>
      <c r="L828" s="19">
        <f t="shared" si="134"/>
        <v>0</v>
      </c>
    </row>
    <row r="829" spans="1:12" x14ac:dyDescent="0.35">
      <c r="A829" s="2" t="s">
        <v>101</v>
      </c>
      <c r="B829" t="s">
        <v>102</v>
      </c>
      <c r="C829" s="21" t="s">
        <v>275</v>
      </c>
      <c r="D829" s="4">
        <v>12</v>
      </c>
      <c r="E829" s="4"/>
      <c r="G829" s="1"/>
      <c r="H829" s="1"/>
      <c r="I829" s="1">
        <f t="shared" si="138"/>
        <v>0</v>
      </c>
      <c r="J829" s="1">
        <f t="shared" si="137"/>
        <v>3761.3700000000026</v>
      </c>
      <c r="K829" s="9" t="e">
        <f t="shared" si="136"/>
        <v>#DIV/0!</v>
      </c>
      <c r="L829" s="19">
        <f t="shared" si="134"/>
        <v>0</v>
      </c>
    </row>
    <row r="830" spans="1:12" x14ac:dyDescent="0.35">
      <c r="A830" s="2" t="s">
        <v>101</v>
      </c>
      <c r="B830" t="s">
        <v>102</v>
      </c>
      <c r="C830" s="21" t="s">
        <v>275</v>
      </c>
      <c r="D830" s="4">
        <v>13</v>
      </c>
      <c r="E830" s="4"/>
      <c r="G830" s="1"/>
      <c r="H830" s="1"/>
      <c r="I830" s="1">
        <f t="shared" si="138"/>
        <v>0</v>
      </c>
      <c r="J830" s="1">
        <f t="shared" si="137"/>
        <v>3761.3700000000026</v>
      </c>
      <c r="K830" s="9" t="e">
        <f t="shared" si="136"/>
        <v>#DIV/0!</v>
      </c>
      <c r="L830" s="19">
        <f t="shared" si="134"/>
        <v>0</v>
      </c>
    </row>
    <row r="831" spans="1:12" x14ac:dyDescent="0.35">
      <c r="A831" s="2" t="s">
        <v>101</v>
      </c>
      <c r="B831" t="s">
        <v>102</v>
      </c>
      <c r="C831" s="21" t="s">
        <v>275</v>
      </c>
      <c r="D831" s="4">
        <v>14</v>
      </c>
      <c r="E831" s="4"/>
      <c r="G831" s="1"/>
      <c r="H831" s="1"/>
      <c r="I831" s="1">
        <f t="shared" si="138"/>
        <v>0</v>
      </c>
      <c r="J831" s="1">
        <f t="shared" si="137"/>
        <v>3761.3700000000026</v>
      </c>
      <c r="K831" s="9" t="e">
        <f t="shared" si="136"/>
        <v>#DIV/0!</v>
      </c>
      <c r="L831" s="19">
        <f t="shared" si="134"/>
        <v>0</v>
      </c>
    </row>
    <row r="832" spans="1:12" x14ac:dyDescent="0.35">
      <c r="A832" s="2" t="s">
        <v>101</v>
      </c>
      <c r="B832" t="s">
        <v>102</v>
      </c>
      <c r="C832" s="21" t="s">
        <v>275</v>
      </c>
      <c r="D832" s="4">
        <v>15</v>
      </c>
      <c r="E832" s="4"/>
      <c r="G832" s="1"/>
      <c r="H832" s="1"/>
      <c r="I832" s="1">
        <f t="shared" si="138"/>
        <v>0</v>
      </c>
      <c r="J832" s="1">
        <f t="shared" si="137"/>
        <v>3761.3700000000026</v>
      </c>
      <c r="K832" s="9" t="e">
        <f t="shared" si="136"/>
        <v>#DIV/0!</v>
      </c>
      <c r="L832" s="19">
        <f t="shared" si="134"/>
        <v>0</v>
      </c>
    </row>
    <row r="833" spans="1:12" ht="15" thickBot="1" x14ac:dyDescent="0.4">
      <c r="A833" s="12" t="s">
        <v>101</v>
      </c>
      <c r="B833" s="13" t="s">
        <v>102</v>
      </c>
      <c r="C833" s="21" t="s">
        <v>275</v>
      </c>
      <c r="D833" s="14">
        <v>16</v>
      </c>
      <c r="E833" s="14"/>
      <c r="F833" s="13"/>
      <c r="G833" s="15"/>
      <c r="H833" s="15"/>
      <c r="I833" s="15">
        <f t="shared" si="138"/>
        <v>0</v>
      </c>
      <c r="J833" s="15">
        <f t="shared" si="137"/>
        <v>3761.3700000000026</v>
      </c>
      <c r="K833" s="13"/>
      <c r="L833" s="19">
        <f t="shared" si="134"/>
        <v>0</v>
      </c>
    </row>
    <row r="834" spans="1:12" x14ac:dyDescent="0.35">
      <c r="A834" s="2" t="s">
        <v>103</v>
      </c>
      <c r="B834" t="s">
        <v>104</v>
      </c>
      <c r="C834" s="21" t="s">
        <v>275</v>
      </c>
      <c r="D834" s="4">
        <v>1</v>
      </c>
      <c r="E834" s="4"/>
      <c r="F834" s="3">
        <v>45910</v>
      </c>
      <c r="G834" s="1">
        <v>9352</v>
      </c>
      <c r="H834" s="1">
        <v>8664.08</v>
      </c>
      <c r="I834" s="1">
        <f t="shared" si="138"/>
        <v>687.92000000000007</v>
      </c>
      <c r="J834" s="1">
        <f>I834</f>
        <v>687.92000000000007</v>
      </c>
      <c r="K834" s="9">
        <f t="shared" ref="K834:K848" si="139">I834/H834</f>
        <v>7.9399082187606773E-2</v>
      </c>
      <c r="L834" s="19">
        <f t="shared" si="134"/>
        <v>-8664.08</v>
      </c>
    </row>
    <row r="835" spans="1:12" x14ac:dyDescent="0.35">
      <c r="A835" s="2" t="s">
        <v>103</v>
      </c>
      <c r="B835" t="s">
        <v>104</v>
      </c>
      <c r="C835" s="21" t="s">
        <v>275</v>
      </c>
      <c r="D835" s="4">
        <v>2</v>
      </c>
      <c r="E835" s="4"/>
      <c r="F835" s="3">
        <v>45917</v>
      </c>
      <c r="G835" s="1">
        <v>9344</v>
      </c>
      <c r="H835" s="1">
        <v>8664.08</v>
      </c>
      <c r="I835" s="1">
        <f t="shared" si="138"/>
        <v>679.92000000000007</v>
      </c>
      <c r="J835" s="1">
        <f>J834+I835</f>
        <v>1367.8400000000001</v>
      </c>
      <c r="K835" s="9">
        <f t="shared" si="139"/>
        <v>7.8475729679319678E-2</v>
      </c>
      <c r="L835" s="19">
        <f t="shared" si="134"/>
        <v>-8664.08</v>
      </c>
    </row>
    <row r="836" spans="1:12" x14ac:dyDescent="0.35">
      <c r="A836" s="2" t="s">
        <v>103</v>
      </c>
      <c r="B836" t="s">
        <v>104</v>
      </c>
      <c r="C836" s="21" t="s">
        <v>275</v>
      </c>
      <c r="D836" s="4">
        <v>3</v>
      </c>
      <c r="E836" s="4"/>
      <c r="F836" s="3">
        <v>45924</v>
      </c>
      <c r="G836" s="1">
        <v>9352</v>
      </c>
      <c r="H836" s="1">
        <v>8664.08</v>
      </c>
      <c r="I836" s="1">
        <f t="shared" si="138"/>
        <v>687.92000000000007</v>
      </c>
      <c r="J836" s="1">
        <f t="shared" ref="J836:J849" si="140">J835+I836</f>
        <v>2055.7600000000002</v>
      </c>
      <c r="K836" s="9">
        <f t="shared" si="139"/>
        <v>7.9399082187606773E-2</v>
      </c>
      <c r="L836" s="19">
        <f t="shared" si="134"/>
        <v>-8664.08</v>
      </c>
    </row>
    <row r="837" spans="1:12" x14ac:dyDescent="0.35">
      <c r="A837" s="2" t="s">
        <v>103</v>
      </c>
      <c r="B837" t="s">
        <v>104</v>
      </c>
      <c r="C837" s="21" t="s">
        <v>275</v>
      </c>
      <c r="D837" s="4">
        <v>4</v>
      </c>
      <c r="E837" s="4"/>
      <c r="F837" s="3">
        <v>45931</v>
      </c>
      <c r="G837" s="1">
        <v>9372</v>
      </c>
      <c r="H837" s="1">
        <v>8664.08</v>
      </c>
      <c r="I837" s="1">
        <f t="shared" si="138"/>
        <v>707.92000000000007</v>
      </c>
      <c r="J837" s="1">
        <f t="shared" si="140"/>
        <v>2763.6800000000003</v>
      </c>
      <c r="K837" s="9">
        <f t="shared" si="139"/>
        <v>8.1707463458324497E-2</v>
      </c>
      <c r="L837" s="19">
        <f t="shared" si="134"/>
        <v>-8664.08</v>
      </c>
    </row>
    <row r="838" spans="1:12" x14ac:dyDescent="0.35">
      <c r="A838" s="2" t="s">
        <v>103</v>
      </c>
      <c r="B838" t="s">
        <v>104</v>
      </c>
      <c r="C838" s="21" t="s">
        <v>275</v>
      </c>
      <c r="D838" s="4">
        <v>5</v>
      </c>
      <c r="E838" s="4"/>
      <c r="F838" s="3">
        <v>45938</v>
      </c>
      <c r="G838" s="1">
        <v>9352</v>
      </c>
      <c r="H838" s="1">
        <v>8664.08</v>
      </c>
      <c r="I838" s="1">
        <f t="shared" si="138"/>
        <v>687.92000000000007</v>
      </c>
      <c r="J838" s="1">
        <f t="shared" si="140"/>
        <v>3451.6000000000004</v>
      </c>
      <c r="K838" s="9">
        <f t="shared" si="139"/>
        <v>7.9399082187606773E-2</v>
      </c>
      <c r="L838" s="19">
        <f t="shared" si="134"/>
        <v>-8664.08</v>
      </c>
    </row>
    <row r="839" spans="1:12" x14ac:dyDescent="0.35">
      <c r="A839" s="2" t="s">
        <v>103</v>
      </c>
      <c r="B839" t="s">
        <v>104</v>
      </c>
      <c r="C839" s="21" t="s">
        <v>275</v>
      </c>
      <c r="D839" s="4">
        <v>6</v>
      </c>
      <c r="E839" s="4"/>
      <c r="F839" s="3">
        <v>45945</v>
      </c>
      <c r="G839" s="1">
        <v>9269</v>
      </c>
      <c r="H839" s="1">
        <v>8664.08</v>
      </c>
      <c r="I839" s="1">
        <f t="shared" si="138"/>
        <v>604.92000000000007</v>
      </c>
      <c r="J839" s="1">
        <f t="shared" si="140"/>
        <v>4056.5200000000004</v>
      </c>
      <c r="K839" s="9">
        <f t="shared" si="139"/>
        <v>6.9819299914128219E-2</v>
      </c>
      <c r="L839" s="19">
        <f t="shared" si="134"/>
        <v>-8664.08</v>
      </c>
    </row>
    <row r="840" spans="1:12" x14ac:dyDescent="0.35">
      <c r="A840" s="2" t="s">
        <v>103</v>
      </c>
      <c r="B840" t="s">
        <v>104</v>
      </c>
      <c r="C840" s="21" t="s">
        <v>275</v>
      </c>
      <c r="D840" s="4">
        <v>7</v>
      </c>
      <c r="E840" s="4"/>
      <c r="F840" s="3">
        <v>45952</v>
      </c>
      <c r="G840" s="1">
        <v>9396</v>
      </c>
      <c r="H840" s="1">
        <v>8664.08</v>
      </c>
      <c r="I840" s="1">
        <f t="shared" si="138"/>
        <v>731.92000000000007</v>
      </c>
      <c r="J840" s="1">
        <f t="shared" si="140"/>
        <v>4788.4400000000005</v>
      </c>
      <c r="K840" s="9">
        <f t="shared" si="139"/>
        <v>8.4477520983185755E-2</v>
      </c>
      <c r="L840" s="19">
        <f t="shared" si="134"/>
        <v>-8664.08</v>
      </c>
    </row>
    <row r="841" spans="1:12" x14ac:dyDescent="0.35">
      <c r="A841" s="2" t="s">
        <v>103</v>
      </c>
      <c r="B841" t="s">
        <v>104</v>
      </c>
      <c r="C841" s="21" t="s">
        <v>275</v>
      </c>
      <c r="D841" s="4">
        <v>8</v>
      </c>
      <c r="E841" s="4"/>
      <c r="F841" s="3">
        <v>45959</v>
      </c>
      <c r="G841" s="1">
        <v>9355</v>
      </c>
      <c r="H841" s="1">
        <v>8664.08</v>
      </c>
      <c r="I841" s="1">
        <f t="shared" si="138"/>
        <v>690.92000000000007</v>
      </c>
      <c r="J841" s="1">
        <f t="shared" si="140"/>
        <v>5479.3600000000006</v>
      </c>
      <c r="K841" s="9">
        <f t="shared" si="139"/>
        <v>7.974533937821443E-2</v>
      </c>
      <c r="L841" s="19">
        <f t="shared" si="134"/>
        <v>-8664.08</v>
      </c>
    </row>
    <row r="842" spans="1:12" x14ac:dyDescent="0.35">
      <c r="A842" s="2" t="s">
        <v>103</v>
      </c>
      <c r="B842" t="s">
        <v>104</v>
      </c>
      <c r="C842" s="21" t="s">
        <v>275</v>
      </c>
      <c r="D842" s="4">
        <v>9</v>
      </c>
      <c r="E842" s="4"/>
      <c r="F842" s="3">
        <v>45966</v>
      </c>
      <c r="G842" s="1">
        <v>9255</v>
      </c>
      <c r="H842" s="1">
        <v>8664.08</v>
      </c>
      <c r="I842" s="1">
        <f t="shared" si="138"/>
        <v>590.92000000000007</v>
      </c>
      <c r="J842" s="1">
        <f t="shared" si="140"/>
        <v>6070.2800000000007</v>
      </c>
      <c r="K842" s="9">
        <f t="shared" si="139"/>
        <v>6.8203433024625823E-2</v>
      </c>
      <c r="L842" s="19">
        <f t="shared" si="134"/>
        <v>-8664.08</v>
      </c>
    </row>
    <row r="843" spans="1:12" x14ac:dyDescent="0.35">
      <c r="A843" s="2" t="s">
        <v>103</v>
      </c>
      <c r="B843" t="s">
        <v>104</v>
      </c>
      <c r="C843" s="21" t="s">
        <v>275</v>
      </c>
      <c r="D843" s="4">
        <v>10</v>
      </c>
      <c r="E843" s="4"/>
      <c r="G843" s="1"/>
      <c r="H843" s="1"/>
      <c r="I843" s="1">
        <f t="shared" si="138"/>
        <v>0</v>
      </c>
      <c r="J843" s="1">
        <f t="shared" si="140"/>
        <v>6070.2800000000007</v>
      </c>
      <c r="K843" s="9" t="e">
        <f t="shared" si="139"/>
        <v>#DIV/0!</v>
      </c>
      <c r="L843" s="19">
        <f t="shared" si="134"/>
        <v>0</v>
      </c>
    </row>
    <row r="844" spans="1:12" x14ac:dyDescent="0.35">
      <c r="A844" s="2" t="s">
        <v>103</v>
      </c>
      <c r="B844" t="s">
        <v>104</v>
      </c>
      <c r="C844" s="21" t="s">
        <v>275</v>
      </c>
      <c r="D844" s="4">
        <v>11</v>
      </c>
      <c r="E844" s="4"/>
      <c r="G844" s="1"/>
      <c r="H844" s="1"/>
      <c r="I844" s="1">
        <f t="shared" si="138"/>
        <v>0</v>
      </c>
      <c r="J844" s="1">
        <f t="shared" si="140"/>
        <v>6070.2800000000007</v>
      </c>
      <c r="K844" s="9" t="e">
        <f t="shared" si="139"/>
        <v>#DIV/0!</v>
      </c>
      <c r="L844" s="19">
        <f t="shared" si="134"/>
        <v>0</v>
      </c>
    </row>
    <row r="845" spans="1:12" x14ac:dyDescent="0.35">
      <c r="A845" s="2" t="s">
        <v>103</v>
      </c>
      <c r="B845" t="s">
        <v>104</v>
      </c>
      <c r="C845" s="21" t="s">
        <v>275</v>
      </c>
      <c r="D845" s="4">
        <v>12</v>
      </c>
      <c r="E845" s="4"/>
      <c r="G845" s="1"/>
      <c r="H845" s="1"/>
      <c r="I845" s="1">
        <f t="shared" si="138"/>
        <v>0</v>
      </c>
      <c r="J845" s="1">
        <f t="shared" si="140"/>
        <v>6070.2800000000007</v>
      </c>
      <c r="K845" s="9" t="e">
        <f t="shared" si="139"/>
        <v>#DIV/0!</v>
      </c>
      <c r="L845" s="19">
        <f t="shared" si="134"/>
        <v>0</v>
      </c>
    </row>
    <row r="846" spans="1:12" x14ac:dyDescent="0.35">
      <c r="A846" s="2" t="s">
        <v>103</v>
      </c>
      <c r="B846" t="s">
        <v>104</v>
      </c>
      <c r="C846" s="21" t="s">
        <v>275</v>
      </c>
      <c r="D846" s="4">
        <v>13</v>
      </c>
      <c r="E846" s="4"/>
      <c r="G846" s="1"/>
      <c r="H846" s="1"/>
      <c r="I846" s="1">
        <f t="shared" si="138"/>
        <v>0</v>
      </c>
      <c r="J846" s="1">
        <f t="shared" si="140"/>
        <v>6070.2800000000007</v>
      </c>
      <c r="K846" s="9" t="e">
        <f t="shared" si="139"/>
        <v>#DIV/0!</v>
      </c>
      <c r="L846" s="19">
        <f t="shared" si="134"/>
        <v>0</v>
      </c>
    </row>
    <row r="847" spans="1:12" x14ac:dyDescent="0.35">
      <c r="A847" s="2" t="s">
        <v>103</v>
      </c>
      <c r="B847" t="s">
        <v>104</v>
      </c>
      <c r="C847" s="21" t="s">
        <v>275</v>
      </c>
      <c r="D847" s="4">
        <v>14</v>
      </c>
      <c r="E847" s="4"/>
      <c r="G847" s="1"/>
      <c r="H847" s="1"/>
      <c r="I847" s="1">
        <f t="shared" si="138"/>
        <v>0</v>
      </c>
      <c r="J847" s="1">
        <f t="shared" si="140"/>
        <v>6070.2800000000007</v>
      </c>
      <c r="K847" s="9" t="e">
        <f t="shared" si="139"/>
        <v>#DIV/0!</v>
      </c>
      <c r="L847" s="19">
        <f t="shared" si="134"/>
        <v>0</v>
      </c>
    </row>
    <row r="848" spans="1:12" x14ac:dyDescent="0.35">
      <c r="A848" s="2" t="s">
        <v>103</v>
      </c>
      <c r="B848" t="s">
        <v>104</v>
      </c>
      <c r="C848" s="21" t="s">
        <v>275</v>
      </c>
      <c r="D848" s="4">
        <v>15</v>
      </c>
      <c r="E848" s="4"/>
      <c r="G848" s="1"/>
      <c r="H848" s="1"/>
      <c r="I848" s="1">
        <f t="shared" si="138"/>
        <v>0</v>
      </c>
      <c r="J848" s="1">
        <f t="shared" si="140"/>
        <v>6070.2800000000007</v>
      </c>
      <c r="K848" s="9" t="e">
        <f t="shared" si="139"/>
        <v>#DIV/0!</v>
      </c>
      <c r="L848" s="19">
        <f t="shared" si="134"/>
        <v>0</v>
      </c>
    </row>
    <row r="849" spans="1:12" ht="15" thickBot="1" x14ac:dyDescent="0.4">
      <c r="A849" s="12" t="s">
        <v>103</v>
      </c>
      <c r="B849" s="13" t="s">
        <v>104</v>
      </c>
      <c r="C849" s="21" t="s">
        <v>275</v>
      </c>
      <c r="D849" s="14">
        <v>16</v>
      </c>
      <c r="E849" s="14"/>
      <c r="F849" s="13"/>
      <c r="G849" s="15"/>
      <c r="H849" s="15"/>
      <c r="I849" s="15">
        <f t="shared" si="138"/>
        <v>0</v>
      </c>
      <c r="J849" s="15">
        <f t="shared" si="140"/>
        <v>6070.2800000000007</v>
      </c>
      <c r="K849" s="13"/>
      <c r="L849" s="19">
        <f t="shared" si="134"/>
        <v>0</v>
      </c>
    </row>
    <row r="850" spans="1:12" x14ac:dyDescent="0.35">
      <c r="A850" s="2" t="s">
        <v>105</v>
      </c>
      <c r="B850" t="s">
        <v>106</v>
      </c>
      <c r="C850" s="21" t="s">
        <v>275</v>
      </c>
      <c r="D850" s="4">
        <v>1</v>
      </c>
      <c r="E850" s="4"/>
      <c r="F850" s="3">
        <v>45910</v>
      </c>
      <c r="G850" s="1">
        <v>11492</v>
      </c>
      <c r="H850" s="1">
        <v>10944</v>
      </c>
      <c r="I850" s="1">
        <f t="shared" si="138"/>
        <v>548</v>
      </c>
      <c r="J850" s="1">
        <f>I850</f>
        <v>548</v>
      </c>
      <c r="K850" s="9">
        <f t="shared" ref="K850:K864" si="141">I850/H850</f>
        <v>5.0073099415204679E-2</v>
      </c>
      <c r="L850" s="19">
        <f t="shared" si="134"/>
        <v>-10944</v>
      </c>
    </row>
    <row r="851" spans="1:12" x14ac:dyDescent="0.35">
      <c r="A851" s="2" t="s">
        <v>105</v>
      </c>
      <c r="B851" t="s">
        <v>106</v>
      </c>
      <c r="C851" s="21" t="s">
        <v>275</v>
      </c>
      <c r="D851" s="4">
        <v>2</v>
      </c>
      <c r="E851" s="4"/>
      <c r="F851" s="3">
        <v>45917</v>
      </c>
      <c r="G851" s="1">
        <v>11492</v>
      </c>
      <c r="H851" s="1">
        <v>10944</v>
      </c>
      <c r="I851" s="1">
        <f t="shared" si="138"/>
        <v>548</v>
      </c>
      <c r="J851" s="1">
        <f>J850+I851</f>
        <v>1096</v>
      </c>
      <c r="K851" s="9">
        <f t="shared" si="141"/>
        <v>5.0073099415204679E-2</v>
      </c>
      <c r="L851" s="19">
        <f t="shared" si="134"/>
        <v>-10944</v>
      </c>
    </row>
    <row r="852" spans="1:12" x14ac:dyDescent="0.35">
      <c r="A852" s="2" t="s">
        <v>105</v>
      </c>
      <c r="B852" t="s">
        <v>106</v>
      </c>
      <c r="C852" s="21" t="s">
        <v>275</v>
      </c>
      <c r="D852" s="4">
        <v>3</v>
      </c>
      <c r="E852" s="4"/>
      <c r="F852" s="3">
        <v>45924</v>
      </c>
      <c r="G852" s="1">
        <v>11492</v>
      </c>
      <c r="H852" s="1">
        <v>10944</v>
      </c>
      <c r="I852" s="1">
        <f t="shared" si="138"/>
        <v>548</v>
      </c>
      <c r="J852" s="1">
        <f t="shared" ref="J852:J865" si="142">J851+I852</f>
        <v>1644</v>
      </c>
      <c r="K852" s="9">
        <f t="shared" si="141"/>
        <v>5.0073099415204679E-2</v>
      </c>
      <c r="L852" s="19">
        <f t="shared" si="134"/>
        <v>-10944</v>
      </c>
    </row>
    <row r="853" spans="1:12" x14ac:dyDescent="0.35">
      <c r="A853" s="2" t="s">
        <v>105</v>
      </c>
      <c r="B853" t="s">
        <v>106</v>
      </c>
      <c r="C853" s="21" t="s">
        <v>275</v>
      </c>
      <c r="D853" s="4">
        <v>4</v>
      </c>
      <c r="E853" s="4"/>
      <c r="F853" s="3">
        <v>45931</v>
      </c>
      <c r="G853" s="1">
        <v>11492</v>
      </c>
      <c r="H853" s="1">
        <v>10944</v>
      </c>
      <c r="I853" s="1">
        <f t="shared" si="138"/>
        <v>548</v>
      </c>
      <c r="J853" s="1">
        <f t="shared" si="142"/>
        <v>2192</v>
      </c>
      <c r="K853" s="9">
        <f t="shared" si="141"/>
        <v>5.0073099415204679E-2</v>
      </c>
      <c r="L853" s="19">
        <f t="shared" si="134"/>
        <v>-10944</v>
      </c>
    </row>
    <row r="854" spans="1:12" x14ac:dyDescent="0.35">
      <c r="A854" s="2" t="s">
        <v>105</v>
      </c>
      <c r="B854" t="s">
        <v>106</v>
      </c>
      <c r="C854" s="21" t="s">
        <v>275</v>
      </c>
      <c r="D854" s="4">
        <v>5</v>
      </c>
      <c r="E854" s="4"/>
      <c r="F854" s="3">
        <v>45938</v>
      </c>
      <c r="G854" s="1">
        <v>11492</v>
      </c>
      <c r="H854" s="1">
        <v>10944</v>
      </c>
      <c r="I854" s="1">
        <f t="shared" si="138"/>
        <v>548</v>
      </c>
      <c r="J854" s="1">
        <f t="shared" si="142"/>
        <v>2740</v>
      </c>
      <c r="K854" s="9">
        <f t="shared" si="141"/>
        <v>5.0073099415204679E-2</v>
      </c>
      <c r="L854" s="19">
        <f t="shared" si="134"/>
        <v>-10944</v>
      </c>
    </row>
    <row r="855" spans="1:12" x14ac:dyDescent="0.35">
      <c r="A855" s="2" t="s">
        <v>105</v>
      </c>
      <c r="B855" t="s">
        <v>106</v>
      </c>
      <c r="C855" s="21" t="s">
        <v>275</v>
      </c>
      <c r="D855" s="4">
        <v>6</v>
      </c>
      <c r="E855" s="4"/>
      <c r="F855" s="3">
        <v>45945</v>
      </c>
      <c r="G855" s="1">
        <v>11492</v>
      </c>
      <c r="H855" s="1">
        <v>10944</v>
      </c>
      <c r="I855" s="1">
        <f t="shared" si="138"/>
        <v>548</v>
      </c>
      <c r="J855" s="1">
        <f t="shared" si="142"/>
        <v>3288</v>
      </c>
      <c r="K855" s="9">
        <f t="shared" si="141"/>
        <v>5.0073099415204679E-2</v>
      </c>
      <c r="L855" s="19">
        <f t="shared" si="134"/>
        <v>-10944</v>
      </c>
    </row>
    <row r="856" spans="1:12" x14ac:dyDescent="0.35">
      <c r="A856" s="2" t="s">
        <v>105</v>
      </c>
      <c r="B856" t="s">
        <v>106</v>
      </c>
      <c r="C856" s="21" t="s">
        <v>275</v>
      </c>
      <c r="D856" s="4">
        <v>7</v>
      </c>
      <c r="E856" s="4"/>
      <c r="F856" s="3">
        <v>45952</v>
      </c>
      <c r="G856" s="1">
        <v>11492</v>
      </c>
      <c r="H856" s="1">
        <v>10944</v>
      </c>
      <c r="I856" s="1">
        <f t="shared" si="138"/>
        <v>548</v>
      </c>
      <c r="J856" s="1">
        <f t="shared" si="142"/>
        <v>3836</v>
      </c>
      <c r="K856" s="9">
        <f t="shared" si="141"/>
        <v>5.0073099415204679E-2</v>
      </c>
      <c r="L856" s="19">
        <f t="shared" si="134"/>
        <v>-10944</v>
      </c>
    </row>
    <row r="857" spans="1:12" x14ac:dyDescent="0.35">
      <c r="A857" s="2" t="s">
        <v>105</v>
      </c>
      <c r="B857" t="s">
        <v>106</v>
      </c>
      <c r="C857" s="21" t="s">
        <v>275</v>
      </c>
      <c r="D857" s="4">
        <v>8</v>
      </c>
      <c r="E857" s="4"/>
      <c r="F857" s="3">
        <v>45959</v>
      </c>
      <c r="G857" s="1">
        <v>11492</v>
      </c>
      <c r="H857" s="1">
        <v>10945</v>
      </c>
      <c r="I857" s="1">
        <f t="shared" si="138"/>
        <v>547</v>
      </c>
      <c r="J857" s="1">
        <f t="shared" si="142"/>
        <v>4383</v>
      </c>
      <c r="K857" s="9">
        <f t="shared" si="141"/>
        <v>4.9977158519872091E-2</v>
      </c>
      <c r="L857" s="19">
        <f t="shared" si="134"/>
        <v>-10945</v>
      </c>
    </row>
    <row r="858" spans="1:12" x14ac:dyDescent="0.35">
      <c r="A858" s="2" t="s">
        <v>105</v>
      </c>
      <c r="B858" t="s">
        <v>106</v>
      </c>
      <c r="C858" s="21" t="s">
        <v>275</v>
      </c>
      <c r="D858" s="4">
        <v>9</v>
      </c>
      <c r="E858" s="4"/>
      <c r="F858" s="3">
        <v>45967</v>
      </c>
      <c r="G858" s="1">
        <v>11738</v>
      </c>
      <c r="H858" s="1">
        <v>10945</v>
      </c>
      <c r="I858" s="1">
        <f t="shared" si="138"/>
        <v>793</v>
      </c>
      <c r="J858" s="1">
        <f t="shared" si="142"/>
        <v>5176</v>
      </c>
      <c r="K858" s="9">
        <f t="shared" si="141"/>
        <v>7.2453174965737777E-2</v>
      </c>
      <c r="L858" s="19">
        <f t="shared" si="134"/>
        <v>-10945</v>
      </c>
    </row>
    <row r="859" spans="1:12" x14ac:dyDescent="0.35">
      <c r="A859" s="2" t="s">
        <v>105</v>
      </c>
      <c r="B859" t="s">
        <v>106</v>
      </c>
      <c r="C859" s="21" t="s">
        <v>275</v>
      </c>
      <c r="D859" s="4">
        <v>10</v>
      </c>
      <c r="E859" s="4"/>
      <c r="G859" s="1"/>
      <c r="H859" s="1"/>
      <c r="I859" s="1">
        <f t="shared" si="138"/>
        <v>0</v>
      </c>
      <c r="J859" s="1">
        <f t="shared" si="142"/>
        <v>5176</v>
      </c>
      <c r="K859" s="9" t="e">
        <f t="shared" si="141"/>
        <v>#DIV/0!</v>
      </c>
      <c r="L859" s="19">
        <f t="shared" si="134"/>
        <v>0</v>
      </c>
    </row>
    <row r="860" spans="1:12" x14ac:dyDescent="0.35">
      <c r="A860" s="2" t="s">
        <v>105</v>
      </c>
      <c r="B860" t="s">
        <v>106</v>
      </c>
      <c r="C860" s="21" t="s">
        <v>275</v>
      </c>
      <c r="D860" s="4">
        <v>11</v>
      </c>
      <c r="E860" s="4"/>
      <c r="G860" s="1"/>
      <c r="H860" s="1"/>
      <c r="I860" s="1">
        <f t="shared" si="138"/>
        <v>0</v>
      </c>
      <c r="J860" s="1">
        <f t="shared" si="142"/>
        <v>5176</v>
      </c>
      <c r="K860" s="9" t="e">
        <f t="shared" si="141"/>
        <v>#DIV/0!</v>
      </c>
      <c r="L860" s="19">
        <f t="shared" si="134"/>
        <v>0</v>
      </c>
    </row>
    <row r="861" spans="1:12" x14ac:dyDescent="0.35">
      <c r="A861" s="2" t="s">
        <v>105</v>
      </c>
      <c r="B861" t="s">
        <v>106</v>
      </c>
      <c r="C861" s="21" t="s">
        <v>275</v>
      </c>
      <c r="D861" s="4">
        <v>12</v>
      </c>
      <c r="E861" s="4"/>
      <c r="G861" s="1"/>
      <c r="H861" s="1"/>
      <c r="I861" s="1">
        <f t="shared" si="138"/>
        <v>0</v>
      </c>
      <c r="J861" s="1">
        <f t="shared" si="142"/>
        <v>5176</v>
      </c>
      <c r="K861" s="9" t="e">
        <f t="shared" si="141"/>
        <v>#DIV/0!</v>
      </c>
      <c r="L861" s="19">
        <f t="shared" si="134"/>
        <v>0</v>
      </c>
    </row>
    <row r="862" spans="1:12" x14ac:dyDescent="0.35">
      <c r="A862" s="2" t="s">
        <v>105</v>
      </c>
      <c r="B862" t="s">
        <v>106</v>
      </c>
      <c r="C862" s="21" t="s">
        <v>275</v>
      </c>
      <c r="D862" s="4">
        <v>13</v>
      </c>
      <c r="E862" s="4"/>
      <c r="G862" s="1"/>
      <c r="H862" s="1"/>
      <c r="I862" s="1">
        <f t="shared" si="138"/>
        <v>0</v>
      </c>
      <c r="J862" s="1">
        <f t="shared" si="142"/>
        <v>5176</v>
      </c>
      <c r="K862" s="9" t="e">
        <f t="shared" si="141"/>
        <v>#DIV/0!</v>
      </c>
      <c r="L862" s="19">
        <f t="shared" si="134"/>
        <v>0</v>
      </c>
    </row>
    <row r="863" spans="1:12" x14ac:dyDescent="0.35">
      <c r="A863" s="2" t="s">
        <v>105</v>
      </c>
      <c r="B863" t="s">
        <v>106</v>
      </c>
      <c r="C863" s="21" t="s">
        <v>275</v>
      </c>
      <c r="D863" s="4">
        <v>14</v>
      </c>
      <c r="E863" s="4"/>
      <c r="G863" s="1"/>
      <c r="H863" s="1"/>
      <c r="I863" s="1">
        <f t="shared" si="138"/>
        <v>0</v>
      </c>
      <c r="J863" s="1">
        <f t="shared" si="142"/>
        <v>5176</v>
      </c>
      <c r="K863" s="9" t="e">
        <f t="shared" si="141"/>
        <v>#DIV/0!</v>
      </c>
      <c r="L863" s="19">
        <f t="shared" si="134"/>
        <v>0</v>
      </c>
    </row>
    <row r="864" spans="1:12" x14ac:dyDescent="0.35">
      <c r="A864" s="2" t="s">
        <v>105</v>
      </c>
      <c r="B864" t="s">
        <v>106</v>
      </c>
      <c r="C864" s="21" t="s">
        <v>275</v>
      </c>
      <c r="D864" s="4">
        <v>15</v>
      </c>
      <c r="E864" s="4"/>
      <c r="G864" s="1"/>
      <c r="H864" s="1"/>
      <c r="I864" s="1">
        <f t="shared" si="138"/>
        <v>0</v>
      </c>
      <c r="J864" s="1">
        <f t="shared" si="142"/>
        <v>5176</v>
      </c>
      <c r="K864" s="9" t="e">
        <f t="shared" si="141"/>
        <v>#DIV/0!</v>
      </c>
      <c r="L864" s="19">
        <f t="shared" si="134"/>
        <v>0</v>
      </c>
    </row>
    <row r="865" spans="1:12" ht="15" thickBot="1" x14ac:dyDescent="0.4">
      <c r="A865" s="12" t="s">
        <v>105</v>
      </c>
      <c r="B865" s="13" t="s">
        <v>106</v>
      </c>
      <c r="C865" s="21" t="s">
        <v>275</v>
      </c>
      <c r="D865" s="14">
        <v>16</v>
      </c>
      <c r="E865" s="14"/>
      <c r="F865" s="13"/>
      <c r="G865" s="15"/>
      <c r="H865" s="15"/>
      <c r="I865" s="15">
        <f t="shared" si="138"/>
        <v>0</v>
      </c>
      <c r="J865" s="15">
        <f t="shared" si="142"/>
        <v>5176</v>
      </c>
      <c r="K865" s="13"/>
      <c r="L865" s="19">
        <f t="shared" si="134"/>
        <v>0</v>
      </c>
    </row>
    <row r="866" spans="1:12" x14ac:dyDescent="0.35">
      <c r="A866" s="2" t="s">
        <v>108</v>
      </c>
      <c r="B866" t="s">
        <v>107</v>
      </c>
      <c r="C866" s="21" t="s">
        <v>275</v>
      </c>
      <c r="D866" s="4">
        <v>1</v>
      </c>
      <c r="E866" s="4"/>
      <c r="F866" s="3">
        <v>45911</v>
      </c>
      <c r="G866" s="1">
        <v>4242</v>
      </c>
      <c r="H866" s="1">
        <v>3800</v>
      </c>
      <c r="I866" s="1">
        <f t="shared" si="138"/>
        <v>442</v>
      </c>
      <c r="J866" s="1">
        <f>I866</f>
        <v>442</v>
      </c>
      <c r="K866" s="9">
        <f t="shared" ref="K866:K880" si="143">I866/H866</f>
        <v>0.11631578947368421</v>
      </c>
      <c r="L866" s="19">
        <f t="shared" ref="L866:L929" si="144">E866-H866</f>
        <v>-3800</v>
      </c>
    </row>
    <row r="867" spans="1:12" x14ac:dyDescent="0.35">
      <c r="A867" s="2" t="s">
        <v>108</v>
      </c>
      <c r="B867" t="s">
        <v>107</v>
      </c>
      <c r="C867" s="21" t="s">
        <v>275</v>
      </c>
      <c r="D867" s="4">
        <v>2</v>
      </c>
      <c r="E867" s="4"/>
      <c r="F867" s="3">
        <v>45918</v>
      </c>
      <c r="G867" s="1">
        <v>4170</v>
      </c>
      <c r="H867" s="1">
        <v>3800</v>
      </c>
      <c r="I867" s="1">
        <f t="shared" si="138"/>
        <v>370</v>
      </c>
      <c r="J867" s="1">
        <f>J866+I867</f>
        <v>812</v>
      </c>
      <c r="K867" s="9">
        <f t="shared" si="143"/>
        <v>9.7368421052631576E-2</v>
      </c>
      <c r="L867" s="19">
        <f t="shared" si="144"/>
        <v>-3800</v>
      </c>
    </row>
    <row r="868" spans="1:12" x14ac:dyDescent="0.35">
      <c r="A868" s="2" t="s">
        <v>108</v>
      </c>
      <c r="B868" t="s">
        <v>107</v>
      </c>
      <c r="C868" s="21" t="s">
        <v>275</v>
      </c>
      <c r="D868" s="4">
        <v>3</v>
      </c>
      <c r="E868" s="4"/>
      <c r="F868" s="3">
        <v>45925</v>
      </c>
      <c r="G868" s="1">
        <v>4242</v>
      </c>
      <c r="H868" s="1">
        <v>3800</v>
      </c>
      <c r="I868" s="1">
        <f t="shared" si="138"/>
        <v>442</v>
      </c>
      <c r="J868" s="1">
        <f t="shared" ref="J868:J881" si="145">J867+I868</f>
        <v>1254</v>
      </c>
      <c r="K868" s="9">
        <f t="shared" si="143"/>
        <v>0.11631578947368421</v>
      </c>
      <c r="L868" s="19">
        <f t="shared" si="144"/>
        <v>-3800</v>
      </c>
    </row>
    <row r="869" spans="1:12" x14ac:dyDescent="0.35">
      <c r="A869" s="2" t="s">
        <v>108</v>
      </c>
      <c r="B869" t="s">
        <v>107</v>
      </c>
      <c r="C869" s="21" t="s">
        <v>275</v>
      </c>
      <c r="D869" s="4">
        <v>4</v>
      </c>
      <c r="E869" s="4"/>
      <c r="F869" s="3">
        <v>45932</v>
      </c>
      <c r="G869" s="1">
        <v>4242</v>
      </c>
      <c r="H869" s="1">
        <v>3801.02</v>
      </c>
      <c r="I869" s="1">
        <f t="shared" si="138"/>
        <v>440.98</v>
      </c>
      <c r="J869" s="1">
        <f t="shared" si="145"/>
        <v>1694.98</v>
      </c>
      <c r="K869" s="9">
        <f t="shared" si="143"/>
        <v>0.11601622722321904</v>
      </c>
      <c r="L869" s="19">
        <f t="shared" si="144"/>
        <v>-3801.02</v>
      </c>
    </row>
    <row r="870" spans="1:12" x14ac:dyDescent="0.35">
      <c r="A870" s="2" t="s">
        <v>108</v>
      </c>
      <c r="B870" t="s">
        <v>107</v>
      </c>
      <c r="C870" s="21" t="s">
        <v>275</v>
      </c>
      <c r="D870" s="4">
        <v>5</v>
      </c>
      <c r="E870" s="4"/>
      <c r="F870" s="3">
        <v>45939</v>
      </c>
      <c r="G870" s="1">
        <v>4167</v>
      </c>
      <c r="H870" s="1">
        <v>3801</v>
      </c>
      <c r="I870" s="1">
        <f t="shared" si="138"/>
        <v>366</v>
      </c>
      <c r="J870" s="1">
        <f t="shared" si="145"/>
        <v>2060.98</v>
      </c>
      <c r="K870" s="9">
        <f t="shared" si="143"/>
        <v>9.6290449881610105E-2</v>
      </c>
      <c r="L870" s="19">
        <f t="shared" si="144"/>
        <v>-3801</v>
      </c>
    </row>
    <row r="871" spans="1:12" x14ac:dyDescent="0.35">
      <c r="A871" s="2" t="s">
        <v>108</v>
      </c>
      <c r="B871" t="s">
        <v>107</v>
      </c>
      <c r="C871" s="21" t="s">
        <v>275</v>
      </c>
      <c r="D871" s="4">
        <v>6</v>
      </c>
      <c r="E871" s="4"/>
      <c r="F871" s="3">
        <v>45946</v>
      </c>
      <c r="G871" s="1">
        <v>4242</v>
      </c>
      <c r="H871" s="1">
        <v>3801</v>
      </c>
      <c r="I871" s="1">
        <f t="shared" si="138"/>
        <v>441</v>
      </c>
      <c r="J871" s="1">
        <f t="shared" si="145"/>
        <v>2501.98</v>
      </c>
      <c r="K871" s="9">
        <f t="shared" si="143"/>
        <v>0.11602209944751381</v>
      </c>
      <c r="L871" s="19">
        <f t="shared" si="144"/>
        <v>-3801</v>
      </c>
    </row>
    <row r="872" spans="1:12" x14ac:dyDescent="0.35">
      <c r="A872" s="2" t="s">
        <v>108</v>
      </c>
      <c r="B872" t="s">
        <v>107</v>
      </c>
      <c r="C872" s="21" t="s">
        <v>275</v>
      </c>
      <c r="D872" s="4">
        <v>7</v>
      </c>
      <c r="E872" s="4"/>
      <c r="F872" s="3">
        <v>45953</v>
      </c>
      <c r="G872" s="1">
        <v>4242</v>
      </c>
      <c r="H872" s="1">
        <v>3801</v>
      </c>
      <c r="I872" s="1">
        <f t="shared" si="138"/>
        <v>441</v>
      </c>
      <c r="J872" s="1">
        <f t="shared" si="145"/>
        <v>2942.98</v>
      </c>
      <c r="K872" s="9">
        <f t="shared" si="143"/>
        <v>0.11602209944751381</v>
      </c>
      <c r="L872" s="19">
        <f t="shared" si="144"/>
        <v>-3801</v>
      </c>
    </row>
    <row r="873" spans="1:12" x14ac:dyDescent="0.35">
      <c r="A873" s="2" t="s">
        <v>108</v>
      </c>
      <c r="B873" t="s">
        <v>107</v>
      </c>
      <c r="C873" s="21" t="s">
        <v>275</v>
      </c>
      <c r="D873" s="4">
        <v>8</v>
      </c>
      <c r="E873" s="4"/>
      <c r="F873" s="3">
        <v>45960</v>
      </c>
      <c r="G873" s="1">
        <v>4167</v>
      </c>
      <c r="H873" s="1">
        <v>3801</v>
      </c>
      <c r="I873" s="1">
        <f t="shared" si="138"/>
        <v>366</v>
      </c>
      <c r="J873" s="1">
        <f t="shared" si="145"/>
        <v>3308.98</v>
      </c>
      <c r="K873" s="9">
        <f t="shared" si="143"/>
        <v>9.6290449881610105E-2</v>
      </c>
      <c r="L873" s="19">
        <f t="shared" si="144"/>
        <v>-3801</v>
      </c>
    </row>
    <row r="874" spans="1:12" x14ac:dyDescent="0.35">
      <c r="A874" s="2" t="s">
        <v>108</v>
      </c>
      <c r="B874" t="s">
        <v>107</v>
      </c>
      <c r="C874" s="21" t="s">
        <v>275</v>
      </c>
      <c r="D874" s="4">
        <v>9</v>
      </c>
      <c r="E874" s="4"/>
      <c r="F874" s="3">
        <v>45967</v>
      </c>
      <c r="G874" s="1">
        <v>4242</v>
      </c>
      <c r="H874" s="1">
        <v>3801</v>
      </c>
      <c r="I874" s="1">
        <f t="shared" si="138"/>
        <v>441</v>
      </c>
      <c r="J874" s="1">
        <f t="shared" si="145"/>
        <v>3749.98</v>
      </c>
      <c r="K874" s="9">
        <f t="shared" si="143"/>
        <v>0.11602209944751381</v>
      </c>
      <c r="L874" s="19">
        <f t="shared" si="144"/>
        <v>-3801</v>
      </c>
    </row>
    <row r="875" spans="1:12" x14ac:dyDescent="0.35">
      <c r="A875" s="2" t="s">
        <v>108</v>
      </c>
      <c r="B875" t="s">
        <v>107</v>
      </c>
      <c r="C875" s="21" t="s">
        <v>275</v>
      </c>
      <c r="D875" s="4">
        <v>10</v>
      </c>
      <c r="E875" s="4"/>
      <c r="G875" s="1"/>
      <c r="H875" s="1"/>
      <c r="I875" s="1">
        <f t="shared" si="138"/>
        <v>0</v>
      </c>
      <c r="J875" s="1">
        <f t="shared" si="145"/>
        <v>3749.98</v>
      </c>
      <c r="K875" s="9" t="e">
        <f t="shared" si="143"/>
        <v>#DIV/0!</v>
      </c>
      <c r="L875" s="19">
        <f t="shared" si="144"/>
        <v>0</v>
      </c>
    </row>
    <row r="876" spans="1:12" x14ac:dyDescent="0.35">
      <c r="A876" s="2" t="s">
        <v>108</v>
      </c>
      <c r="B876" t="s">
        <v>107</v>
      </c>
      <c r="C876" s="21" t="s">
        <v>275</v>
      </c>
      <c r="D876" s="4">
        <v>11</v>
      </c>
      <c r="E876" s="4"/>
      <c r="G876" s="1"/>
      <c r="H876" s="1"/>
      <c r="I876" s="1">
        <f t="shared" si="138"/>
        <v>0</v>
      </c>
      <c r="J876" s="1">
        <f t="shared" si="145"/>
        <v>3749.98</v>
      </c>
      <c r="K876" s="9" t="e">
        <f t="shared" si="143"/>
        <v>#DIV/0!</v>
      </c>
      <c r="L876" s="19">
        <f t="shared" si="144"/>
        <v>0</v>
      </c>
    </row>
    <row r="877" spans="1:12" x14ac:dyDescent="0.35">
      <c r="A877" s="2" t="s">
        <v>108</v>
      </c>
      <c r="B877" t="s">
        <v>107</v>
      </c>
      <c r="C877" s="21" t="s">
        <v>275</v>
      </c>
      <c r="D877" s="4">
        <v>12</v>
      </c>
      <c r="E877" s="4"/>
      <c r="G877" s="1"/>
      <c r="H877" s="1"/>
      <c r="I877" s="1">
        <f t="shared" si="138"/>
        <v>0</v>
      </c>
      <c r="J877" s="1">
        <f t="shared" si="145"/>
        <v>3749.98</v>
      </c>
      <c r="K877" s="9" t="e">
        <f t="shared" si="143"/>
        <v>#DIV/0!</v>
      </c>
      <c r="L877" s="19">
        <f t="shared" si="144"/>
        <v>0</v>
      </c>
    </row>
    <row r="878" spans="1:12" x14ac:dyDescent="0.35">
      <c r="A878" s="2" t="s">
        <v>108</v>
      </c>
      <c r="B878" t="s">
        <v>107</v>
      </c>
      <c r="C878" s="21" t="s">
        <v>275</v>
      </c>
      <c r="D878" s="4">
        <v>13</v>
      </c>
      <c r="E878" s="4"/>
      <c r="G878" s="1"/>
      <c r="H878" s="1"/>
      <c r="I878" s="1">
        <f t="shared" si="138"/>
        <v>0</v>
      </c>
      <c r="J878" s="1">
        <f t="shared" si="145"/>
        <v>3749.98</v>
      </c>
      <c r="K878" s="9" t="e">
        <f t="shared" si="143"/>
        <v>#DIV/0!</v>
      </c>
      <c r="L878" s="19">
        <f t="shared" si="144"/>
        <v>0</v>
      </c>
    </row>
    <row r="879" spans="1:12" x14ac:dyDescent="0.35">
      <c r="A879" s="2" t="s">
        <v>108</v>
      </c>
      <c r="B879" t="s">
        <v>107</v>
      </c>
      <c r="C879" s="21" t="s">
        <v>275</v>
      </c>
      <c r="D879" s="4">
        <v>14</v>
      </c>
      <c r="E879" s="4"/>
      <c r="G879" s="1"/>
      <c r="H879" s="1"/>
      <c r="I879" s="1">
        <f t="shared" si="138"/>
        <v>0</v>
      </c>
      <c r="J879" s="1">
        <f t="shared" si="145"/>
        <v>3749.98</v>
      </c>
      <c r="K879" s="9" t="e">
        <f t="shared" si="143"/>
        <v>#DIV/0!</v>
      </c>
      <c r="L879" s="19">
        <f t="shared" si="144"/>
        <v>0</v>
      </c>
    </row>
    <row r="880" spans="1:12" x14ac:dyDescent="0.35">
      <c r="A880" s="2" t="s">
        <v>108</v>
      </c>
      <c r="B880" t="s">
        <v>107</v>
      </c>
      <c r="C880" s="21" t="s">
        <v>275</v>
      </c>
      <c r="D880" s="4">
        <v>15</v>
      </c>
      <c r="E880" s="4"/>
      <c r="G880" s="1"/>
      <c r="H880" s="1"/>
      <c r="I880" s="1">
        <f t="shared" si="138"/>
        <v>0</v>
      </c>
      <c r="J880" s="1">
        <f t="shared" si="145"/>
        <v>3749.98</v>
      </c>
      <c r="K880" s="9" t="e">
        <f t="shared" si="143"/>
        <v>#DIV/0!</v>
      </c>
      <c r="L880" s="19">
        <f t="shared" si="144"/>
        <v>0</v>
      </c>
    </row>
    <row r="881" spans="1:12" ht="15" thickBot="1" x14ac:dyDescent="0.4">
      <c r="A881" s="12" t="s">
        <v>108</v>
      </c>
      <c r="B881" s="13" t="s">
        <v>107</v>
      </c>
      <c r="C881" s="21" t="s">
        <v>275</v>
      </c>
      <c r="D881" s="14">
        <v>16</v>
      </c>
      <c r="E881" s="14"/>
      <c r="F881" s="13"/>
      <c r="G881" s="15"/>
      <c r="H881" s="15"/>
      <c r="I881" s="15">
        <f t="shared" si="138"/>
        <v>0</v>
      </c>
      <c r="J881" s="15">
        <f t="shared" si="145"/>
        <v>3749.98</v>
      </c>
      <c r="K881" s="13"/>
      <c r="L881" s="19">
        <f t="shared" si="144"/>
        <v>0</v>
      </c>
    </row>
    <row r="882" spans="1:12" x14ac:dyDescent="0.35">
      <c r="A882" s="2" t="s">
        <v>109</v>
      </c>
      <c r="B882" t="s">
        <v>110</v>
      </c>
      <c r="C882" s="21" t="s">
        <v>275</v>
      </c>
      <c r="D882" s="4">
        <v>1</v>
      </c>
      <c r="E882" s="4"/>
      <c r="F882" s="3">
        <v>45913</v>
      </c>
      <c r="G882" s="1">
        <v>6784</v>
      </c>
      <c r="H882" s="1">
        <v>6460</v>
      </c>
      <c r="I882" s="1">
        <f t="shared" si="138"/>
        <v>324</v>
      </c>
      <c r="J882" s="1">
        <f>I882</f>
        <v>324</v>
      </c>
      <c r="K882" s="9">
        <f t="shared" ref="K882:K889" si="146">I882/H882</f>
        <v>5.0154798761609908E-2</v>
      </c>
      <c r="L882" s="19">
        <f t="shared" si="144"/>
        <v>-6460</v>
      </c>
    </row>
    <row r="883" spans="1:12" x14ac:dyDescent="0.35">
      <c r="A883" s="2" t="s">
        <v>109</v>
      </c>
      <c r="B883" t="s">
        <v>110</v>
      </c>
      <c r="C883" s="21" t="s">
        <v>275</v>
      </c>
      <c r="D883" s="4">
        <v>2</v>
      </c>
      <c r="E883" s="4"/>
      <c r="F883" s="3">
        <v>45920</v>
      </c>
      <c r="G883" s="1">
        <v>6784</v>
      </c>
      <c r="H883" s="1">
        <v>6460</v>
      </c>
      <c r="I883" s="1">
        <f t="shared" si="138"/>
        <v>324</v>
      </c>
      <c r="J883" s="1">
        <f>J882+I883</f>
        <v>648</v>
      </c>
      <c r="K883" s="9">
        <f t="shared" si="146"/>
        <v>5.0154798761609908E-2</v>
      </c>
      <c r="L883" s="19">
        <f t="shared" si="144"/>
        <v>-6460</v>
      </c>
    </row>
    <row r="884" spans="1:12" x14ac:dyDescent="0.35">
      <c r="A884" s="2" t="s">
        <v>109</v>
      </c>
      <c r="B884" t="s">
        <v>110</v>
      </c>
      <c r="C884" s="21" t="s">
        <v>275</v>
      </c>
      <c r="D884" s="4">
        <v>3</v>
      </c>
      <c r="E884" s="4"/>
      <c r="F884" s="3">
        <v>45927</v>
      </c>
      <c r="G884" s="1">
        <v>6800</v>
      </c>
      <c r="H884" s="1">
        <v>6460</v>
      </c>
      <c r="I884" s="1">
        <f t="shared" si="138"/>
        <v>340</v>
      </c>
      <c r="J884" s="1">
        <f t="shared" ref="J884:J897" si="147">J883+I884</f>
        <v>988</v>
      </c>
      <c r="K884" s="9">
        <f t="shared" si="146"/>
        <v>5.2631578947368418E-2</v>
      </c>
      <c r="L884" s="19">
        <f t="shared" si="144"/>
        <v>-6460</v>
      </c>
    </row>
    <row r="885" spans="1:12" x14ac:dyDescent="0.35">
      <c r="A885" s="2" t="s">
        <v>109</v>
      </c>
      <c r="B885" t="s">
        <v>110</v>
      </c>
      <c r="C885" s="21" t="s">
        <v>275</v>
      </c>
      <c r="D885" s="4">
        <v>4</v>
      </c>
      <c r="E885" s="4"/>
      <c r="F885" s="3">
        <v>45934</v>
      </c>
      <c r="G885" s="1">
        <v>6800</v>
      </c>
      <c r="H885" s="1">
        <v>6460</v>
      </c>
      <c r="I885" s="1">
        <f t="shared" si="138"/>
        <v>340</v>
      </c>
      <c r="J885" s="1">
        <f t="shared" si="147"/>
        <v>1328</v>
      </c>
      <c r="K885" s="9">
        <f t="shared" si="146"/>
        <v>5.2631578947368418E-2</v>
      </c>
      <c r="L885" s="19">
        <f t="shared" si="144"/>
        <v>-6460</v>
      </c>
    </row>
    <row r="886" spans="1:12" x14ac:dyDescent="0.35">
      <c r="A886" s="2" t="s">
        <v>109</v>
      </c>
      <c r="B886" t="s">
        <v>110</v>
      </c>
      <c r="C886" s="21" t="s">
        <v>275</v>
      </c>
      <c r="D886" s="4">
        <v>5</v>
      </c>
      <c r="E886" s="4"/>
      <c r="F886" s="3">
        <v>45941</v>
      </c>
      <c r="G886" s="1">
        <v>6800</v>
      </c>
      <c r="H886" s="1">
        <v>6460</v>
      </c>
      <c r="I886" s="1">
        <f t="shared" ref="I886:I949" si="148">G886-H886</f>
        <v>340</v>
      </c>
      <c r="J886" s="1">
        <f t="shared" si="147"/>
        <v>1668</v>
      </c>
      <c r="K886" s="9">
        <f t="shared" si="146"/>
        <v>5.2631578947368418E-2</v>
      </c>
      <c r="L886" s="19">
        <f t="shared" si="144"/>
        <v>-6460</v>
      </c>
    </row>
    <row r="887" spans="1:12" x14ac:dyDescent="0.35">
      <c r="A887" s="2" t="s">
        <v>109</v>
      </c>
      <c r="B887" t="s">
        <v>110</v>
      </c>
      <c r="C887" s="21" t="s">
        <v>275</v>
      </c>
      <c r="D887" s="4">
        <v>6</v>
      </c>
      <c r="E887" s="4"/>
      <c r="F887" s="3">
        <v>45948</v>
      </c>
      <c r="G887" s="1">
        <v>6800</v>
      </c>
      <c r="H887" s="1">
        <v>6460</v>
      </c>
      <c r="I887" s="1">
        <f t="shared" si="148"/>
        <v>340</v>
      </c>
      <c r="J887" s="1">
        <f t="shared" si="147"/>
        <v>2008</v>
      </c>
      <c r="K887" s="9">
        <f t="shared" si="146"/>
        <v>5.2631578947368418E-2</v>
      </c>
      <c r="L887" s="19">
        <f t="shared" si="144"/>
        <v>-6460</v>
      </c>
    </row>
    <row r="888" spans="1:12" x14ac:dyDescent="0.35">
      <c r="A888" s="2" t="s">
        <v>109</v>
      </c>
      <c r="B888" t="s">
        <v>110</v>
      </c>
      <c r="C888" s="21" t="s">
        <v>275</v>
      </c>
      <c r="D888" s="4">
        <v>7</v>
      </c>
      <c r="E888" s="4"/>
      <c r="F888" s="3">
        <v>45955</v>
      </c>
      <c r="G888" s="1">
        <v>6791</v>
      </c>
      <c r="H888" s="1">
        <v>6460</v>
      </c>
      <c r="I888" s="1">
        <f t="shared" si="148"/>
        <v>331</v>
      </c>
      <c r="J888" s="1">
        <f t="shared" si="147"/>
        <v>2339</v>
      </c>
      <c r="K888" s="9">
        <f t="shared" si="146"/>
        <v>5.1238390092879255E-2</v>
      </c>
      <c r="L888" s="19">
        <f t="shared" si="144"/>
        <v>-6460</v>
      </c>
    </row>
    <row r="889" spans="1:12" x14ac:dyDescent="0.35">
      <c r="A889" s="2" t="s">
        <v>109</v>
      </c>
      <c r="B889" t="s">
        <v>110</v>
      </c>
      <c r="C889" s="21" t="s">
        <v>275</v>
      </c>
      <c r="D889" s="4">
        <v>8</v>
      </c>
      <c r="E889" s="4"/>
      <c r="F889" s="3">
        <v>45962</v>
      </c>
      <c r="G889" s="1">
        <v>6621.6</v>
      </c>
      <c r="H889" s="1">
        <v>6460</v>
      </c>
      <c r="I889" s="1">
        <f t="shared" si="148"/>
        <v>161.60000000000036</v>
      </c>
      <c r="J889" s="1">
        <f t="shared" si="147"/>
        <v>2500.6000000000004</v>
      </c>
      <c r="K889" s="9">
        <f t="shared" si="146"/>
        <v>2.5015479876161047E-2</v>
      </c>
      <c r="L889" s="19">
        <f t="shared" si="144"/>
        <v>-6460</v>
      </c>
    </row>
    <row r="890" spans="1:12" x14ac:dyDescent="0.35">
      <c r="A890" s="2" t="s">
        <v>109</v>
      </c>
      <c r="B890" t="s">
        <v>110</v>
      </c>
      <c r="C890" s="21" t="s">
        <v>275</v>
      </c>
      <c r="D890" s="4">
        <v>9</v>
      </c>
      <c r="E890" s="4"/>
      <c r="G890" s="1"/>
      <c r="H890" s="1"/>
      <c r="I890" s="1">
        <f t="shared" si="148"/>
        <v>0</v>
      </c>
      <c r="J890" s="1">
        <f t="shared" si="147"/>
        <v>2500.6000000000004</v>
      </c>
      <c r="L890" s="19">
        <f t="shared" si="144"/>
        <v>0</v>
      </c>
    </row>
    <row r="891" spans="1:12" x14ac:dyDescent="0.35">
      <c r="A891" s="2" t="s">
        <v>109</v>
      </c>
      <c r="B891" t="s">
        <v>110</v>
      </c>
      <c r="C891" s="21" t="s">
        <v>275</v>
      </c>
      <c r="D891" s="4">
        <v>10</v>
      </c>
      <c r="E891" s="4"/>
      <c r="G891" s="1"/>
      <c r="H891" s="1"/>
      <c r="I891" s="1">
        <f t="shared" si="148"/>
        <v>0</v>
      </c>
      <c r="J891" s="1">
        <f t="shared" si="147"/>
        <v>2500.6000000000004</v>
      </c>
      <c r="L891" s="19">
        <f t="shared" si="144"/>
        <v>0</v>
      </c>
    </row>
    <row r="892" spans="1:12" x14ac:dyDescent="0.35">
      <c r="A892" s="2" t="s">
        <v>109</v>
      </c>
      <c r="B892" t="s">
        <v>110</v>
      </c>
      <c r="C892" s="21" t="s">
        <v>275</v>
      </c>
      <c r="D892" s="4">
        <v>11</v>
      </c>
      <c r="E892" s="4"/>
      <c r="G892" s="1"/>
      <c r="H892" s="1"/>
      <c r="I892" s="1">
        <f t="shared" si="148"/>
        <v>0</v>
      </c>
      <c r="J892" s="1">
        <f t="shared" si="147"/>
        <v>2500.6000000000004</v>
      </c>
      <c r="L892" s="19">
        <f t="shared" si="144"/>
        <v>0</v>
      </c>
    </row>
    <row r="893" spans="1:12" x14ac:dyDescent="0.35">
      <c r="A893" s="2" t="s">
        <v>109</v>
      </c>
      <c r="B893" t="s">
        <v>110</v>
      </c>
      <c r="C893" s="21" t="s">
        <v>275</v>
      </c>
      <c r="D893" s="4">
        <v>12</v>
      </c>
      <c r="E893" s="4"/>
      <c r="G893" s="1"/>
      <c r="H893" s="1"/>
      <c r="I893" s="1">
        <f t="shared" si="148"/>
        <v>0</v>
      </c>
      <c r="J893" s="1">
        <f t="shared" si="147"/>
        <v>2500.6000000000004</v>
      </c>
      <c r="L893" s="19">
        <f t="shared" si="144"/>
        <v>0</v>
      </c>
    </row>
    <row r="894" spans="1:12" x14ac:dyDescent="0.35">
      <c r="A894" s="2" t="s">
        <v>109</v>
      </c>
      <c r="B894" t="s">
        <v>110</v>
      </c>
      <c r="C894" s="21" t="s">
        <v>275</v>
      </c>
      <c r="D894" s="4">
        <v>13</v>
      </c>
      <c r="E894" s="4"/>
      <c r="G894" s="1"/>
      <c r="H894" s="1"/>
      <c r="I894" s="1">
        <f t="shared" si="148"/>
        <v>0</v>
      </c>
      <c r="J894" s="1">
        <f t="shared" si="147"/>
        <v>2500.6000000000004</v>
      </c>
      <c r="L894" s="19">
        <f t="shared" si="144"/>
        <v>0</v>
      </c>
    </row>
    <row r="895" spans="1:12" x14ac:dyDescent="0.35">
      <c r="A895" s="2" t="s">
        <v>109</v>
      </c>
      <c r="B895" t="s">
        <v>110</v>
      </c>
      <c r="C895" s="21" t="s">
        <v>275</v>
      </c>
      <c r="D895" s="4">
        <v>14</v>
      </c>
      <c r="E895" s="4"/>
      <c r="G895" s="1"/>
      <c r="H895" s="1"/>
      <c r="I895" s="1">
        <f t="shared" si="148"/>
        <v>0</v>
      </c>
      <c r="J895" s="1">
        <f t="shared" si="147"/>
        <v>2500.6000000000004</v>
      </c>
      <c r="L895" s="19">
        <f t="shared" si="144"/>
        <v>0</v>
      </c>
    </row>
    <row r="896" spans="1:12" x14ac:dyDescent="0.35">
      <c r="A896" s="2" t="s">
        <v>109</v>
      </c>
      <c r="B896" t="s">
        <v>110</v>
      </c>
      <c r="C896" s="21" t="s">
        <v>275</v>
      </c>
      <c r="D896" s="4">
        <v>15</v>
      </c>
      <c r="E896" s="4"/>
      <c r="G896" s="1"/>
      <c r="H896" s="1"/>
      <c r="I896" s="1">
        <f t="shared" si="148"/>
        <v>0</v>
      </c>
      <c r="J896" s="1">
        <f t="shared" si="147"/>
        <v>2500.6000000000004</v>
      </c>
      <c r="L896" s="19">
        <f t="shared" si="144"/>
        <v>0</v>
      </c>
    </row>
    <row r="897" spans="1:12" ht="15" thickBot="1" x14ac:dyDescent="0.4">
      <c r="A897" s="12" t="s">
        <v>109</v>
      </c>
      <c r="B897" s="13" t="s">
        <v>110</v>
      </c>
      <c r="C897" s="21" t="s">
        <v>275</v>
      </c>
      <c r="D897" s="14">
        <v>16</v>
      </c>
      <c r="E897" s="14"/>
      <c r="F897" s="13"/>
      <c r="G897" s="15"/>
      <c r="H897" s="15"/>
      <c r="I897" s="15">
        <f t="shared" si="148"/>
        <v>0</v>
      </c>
      <c r="J897" s="15">
        <f t="shared" si="147"/>
        <v>2500.6000000000004</v>
      </c>
      <c r="K897" s="13"/>
      <c r="L897" s="19">
        <f t="shared" si="144"/>
        <v>0</v>
      </c>
    </row>
    <row r="898" spans="1:12" x14ac:dyDescent="0.35">
      <c r="A898" s="2" t="s">
        <v>111</v>
      </c>
      <c r="B898" t="s">
        <v>112</v>
      </c>
      <c r="C898" s="21" t="s">
        <v>275</v>
      </c>
      <c r="D898" s="4">
        <v>1</v>
      </c>
      <c r="E898" s="4"/>
      <c r="F898" s="3">
        <v>45911</v>
      </c>
      <c r="G898" s="1">
        <v>6868</v>
      </c>
      <c r="H898" s="1">
        <v>6465</v>
      </c>
      <c r="I898" s="1">
        <f t="shared" si="148"/>
        <v>403</v>
      </c>
      <c r="J898" s="1">
        <f>I898</f>
        <v>403</v>
      </c>
      <c r="K898" s="9">
        <f t="shared" ref="K898:K912" si="149">I898/H898</f>
        <v>6.2335653518948181E-2</v>
      </c>
      <c r="L898" s="19">
        <f t="shared" si="144"/>
        <v>-6465</v>
      </c>
    </row>
    <row r="899" spans="1:12" x14ac:dyDescent="0.35">
      <c r="A899" s="2" t="s">
        <v>111</v>
      </c>
      <c r="B899" t="s">
        <v>112</v>
      </c>
      <c r="C899" s="21" t="s">
        <v>275</v>
      </c>
      <c r="D899" s="4">
        <v>2</v>
      </c>
      <c r="E899" s="4"/>
      <c r="F899" s="3">
        <v>45918</v>
      </c>
      <c r="G899" s="1">
        <v>6868</v>
      </c>
      <c r="H899" s="1">
        <v>6465</v>
      </c>
      <c r="I899" s="1">
        <f t="shared" si="148"/>
        <v>403</v>
      </c>
      <c r="J899" s="1">
        <f>J898+I899</f>
        <v>806</v>
      </c>
      <c r="K899" s="9">
        <f t="shared" si="149"/>
        <v>6.2335653518948181E-2</v>
      </c>
      <c r="L899" s="19">
        <f t="shared" si="144"/>
        <v>-6465</v>
      </c>
    </row>
    <row r="900" spans="1:12" x14ac:dyDescent="0.35">
      <c r="A900" s="2" t="s">
        <v>111</v>
      </c>
      <c r="B900" t="s">
        <v>112</v>
      </c>
      <c r="C900" s="21" t="s">
        <v>275</v>
      </c>
      <c r="D900" s="4">
        <v>3</v>
      </c>
      <c r="E900" s="4"/>
      <c r="F900" s="3">
        <v>45925</v>
      </c>
      <c r="G900" s="1">
        <v>6816</v>
      </c>
      <c r="H900" s="1">
        <v>6465</v>
      </c>
      <c r="I900" s="1">
        <f t="shared" si="148"/>
        <v>351</v>
      </c>
      <c r="J900" s="1">
        <f t="shared" ref="J900:J913" si="150">J899+I900</f>
        <v>1157</v>
      </c>
      <c r="K900" s="9">
        <f t="shared" si="149"/>
        <v>5.4292343387471E-2</v>
      </c>
      <c r="L900" s="19">
        <f t="shared" si="144"/>
        <v>-6465</v>
      </c>
    </row>
    <row r="901" spans="1:12" x14ac:dyDescent="0.35">
      <c r="A901" s="2" t="s">
        <v>111</v>
      </c>
      <c r="B901" t="s">
        <v>112</v>
      </c>
      <c r="C901" s="21" t="s">
        <v>275</v>
      </c>
      <c r="D901" s="4">
        <v>4</v>
      </c>
      <c r="E901" s="4"/>
      <c r="F901" s="3">
        <v>45932</v>
      </c>
      <c r="G901" s="1">
        <v>6918</v>
      </c>
      <c r="H901" s="1">
        <v>6465</v>
      </c>
      <c r="I901" s="1">
        <f t="shared" si="148"/>
        <v>453</v>
      </c>
      <c r="J901" s="1">
        <f t="shared" si="150"/>
        <v>1610</v>
      </c>
      <c r="K901" s="9">
        <f t="shared" si="149"/>
        <v>7.0069605568445478E-2</v>
      </c>
      <c r="L901" s="19">
        <f t="shared" si="144"/>
        <v>-6465</v>
      </c>
    </row>
    <row r="902" spans="1:12" x14ac:dyDescent="0.35">
      <c r="A902" s="2" t="s">
        <v>111</v>
      </c>
      <c r="B902" t="s">
        <v>112</v>
      </c>
      <c r="C902" s="21" t="s">
        <v>275</v>
      </c>
      <c r="D902" s="4">
        <v>5</v>
      </c>
      <c r="E902" s="4"/>
      <c r="F902" s="3">
        <v>45939</v>
      </c>
      <c r="G902" s="1">
        <v>6868</v>
      </c>
      <c r="H902" s="1">
        <v>6465</v>
      </c>
      <c r="I902" s="1">
        <f t="shared" si="148"/>
        <v>403</v>
      </c>
      <c r="J902" s="1">
        <f t="shared" si="150"/>
        <v>2013</v>
      </c>
      <c r="K902" s="9">
        <f t="shared" si="149"/>
        <v>6.2335653518948181E-2</v>
      </c>
      <c r="L902" s="19">
        <f t="shared" si="144"/>
        <v>-6465</v>
      </c>
    </row>
    <row r="903" spans="1:12" x14ac:dyDescent="0.35">
      <c r="A903" s="2" t="s">
        <v>111</v>
      </c>
      <c r="B903" t="s">
        <v>112</v>
      </c>
      <c r="C903" s="21" t="s">
        <v>275</v>
      </c>
      <c r="D903" s="4">
        <v>6</v>
      </c>
      <c r="E903" s="4"/>
      <c r="F903" s="3">
        <v>45946</v>
      </c>
      <c r="G903" s="1">
        <v>6868</v>
      </c>
      <c r="H903" s="1">
        <v>6465</v>
      </c>
      <c r="I903" s="1">
        <f t="shared" si="148"/>
        <v>403</v>
      </c>
      <c r="J903" s="1">
        <f t="shared" si="150"/>
        <v>2416</v>
      </c>
      <c r="K903" s="9">
        <f t="shared" si="149"/>
        <v>6.2335653518948181E-2</v>
      </c>
      <c r="L903" s="19">
        <f t="shared" si="144"/>
        <v>-6465</v>
      </c>
    </row>
    <row r="904" spans="1:12" x14ac:dyDescent="0.35">
      <c r="A904" s="2" t="s">
        <v>111</v>
      </c>
      <c r="B904" t="s">
        <v>112</v>
      </c>
      <c r="C904" s="21" t="s">
        <v>275</v>
      </c>
      <c r="D904" s="4">
        <v>7</v>
      </c>
      <c r="E904" s="4"/>
      <c r="F904" s="3">
        <v>45953</v>
      </c>
      <c r="G904" s="1">
        <v>6868</v>
      </c>
      <c r="H904" s="1">
        <v>6465</v>
      </c>
      <c r="I904" s="1">
        <f t="shared" si="148"/>
        <v>403</v>
      </c>
      <c r="J904" s="1">
        <f t="shared" si="150"/>
        <v>2819</v>
      </c>
      <c r="K904" s="9">
        <f t="shared" si="149"/>
        <v>6.2335653518948181E-2</v>
      </c>
      <c r="L904" s="19">
        <f t="shared" si="144"/>
        <v>-6465</v>
      </c>
    </row>
    <row r="905" spans="1:12" x14ac:dyDescent="0.35">
      <c r="A905" s="2" t="s">
        <v>111</v>
      </c>
      <c r="B905" t="s">
        <v>112</v>
      </c>
      <c r="C905" s="21" t="s">
        <v>275</v>
      </c>
      <c r="D905" s="4">
        <v>8</v>
      </c>
      <c r="E905" s="4"/>
      <c r="F905" s="3">
        <v>45960</v>
      </c>
      <c r="G905" s="1">
        <v>6868</v>
      </c>
      <c r="H905" s="1">
        <v>6465</v>
      </c>
      <c r="I905" s="1">
        <f t="shared" si="148"/>
        <v>403</v>
      </c>
      <c r="J905" s="1">
        <f t="shared" si="150"/>
        <v>3222</v>
      </c>
      <c r="K905" s="9">
        <f t="shared" si="149"/>
        <v>6.2335653518948181E-2</v>
      </c>
      <c r="L905" s="19">
        <f t="shared" si="144"/>
        <v>-6465</v>
      </c>
    </row>
    <row r="906" spans="1:12" x14ac:dyDescent="0.35">
      <c r="A906" s="2" t="s">
        <v>111</v>
      </c>
      <c r="B906" t="s">
        <v>112</v>
      </c>
      <c r="C906" s="21" t="s">
        <v>275</v>
      </c>
      <c r="D906" s="4">
        <v>9</v>
      </c>
      <c r="E906" s="4"/>
      <c r="F906" s="3">
        <v>45967</v>
      </c>
      <c r="G906" s="1">
        <v>6868</v>
      </c>
      <c r="H906" s="1">
        <v>6465</v>
      </c>
      <c r="I906" s="1">
        <f t="shared" si="148"/>
        <v>403</v>
      </c>
      <c r="J906" s="1">
        <f t="shared" si="150"/>
        <v>3625</v>
      </c>
      <c r="K906" s="9">
        <f t="shared" si="149"/>
        <v>6.2335653518948181E-2</v>
      </c>
      <c r="L906" s="19">
        <f t="shared" si="144"/>
        <v>-6465</v>
      </c>
    </row>
    <row r="907" spans="1:12" x14ac:dyDescent="0.35">
      <c r="A907" s="2" t="s">
        <v>111</v>
      </c>
      <c r="B907" t="s">
        <v>112</v>
      </c>
      <c r="C907" s="21" t="s">
        <v>275</v>
      </c>
      <c r="D907" s="4">
        <v>10</v>
      </c>
      <c r="E907" s="4"/>
      <c r="G907" s="1"/>
      <c r="H907" s="1"/>
      <c r="I907" s="1">
        <f t="shared" si="148"/>
        <v>0</v>
      </c>
      <c r="J907" s="1">
        <f t="shared" si="150"/>
        <v>3625</v>
      </c>
      <c r="K907" s="9" t="e">
        <f t="shared" si="149"/>
        <v>#DIV/0!</v>
      </c>
      <c r="L907" s="19">
        <f t="shared" si="144"/>
        <v>0</v>
      </c>
    </row>
    <row r="908" spans="1:12" x14ac:dyDescent="0.35">
      <c r="A908" s="2" t="s">
        <v>111</v>
      </c>
      <c r="B908" t="s">
        <v>112</v>
      </c>
      <c r="C908" s="21" t="s">
        <v>275</v>
      </c>
      <c r="D908" s="4">
        <v>11</v>
      </c>
      <c r="E908" s="4"/>
      <c r="G908" s="1"/>
      <c r="H908" s="1"/>
      <c r="I908" s="1">
        <f t="shared" si="148"/>
        <v>0</v>
      </c>
      <c r="J908" s="1">
        <f t="shared" si="150"/>
        <v>3625</v>
      </c>
      <c r="K908" s="9" t="e">
        <f t="shared" si="149"/>
        <v>#DIV/0!</v>
      </c>
      <c r="L908" s="19">
        <f t="shared" si="144"/>
        <v>0</v>
      </c>
    </row>
    <row r="909" spans="1:12" x14ac:dyDescent="0.35">
      <c r="A909" s="2" t="s">
        <v>111</v>
      </c>
      <c r="B909" t="s">
        <v>112</v>
      </c>
      <c r="C909" s="21" t="s">
        <v>275</v>
      </c>
      <c r="D909" s="4">
        <v>12</v>
      </c>
      <c r="E909" s="4"/>
      <c r="G909" s="1"/>
      <c r="H909" s="1"/>
      <c r="I909" s="1">
        <f t="shared" si="148"/>
        <v>0</v>
      </c>
      <c r="J909" s="1">
        <f t="shared" si="150"/>
        <v>3625</v>
      </c>
      <c r="K909" s="9" t="e">
        <f t="shared" si="149"/>
        <v>#DIV/0!</v>
      </c>
      <c r="L909" s="19">
        <f t="shared" si="144"/>
        <v>0</v>
      </c>
    </row>
    <row r="910" spans="1:12" x14ac:dyDescent="0.35">
      <c r="A910" s="2" t="s">
        <v>111</v>
      </c>
      <c r="B910" t="s">
        <v>112</v>
      </c>
      <c r="C910" s="21" t="s">
        <v>275</v>
      </c>
      <c r="D910" s="4">
        <v>13</v>
      </c>
      <c r="E910" s="4"/>
      <c r="G910" s="1"/>
      <c r="H910" s="1"/>
      <c r="I910" s="1">
        <f t="shared" si="148"/>
        <v>0</v>
      </c>
      <c r="J910" s="1">
        <f t="shared" si="150"/>
        <v>3625</v>
      </c>
      <c r="K910" s="9" t="e">
        <f t="shared" si="149"/>
        <v>#DIV/0!</v>
      </c>
      <c r="L910" s="19">
        <f t="shared" si="144"/>
        <v>0</v>
      </c>
    </row>
    <row r="911" spans="1:12" x14ac:dyDescent="0.35">
      <c r="A911" s="2" t="s">
        <v>111</v>
      </c>
      <c r="B911" t="s">
        <v>112</v>
      </c>
      <c r="C911" s="21" t="s">
        <v>275</v>
      </c>
      <c r="D911" s="4">
        <v>14</v>
      </c>
      <c r="E911" s="4"/>
      <c r="G911" s="1"/>
      <c r="H911" s="1"/>
      <c r="I911" s="1">
        <f t="shared" si="148"/>
        <v>0</v>
      </c>
      <c r="J911" s="1">
        <f t="shared" si="150"/>
        <v>3625</v>
      </c>
      <c r="K911" s="9" t="e">
        <f t="shared" si="149"/>
        <v>#DIV/0!</v>
      </c>
      <c r="L911" s="19">
        <f t="shared" si="144"/>
        <v>0</v>
      </c>
    </row>
    <row r="912" spans="1:12" x14ac:dyDescent="0.35">
      <c r="A912" s="2" t="s">
        <v>111</v>
      </c>
      <c r="B912" t="s">
        <v>112</v>
      </c>
      <c r="C912" s="21" t="s">
        <v>275</v>
      </c>
      <c r="D912" s="4">
        <v>15</v>
      </c>
      <c r="E912" s="4"/>
      <c r="G912" s="1"/>
      <c r="H912" s="1"/>
      <c r="I912" s="1">
        <f t="shared" si="148"/>
        <v>0</v>
      </c>
      <c r="J912" s="1">
        <f t="shared" si="150"/>
        <v>3625</v>
      </c>
      <c r="K912" s="9" t="e">
        <f t="shared" si="149"/>
        <v>#DIV/0!</v>
      </c>
      <c r="L912" s="19">
        <f t="shared" si="144"/>
        <v>0</v>
      </c>
    </row>
    <row r="913" spans="1:12" ht="15" thickBot="1" x14ac:dyDescent="0.4">
      <c r="A913" s="12" t="s">
        <v>111</v>
      </c>
      <c r="B913" s="13" t="s">
        <v>112</v>
      </c>
      <c r="C913" s="21" t="s">
        <v>275</v>
      </c>
      <c r="D913" s="14">
        <v>16</v>
      </c>
      <c r="E913" s="14"/>
      <c r="F913" s="13"/>
      <c r="G913" s="15"/>
      <c r="H913" s="15"/>
      <c r="I913" s="15">
        <f t="shared" si="148"/>
        <v>0</v>
      </c>
      <c r="J913" s="15">
        <f t="shared" si="150"/>
        <v>3625</v>
      </c>
      <c r="K913" s="13"/>
      <c r="L913" s="19">
        <f t="shared" si="144"/>
        <v>0</v>
      </c>
    </row>
    <row r="914" spans="1:12" x14ac:dyDescent="0.35">
      <c r="A914" s="2" t="s">
        <v>113</v>
      </c>
      <c r="B914" t="s">
        <v>114</v>
      </c>
      <c r="C914" s="21" t="s">
        <v>275</v>
      </c>
      <c r="D914" s="4">
        <v>1</v>
      </c>
      <c r="E914" s="4"/>
      <c r="F914" s="3">
        <v>45915</v>
      </c>
      <c r="G914" s="1">
        <v>8859</v>
      </c>
      <c r="H914" s="1">
        <v>8436.07</v>
      </c>
      <c r="I914" s="1">
        <f t="shared" si="148"/>
        <v>422.93000000000029</v>
      </c>
      <c r="J914" s="1">
        <f>I914</f>
        <v>422.93000000000029</v>
      </c>
      <c r="K914" s="9">
        <f t="shared" ref="K914:K928" si="151">I914/H914</f>
        <v>5.0133533742607671E-2</v>
      </c>
      <c r="L914" s="19">
        <f t="shared" si="144"/>
        <v>-8436.07</v>
      </c>
    </row>
    <row r="915" spans="1:12" x14ac:dyDescent="0.35">
      <c r="A915" s="2" t="s">
        <v>113</v>
      </c>
      <c r="B915" t="s">
        <v>114</v>
      </c>
      <c r="C915" s="21" t="s">
        <v>275</v>
      </c>
      <c r="D915" s="4">
        <v>2</v>
      </c>
      <c r="E915" s="4"/>
      <c r="F915" s="3">
        <v>45922</v>
      </c>
      <c r="G915" s="1">
        <v>8864</v>
      </c>
      <c r="H915" s="1">
        <v>8442</v>
      </c>
      <c r="I915" s="1">
        <f t="shared" si="148"/>
        <v>422</v>
      </c>
      <c r="J915" s="1">
        <f>J914+I915</f>
        <v>844.93000000000029</v>
      </c>
      <c r="K915" s="9">
        <f t="shared" si="151"/>
        <v>4.9988154465766405E-2</v>
      </c>
      <c r="L915" s="19">
        <f t="shared" si="144"/>
        <v>-8442</v>
      </c>
    </row>
    <row r="916" spans="1:12" x14ac:dyDescent="0.35">
      <c r="A916" s="2" t="s">
        <v>113</v>
      </c>
      <c r="B916" t="s">
        <v>114</v>
      </c>
      <c r="C916" s="21" t="s">
        <v>275</v>
      </c>
      <c r="D916" s="4">
        <v>3</v>
      </c>
      <c r="E916" s="4"/>
      <c r="F916" s="3">
        <v>45928</v>
      </c>
      <c r="G916" s="1">
        <v>8864</v>
      </c>
      <c r="H916" s="1">
        <v>8437</v>
      </c>
      <c r="I916" s="1">
        <f t="shared" si="148"/>
        <v>427</v>
      </c>
      <c r="J916" s="1">
        <f t="shared" ref="J916:J929" si="152">J915+I916</f>
        <v>1271.9300000000003</v>
      </c>
      <c r="K916" s="9">
        <f t="shared" si="151"/>
        <v>5.0610406542609933E-2</v>
      </c>
      <c r="L916" s="19">
        <f t="shared" si="144"/>
        <v>-8437</v>
      </c>
    </row>
    <row r="917" spans="1:12" x14ac:dyDescent="0.35">
      <c r="A917" s="2" t="s">
        <v>113</v>
      </c>
      <c r="B917" t="s">
        <v>114</v>
      </c>
      <c r="C917" s="21" t="s">
        <v>275</v>
      </c>
      <c r="D917" s="4">
        <v>4</v>
      </c>
      <c r="E917" s="4"/>
      <c r="F917" s="3">
        <v>45936</v>
      </c>
      <c r="G917" s="1">
        <v>8864</v>
      </c>
      <c r="H917" s="1">
        <v>8437</v>
      </c>
      <c r="I917" s="1">
        <f t="shared" si="148"/>
        <v>427</v>
      </c>
      <c r="J917" s="1">
        <f t="shared" si="152"/>
        <v>1698.9300000000003</v>
      </c>
      <c r="K917" s="9">
        <f t="shared" si="151"/>
        <v>5.0610406542609933E-2</v>
      </c>
      <c r="L917" s="19">
        <f t="shared" si="144"/>
        <v>-8437</v>
      </c>
    </row>
    <row r="918" spans="1:12" x14ac:dyDescent="0.35">
      <c r="A918" s="2" t="s">
        <v>113</v>
      </c>
      <c r="B918" t="s">
        <v>114</v>
      </c>
      <c r="C918" s="21" t="s">
        <v>275</v>
      </c>
      <c r="D918" s="4">
        <v>5</v>
      </c>
      <c r="E918" s="4"/>
      <c r="F918" s="3">
        <v>45943</v>
      </c>
      <c r="G918" s="1">
        <v>8864</v>
      </c>
      <c r="H918" s="1">
        <v>8437</v>
      </c>
      <c r="I918" s="1">
        <f t="shared" si="148"/>
        <v>427</v>
      </c>
      <c r="J918" s="1">
        <f t="shared" si="152"/>
        <v>2125.9300000000003</v>
      </c>
      <c r="K918" s="9">
        <f t="shared" si="151"/>
        <v>5.0610406542609933E-2</v>
      </c>
      <c r="L918" s="19">
        <f t="shared" si="144"/>
        <v>-8437</v>
      </c>
    </row>
    <row r="919" spans="1:12" x14ac:dyDescent="0.35">
      <c r="A919" s="2" t="s">
        <v>113</v>
      </c>
      <c r="B919" t="s">
        <v>114</v>
      </c>
      <c r="C919" s="21" t="s">
        <v>275</v>
      </c>
      <c r="D919" s="4">
        <v>6</v>
      </c>
      <c r="E919" s="4"/>
      <c r="F919" s="3">
        <v>45950</v>
      </c>
      <c r="G919" s="1">
        <v>8858</v>
      </c>
      <c r="H919" s="1">
        <v>8442</v>
      </c>
      <c r="I919" s="1">
        <f t="shared" si="148"/>
        <v>416</v>
      </c>
      <c r="J919" s="1">
        <f t="shared" si="152"/>
        <v>2541.9300000000003</v>
      </c>
      <c r="K919" s="9">
        <f t="shared" si="151"/>
        <v>4.9277422411750767E-2</v>
      </c>
      <c r="L919" s="19">
        <f t="shared" si="144"/>
        <v>-8442</v>
      </c>
    </row>
    <row r="920" spans="1:12" x14ac:dyDescent="0.35">
      <c r="A920" s="2" t="s">
        <v>113</v>
      </c>
      <c r="B920" t="s">
        <v>114</v>
      </c>
      <c r="C920" s="21" t="s">
        <v>275</v>
      </c>
      <c r="D920" s="4">
        <v>7</v>
      </c>
      <c r="E920" s="4"/>
      <c r="F920" s="3">
        <v>45957</v>
      </c>
      <c r="G920" s="1">
        <v>8864</v>
      </c>
      <c r="H920" s="1">
        <v>8442</v>
      </c>
      <c r="I920" s="1">
        <f t="shared" si="148"/>
        <v>422</v>
      </c>
      <c r="J920" s="1">
        <f t="shared" si="152"/>
        <v>2963.9300000000003</v>
      </c>
      <c r="K920" s="9">
        <f t="shared" si="151"/>
        <v>4.9988154465766405E-2</v>
      </c>
      <c r="L920" s="19">
        <f t="shared" si="144"/>
        <v>-8442</v>
      </c>
    </row>
    <row r="921" spans="1:12" x14ac:dyDescent="0.35">
      <c r="A921" s="2" t="s">
        <v>113</v>
      </c>
      <c r="B921" t="s">
        <v>114</v>
      </c>
      <c r="C921" s="21" t="s">
        <v>275</v>
      </c>
      <c r="D921" s="4">
        <v>8</v>
      </c>
      <c r="E921" s="4"/>
      <c r="F921" s="3">
        <v>45964</v>
      </c>
      <c r="G921" s="1">
        <v>8864</v>
      </c>
      <c r="H921" s="1">
        <v>8442</v>
      </c>
      <c r="I921" s="1">
        <f t="shared" si="148"/>
        <v>422</v>
      </c>
      <c r="J921" s="1">
        <f t="shared" si="152"/>
        <v>3385.9300000000003</v>
      </c>
      <c r="K921" s="9">
        <f t="shared" si="151"/>
        <v>4.9988154465766405E-2</v>
      </c>
      <c r="L921" s="19">
        <f t="shared" si="144"/>
        <v>-8442</v>
      </c>
    </row>
    <row r="922" spans="1:12" x14ac:dyDescent="0.35">
      <c r="A922" s="2" t="s">
        <v>113</v>
      </c>
      <c r="B922" t="s">
        <v>114</v>
      </c>
      <c r="C922" s="21" t="s">
        <v>275</v>
      </c>
      <c r="D922" s="4">
        <v>9</v>
      </c>
      <c r="E922" s="4"/>
      <c r="G922" s="1"/>
      <c r="H922" s="1"/>
      <c r="I922" s="1">
        <f t="shared" si="148"/>
        <v>0</v>
      </c>
      <c r="J922" s="1">
        <f t="shared" si="152"/>
        <v>3385.9300000000003</v>
      </c>
      <c r="K922" s="9" t="e">
        <f t="shared" si="151"/>
        <v>#DIV/0!</v>
      </c>
      <c r="L922" s="19">
        <f t="shared" si="144"/>
        <v>0</v>
      </c>
    </row>
    <row r="923" spans="1:12" x14ac:dyDescent="0.35">
      <c r="A923" s="2" t="s">
        <v>113</v>
      </c>
      <c r="B923" t="s">
        <v>114</v>
      </c>
      <c r="C923" s="21" t="s">
        <v>275</v>
      </c>
      <c r="D923" s="4">
        <v>10</v>
      </c>
      <c r="E923" s="4"/>
      <c r="G923" s="1"/>
      <c r="H923" s="1"/>
      <c r="I923" s="1">
        <f t="shared" si="148"/>
        <v>0</v>
      </c>
      <c r="J923" s="1">
        <f t="shared" si="152"/>
        <v>3385.9300000000003</v>
      </c>
      <c r="K923" s="9" t="e">
        <f t="shared" si="151"/>
        <v>#DIV/0!</v>
      </c>
      <c r="L923" s="19">
        <f t="shared" si="144"/>
        <v>0</v>
      </c>
    </row>
    <row r="924" spans="1:12" x14ac:dyDescent="0.35">
      <c r="A924" s="2" t="s">
        <v>113</v>
      </c>
      <c r="B924" t="s">
        <v>114</v>
      </c>
      <c r="C924" s="21" t="s">
        <v>275</v>
      </c>
      <c r="D924" s="4">
        <v>11</v>
      </c>
      <c r="E924" s="4"/>
      <c r="G924" s="1"/>
      <c r="H924" s="1"/>
      <c r="I924" s="1">
        <f t="shared" si="148"/>
        <v>0</v>
      </c>
      <c r="J924" s="1">
        <f t="shared" si="152"/>
        <v>3385.9300000000003</v>
      </c>
      <c r="K924" s="9" t="e">
        <f t="shared" si="151"/>
        <v>#DIV/0!</v>
      </c>
      <c r="L924" s="19">
        <f t="shared" si="144"/>
        <v>0</v>
      </c>
    </row>
    <row r="925" spans="1:12" x14ac:dyDescent="0.35">
      <c r="A925" s="2" t="s">
        <v>113</v>
      </c>
      <c r="B925" t="s">
        <v>114</v>
      </c>
      <c r="C925" s="21" t="s">
        <v>275</v>
      </c>
      <c r="D925" s="4">
        <v>12</v>
      </c>
      <c r="E925" s="4"/>
      <c r="G925" s="1"/>
      <c r="H925" s="1"/>
      <c r="I925" s="1">
        <f t="shared" si="148"/>
        <v>0</v>
      </c>
      <c r="J925" s="1">
        <f t="shared" si="152"/>
        <v>3385.9300000000003</v>
      </c>
      <c r="K925" s="9" t="e">
        <f t="shared" si="151"/>
        <v>#DIV/0!</v>
      </c>
      <c r="L925" s="19">
        <f t="shared" si="144"/>
        <v>0</v>
      </c>
    </row>
    <row r="926" spans="1:12" x14ac:dyDescent="0.35">
      <c r="A926" s="2" t="s">
        <v>113</v>
      </c>
      <c r="B926" t="s">
        <v>114</v>
      </c>
      <c r="C926" s="21" t="s">
        <v>275</v>
      </c>
      <c r="D926" s="4">
        <v>13</v>
      </c>
      <c r="E926" s="4"/>
      <c r="G926" s="1"/>
      <c r="H926" s="1"/>
      <c r="I926" s="1">
        <f t="shared" si="148"/>
        <v>0</v>
      </c>
      <c r="J926" s="1">
        <f t="shared" si="152"/>
        <v>3385.9300000000003</v>
      </c>
      <c r="K926" s="9" t="e">
        <f t="shared" si="151"/>
        <v>#DIV/0!</v>
      </c>
      <c r="L926" s="19">
        <f t="shared" si="144"/>
        <v>0</v>
      </c>
    </row>
    <row r="927" spans="1:12" x14ac:dyDescent="0.35">
      <c r="A927" s="2" t="s">
        <v>113</v>
      </c>
      <c r="B927" t="s">
        <v>114</v>
      </c>
      <c r="C927" s="21" t="s">
        <v>275</v>
      </c>
      <c r="D927" s="4">
        <v>14</v>
      </c>
      <c r="E927" s="4"/>
      <c r="G927" s="1"/>
      <c r="H927" s="1"/>
      <c r="I927" s="1">
        <f t="shared" si="148"/>
        <v>0</v>
      </c>
      <c r="J927" s="1">
        <f t="shared" si="152"/>
        <v>3385.9300000000003</v>
      </c>
      <c r="K927" s="9" t="e">
        <f t="shared" si="151"/>
        <v>#DIV/0!</v>
      </c>
      <c r="L927" s="19">
        <f t="shared" si="144"/>
        <v>0</v>
      </c>
    </row>
    <row r="928" spans="1:12" x14ac:dyDescent="0.35">
      <c r="A928" s="2" t="s">
        <v>113</v>
      </c>
      <c r="B928" t="s">
        <v>114</v>
      </c>
      <c r="C928" s="21" t="s">
        <v>275</v>
      </c>
      <c r="D928" s="4">
        <v>15</v>
      </c>
      <c r="E928" s="4"/>
      <c r="G928" s="1"/>
      <c r="H928" s="1"/>
      <c r="I928" s="1">
        <f t="shared" si="148"/>
        <v>0</v>
      </c>
      <c r="J928" s="1">
        <f t="shared" si="152"/>
        <v>3385.9300000000003</v>
      </c>
      <c r="K928" s="9" t="e">
        <f t="shared" si="151"/>
        <v>#DIV/0!</v>
      </c>
      <c r="L928" s="19">
        <f t="shared" si="144"/>
        <v>0</v>
      </c>
    </row>
    <row r="929" spans="1:12" ht="15" thickBot="1" x14ac:dyDescent="0.4">
      <c r="A929" s="12" t="s">
        <v>113</v>
      </c>
      <c r="B929" s="13" t="s">
        <v>114</v>
      </c>
      <c r="C929" s="21" t="s">
        <v>275</v>
      </c>
      <c r="D929" s="14">
        <v>16</v>
      </c>
      <c r="E929" s="14"/>
      <c r="F929" s="13"/>
      <c r="G929" s="15"/>
      <c r="H929" s="15"/>
      <c r="I929" s="15">
        <f t="shared" si="148"/>
        <v>0</v>
      </c>
      <c r="J929" s="15">
        <f t="shared" si="152"/>
        <v>3385.9300000000003</v>
      </c>
      <c r="K929" s="13"/>
      <c r="L929" s="19">
        <f t="shared" si="144"/>
        <v>0</v>
      </c>
    </row>
    <row r="930" spans="1:12" x14ac:dyDescent="0.35">
      <c r="A930" s="2" t="s">
        <v>115</v>
      </c>
      <c r="B930" t="s">
        <v>116</v>
      </c>
      <c r="C930" s="21" t="s">
        <v>275</v>
      </c>
      <c r="D930" s="4">
        <v>1</v>
      </c>
      <c r="E930" s="4"/>
      <c r="F930" s="3">
        <v>45915</v>
      </c>
      <c r="G930" s="1">
        <v>7778</v>
      </c>
      <c r="H930" s="1">
        <v>7376</v>
      </c>
      <c r="I930" s="1">
        <f t="shared" si="148"/>
        <v>402</v>
      </c>
      <c r="J930" s="1">
        <f>I930</f>
        <v>402</v>
      </c>
      <c r="K930" s="9">
        <f t="shared" ref="K930:K944" si="153">I930/H930</f>
        <v>5.4501084598698485E-2</v>
      </c>
      <c r="L930" s="19">
        <f t="shared" ref="L930:L993" si="154">E930-H930</f>
        <v>-7376</v>
      </c>
    </row>
    <row r="931" spans="1:12" x14ac:dyDescent="0.35">
      <c r="A931" s="2" t="s">
        <v>115</v>
      </c>
      <c r="B931" t="s">
        <v>116</v>
      </c>
      <c r="C931" s="21" t="s">
        <v>275</v>
      </c>
      <c r="D931" s="4">
        <v>2</v>
      </c>
      <c r="E931" s="4"/>
      <c r="F931" s="3">
        <v>45922</v>
      </c>
      <c r="G931" s="1">
        <v>7778</v>
      </c>
      <c r="H931" s="1">
        <v>7376</v>
      </c>
      <c r="I931" s="1">
        <f t="shared" si="148"/>
        <v>402</v>
      </c>
      <c r="J931" s="1">
        <f>J930+I931</f>
        <v>804</v>
      </c>
      <c r="K931" s="9">
        <f t="shared" si="153"/>
        <v>5.4501084598698485E-2</v>
      </c>
      <c r="L931" s="19">
        <f t="shared" si="154"/>
        <v>-7376</v>
      </c>
    </row>
    <row r="932" spans="1:12" x14ac:dyDescent="0.35">
      <c r="A932" s="2" t="s">
        <v>115</v>
      </c>
      <c r="B932" t="s">
        <v>116</v>
      </c>
      <c r="C932" s="21" t="s">
        <v>275</v>
      </c>
      <c r="D932" s="4">
        <v>3</v>
      </c>
      <c r="E932" s="4"/>
      <c r="F932" s="3">
        <v>45929</v>
      </c>
      <c r="G932" s="1">
        <v>7778</v>
      </c>
      <c r="H932" s="1">
        <v>7376</v>
      </c>
      <c r="I932" s="1">
        <f t="shared" si="148"/>
        <v>402</v>
      </c>
      <c r="J932" s="1">
        <f t="shared" ref="J932:J945" si="155">J931+I932</f>
        <v>1206</v>
      </c>
      <c r="K932" s="9">
        <f t="shared" si="153"/>
        <v>5.4501084598698485E-2</v>
      </c>
      <c r="L932" s="19">
        <f t="shared" si="154"/>
        <v>-7376</v>
      </c>
    </row>
    <row r="933" spans="1:12" x14ac:dyDescent="0.35">
      <c r="A933" s="2" t="s">
        <v>115</v>
      </c>
      <c r="B933" t="s">
        <v>116</v>
      </c>
      <c r="C933" s="21" t="s">
        <v>275</v>
      </c>
      <c r="D933" s="4">
        <v>4</v>
      </c>
      <c r="E933" s="4"/>
      <c r="F933" s="3">
        <v>45936</v>
      </c>
      <c r="G933" s="1">
        <v>7778</v>
      </c>
      <c r="H933" s="1">
        <v>7376</v>
      </c>
      <c r="I933" s="1">
        <f t="shared" si="148"/>
        <v>402</v>
      </c>
      <c r="J933" s="1">
        <f t="shared" si="155"/>
        <v>1608</v>
      </c>
      <c r="K933" s="9">
        <f t="shared" si="153"/>
        <v>5.4501084598698485E-2</v>
      </c>
      <c r="L933" s="19">
        <f t="shared" si="154"/>
        <v>-7376</v>
      </c>
    </row>
    <row r="934" spans="1:12" x14ac:dyDescent="0.35">
      <c r="A934" s="2" t="s">
        <v>115</v>
      </c>
      <c r="B934" t="s">
        <v>116</v>
      </c>
      <c r="C934" s="21" t="s">
        <v>275</v>
      </c>
      <c r="D934" s="4">
        <v>5</v>
      </c>
      <c r="E934" s="4"/>
      <c r="F934" s="3">
        <v>45943</v>
      </c>
      <c r="G934" s="1">
        <v>7778</v>
      </c>
      <c r="H934" s="1">
        <v>7373</v>
      </c>
      <c r="I934" s="1">
        <f t="shared" si="148"/>
        <v>405</v>
      </c>
      <c r="J934" s="1">
        <f t="shared" si="155"/>
        <v>2013</v>
      </c>
      <c r="K934" s="9">
        <f t="shared" si="153"/>
        <v>5.4930150549301504E-2</v>
      </c>
      <c r="L934" s="19">
        <f t="shared" si="154"/>
        <v>-7373</v>
      </c>
    </row>
    <row r="935" spans="1:12" x14ac:dyDescent="0.35">
      <c r="A935" s="2" t="s">
        <v>115</v>
      </c>
      <c r="B935" t="s">
        <v>116</v>
      </c>
      <c r="C935" s="21" t="s">
        <v>275</v>
      </c>
      <c r="D935" s="4">
        <v>6</v>
      </c>
      <c r="E935" s="4"/>
      <c r="F935" s="3">
        <v>45950</v>
      </c>
      <c r="G935" s="1">
        <v>7778</v>
      </c>
      <c r="H935" s="1">
        <v>7376</v>
      </c>
      <c r="I935" s="1">
        <f t="shared" si="148"/>
        <v>402</v>
      </c>
      <c r="J935" s="1">
        <f t="shared" si="155"/>
        <v>2415</v>
      </c>
      <c r="K935" s="9">
        <f t="shared" si="153"/>
        <v>5.4501084598698485E-2</v>
      </c>
      <c r="L935" s="19">
        <f t="shared" si="154"/>
        <v>-7376</v>
      </c>
    </row>
    <row r="936" spans="1:12" x14ac:dyDescent="0.35">
      <c r="A936" s="2" t="s">
        <v>115</v>
      </c>
      <c r="B936" t="s">
        <v>116</v>
      </c>
      <c r="C936" s="21" t="s">
        <v>275</v>
      </c>
      <c r="D936" s="4">
        <v>7</v>
      </c>
      <c r="E936" s="4"/>
      <c r="F936" s="3">
        <v>45957</v>
      </c>
      <c r="G936" s="1">
        <v>7778</v>
      </c>
      <c r="H936" s="1">
        <v>7376</v>
      </c>
      <c r="I936" s="1">
        <f t="shared" si="148"/>
        <v>402</v>
      </c>
      <c r="J936" s="1">
        <f t="shared" si="155"/>
        <v>2817</v>
      </c>
      <c r="K936" s="9">
        <f t="shared" si="153"/>
        <v>5.4501084598698485E-2</v>
      </c>
      <c r="L936" s="19">
        <f t="shared" si="154"/>
        <v>-7376</v>
      </c>
    </row>
    <row r="937" spans="1:12" x14ac:dyDescent="0.35">
      <c r="A937" s="2" t="s">
        <v>115</v>
      </c>
      <c r="B937" t="s">
        <v>116</v>
      </c>
      <c r="C937" s="21" t="s">
        <v>275</v>
      </c>
      <c r="D937" s="4">
        <v>8</v>
      </c>
      <c r="E937" s="4"/>
      <c r="F937" s="3">
        <v>45964</v>
      </c>
      <c r="G937" s="1">
        <v>7778</v>
      </c>
      <c r="H937" s="1">
        <v>7376</v>
      </c>
      <c r="I937" s="1">
        <f t="shared" si="148"/>
        <v>402</v>
      </c>
      <c r="J937" s="1">
        <f t="shared" si="155"/>
        <v>3219</v>
      </c>
      <c r="K937" s="9">
        <f t="shared" si="153"/>
        <v>5.4501084598698485E-2</v>
      </c>
      <c r="L937" s="19">
        <f t="shared" si="154"/>
        <v>-7376</v>
      </c>
    </row>
    <row r="938" spans="1:12" x14ac:dyDescent="0.35">
      <c r="A938" s="2" t="s">
        <v>115</v>
      </c>
      <c r="B938" t="s">
        <v>116</v>
      </c>
      <c r="C938" s="21" t="s">
        <v>275</v>
      </c>
      <c r="D938" s="4">
        <v>9</v>
      </c>
      <c r="E938" s="4"/>
      <c r="G938" s="1"/>
      <c r="H938" s="1"/>
      <c r="I938" s="1">
        <f t="shared" si="148"/>
        <v>0</v>
      </c>
      <c r="J938" s="1">
        <f t="shared" si="155"/>
        <v>3219</v>
      </c>
      <c r="K938" s="9" t="e">
        <f t="shared" si="153"/>
        <v>#DIV/0!</v>
      </c>
      <c r="L938" s="19">
        <f t="shared" si="154"/>
        <v>0</v>
      </c>
    </row>
    <row r="939" spans="1:12" x14ac:dyDescent="0.35">
      <c r="A939" s="2" t="s">
        <v>115</v>
      </c>
      <c r="B939" t="s">
        <v>116</v>
      </c>
      <c r="C939" s="21" t="s">
        <v>275</v>
      </c>
      <c r="D939" s="4">
        <v>10</v>
      </c>
      <c r="E939" s="4"/>
      <c r="G939" s="1"/>
      <c r="H939" s="1"/>
      <c r="I939" s="1">
        <f t="shared" si="148"/>
        <v>0</v>
      </c>
      <c r="J939" s="1">
        <f t="shared" si="155"/>
        <v>3219</v>
      </c>
      <c r="K939" s="9" t="e">
        <f t="shared" si="153"/>
        <v>#DIV/0!</v>
      </c>
      <c r="L939" s="19">
        <f t="shared" si="154"/>
        <v>0</v>
      </c>
    </row>
    <row r="940" spans="1:12" x14ac:dyDescent="0.35">
      <c r="A940" s="2" t="s">
        <v>115</v>
      </c>
      <c r="B940" t="s">
        <v>116</v>
      </c>
      <c r="C940" s="21" t="s">
        <v>275</v>
      </c>
      <c r="D940" s="4">
        <v>11</v>
      </c>
      <c r="E940" s="4"/>
      <c r="G940" s="1"/>
      <c r="H940" s="1"/>
      <c r="I940" s="1">
        <f t="shared" si="148"/>
        <v>0</v>
      </c>
      <c r="J940" s="1">
        <f t="shared" si="155"/>
        <v>3219</v>
      </c>
      <c r="K940" s="9" t="e">
        <f t="shared" si="153"/>
        <v>#DIV/0!</v>
      </c>
      <c r="L940" s="19">
        <f t="shared" si="154"/>
        <v>0</v>
      </c>
    </row>
    <row r="941" spans="1:12" x14ac:dyDescent="0.35">
      <c r="A941" s="2" t="s">
        <v>115</v>
      </c>
      <c r="B941" t="s">
        <v>116</v>
      </c>
      <c r="C941" s="21" t="s">
        <v>275</v>
      </c>
      <c r="D941" s="4">
        <v>12</v>
      </c>
      <c r="E941" s="4"/>
      <c r="G941" s="1"/>
      <c r="H941" s="1"/>
      <c r="I941" s="1">
        <f t="shared" si="148"/>
        <v>0</v>
      </c>
      <c r="J941" s="1">
        <f t="shared" si="155"/>
        <v>3219</v>
      </c>
      <c r="K941" s="9" t="e">
        <f t="shared" si="153"/>
        <v>#DIV/0!</v>
      </c>
      <c r="L941" s="19">
        <f t="shared" si="154"/>
        <v>0</v>
      </c>
    </row>
    <row r="942" spans="1:12" x14ac:dyDescent="0.35">
      <c r="A942" s="2" t="s">
        <v>115</v>
      </c>
      <c r="B942" t="s">
        <v>116</v>
      </c>
      <c r="C942" s="21" t="s">
        <v>275</v>
      </c>
      <c r="D942" s="4">
        <v>13</v>
      </c>
      <c r="E942" s="4"/>
      <c r="G942" s="1"/>
      <c r="H942" s="1"/>
      <c r="I942" s="1">
        <f t="shared" si="148"/>
        <v>0</v>
      </c>
      <c r="J942" s="1">
        <f t="shared" si="155"/>
        <v>3219</v>
      </c>
      <c r="K942" s="9" t="e">
        <f t="shared" si="153"/>
        <v>#DIV/0!</v>
      </c>
      <c r="L942" s="19">
        <f t="shared" si="154"/>
        <v>0</v>
      </c>
    </row>
    <row r="943" spans="1:12" x14ac:dyDescent="0.35">
      <c r="A943" s="2" t="s">
        <v>115</v>
      </c>
      <c r="B943" t="s">
        <v>116</v>
      </c>
      <c r="C943" s="21" t="s">
        <v>275</v>
      </c>
      <c r="D943" s="4">
        <v>14</v>
      </c>
      <c r="E943" s="4"/>
      <c r="G943" s="1"/>
      <c r="H943" s="1"/>
      <c r="I943" s="1">
        <f t="shared" si="148"/>
        <v>0</v>
      </c>
      <c r="J943" s="1">
        <f t="shared" si="155"/>
        <v>3219</v>
      </c>
      <c r="K943" s="9" t="e">
        <f t="shared" si="153"/>
        <v>#DIV/0!</v>
      </c>
      <c r="L943" s="19">
        <f t="shared" si="154"/>
        <v>0</v>
      </c>
    </row>
    <row r="944" spans="1:12" x14ac:dyDescent="0.35">
      <c r="A944" s="2" t="s">
        <v>115</v>
      </c>
      <c r="B944" t="s">
        <v>116</v>
      </c>
      <c r="C944" s="21" t="s">
        <v>275</v>
      </c>
      <c r="D944" s="4">
        <v>15</v>
      </c>
      <c r="E944" s="4"/>
      <c r="G944" s="1"/>
      <c r="H944" s="1"/>
      <c r="I944" s="1">
        <f t="shared" si="148"/>
        <v>0</v>
      </c>
      <c r="J944" s="1">
        <f t="shared" si="155"/>
        <v>3219</v>
      </c>
      <c r="K944" s="9" t="e">
        <f t="shared" si="153"/>
        <v>#DIV/0!</v>
      </c>
      <c r="L944" s="19">
        <f t="shared" si="154"/>
        <v>0</v>
      </c>
    </row>
    <row r="945" spans="1:12" ht="15" thickBot="1" x14ac:dyDescent="0.4">
      <c r="A945" s="12" t="s">
        <v>115</v>
      </c>
      <c r="B945" s="13" t="s">
        <v>116</v>
      </c>
      <c r="C945" s="21" t="s">
        <v>275</v>
      </c>
      <c r="D945" s="14">
        <v>16</v>
      </c>
      <c r="E945" s="14"/>
      <c r="F945" s="13"/>
      <c r="G945" s="15"/>
      <c r="H945" s="15"/>
      <c r="I945" s="15">
        <f t="shared" si="148"/>
        <v>0</v>
      </c>
      <c r="J945" s="15">
        <f t="shared" si="155"/>
        <v>3219</v>
      </c>
      <c r="K945" s="13"/>
      <c r="L945" s="19">
        <f t="shared" si="154"/>
        <v>0</v>
      </c>
    </row>
    <row r="946" spans="1:12" x14ac:dyDescent="0.35">
      <c r="A946" s="2" t="s">
        <v>117</v>
      </c>
      <c r="B946" t="s">
        <v>118</v>
      </c>
      <c r="C946" s="21" t="s">
        <v>275</v>
      </c>
      <c r="D946" s="4">
        <v>1</v>
      </c>
      <c r="E946" s="4"/>
      <c r="F946" s="3">
        <v>45915</v>
      </c>
      <c r="G946" s="1">
        <v>11813</v>
      </c>
      <c r="H946" s="1">
        <v>11178</v>
      </c>
      <c r="I946" s="1">
        <f t="shared" si="148"/>
        <v>635</v>
      </c>
      <c r="J946" s="1">
        <f>I946</f>
        <v>635</v>
      </c>
      <c r="K946" s="9">
        <f t="shared" ref="K946:K955" si="156">I946/H946</f>
        <v>5.6808015745213811E-2</v>
      </c>
      <c r="L946" s="19">
        <f t="shared" si="154"/>
        <v>-11178</v>
      </c>
    </row>
    <row r="947" spans="1:12" x14ac:dyDescent="0.35">
      <c r="A947" s="2" t="s">
        <v>117</v>
      </c>
      <c r="B947" t="s">
        <v>118</v>
      </c>
      <c r="C947" s="21" t="s">
        <v>275</v>
      </c>
      <c r="D947" s="4">
        <v>2</v>
      </c>
      <c r="E947" s="4"/>
      <c r="F947" s="3">
        <v>45922</v>
      </c>
      <c r="G947" s="1">
        <v>11823</v>
      </c>
      <c r="H947" s="1">
        <v>11173</v>
      </c>
      <c r="I947" s="1">
        <f t="shared" si="148"/>
        <v>650</v>
      </c>
      <c r="J947" s="1">
        <f>J946+I947</f>
        <v>1285</v>
      </c>
      <c r="K947" s="9">
        <f t="shared" si="156"/>
        <v>5.8175959903338403E-2</v>
      </c>
      <c r="L947" s="19">
        <f t="shared" si="154"/>
        <v>-11173</v>
      </c>
    </row>
    <row r="948" spans="1:12" x14ac:dyDescent="0.35">
      <c r="A948" s="2" t="s">
        <v>117</v>
      </c>
      <c r="B948" t="s">
        <v>118</v>
      </c>
      <c r="C948" s="21" t="s">
        <v>275</v>
      </c>
      <c r="D948" s="4">
        <v>3</v>
      </c>
      <c r="E948" s="4"/>
      <c r="F948" s="3">
        <v>45929</v>
      </c>
      <c r="G948" s="1">
        <v>11823</v>
      </c>
      <c r="H948" s="1">
        <v>11178</v>
      </c>
      <c r="I948" s="1">
        <f t="shared" si="148"/>
        <v>645</v>
      </c>
      <c r="J948" s="1">
        <f t="shared" ref="J948:J961" si="157">J947+I948</f>
        <v>1930</v>
      </c>
      <c r="K948" s="9">
        <f t="shared" si="156"/>
        <v>5.7702630166398282E-2</v>
      </c>
      <c r="L948" s="19">
        <f t="shared" si="154"/>
        <v>-11178</v>
      </c>
    </row>
    <row r="949" spans="1:12" x14ac:dyDescent="0.35">
      <c r="A949" s="2" t="s">
        <v>117</v>
      </c>
      <c r="B949" t="s">
        <v>118</v>
      </c>
      <c r="C949" s="21" t="s">
        <v>275</v>
      </c>
      <c r="D949" s="4">
        <v>4</v>
      </c>
      <c r="E949" s="4"/>
      <c r="F949" s="3">
        <v>45936</v>
      </c>
      <c r="G949" s="1">
        <v>11823</v>
      </c>
      <c r="H949" s="1">
        <v>11178</v>
      </c>
      <c r="I949" s="1">
        <f t="shared" si="148"/>
        <v>645</v>
      </c>
      <c r="J949" s="1">
        <f t="shared" si="157"/>
        <v>2575</v>
      </c>
      <c r="K949" s="9">
        <f t="shared" si="156"/>
        <v>5.7702630166398282E-2</v>
      </c>
      <c r="L949" s="19">
        <f t="shared" si="154"/>
        <v>-11178</v>
      </c>
    </row>
    <row r="950" spans="1:12" x14ac:dyDescent="0.35">
      <c r="A950" s="2" t="s">
        <v>117</v>
      </c>
      <c r="B950" t="s">
        <v>118</v>
      </c>
      <c r="C950" s="21" t="s">
        <v>275</v>
      </c>
      <c r="D950" s="4">
        <v>5</v>
      </c>
      <c r="E950" s="4"/>
      <c r="F950" s="3">
        <v>45943</v>
      </c>
      <c r="G950" s="1">
        <v>11823</v>
      </c>
      <c r="H950" s="1">
        <v>11173</v>
      </c>
      <c r="I950" s="1">
        <f t="shared" ref="I950:I1013" si="158">G950-H950</f>
        <v>650</v>
      </c>
      <c r="J950" s="1">
        <f t="shared" si="157"/>
        <v>3225</v>
      </c>
      <c r="K950" s="9">
        <f t="shared" si="156"/>
        <v>5.8175959903338403E-2</v>
      </c>
      <c r="L950" s="19">
        <f t="shared" si="154"/>
        <v>-11173</v>
      </c>
    </row>
    <row r="951" spans="1:12" x14ac:dyDescent="0.35">
      <c r="A951" s="2" t="s">
        <v>117</v>
      </c>
      <c r="B951" t="s">
        <v>118</v>
      </c>
      <c r="C951" s="21" t="s">
        <v>275</v>
      </c>
      <c r="D951" s="4">
        <v>6</v>
      </c>
      <c r="E951" s="4"/>
      <c r="F951" s="3">
        <v>45950</v>
      </c>
      <c r="G951" s="1">
        <v>11823</v>
      </c>
      <c r="H951" s="1">
        <v>11178</v>
      </c>
      <c r="I951" s="1">
        <f t="shared" si="158"/>
        <v>645</v>
      </c>
      <c r="J951" s="1">
        <f t="shared" si="157"/>
        <v>3870</v>
      </c>
      <c r="K951" s="9">
        <f t="shared" si="156"/>
        <v>5.7702630166398282E-2</v>
      </c>
      <c r="L951" s="19">
        <f t="shared" si="154"/>
        <v>-11178</v>
      </c>
    </row>
    <row r="952" spans="1:12" x14ac:dyDescent="0.35">
      <c r="A952" s="2" t="s">
        <v>117</v>
      </c>
      <c r="B952" t="s">
        <v>118</v>
      </c>
      <c r="C952" s="21" t="s">
        <v>275</v>
      </c>
      <c r="D952" s="4">
        <v>7</v>
      </c>
      <c r="E952" s="4"/>
      <c r="F952" s="3">
        <v>45957</v>
      </c>
      <c r="G952" s="1">
        <v>11823</v>
      </c>
      <c r="H952" s="1">
        <v>11178</v>
      </c>
      <c r="I952" s="1">
        <f t="shared" si="158"/>
        <v>645</v>
      </c>
      <c r="J952" s="1">
        <f t="shared" si="157"/>
        <v>4515</v>
      </c>
      <c r="K952" s="9">
        <f t="shared" si="156"/>
        <v>5.7702630166398282E-2</v>
      </c>
      <c r="L952" s="19">
        <f t="shared" si="154"/>
        <v>-11178</v>
      </c>
    </row>
    <row r="953" spans="1:12" x14ac:dyDescent="0.35">
      <c r="A953" s="2" t="s">
        <v>117</v>
      </c>
      <c r="B953" t="s">
        <v>118</v>
      </c>
      <c r="C953" s="21" t="s">
        <v>275</v>
      </c>
      <c r="D953" s="4">
        <v>8</v>
      </c>
      <c r="E953" s="4"/>
      <c r="F953" s="3">
        <v>45964</v>
      </c>
      <c r="G953" s="1">
        <v>11823</v>
      </c>
      <c r="H953" s="1">
        <v>11178</v>
      </c>
      <c r="I953" s="1">
        <f t="shared" si="158"/>
        <v>645</v>
      </c>
      <c r="J953" s="1">
        <f t="shared" si="157"/>
        <v>5160</v>
      </c>
      <c r="K953" s="9">
        <f t="shared" si="156"/>
        <v>5.7702630166398282E-2</v>
      </c>
      <c r="L953" s="19">
        <f t="shared" si="154"/>
        <v>-11178</v>
      </c>
    </row>
    <row r="954" spans="1:12" x14ac:dyDescent="0.35">
      <c r="A954" s="2" t="s">
        <v>117</v>
      </c>
      <c r="B954" t="s">
        <v>118</v>
      </c>
      <c r="C954" s="21" t="s">
        <v>275</v>
      </c>
      <c r="D954" s="4">
        <v>9</v>
      </c>
      <c r="E954" s="4"/>
      <c r="G954" s="1"/>
      <c r="H954" s="1"/>
      <c r="I954" s="1">
        <f t="shared" si="158"/>
        <v>0</v>
      </c>
      <c r="J954" s="1">
        <f t="shared" si="157"/>
        <v>5160</v>
      </c>
      <c r="K954" s="9" t="e">
        <f t="shared" si="156"/>
        <v>#DIV/0!</v>
      </c>
      <c r="L954" s="19">
        <f t="shared" si="154"/>
        <v>0</v>
      </c>
    </row>
    <row r="955" spans="1:12" x14ac:dyDescent="0.35">
      <c r="A955" s="2" t="s">
        <v>117</v>
      </c>
      <c r="B955" t="s">
        <v>118</v>
      </c>
      <c r="C955" s="21" t="s">
        <v>275</v>
      </c>
      <c r="D955" s="4">
        <v>10</v>
      </c>
      <c r="E955" s="4"/>
      <c r="G955" s="1"/>
      <c r="H955" s="1"/>
      <c r="I955" s="1">
        <f t="shared" si="158"/>
        <v>0</v>
      </c>
      <c r="J955" s="1">
        <f t="shared" si="157"/>
        <v>5160</v>
      </c>
      <c r="K955" s="9" t="e">
        <f t="shared" si="156"/>
        <v>#DIV/0!</v>
      </c>
      <c r="L955" s="19">
        <f t="shared" si="154"/>
        <v>0</v>
      </c>
    </row>
    <row r="956" spans="1:12" x14ac:dyDescent="0.35">
      <c r="A956" s="2" t="s">
        <v>117</v>
      </c>
      <c r="B956" t="s">
        <v>118</v>
      </c>
      <c r="C956" s="21" t="s">
        <v>275</v>
      </c>
      <c r="D956" s="4">
        <v>11</v>
      </c>
      <c r="E956" s="4"/>
      <c r="G956" s="1"/>
      <c r="H956" s="1"/>
      <c r="I956" s="1">
        <f t="shared" si="158"/>
        <v>0</v>
      </c>
      <c r="J956" s="1">
        <f t="shared" si="157"/>
        <v>5160</v>
      </c>
      <c r="L956" s="19">
        <f t="shared" si="154"/>
        <v>0</v>
      </c>
    </row>
    <row r="957" spans="1:12" x14ac:dyDescent="0.35">
      <c r="A957" s="2" t="s">
        <v>117</v>
      </c>
      <c r="B957" t="s">
        <v>118</v>
      </c>
      <c r="C957" s="21" t="s">
        <v>275</v>
      </c>
      <c r="D957" s="4">
        <v>12</v>
      </c>
      <c r="E957" s="4"/>
      <c r="G957" s="1"/>
      <c r="H957" s="1"/>
      <c r="I957" s="1">
        <f t="shared" si="158"/>
        <v>0</v>
      </c>
      <c r="J957" s="1">
        <f t="shared" si="157"/>
        <v>5160</v>
      </c>
      <c r="L957" s="19">
        <f t="shared" si="154"/>
        <v>0</v>
      </c>
    </row>
    <row r="958" spans="1:12" x14ac:dyDescent="0.35">
      <c r="A958" s="2" t="s">
        <v>117</v>
      </c>
      <c r="B958" t="s">
        <v>118</v>
      </c>
      <c r="C958" s="21" t="s">
        <v>275</v>
      </c>
      <c r="D958" s="4">
        <v>13</v>
      </c>
      <c r="E958" s="4"/>
      <c r="G958" s="1"/>
      <c r="H958" s="1"/>
      <c r="I958" s="1">
        <f t="shared" si="158"/>
        <v>0</v>
      </c>
      <c r="J958" s="1">
        <f t="shared" si="157"/>
        <v>5160</v>
      </c>
      <c r="L958" s="19">
        <f t="shared" si="154"/>
        <v>0</v>
      </c>
    </row>
    <row r="959" spans="1:12" x14ac:dyDescent="0.35">
      <c r="A959" s="2" t="s">
        <v>117</v>
      </c>
      <c r="B959" t="s">
        <v>118</v>
      </c>
      <c r="C959" s="21" t="s">
        <v>275</v>
      </c>
      <c r="D959" s="4">
        <v>14</v>
      </c>
      <c r="E959" s="4"/>
      <c r="G959" s="1"/>
      <c r="H959" s="1"/>
      <c r="I959" s="1">
        <f t="shared" si="158"/>
        <v>0</v>
      </c>
      <c r="J959" s="1">
        <f t="shared" si="157"/>
        <v>5160</v>
      </c>
      <c r="L959" s="19">
        <f t="shared" si="154"/>
        <v>0</v>
      </c>
    </row>
    <row r="960" spans="1:12" x14ac:dyDescent="0.35">
      <c r="A960" s="2" t="s">
        <v>117</v>
      </c>
      <c r="B960" t="s">
        <v>118</v>
      </c>
      <c r="C960" s="21" t="s">
        <v>275</v>
      </c>
      <c r="D960" s="4">
        <v>15</v>
      </c>
      <c r="E960" s="4"/>
      <c r="G960" s="1"/>
      <c r="H960" s="1"/>
      <c r="I960" s="1">
        <f t="shared" si="158"/>
        <v>0</v>
      </c>
      <c r="J960" s="1">
        <f t="shared" si="157"/>
        <v>5160</v>
      </c>
      <c r="L960" s="19">
        <f t="shared" si="154"/>
        <v>0</v>
      </c>
    </row>
    <row r="961" spans="1:12" ht="15" thickBot="1" x14ac:dyDescent="0.4">
      <c r="A961" s="12" t="s">
        <v>117</v>
      </c>
      <c r="B961" s="13" t="s">
        <v>118</v>
      </c>
      <c r="C961" s="21" t="s">
        <v>275</v>
      </c>
      <c r="D961" s="14">
        <v>16</v>
      </c>
      <c r="E961" s="14"/>
      <c r="F961" s="13"/>
      <c r="G961" s="15"/>
      <c r="H961" s="15"/>
      <c r="I961" s="15">
        <f t="shared" si="158"/>
        <v>0</v>
      </c>
      <c r="J961" s="15">
        <f t="shared" si="157"/>
        <v>5160</v>
      </c>
      <c r="K961" s="13"/>
      <c r="L961" s="19">
        <f t="shared" si="154"/>
        <v>0</v>
      </c>
    </row>
    <row r="962" spans="1:12" x14ac:dyDescent="0.35">
      <c r="A962" s="2" t="s">
        <v>119</v>
      </c>
      <c r="B962" t="s">
        <v>120</v>
      </c>
      <c r="C962" s="21" t="s">
        <v>275</v>
      </c>
      <c r="D962" s="4">
        <v>1</v>
      </c>
      <c r="E962" s="4"/>
      <c r="F962" s="3">
        <v>45911</v>
      </c>
      <c r="G962" s="1">
        <v>5586</v>
      </c>
      <c r="H962" s="1">
        <v>5326</v>
      </c>
      <c r="I962" s="1">
        <f t="shared" si="158"/>
        <v>260</v>
      </c>
      <c r="J962" s="1">
        <f>I962</f>
        <v>260</v>
      </c>
      <c r="K962" s="9">
        <f t="shared" ref="K962:K976" si="159">I962/H962</f>
        <v>4.8817123544874205E-2</v>
      </c>
      <c r="L962" s="19">
        <f t="shared" si="154"/>
        <v>-5326</v>
      </c>
    </row>
    <row r="963" spans="1:12" x14ac:dyDescent="0.35">
      <c r="A963" s="2" t="s">
        <v>119</v>
      </c>
      <c r="B963" t="s">
        <v>120</v>
      </c>
      <c r="C963" s="21" t="s">
        <v>275</v>
      </c>
      <c r="D963" s="4">
        <v>2</v>
      </c>
      <c r="E963" s="4"/>
      <c r="F963" s="3">
        <v>45918</v>
      </c>
      <c r="G963" s="1">
        <v>5586</v>
      </c>
      <c r="H963" s="1">
        <v>5326</v>
      </c>
      <c r="I963" s="1">
        <f t="shared" si="158"/>
        <v>260</v>
      </c>
      <c r="J963" s="1">
        <f>J962+I963</f>
        <v>520</v>
      </c>
      <c r="K963" s="9">
        <f t="shared" si="159"/>
        <v>4.8817123544874205E-2</v>
      </c>
      <c r="L963" s="19">
        <f t="shared" si="154"/>
        <v>-5326</v>
      </c>
    </row>
    <row r="964" spans="1:12" x14ac:dyDescent="0.35">
      <c r="A964" s="2" t="s">
        <v>119</v>
      </c>
      <c r="B964" t="s">
        <v>120</v>
      </c>
      <c r="C964" s="21" t="s">
        <v>275</v>
      </c>
      <c r="D964" s="4">
        <v>3</v>
      </c>
      <c r="E964" s="4"/>
      <c r="F964" s="3">
        <v>45925</v>
      </c>
      <c r="G964" s="1">
        <v>5586</v>
      </c>
      <c r="H964" s="1">
        <v>5326</v>
      </c>
      <c r="I964" s="1">
        <f t="shared" si="158"/>
        <v>260</v>
      </c>
      <c r="J964" s="1">
        <f t="shared" ref="J964:J977" si="160">J963+I964</f>
        <v>780</v>
      </c>
      <c r="K964" s="9">
        <f t="shared" si="159"/>
        <v>4.8817123544874205E-2</v>
      </c>
      <c r="L964" s="19">
        <f t="shared" si="154"/>
        <v>-5326</v>
      </c>
    </row>
    <row r="965" spans="1:12" x14ac:dyDescent="0.35">
      <c r="A965" s="2" t="s">
        <v>119</v>
      </c>
      <c r="B965" t="s">
        <v>120</v>
      </c>
      <c r="C965" s="21" t="s">
        <v>275</v>
      </c>
      <c r="D965" s="4">
        <v>4</v>
      </c>
      <c r="E965" s="4"/>
      <c r="F965" s="3">
        <v>45932</v>
      </c>
      <c r="G965" s="1">
        <v>5586</v>
      </c>
      <c r="H965" s="1">
        <v>5326</v>
      </c>
      <c r="I965" s="1">
        <f t="shared" si="158"/>
        <v>260</v>
      </c>
      <c r="J965" s="1">
        <f t="shared" si="160"/>
        <v>1040</v>
      </c>
      <c r="K965" s="9">
        <f t="shared" si="159"/>
        <v>4.8817123544874205E-2</v>
      </c>
      <c r="L965" s="19">
        <f t="shared" si="154"/>
        <v>-5326</v>
      </c>
    </row>
    <row r="966" spans="1:12" x14ac:dyDescent="0.35">
      <c r="A966" s="2" t="s">
        <v>119</v>
      </c>
      <c r="B966" t="s">
        <v>120</v>
      </c>
      <c r="C966" s="21" t="s">
        <v>275</v>
      </c>
      <c r="D966" s="4">
        <v>5</v>
      </c>
      <c r="E966" s="4"/>
      <c r="F966" s="3">
        <v>45939</v>
      </c>
      <c r="G966" s="1">
        <v>5586</v>
      </c>
      <c r="H966" s="1">
        <v>5326</v>
      </c>
      <c r="I966" s="1">
        <f t="shared" si="158"/>
        <v>260</v>
      </c>
      <c r="J966" s="1">
        <f t="shared" si="160"/>
        <v>1300</v>
      </c>
      <c r="K966" s="9">
        <f t="shared" si="159"/>
        <v>4.8817123544874205E-2</v>
      </c>
      <c r="L966" s="19">
        <f t="shared" si="154"/>
        <v>-5326</v>
      </c>
    </row>
    <row r="967" spans="1:12" x14ac:dyDescent="0.35">
      <c r="A967" s="2" t="s">
        <v>119</v>
      </c>
      <c r="B967" t="s">
        <v>120</v>
      </c>
      <c r="C967" s="21" t="s">
        <v>275</v>
      </c>
      <c r="D967" s="4">
        <v>6</v>
      </c>
      <c r="E967" s="4"/>
      <c r="F967" s="3">
        <v>45946</v>
      </c>
      <c r="G967" s="1">
        <v>5586</v>
      </c>
      <c r="H967" s="1">
        <v>5321</v>
      </c>
      <c r="I967" s="1">
        <f t="shared" si="158"/>
        <v>265</v>
      </c>
      <c r="J967" s="1">
        <f t="shared" si="160"/>
        <v>1565</v>
      </c>
      <c r="K967" s="9">
        <f t="shared" si="159"/>
        <v>4.980266867130239E-2</v>
      </c>
      <c r="L967" s="19">
        <f t="shared" si="154"/>
        <v>-5321</v>
      </c>
    </row>
    <row r="968" spans="1:12" x14ac:dyDescent="0.35">
      <c r="A968" s="2" t="s">
        <v>119</v>
      </c>
      <c r="B968" t="s">
        <v>120</v>
      </c>
      <c r="C968" s="21" t="s">
        <v>275</v>
      </c>
      <c r="D968" s="4">
        <v>7</v>
      </c>
      <c r="E968" s="4"/>
      <c r="F968" s="3">
        <v>45953</v>
      </c>
      <c r="G968" s="1">
        <v>5586</v>
      </c>
      <c r="H968" s="1">
        <v>5326</v>
      </c>
      <c r="I968" s="1">
        <f t="shared" si="158"/>
        <v>260</v>
      </c>
      <c r="J968" s="1">
        <f t="shared" si="160"/>
        <v>1825</v>
      </c>
      <c r="K968" s="9">
        <f t="shared" si="159"/>
        <v>4.8817123544874205E-2</v>
      </c>
      <c r="L968" s="19">
        <f t="shared" si="154"/>
        <v>-5326</v>
      </c>
    </row>
    <row r="969" spans="1:12" x14ac:dyDescent="0.35">
      <c r="A969" s="2" t="s">
        <v>119</v>
      </c>
      <c r="B969" t="s">
        <v>120</v>
      </c>
      <c r="C969" s="21" t="s">
        <v>275</v>
      </c>
      <c r="D969" s="4">
        <v>8</v>
      </c>
      <c r="E969" s="4"/>
      <c r="F969" s="3">
        <v>45960</v>
      </c>
      <c r="G969" s="1">
        <v>5736</v>
      </c>
      <c r="H969" s="1">
        <v>5326</v>
      </c>
      <c r="I969" s="1">
        <f t="shared" si="158"/>
        <v>410</v>
      </c>
      <c r="J969" s="1">
        <f t="shared" si="160"/>
        <v>2235</v>
      </c>
      <c r="K969" s="9">
        <f t="shared" si="159"/>
        <v>7.6980848666917012E-2</v>
      </c>
      <c r="L969" s="19">
        <f t="shared" si="154"/>
        <v>-5326</v>
      </c>
    </row>
    <row r="970" spans="1:12" x14ac:dyDescent="0.35">
      <c r="A970" s="2" t="s">
        <v>119</v>
      </c>
      <c r="B970" t="s">
        <v>120</v>
      </c>
      <c r="C970" s="21" t="s">
        <v>275</v>
      </c>
      <c r="D970" s="4">
        <v>9</v>
      </c>
      <c r="E970" s="4"/>
      <c r="F970" s="3">
        <v>45967</v>
      </c>
      <c r="G970" s="1">
        <v>5686</v>
      </c>
      <c r="H970" s="1">
        <v>5326</v>
      </c>
      <c r="I970" s="1">
        <f t="shared" si="158"/>
        <v>360</v>
      </c>
      <c r="J970" s="1">
        <f t="shared" si="160"/>
        <v>2595</v>
      </c>
      <c r="K970" s="9">
        <f t="shared" si="159"/>
        <v>6.7592940292902748E-2</v>
      </c>
      <c r="L970" s="19">
        <f t="shared" si="154"/>
        <v>-5326</v>
      </c>
    </row>
    <row r="971" spans="1:12" x14ac:dyDescent="0.35">
      <c r="A971" s="2" t="s">
        <v>119</v>
      </c>
      <c r="B971" t="s">
        <v>120</v>
      </c>
      <c r="C971" s="21" t="s">
        <v>275</v>
      </c>
      <c r="D971" s="4">
        <v>10</v>
      </c>
      <c r="E971" s="4"/>
      <c r="G971" s="1"/>
      <c r="H971" s="1"/>
      <c r="I971" s="1">
        <f t="shared" si="158"/>
        <v>0</v>
      </c>
      <c r="J971" s="1">
        <f t="shared" si="160"/>
        <v>2595</v>
      </c>
      <c r="K971" s="9" t="e">
        <f t="shared" si="159"/>
        <v>#DIV/0!</v>
      </c>
      <c r="L971" s="19">
        <f t="shared" si="154"/>
        <v>0</v>
      </c>
    </row>
    <row r="972" spans="1:12" x14ac:dyDescent="0.35">
      <c r="A972" s="2" t="s">
        <v>119</v>
      </c>
      <c r="B972" t="s">
        <v>120</v>
      </c>
      <c r="C972" s="21" t="s">
        <v>275</v>
      </c>
      <c r="D972" s="4">
        <v>11</v>
      </c>
      <c r="E972" s="4"/>
      <c r="G972" s="1"/>
      <c r="H972" s="1"/>
      <c r="I972" s="1">
        <f t="shared" si="158"/>
        <v>0</v>
      </c>
      <c r="J972" s="1">
        <f t="shared" si="160"/>
        <v>2595</v>
      </c>
      <c r="K972" s="9" t="e">
        <f t="shared" si="159"/>
        <v>#DIV/0!</v>
      </c>
      <c r="L972" s="19">
        <f t="shared" si="154"/>
        <v>0</v>
      </c>
    </row>
    <row r="973" spans="1:12" x14ac:dyDescent="0.35">
      <c r="A973" s="2" t="s">
        <v>119</v>
      </c>
      <c r="B973" t="s">
        <v>120</v>
      </c>
      <c r="C973" s="21" t="s">
        <v>275</v>
      </c>
      <c r="D973" s="4">
        <v>12</v>
      </c>
      <c r="E973" s="4"/>
      <c r="G973" s="1"/>
      <c r="H973" s="1"/>
      <c r="I973" s="1">
        <f t="shared" si="158"/>
        <v>0</v>
      </c>
      <c r="J973" s="1">
        <f t="shared" si="160"/>
        <v>2595</v>
      </c>
      <c r="K973" s="9" t="e">
        <f t="shared" si="159"/>
        <v>#DIV/0!</v>
      </c>
      <c r="L973" s="19">
        <f t="shared" si="154"/>
        <v>0</v>
      </c>
    </row>
    <row r="974" spans="1:12" x14ac:dyDescent="0.35">
      <c r="A974" s="2" t="s">
        <v>119</v>
      </c>
      <c r="B974" t="s">
        <v>120</v>
      </c>
      <c r="C974" s="21" t="s">
        <v>275</v>
      </c>
      <c r="D974" s="4">
        <v>13</v>
      </c>
      <c r="E974" s="4"/>
      <c r="G974" s="1"/>
      <c r="H974" s="1"/>
      <c r="I974" s="1">
        <f t="shared" si="158"/>
        <v>0</v>
      </c>
      <c r="J974" s="1">
        <f t="shared" si="160"/>
        <v>2595</v>
      </c>
      <c r="K974" s="9" t="e">
        <f t="shared" si="159"/>
        <v>#DIV/0!</v>
      </c>
      <c r="L974" s="19">
        <f t="shared" si="154"/>
        <v>0</v>
      </c>
    </row>
    <row r="975" spans="1:12" x14ac:dyDescent="0.35">
      <c r="A975" s="2" t="s">
        <v>119</v>
      </c>
      <c r="B975" t="s">
        <v>120</v>
      </c>
      <c r="C975" s="21" t="s">
        <v>275</v>
      </c>
      <c r="D975" s="4">
        <v>14</v>
      </c>
      <c r="E975" s="4"/>
      <c r="G975" s="1"/>
      <c r="H975" s="1"/>
      <c r="I975" s="1">
        <f t="shared" si="158"/>
        <v>0</v>
      </c>
      <c r="J975" s="1">
        <f t="shared" si="160"/>
        <v>2595</v>
      </c>
      <c r="K975" s="9" t="e">
        <f t="shared" si="159"/>
        <v>#DIV/0!</v>
      </c>
      <c r="L975" s="19">
        <f t="shared" si="154"/>
        <v>0</v>
      </c>
    </row>
    <row r="976" spans="1:12" x14ac:dyDescent="0.35">
      <c r="A976" s="2" t="s">
        <v>119</v>
      </c>
      <c r="B976" t="s">
        <v>120</v>
      </c>
      <c r="C976" s="21" t="s">
        <v>275</v>
      </c>
      <c r="D976" s="4">
        <v>15</v>
      </c>
      <c r="E976" s="4"/>
      <c r="G976" s="1"/>
      <c r="H976" s="1"/>
      <c r="I976" s="1">
        <f t="shared" si="158"/>
        <v>0</v>
      </c>
      <c r="J976" s="1">
        <f t="shared" si="160"/>
        <v>2595</v>
      </c>
      <c r="K976" s="9" t="e">
        <f t="shared" si="159"/>
        <v>#DIV/0!</v>
      </c>
      <c r="L976" s="19">
        <f t="shared" si="154"/>
        <v>0</v>
      </c>
    </row>
    <row r="977" spans="1:12" ht="15" thickBot="1" x14ac:dyDescent="0.4">
      <c r="A977" s="12" t="s">
        <v>119</v>
      </c>
      <c r="B977" s="13" t="s">
        <v>120</v>
      </c>
      <c r="C977" s="21" t="s">
        <v>275</v>
      </c>
      <c r="D977" s="14">
        <v>16</v>
      </c>
      <c r="E977" s="14"/>
      <c r="F977" s="13"/>
      <c r="G977" s="15"/>
      <c r="H977" s="15"/>
      <c r="I977" s="15">
        <f t="shared" si="158"/>
        <v>0</v>
      </c>
      <c r="J977" s="15">
        <f t="shared" si="160"/>
        <v>2595</v>
      </c>
      <c r="K977" s="13"/>
      <c r="L977" s="19">
        <f t="shared" si="154"/>
        <v>0</v>
      </c>
    </row>
    <row r="978" spans="1:12" x14ac:dyDescent="0.35">
      <c r="A978" s="2" t="s">
        <v>121</v>
      </c>
      <c r="B978" t="s">
        <v>122</v>
      </c>
      <c r="C978" s="21" t="s">
        <v>275</v>
      </c>
      <c r="D978" s="4">
        <v>1</v>
      </c>
      <c r="E978" s="4"/>
      <c r="F978" s="3">
        <v>45918</v>
      </c>
      <c r="G978" s="1">
        <v>8618.07</v>
      </c>
      <c r="H978" s="1">
        <v>8208.07</v>
      </c>
      <c r="I978" s="1">
        <f t="shared" si="158"/>
        <v>410</v>
      </c>
      <c r="J978" s="1">
        <f>I978</f>
        <v>410</v>
      </c>
      <c r="K978" s="9">
        <f t="shared" ref="K978:K992" si="161">I978/H978</f>
        <v>4.9950841062515308E-2</v>
      </c>
      <c r="L978" s="19">
        <f t="shared" si="154"/>
        <v>-8208.07</v>
      </c>
    </row>
    <row r="979" spans="1:12" x14ac:dyDescent="0.35">
      <c r="A979" s="2" t="s">
        <v>121</v>
      </c>
      <c r="B979" t="s">
        <v>122</v>
      </c>
      <c r="C979" s="21" t="s">
        <v>275</v>
      </c>
      <c r="D979" s="4">
        <v>2</v>
      </c>
      <c r="E979" s="4"/>
      <c r="F979" s="3">
        <v>45925</v>
      </c>
      <c r="G979" s="1">
        <v>8618</v>
      </c>
      <c r="H979" s="1">
        <v>8208.07</v>
      </c>
      <c r="I979" s="1">
        <f t="shared" si="158"/>
        <v>409.93000000000029</v>
      </c>
      <c r="J979" s="1">
        <f>J978+I979</f>
        <v>819.93000000000029</v>
      </c>
      <c r="K979" s="9">
        <f t="shared" si="161"/>
        <v>4.9942312870138818E-2</v>
      </c>
      <c r="L979" s="19">
        <f t="shared" si="154"/>
        <v>-8208.07</v>
      </c>
    </row>
    <row r="980" spans="1:12" x14ac:dyDescent="0.35">
      <c r="A980" s="2" t="s">
        <v>121</v>
      </c>
      <c r="B980" t="s">
        <v>122</v>
      </c>
      <c r="C980" s="21" t="s">
        <v>275</v>
      </c>
      <c r="D980" s="4">
        <v>3</v>
      </c>
      <c r="E980" s="4"/>
      <c r="F980" s="3">
        <v>45932</v>
      </c>
      <c r="G980" s="1">
        <v>8618</v>
      </c>
      <c r="H980" s="1">
        <v>8208.07</v>
      </c>
      <c r="I980" s="1">
        <f t="shared" si="158"/>
        <v>409.93000000000029</v>
      </c>
      <c r="J980" s="1">
        <f t="shared" ref="J980:J993" si="162">J979+I980</f>
        <v>1229.8600000000006</v>
      </c>
      <c r="K980" s="9">
        <f t="shared" si="161"/>
        <v>4.9942312870138818E-2</v>
      </c>
      <c r="L980" s="19">
        <f t="shared" si="154"/>
        <v>-8208.07</v>
      </c>
    </row>
    <row r="981" spans="1:12" x14ac:dyDescent="0.35">
      <c r="A981" s="2" t="s">
        <v>121</v>
      </c>
      <c r="B981" t="s">
        <v>122</v>
      </c>
      <c r="C981" s="21" t="s">
        <v>275</v>
      </c>
      <c r="D981" s="4">
        <v>4</v>
      </c>
      <c r="E981" s="4"/>
      <c r="F981" s="3">
        <v>45939</v>
      </c>
      <c r="G981" s="1">
        <v>8618</v>
      </c>
      <c r="H981" s="1">
        <v>8208.07</v>
      </c>
      <c r="I981" s="1">
        <f t="shared" si="158"/>
        <v>409.93000000000029</v>
      </c>
      <c r="J981" s="1">
        <f t="shared" si="162"/>
        <v>1639.7900000000009</v>
      </c>
      <c r="K981" s="9">
        <f t="shared" si="161"/>
        <v>4.9942312870138818E-2</v>
      </c>
      <c r="L981" s="19">
        <f t="shared" si="154"/>
        <v>-8208.07</v>
      </c>
    </row>
    <row r="982" spans="1:12" x14ac:dyDescent="0.35">
      <c r="A982" s="2" t="s">
        <v>121</v>
      </c>
      <c r="B982" t="s">
        <v>122</v>
      </c>
      <c r="C982" s="21" t="s">
        <v>275</v>
      </c>
      <c r="D982" s="4">
        <v>5</v>
      </c>
      <c r="E982" s="4"/>
      <c r="F982" s="3">
        <v>45946</v>
      </c>
      <c r="G982" s="1">
        <v>8618</v>
      </c>
      <c r="H982" s="1">
        <v>8208.07</v>
      </c>
      <c r="I982" s="1">
        <f t="shared" si="158"/>
        <v>409.93000000000029</v>
      </c>
      <c r="J982" s="1">
        <f t="shared" si="162"/>
        <v>2049.7200000000012</v>
      </c>
      <c r="K982" s="9">
        <f t="shared" si="161"/>
        <v>4.9942312870138818E-2</v>
      </c>
      <c r="L982" s="19">
        <f t="shared" si="154"/>
        <v>-8208.07</v>
      </c>
    </row>
    <row r="983" spans="1:12" x14ac:dyDescent="0.35">
      <c r="A983" s="2" t="s">
        <v>121</v>
      </c>
      <c r="B983" t="s">
        <v>122</v>
      </c>
      <c r="C983" s="21" t="s">
        <v>275</v>
      </c>
      <c r="D983" s="4">
        <v>6</v>
      </c>
      <c r="E983" s="4"/>
      <c r="F983" s="3">
        <v>45953</v>
      </c>
      <c r="G983" s="1">
        <v>8648</v>
      </c>
      <c r="H983" s="1">
        <v>8208.07</v>
      </c>
      <c r="I983" s="1">
        <f t="shared" si="158"/>
        <v>439.93000000000029</v>
      </c>
      <c r="J983" s="1">
        <f t="shared" si="162"/>
        <v>2489.6500000000015</v>
      </c>
      <c r="K983" s="9">
        <f t="shared" si="161"/>
        <v>5.3597252460078959E-2</v>
      </c>
      <c r="L983" s="19">
        <f t="shared" si="154"/>
        <v>-8208.07</v>
      </c>
    </row>
    <row r="984" spans="1:12" x14ac:dyDescent="0.35">
      <c r="A984" s="2" t="s">
        <v>121</v>
      </c>
      <c r="B984" t="s">
        <v>122</v>
      </c>
      <c r="C984" s="21" t="s">
        <v>275</v>
      </c>
      <c r="D984" s="4">
        <v>7</v>
      </c>
      <c r="E984" s="4"/>
      <c r="F984" s="3">
        <v>45960</v>
      </c>
      <c r="G984" s="1">
        <v>8618</v>
      </c>
      <c r="H984" s="1">
        <v>8208.07</v>
      </c>
      <c r="I984" s="1">
        <f t="shared" si="158"/>
        <v>409.93000000000029</v>
      </c>
      <c r="J984" s="1">
        <f t="shared" si="162"/>
        <v>2899.5800000000017</v>
      </c>
      <c r="K984" s="9">
        <f t="shared" si="161"/>
        <v>4.9942312870138818E-2</v>
      </c>
      <c r="L984" s="19">
        <f t="shared" si="154"/>
        <v>-8208.07</v>
      </c>
    </row>
    <row r="985" spans="1:12" x14ac:dyDescent="0.35">
      <c r="A985" s="2" t="s">
        <v>121</v>
      </c>
      <c r="B985" t="s">
        <v>122</v>
      </c>
      <c r="C985" s="21" t="s">
        <v>275</v>
      </c>
      <c r="D985" s="4">
        <v>8</v>
      </c>
      <c r="E985" s="4"/>
      <c r="F985" s="3">
        <v>45967</v>
      </c>
      <c r="G985" s="34">
        <v>8618</v>
      </c>
      <c r="H985" s="34">
        <v>8208.07</v>
      </c>
      <c r="I985" s="1">
        <f t="shared" si="158"/>
        <v>409.93000000000029</v>
      </c>
      <c r="J985" s="1">
        <f t="shared" si="162"/>
        <v>3309.510000000002</v>
      </c>
      <c r="K985" s="9">
        <f t="shared" si="161"/>
        <v>4.9942312870138818E-2</v>
      </c>
      <c r="L985" s="19">
        <f t="shared" si="154"/>
        <v>-8208.07</v>
      </c>
    </row>
    <row r="986" spans="1:12" x14ac:dyDescent="0.35">
      <c r="A986" s="2" t="s">
        <v>121</v>
      </c>
      <c r="B986" t="s">
        <v>122</v>
      </c>
      <c r="C986" s="21" t="s">
        <v>275</v>
      </c>
      <c r="D986" s="4">
        <v>9</v>
      </c>
      <c r="E986" s="4"/>
      <c r="G986" s="1"/>
      <c r="H986" s="1"/>
      <c r="I986" s="1">
        <f t="shared" si="158"/>
        <v>0</v>
      </c>
      <c r="J986" s="1">
        <f t="shared" si="162"/>
        <v>3309.510000000002</v>
      </c>
      <c r="K986" s="9" t="e">
        <f t="shared" si="161"/>
        <v>#DIV/0!</v>
      </c>
      <c r="L986" s="19">
        <f t="shared" si="154"/>
        <v>0</v>
      </c>
    </row>
    <row r="987" spans="1:12" x14ac:dyDescent="0.35">
      <c r="A987" s="2" t="s">
        <v>121</v>
      </c>
      <c r="B987" t="s">
        <v>122</v>
      </c>
      <c r="C987" s="21" t="s">
        <v>275</v>
      </c>
      <c r="D987" s="4">
        <v>10</v>
      </c>
      <c r="E987" s="4"/>
      <c r="G987" s="1"/>
      <c r="H987" s="1"/>
      <c r="I987" s="1">
        <f t="shared" si="158"/>
        <v>0</v>
      </c>
      <c r="J987" s="1">
        <f t="shared" si="162"/>
        <v>3309.510000000002</v>
      </c>
      <c r="K987" s="9" t="e">
        <f t="shared" si="161"/>
        <v>#DIV/0!</v>
      </c>
      <c r="L987" s="19">
        <f t="shared" si="154"/>
        <v>0</v>
      </c>
    </row>
    <row r="988" spans="1:12" x14ac:dyDescent="0.35">
      <c r="A988" s="2" t="s">
        <v>121</v>
      </c>
      <c r="B988" t="s">
        <v>122</v>
      </c>
      <c r="C988" s="21" t="s">
        <v>275</v>
      </c>
      <c r="D988" s="4">
        <v>11</v>
      </c>
      <c r="E988" s="4"/>
      <c r="G988" s="1"/>
      <c r="H988" s="1"/>
      <c r="I988" s="1">
        <f t="shared" si="158"/>
        <v>0</v>
      </c>
      <c r="J988" s="1">
        <f t="shared" si="162"/>
        <v>3309.510000000002</v>
      </c>
      <c r="K988" s="9" t="e">
        <f t="shared" si="161"/>
        <v>#DIV/0!</v>
      </c>
      <c r="L988" s="19">
        <f t="shared" si="154"/>
        <v>0</v>
      </c>
    </row>
    <row r="989" spans="1:12" x14ac:dyDescent="0.35">
      <c r="A989" s="2" t="s">
        <v>121</v>
      </c>
      <c r="B989" t="s">
        <v>122</v>
      </c>
      <c r="C989" s="21" t="s">
        <v>275</v>
      </c>
      <c r="D989" s="4">
        <v>12</v>
      </c>
      <c r="E989" s="4"/>
      <c r="G989" s="1"/>
      <c r="H989" s="1"/>
      <c r="I989" s="1">
        <f t="shared" si="158"/>
        <v>0</v>
      </c>
      <c r="J989" s="1">
        <f t="shared" si="162"/>
        <v>3309.510000000002</v>
      </c>
      <c r="K989" s="9" t="e">
        <f t="shared" si="161"/>
        <v>#DIV/0!</v>
      </c>
      <c r="L989" s="19">
        <f t="shared" si="154"/>
        <v>0</v>
      </c>
    </row>
    <row r="990" spans="1:12" x14ac:dyDescent="0.35">
      <c r="A990" s="2" t="s">
        <v>121</v>
      </c>
      <c r="B990" t="s">
        <v>122</v>
      </c>
      <c r="C990" s="21" t="s">
        <v>275</v>
      </c>
      <c r="D990" s="4">
        <v>13</v>
      </c>
      <c r="E990" s="4"/>
      <c r="G990" s="1"/>
      <c r="H990" s="1"/>
      <c r="I990" s="1">
        <f t="shared" si="158"/>
        <v>0</v>
      </c>
      <c r="J990" s="1">
        <f t="shared" si="162"/>
        <v>3309.510000000002</v>
      </c>
      <c r="K990" s="9" t="e">
        <f t="shared" si="161"/>
        <v>#DIV/0!</v>
      </c>
      <c r="L990" s="19">
        <f t="shared" si="154"/>
        <v>0</v>
      </c>
    </row>
    <row r="991" spans="1:12" x14ac:dyDescent="0.35">
      <c r="A991" s="2" t="s">
        <v>121</v>
      </c>
      <c r="B991" t="s">
        <v>122</v>
      </c>
      <c r="C991" s="21" t="s">
        <v>275</v>
      </c>
      <c r="D991" s="4">
        <v>14</v>
      </c>
      <c r="E991" s="4"/>
      <c r="G991" s="1"/>
      <c r="H991" s="1"/>
      <c r="I991" s="1">
        <f t="shared" si="158"/>
        <v>0</v>
      </c>
      <c r="J991" s="1">
        <f t="shared" si="162"/>
        <v>3309.510000000002</v>
      </c>
      <c r="K991" s="9" t="e">
        <f t="shared" si="161"/>
        <v>#DIV/0!</v>
      </c>
      <c r="L991" s="19">
        <f t="shared" si="154"/>
        <v>0</v>
      </c>
    </row>
    <row r="992" spans="1:12" x14ac:dyDescent="0.35">
      <c r="A992" s="2" t="s">
        <v>121</v>
      </c>
      <c r="B992" t="s">
        <v>122</v>
      </c>
      <c r="C992" s="21" t="s">
        <v>275</v>
      </c>
      <c r="D992" s="4">
        <v>15</v>
      </c>
      <c r="E992" s="4"/>
      <c r="G992" s="1"/>
      <c r="H992" s="1"/>
      <c r="I992" s="1">
        <f t="shared" si="158"/>
        <v>0</v>
      </c>
      <c r="J992" s="1">
        <f t="shared" si="162"/>
        <v>3309.510000000002</v>
      </c>
      <c r="K992" s="9" t="e">
        <f t="shared" si="161"/>
        <v>#DIV/0!</v>
      </c>
      <c r="L992" s="19">
        <f t="shared" si="154"/>
        <v>0</v>
      </c>
    </row>
    <row r="993" spans="1:12" ht="15" thickBot="1" x14ac:dyDescent="0.4">
      <c r="A993" s="12" t="s">
        <v>121</v>
      </c>
      <c r="B993" s="13" t="s">
        <v>122</v>
      </c>
      <c r="C993" s="21" t="s">
        <v>275</v>
      </c>
      <c r="D993" s="14">
        <v>16</v>
      </c>
      <c r="E993" s="14"/>
      <c r="F993" s="13"/>
      <c r="G993" s="15"/>
      <c r="H993" s="15"/>
      <c r="I993" s="15">
        <f t="shared" si="158"/>
        <v>0</v>
      </c>
      <c r="J993" s="15">
        <f t="shared" si="162"/>
        <v>3309.510000000002</v>
      </c>
      <c r="K993" s="13"/>
      <c r="L993" s="19">
        <f t="shared" si="154"/>
        <v>0</v>
      </c>
    </row>
    <row r="994" spans="1:12" x14ac:dyDescent="0.35">
      <c r="A994" s="2" t="s">
        <v>123</v>
      </c>
      <c r="B994" t="s">
        <v>124</v>
      </c>
      <c r="C994" s="21" t="s">
        <v>275</v>
      </c>
      <c r="D994" s="4">
        <v>1</v>
      </c>
      <c r="E994" s="4"/>
      <c r="F994" s="3">
        <v>45917</v>
      </c>
      <c r="G994" s="1">
        <v>9348</v>
      </c>
      <c r="H994" s="1">
        <v>8816</v>
      </c>
      <c r="I994" s="1">
        <f t="shared" si="158"/>
        <v>532</v>
      </c>
      <c r="J994" s="1">
        <f>I994</f>
        <v>532</v>
      </c>
      <c r="K994" s="9">
        <f t="shared" ref="K994:K1008" si="163">I994/H994</f>
        <v>6.0344827586206899E-2</v>
      </c>
      <c r="L994" s="19">
        <f t="shared" ref="L994:L1057" si="164">E994-H994</f>
        <v>-8816</v>
      </c>
    </row>
    <row r="995" spans="1:12" x14ac:dyDescent="0.35">
      <c r="A995" s="2" t="s">
        <v>123</v>
      </c>
      <c r="B995" t="s">
        <v>124</v>
      </c>
      <c r="C995" s="21" t="s">
        <v>275</v>
      </c>
      <c r="D995" s="4">
        <v>2</v>
      </c>
      <c r="E995" s="4"/>
      <c r="F995" s="3">
        <v>45924</v>
      </c>
      <c r="G995" s="1">
        <v>9350</v>
      </c>
      <c r="H995" s="1">
        <v>8816</v>
      </c>
      <c r="I995" s="1">
        <f t="shared" si="158"/>
        <v>534</v>
      </c>
      <c r="J995" s="1">
        <f>J994+I995</f>
        <v>1066</v>
      </c>
      <c r="K995" s="9">
        <f t="shared" si="163"/>
        <v>6.0571687840290378E-2</v>
      </c>
      <c r="L995" s="19">
        <f t="shared" si="164"/>
        <v>-8816</v>
      </c>
    </row>
    <row r="996" spans="1:12" x14ac:dyDescent="0.35">
      <c r="A996" s="2" t="s">
        <v>123</v>
      </c>
      <c r="B996" t="s">
        <v>124</v>
      </c>
      <c r="C996" s="21" t="s">
        <v>275</v>
      </c>
      <c r="D996" s="4">
        <v>3</v>
      </c>
      <c r="E996" s="4"/>
      <c r="F996" s="3">
        <v>45931</v>
      </c>
      <c r="G996" s="1">
        <v>9345</v>
      </c>
      <c r="H996" s="1">
        <v>8816</v>
      </c>
      <c r="I996" s="1">
        <f t="shared" si="158"/>
        <v>529</v>
      </c>
      <c r="J996" s="1">
        <f t="shared" ref="J996:J1009" si="165">J995+I996</f>
        <v>1595</v>
      </c>
      <c r="K996" s="9">
        <f t="shared" si="163"/>
        <v>6.0004537205081671E-2</v>
      </c>
      <c r="L996" s="19">
        <f t="shared" si="164"/>
        <v>-8816</v>
      </c>
    </row>
    <row r="997" spans="1:12" x14ac:dyDescent="0.35">
      <c r="A997" s="2" t="s">
        <v>123</v>
      </c>
      <c r="B997" t="s">
        <v>124</v>
      </c>
      <c r="C997" s="21" t="s">
        <v>275</v>
      </c>
      <c r="D997" s="4">
        <v>4</v>
      </c>
      <c r="E997" s="4"/>
      <c r="F997" s="3">
        <v>45938</v>
      </c>
      <c r="G997" s="1">
        <v>9314</v>
      </c>
      <c r="H997" s="1">
        <v>8816</v>
      </c>
      <c r="I997" s="1">
        <f t="shared" si="158"/>
        <v>498</v>
      </c>
      <c r="J997" s="1">
        <f t="shared" si="165"/>
        <v>2093</v>
      </c>
      <c r="K997" s="9">
        <f t="shared" si="163"/>
        <v>5.6488203266787662E-2</v>
      </c>
      <c r="L997" s="19">
        <f t="shared" si="164"/>
        <v>-8816</v>
      </c>
    </row>
    <row r="998" spans="1:12" x14ac:dyDescent="0.35">
      <c r="A998" s="2" t="s">
        <v>123</v>
      </c>
      <c r="B998" t="s">
        <v>124</v>
      </c>
      <c r="C998" s="21" t="s">
        <v>275</v>
      </c>
      <c r="D998" s="4">
        <v>5</v>
      </c>
      <c r="E998" s="4"/>
      <c r="F998" s="3">
        <v>45945</v>
      </c>
      <c r="G998" s="1">
        <v>9250</v>
      </c>
      <c r="H998" s="1">
        <v>8816</v>
      </c>
      <c r="I998" s="1">
        <f t="shared" si="158"/>
        <v>434</v>
      </c>
      <c r="J998" s="1">
        <f t="shared" si="165"/>
        <v>2527</v>
      </c>
      <c r="K998" s="9">
        <f t="shared" si="163"/>
        <v>4.9228675136116153E-2</v>
      </c>
      <c r="L998" s="19">
        <f t="shared" si="164"/>
        <v>-8816</v>
      </c>
    </row>
    <row r="999" spans="1:12" x14ac:dyDescent="0.35">
      <c r="A999" s="2" t="s">
        <v>123</v>
      </c>
      <c r="B999" t="s">
        <v>124</v>
      </c>
      <c r="C999" s="21" t="s">
        <v>275</v>
      </c>
      <c r="D999" s="4">
        <v>6</v>
      </c>
      <c r="E999" s="4"/>
      <c r="F999" s="3">
        <v>45952</v>
      </c>
      <c r="G999" s="1">
        <v>9253</v>
      </c>
      <c r="H999" s="1">
        <v>8816</v>
      </c>
      <c r="I999" s="1">
        <f t="shared" si="158"/>
        <v>437</v>
      </c>
      <c r="J999" s="1">
        <f t="shared" si="165"/>
        <v>2964</v>
      </c>
      <c r="K999" s="9">
        <f t="shared" si="163"/>
        <v>4.9568965517241381E-2</v>
      </c>
      <c r="L999" s="19">
        <f t="shared" si="164"/>
        <v>-8816</v>
      </c>
    </row>
    <row r="1000" spans="1:12" x14ac:dyDescent="0.35">
      <c r="A1000" s="2" t="s">
        <v>123</v>
      </c>
      <c r="B1000" t="s">
        <v>124</v>
      </c>
      <c r="C1000" s="21" t="s">
        <v>275</v>
      </c>
      <c r="D1000" s="4">
        <v>7</v>
      </c>
      <c r="E1000" s="4"/>
      <c r="F1000" s="3">
        <v>45959</v>
      </c>
      <c r="G1000" s="1">
        <v>9250</v>
      </c>
      <c r="H1000" s="1">
        <v>8822</v>
      </c>
      <c r="I1000" s="1">
        <f t="shared" si="158"/>
        <v>428</v>
      </c>
      <c r="J1000" s="1">
        <f t="shared" si="165"/>
        <v>3392</v>
      </c>
      <c r="K1000" s="9">
        <f t="shared" si="163"/>
        <v>4.8515075946497392E-2</v>
      </c>
      <c r="L1000" s="19">
        <f t="shared" si="164"/>
        <v>-8822</v>
      </c>
    </row>
    <row r="1001" spans="1:12" x14ac:dyDescent="0.35">
      <c r="A1001" s="2" t="s">
        <v>123</v>
      </c>
      <c r="B1001" t="s">
        <v>124</v>
      </c>
      <c r="C1001" s="21" t="s">
        <v>275</v>
      </c>
      <c r="D1001" s="4">
        <v>8</v>
      </c>
      <c r="E1001" s="4"/>
      <c r="F1001" s="3">
        <v>45966</v>
      </c>
      <c r="G1001" s="1">
        <v>9170</v>
      </c>
      <c r="H1001" s="1">
        <v>8822</v>
      </c>
      <c r="I1001" s="1">
        <f t="shared" si="158"/>
        <v>348</v>
      </c>
      <c r="J1001" s="1">
        <f t="shared" si="165"/>
        <v>3740</v>
      </c>
      <c r="K1001" s="9">
        <f t="shared" si="163"/>
        <v>3.9446837451824986E-2</v>
      </c>
      <c r="L1001" s="19">
        <f t="shared" si="164"/>
        <v>-8822</v>
      </c>
    </row>
    <row r="1002" spans="1:12" x14ac:dyDescent="0.35">
      <c r="A1002" s="2" t="s">
        <v>123</v>
      </c>
      <c r="B1002" t="s">
        <v>124</v>
      </c>
      <c r="C1002" s="21" t="s">
        <v>275</v>
      </c>
      <c r="D1002" s="4">
        <v>9</v>
      </c>
      <c r="E1002" s="4"/>
      <c r="G1002" s="1"/>
      <c r="H1002" s="1"/>
      <c r="I1002" s="1">
        <f t="shared" si="158"/>
        <v>0</v>
      </c>
      <c r="J1002" s="1">
        <f t="shared" si="165"/>
        <v>3740</v>
      </c>
      <c r="K1002" s="9" t="e">
        <f t="shared" si="163"/>
        <v>#DIV/0!</v>
      </c>
      <c r="L1002" s="19">
        <f t="shared" si="164"/>
        <v>0</v>
      </c>
    </row>
    <row r="1003" spans="1:12" x14ac:dyDescent="0.35">
      <c r="A1003" s="2" t="s">
        <v>123</v>
      </c>
      <c r="B1003" t="s">
        <v>124</v>
      </c>
      <c r="C1003" s="21" t="s">
        <v>275</v>
      </c>
      <c r="D1003" s="4">
        <v>10</v>
      </c>
      <c r="E1003" s="4"/>
      <c r="G1003" s="1"/>
      <c r="H1003" s="1"/>
      <c r="I1003" s="1">
        <f t="shared" si="158"/>
        <v>0</v>
      </c>
      <c r="J1003" s="1">
        <f t="shared" si="165"/>
        <v>3740</v>
      </c>
      <c r="K1003" s="9" t="e">
        <f t="shared" si="163"/>
        <v>#DIV/0!</v>
      </c>
      <c r="L1003" s="19">
        <f t="shared" si="164"/>
        <v>0</v>
      </c>
    </row>
    <row r="1004" spans="1:12" x14ac:dyDescent="0.35">
      <c r="A1004" s="2" t="s">
        <v>123</v>
      </c>
      <c r="B1004" t="s">
        <v>124</v>
      </c>
      <c r="C1004" s="21" t="s">
        <v>275</v>
      </c>
      <c r="D1004" s="4">
        <v>11</v>
      </c>
      <c r="E1004" s="4"/>
      <c r="G1004" s="1"/>
      <c r="H1004" s="1"/>
      <c r="I1004" s="1">
        <f t="shared" si="158"/>
        <v>0</v>
      </c>
      <c r="J1004" s="1">
        <f t="shared" si="165"/>
        <v>3740</v>
      </c>
      <c r="K1004" s="9" t="e">
        <f t="shared" si="163"/>
        <v>#DIV/0!</v>
      </c>
      <c r="L1004" s="19">
        <f t="shared" si="164"/>
        <v>0</v>
      </c>
    </row>
    <row r="1005" spans="1:12" x14ac:dyDescent="0.35">
      <c r="A1005" s="2" t="s">
        <v>123</v>
      </c>
      <c r="B1005" t="s">
        <v>124</v>
      </c>
      <c r="C1005" s="21" t="s">
        <v>275</v>
      </c>
      <c r="D1005" s="4">
        <v>12</v>
      </c>
      <c r="E1005" s="4"/>
      <c r="G1005" s="1"/>
      <c r="H1005" s="1"/>
      <c r="I1005" s="1">
        <f t="shared" si="158"/>
        <v>0</v>
      </c>
      <c r="J1005" s="1">
        <f t="shared" si="165"/>
        <v>3740</v>
      </c>
      <c r="K1005" s="9" t="e">
        <f t="shared" si="163"/>
        <v>#DIV/0!</v>
      </c>
      <c r="L1005" s="19">
        <f t="shared" si="164"/>
        <v>0</v>
      </c>
    </row>
    <row r="1006" spans="1:12" x14ac:dyDescent="0.35">
      <c r="A1006" s="2" t="s">
        <v>123</v>
      </c>
      <c r="B1006" t="s">
        <v>124</v>
      </c>
      <c r="C1006" s="21" t="s">
        <v>275</v>
      </c>
      <c r="D1006" s="4">
        <v>13</v>
      </c>
      <c r="E1006" s="4"/>
      <c r="G1006" s="1"/>
      <c r="H1006" s="1"/>
      <c r="I1006" s="1">
        <f t="shared" si="158"/>
        <v>0</v>
      </c>
      <c r="J1006" s="1">
        <f t="shared" si="165"/>
        <v>3740</v>
      </c>
      <c r="K1006" s="9" t="e">
        <f t="shared" si="163"/>
        <v>#DIV/0!</v>
      </c>
      <c r="L1006" s="19">
        <f t="shared" si="164"/>
        <v>0</v>
      </c>
    </row>
    <row r="1007" spans="1:12" x14ac:dyDescent="0.35">
      <c r="A1007" s="2" t="s">
        <v>123</v>
      </c>
      <c r="B1007" t="s">
        <v>124</v>
      </c>
      <c r="C1007" s="21" t="s">
        <v>275</v>
      </c>
      <c r="D1007" s="4">
        <v>14</v>
      </c>
      <c r="E1007" s="4"/>
      <c r="G1007" s="1"/>
      <c r="H1007" s="1"/>
      <c r="I1007" s="1">
        <f t="shared" si="158"/>
        <v>0</v>
      </c>
      <c r="J1007" s="1">
        <f t="shared" si="165"/>
        <v>3740</v>
      </c>
      <c r="K1007" s="9" t="e">
        <f t="shared" si="163"/>
        <v>#DIV/0!</v>
      </c>
      <c r="L1007" s="19">
        <f t="shared" si="164"/>
        <v>0</v>
      </c>
    </row>
    <row r="1008" spans="1:12" x14ac:dyDescent="0.35">
      <c r="A1008" s="2" t="s">
        <v>123</v>
      </c>
      <c r="B1008" t="s">
        <v>124</v>
      </c>
      <c r="C1008" s="21" t="s">
        <v>275</v>
      </c>
      <c r="D1008" s="4">
        <v>15</v>
      </c>
      <c r="E1008" s="4"/>
      <c r="G1008" s="1"/>
      <c r="H1008" s="1"/>
      <c r="I1008" s="1">
        <f t="shared" si="158"/>
        <v>0</v>
      </c>
      <c r="J1008" s="1">
        <f t="shared" si="165"/>
        <v>3740</v>
      </c>
      <c r="K1008" s="9" t="e">
        <f t="shared" si="163"/>
        <v>#DIV/0!</v>
      </c>
      <c r="L1008" s="19">
        <f t="shared" si="164"/>
        <v>0</v>
      </c>
    </row>
    <row r="1009" spans="1:12" ht="15" thickBot="1" x14ac:dyDescent="0.4">
      <c r="A1009" s="12" t="s">
        <v>123</v>
      </c>
      <c r="B1009" s="13" t="s">
        <v>124</v>
      </c>
      <c r="C1009" s="21" t="s">
        <v>275</v>
      </c>
      <c r="D1009" s="14">
        <v>16</v>
      </c>
      <c r="E1009" s="14"/>
      <c r="F1009" s="13"/>
      <c r="G1009" s="15"/>
      <c r="H1009" s="15"/>
      <c r="I1009" s="15">
        <f t="shared" si="158"/>
        <v>0</v>
      </c>
      <c r="J1009" s="15">
        <f t="shared" si="165"/>
        <v>3740</v>
      </c>
      <c r="K1009" s="13"/>
      <c r="L1009" s="19">
        <f t="shared" si="164"/>
        <v>0</v>
      </c>
    </row>
    <row r="1010" spans="1:12" x14ac:dyDescent="0.35">
      <c r="A1010" s="2" t="s">
        <v>125</v>
      </c>
      <c r="B1010" t="s">
        <v>126</v>
      </c>
      <c r="C1010" s="21" t="s">
        <v>275</v>
      </c>
      <c r="D1010" s="4">
        <v>1</v>
      </c>
      <c r="E1010" s="4"/>
      <c r="F1010" s="3">
        <v>45917</v>
      </c>
      <c r="G1010" s="1">
        <v>8060</v>
      </c>
      <c r="H1010" s="1">
        <v>7676</v>
      </c>
      <c r="I1010" s="1">
        <f t="shared" si="158"/>
        <v>384</v>
      </c>
      <c r="J1010" s="1">
        <f>I1010</f>
        <v>384</v>
      </c>
      <c r="K1010" s="9">
        <f t="shared" ref="K1010:K1024" si="166">I1010/H1010</f>
        <v>5.0026055237102657E-2</v>
      </c>
      <c r="L1010" s="19">
        <f t="shared" si="164"/>
        <v>-7676</v>
      </c>
    </row>
    <row r="1011" spans="1:12" x14ac:dyDescent="0.35">
      <c r="A1011" s="2" t="s">
        <v>125</v>
      </c>
      <c r="B1011" t="s">
        <v>126</v>
      </c>
      <c r="C1011" s="21" t="s">
        <v>275</v>
      </c>
      <c r="D1011" s="4">
        <v>2</v>
      </c>
      <c r="E1011" s="4"/>
      <c r="F1011" s="3">
        <v>45924</v>
      </c>
      <c r="G1011" s="1">
        <v>8060</v>
      </c>
      <c r="H1011" s="1">
        <v>7676</v>
      </c>
      <c r="I1011" s="1">
        <f t="shared" si="158"/>
        <v>384</v>
      </c>
      <c r="J1011" s="1">
        <f>J1010+I1011</f>
        <v>768</v>
      </c>
      <c r="K1011" s="9">
        <f t="shared" si="166"/>
        <v>5.0026055237102657E-2</v>
      </c>
      <c r="L1011" s="19">
        <f t="shared" si="164"/>
        <v>-7676</v>
      </c>
    </row>
    <row r="1012" spans="1:12" x14ac:dyDescent="0.35">
      <c r="A1012" s="2" t="s">
        <v>125</v>
      </c>
      <c r="B1012" t="s">
        <v>126</v>
      </c>
      <c r="C1012" s="21" t="s">
        <v>275</v>
      </c>
      <c r="D1012" s="4">
        <v>3</v>
      </c>
      <c r="E1012" s="4"/>
      <c r="F1012" s="3">
        <v>45931</v>
      </c>
      <c r="G1012" s="1">
        <v>8060</v>
      </c>
      <c r="H1012" s="1">
        <v>7676</v>
      </c>
      <c r="I1012" s="1">
        <f t="shared" si="158"/>
        <v>384</v>
      </c>
      <c r="J1012" s="1">
        <f t="shared" ref="J1012:J1025" si="167">J1011+I1012</f>
        <v>1152</v>
      </c>
      <c r="K1012" s="9">
        <f t="shared" si="166"/>
        <v>5.0026055237102657E-2</v>
      </c>
      <c r="L1012" s="19">
        <f t="shared" si="164"/>
        <v>-7676</v>
      </c>
    </row>
    <row r="1013" spans="1:12" x14ac:dyDescent="0.35">
      <c r="A1013" s="2" t="s">
        <v>125</v>
      </c>
      <c r="B1013" t="s">
        <v>126</v>
      </c>
      <c r="C1013" s="21" t="s">
        <v>275</v>
      </c>
      <c r="D1013" s="4">
        <v>4</v>
      </c>
      <c r="E1013" s="4"/>
      <c r="F1013" s="3">
        <v>45938</v>
      </c>
      <c r="G1013" s="1">
        <v>8060</v>
      </c>
      <c r="H1013" s="1">
        <v>7676</v>
      </c>
      <c r="I1013" s="1">
        <f t="shared" si="158"/>
        <v>384</v>
      </c>
      <c r="J1013" s="1">
        <f t="shared" si="167"/>
        <v>1536</v>
      </c>
      <c r="K1013" s="9">
        <f t="shared" si="166"/>
        <v>5.0026055237102657E-2</v>
      </c>
      <c r="L1013" s="19">
        <f t="shared" si="164"/>
        <v>-7676</v>
      </c>
    </row>
    <row r="1014" spans="1:12" x14ac:dyDescent="0.35">
      <c r="A1014" s="2" t="s">
        <v>125</v>
      </c>
      <c r="B1014" t="s">
        <v>126</v>
      </c>
      <c r="C1014" s="21" t="s">
        <v>275</v>
      </c>
      <c r="D1014" s="4">
        <v>5</v>
      </c>
      <c r="E1014" s="4"/>
      <c r="F1014" s="3">
        <v>45945</v>
      </c>
      <c r="G1014" s="1">
        <v>8060</v>
      </c>
      <c r="H1014" s="1">
        <v>7676</v>
      </c>
      <c r="I1014" s="1">
        <f t="shared" ref="I1014:I1125" si="168">G1014-H1014</f>
        <v>384</v>
      </c>
      <c r="J1014" s="1">
        <f t="shared" si="167"/>
        <v>1920</v>
      </c>
      <c r="K1014" s="9">
        <f t="shared" si="166"/>
        <v>5.0026055237102657E-2</v>
      </c>
      <c r="L1014" s="19">
        <f t="shared" si="164"/>
        <v>-7676</v>
      </c>
    </row>
    <row r="1015" spans="1:12" x14ac:dyDescent="0.35">
      <c r="A1015" s="2" t="s">
        <v>125</v>
      </c>
      <c r="B1015" t="s">
        <v>126</v>
      </c>
      <c r="C1015" s="21" t="s">
        <v>275</v>
      </c>
      <c r="D1015" s="4">
        <v>6</v>
      </c>
      <c r="E1015" s="4"/>
      <c r="F1015" s="3">
        <v>45952</v>
      </c>
      <c r="G1015" s="1">
        <v>8060</v>
      </c>
      <c r="H1015" s="1">
        <v>7676</v>
      </c>
      <c r="I1015" s="1">
        <f t="shared" si="168"/>
        <v>384</v>
      </c>
      <c r="J1015" s="1">
        <f t="shared" si="167"/>
        <v>2304</v>
      </c>
      <c r="K1015" s="9">
        <f t="shared" si="166"/>
        <v>5.0026055237102657E-2</v>
      </c>
      <c r="L1015" s="19">
        <f t="shared" si="164"/>
        <v>-7676</v>
      </c>
    </row>
    <row r="1016" spans="1:12" x14ac:dyDescent="0.35">
      <c r="A1016" s="2" t="s">
        <v>125</v>
      </c>
      <c r="B1016" t="s">
        <v>126</v>
      </c>
      <c r="C1016" s="21" t="s">
        <v>275</v>
      </c>
      <c r="D1016" s="4">
        <v>7</v>
      </c>
      <c r="E1016" s="4"/>
      <c r="F1016" s="3">
        <v>45959</v>
      </c>
      <c r="G1016" s="1">
        <v>8060</v>
      </c>
      <c r="H1016" s="1">
        <v>7767</v>
      </c>
      <c r="I1016" s="1">
        <f t="shared" si="168"/>
        <v>293</v>
      </c>
      <c r="J1016" s="1">
        <f t="shared" si="167"/>
        <v>2597</v>
      </c>
      <c r="K1016" s="9">
        <f t="shared" si="166"/>
        <v>3.7723702845371444E-2</v>
      </c>
      <c r="L1016" s="19">
        <f t="shared" si="164"/>
        <v>-7767</v>
      </c>
    </row>
    <row r="1017" spans="1:12" x14ac:dyDescent="0.35">
      <c r="A1017" s="2" t="s">
        <v>125</v>
      </c>
      <c r="B1017" t="s">
        <v>126</v>
      </c>
      <c r="C1017" s="21" t="s">
        <v>275</v>
      </c>
      <c r="D1017" s="4">
        <v>8</v>
      </c>
      <c r="E1017" s="4"/>
      <c r="F1017" s="3">
        <v>45966</v>
      </c>
      <c r="G1017" s="1">
        <v>8060</v>
      </c>
      <c r="H1017" s="1">
        <v>7676</v>
      </c>
      <c r="I1017" s="1">
        <f t="shared" si="168"/>
        <v>384</v>
      </c>
      <c r="J1017" s="1">
        <f t="shared" si="167"/>
        <v>2981</v>
      </c>
      <c r="K1017" s="9">
        <f t="shared" si="166"/>
        <v>5.0026055237102657E-2</v>
      </c>
      <c r="L1017" s="19">
        <f t="shared" si="164"/>
        <v>-7676</v>
      </c>
    </row>
    <row r="1018" spans="1:12" x14ac:dyDescent="0.35">
      <c r="A1018" s="2" t="s">
        <v>125</v>
      </c>
      <c r="B1018" t="s">
        <v>126</v>
      </c>
      <c r="C1018" s="21" t="s">
        <v>275</v>
      </c>
      <c r="D1018" s="4">
        <v>9</v>
      </c>
      <c r="E1018" s="4"/>
      <c r="G1018" s="1"/>
      <c r="H1018" s="1"/>
      <c r="I1018" s="1">
        <f t="shared" si="168"/>
        <v>0</v>
      </c>
      <c r="J1018" s="1">
        <f t="shared" si="167"/>
        <v>2981</v>
      </c>
      <c r="K1018" s="9" t="e">
        <f t="shared" si="166"/>
        <v>#DIV/0!</v>
      </c>
      <c r="L1018" s="19">
        <f t="shared" si="164"/>
        <v>0</v>
      </c>
    </row>
    <row r="1019" spans="1:12" x14ac:dyDescent="0.35">
      <c r="A1019" s="2" t="s">
        <v>125</v>
      </c>
      <c r="B1019" t="s">
        <v>126</v>
      </c>
      <c r="C1019" s="21" t="s">
        <v>275</v>
      </c>
      <c r="D1019" s="4">
        <v>10</v>
      </c>
      <c r="E1019" s="4"/>
      <c r="G1019" s="1"/>
      <c r="H1019" s="1"/>
      <c r="I1019" s="1">
        <f t="shared" si="168"/>
        <v>0</v>
      </c>
      <c r="J1019" s="1">
        <f t="shared" si="167"/>
        <v>2981</v>
      </c>
      <c r="K1019" s="9" t="e">
        <f t="shared" si="166"/>
        <v>#DIV/0!</v>
      </c>
      <c r="L1019" s="19">
        <f t="shared" si="164"/>
        <v>0</v>
      </c>
    </row>
    <row r="1020" spans="1:12" x14ac:dyDescent="0.35">
      <c r="A1020" s="2" t="s">
        <v>125</v>
      </c>
      <c r="B1020" t="s">
        <v>126</v>
      </c>
      <c r="C1020" s="21" t="s">
        <v>275</v>
      </c>
      <c r="D1020" s="4">
        <v>11</v>
      </c>
      <c r="E1020" s="4"/>
      <c r="G1020" s="1"/>
      <c r="H1020" s="1"/>
      <c r="I1020" s="1">
        <f t="shared" si="168"/>
        <v>0</v>
      </c>
      <c r="J1020" s="1">
        <f t="shared" si="167"/>
        <v>2981</v>
      </c>
      <c r="K1020" s="9" t="e">
        <f t="shared" si="166"/>
        <v>#DIV/0!</v>
      </c>
      <c r="L1020" s="19">
        <f t="shared" si="164"/>
        <v>0</v>
      </c>
    </row>
    <row r="1021" spans="1:12" x14ac:dyDescent="0.35">
      <c r="A1021" s="2" t="s">
        <v>125</v>
      </c>
      <c r="B1021" t="s">
        <v>126</v>
      </c>
      <c r="C1021" s="21" t="s">
        <v>275</v>
      </c>
      <c r="D1021" s="4">
        <v>12</v>
      </c>
      <c r="E1021" s="4"/>
      <c r="G1021" s="1"/>
      <c r="H1021" s="1"/>
      <c r="I1021" s="1">
        <f t="shared" si="168"/>
        <v>0</v>
      </c>
      <c r="J1021" s="1">
        <f t="shared" si="167"/>
        <v>2981</v>
      </c>
      <c r="K1021" s="9" t="e">
        <f t="shared" si="166"/>
        <v>#DIV/0!</v>
      </c>
      <c r="L1021" s="19">
        <f t="shared" si="164"/>
        <v>0</v>
      </c>
    </row>
    <row r="1022" spans="1:12" x14ac:dyDescent="0.35">
      <c r="A1022" s="2" t="s">
        <v>125</v>
      </c>
      <c r="B1022" t="s">
        <v>126</v>
      </c>
      <c r="C1022" s="21" t="s">
        <v>275</v>
      </c>
      <c r="D1022" s="4">
        <v>13</v>
      </c>
      <c r="E1022" s="4"/>
      <c r="G1022" s="1"/>
      <c r="H1022" s="1"/>
      <c r="I1022" s="1">
        <f t="shared" si="168"/>
        <v>0</v>
      </c>
      <c r="J1022" s="1">
        <f t="shared" si="167"/>
        <v>2981</v>
      </c>
      <c r="K1022" s="9" t="e">
        <f t="shared" si="166"/>
        <v>#DIV/0!</v>
      </c>
      <c r="L1022" s="19">
        <f t="shared" si="164"/>
        <v>0</v>
      </c>
    </row>
    <row r="1023" spans="1:12" x14ac:dyDescent="0.35">
      <c r="A1023" s="2" t="s">
        <v>125</v>
      </c>
      <c r="B1023" t="s">
        <v>126</v>
      </c>
      <c r="C1023" s="21" t="s">
        <v>275</v>
      </c>
      <c r="D1023" s="4">
        <v>14</v>
      </c>
      <c r="E1023" s="4"/>
      <c r="G1023" s="1"/>
      <c r="H1023" s="1"/>
      <c r="I1023" s="1">
        <f t="shared" si="168"/>
        <v>0</v>
      </c>
      <c r="J1023" s="1">
        <f t="shared" si="167"/>
        <v>2981</v>
      </c>
      <c r="K1023" s="9" t="e">
        <f t="shared" si="166"/>
        <v>#DIV/0!</v>
      </c>
      <c r="L1023" s="19">
        <f t="shared" si="164"/>
        <v>0</v>
      </c>
    </row>
    <row r="1024" spans="1:12" x14ac:dyDescent="0.35">
      <c r="A1024" s="2" t="s">
        <v>125</v>
      </c>
      <c r="B1024" t="s">
        <v>126</v>
      </c>
      <c r="C1024" s="21" t="s">
        <v>275</v>
      </c>
      <c r="D1024" s="4">
        <v>15</v>
      </c>
      <c r="E1024" s="4"/>
      <c r="G1024" s="1"/>
      <c r="H1024" s="1"/>
      <c r="I1024" s="1">
        <f t="shared" si="168"/>
        <v>0</v>
      </c>
      <c r="J1024" s="1">
        <f t="shared" si="167"/>
        <v>2981</v>
      </c>
      <c r="K1024" s="9" t="e">
        <f t="shared" si="166"/>
        <v>#DIV/0!</v>
      </c>
      <c r="L1024" s="19">
        <f t="shared" si="164"/>
        <v>0</v>
      </c>
    </row>
    <row r="1025" spans="1:12" ht="15" thickBot="1" x14ac:dyDescent="0.4">
      <c r="A1025" s="12" t="s">
        <v>125</v>
      </c>
      <c r="B1025" s="13" t="s">
        <v>126</v>
      </c>
      <c r="C1025" s="21" t="s">
        <v>275</v>
      </c>
      <c r="D1025" s="14">
        <v>16</v>
      </c>
      <c r="E1025" s="14"/>
      <c r="F1025" s="13"/>
      <c r="G1025" s="15"/>
      <c r="H1025" s="15"/>
      <c r="I1025" s="15">
        <f t="shared" si="168"/>
        <v>0</v>
      </c>
      <c r="J1025" s="15">
        <f t="shared" si="167"/>
        <v>2981</v>
      </c>
      <c r="K1025" s="13"/>
      <c r="L1025" s="19">
        <f t="shared" si="164"/>
        <v>0</v>
      </c>
    </row>
    <row r="1026" spans="1:12" x14ac:dyDescent="0.35">
      <c r="A1026" s="2" t="s">
        <v>127</v>
      </c>
      <c r="B1026" t="s">
        <v>128</v>
      </c>
      <c r="C1026" s="21" t="s">
        <v>275</v>
      </c>
      <c r="D1026" s="4">
        <v>1</v>
      </c>
      <c r="E1026" s="4"/>
      <c r="F1026" s="3">
        <v>45917</v>
      </c>
      <c r="G1026" s="1">
        <v>3678</v>
      </c>
      <c r="H1026" s="1">
        <v>3344</v>
      </c>
      <c r="I1026" s="1">
        <f t="shared" si="168"/>
        <v>334</v>
      </c>
      <c r="J1026" s="1">
        <f>I1026</f>
        <v>334</v>
      </c>
      <c r="K1026" s="9">
        <f t="shared" ref="K1026:K1040" si="169">I1026/H1026</f>
        <v>9.9880382775119611E-2</v>
      </c>
      <c r="L1026" s="19">
        <f t="shared" si="164"/>
        <v>-3344</v>
      </c>
    </row>
    <row r="1027" spans="1:12" x14ac:dyDescent="0.35">
      <c r="A1027" s="2" t="s">
        <v>127</v>
      </c>
      <c r="B1027" t="s">
        <v>128</v>
      </c>
      <c r="C1027" s="21" t="s">
        <v>275</v>
      </c>
      <c r="D1027" s="4">
        <v>2</v>
      </c>
      <c r="E1027" s="4"/>
      <c r="F1027" s="3">
        <v>45924</v>
      </c>
      <c r="G1027" s="1">
        <v>3680</v>
      </c>
      <c r="H1027" s="1">
        <v>3344</v>
      </c>
      <c r="I1027" s="1">
        <f t="shared" si="168"/>
        <v>336</v>
      </c>
      <c r="J1027" s="1">
        <f>J1026+I1027</f>
        <v>670</v>
      </c>
      <c r="K1027" s="9">
        <f t="shared" si="169"/>
        <v>0.10047846889952153</v>
      </c>
      <c r="L1027" s="19">
        <f t="shared" si="164"/>
        <v>-3344</v>
      </c>
    </row>
    <row r="1028" spans="1:12" x14ac:dyDescent="0.35">
      <c r="A1028" s="2" t="s">
        <v>127</v>
      </c>
      <c r="B1028" t="s">
        <v>128</v>
      </c>
      <c r="C1028" s="21" t="s">
        <v>275</v>
      </c>
      <c r="D1028" s="4">
        <v>3</v>
      </c>
      <c r="E1028" s="4"/>
      <c r="F1028" s="3">
        <v>45931</v>
      </c>
      <c r="G1028" s="1">
        <v>3680</v>
      </c>
      <c r="H1028" s="1">
        <v>3344</v>
      </c>
      <c r="I1028" s="1">
        <f t="shared" si="168"/>
        <v>336</v>
      </c>
      <c r="J1028" s="1">
        <f t="shared" ref="J1028:J1041" si="170">J1027+I1028</f>
        <v>1006</v>
      </c>
      <c r="K1028" s="9">
        <f t="shared" si="169"/>
        <v>0.10047846889952153</v>
      </c>
      <c r="L1028" s="19">
        <f t="shared" si="164"/>
        <v>-3344</v>
      </c>
    </row>
    <row r="1029" spans="1:12" x14ac:dyDescent="0.35">
      <c r="A1029" s="2" t="s">
        <v>127</v>
      </c>
      <c r="B1029" t="s">
        <v>128</v>
      </c>
      <c r="C1029" s="21" t="s">
        <v>275</v>
      </c>
      <c r="D1029" s="4">
        <v>4</v>
      </c>
      <c r="E1029" s="4"/>
      <c r="F1029" s="3">
        <v>45938</v>
      </c>
      <c r="G1029" s="1">
        <v>3680</v>
      </c>
      <c r="H1029" s="1">
        <v>3344</v>
      </c>
      <c r="I1029" s="1">
        <f t="shared" si="168"/>
        <v>336</v>
      </c>
      <c r="J1029" s="1">
        <f t="shared" si="170"/>
        <v>1342</v>
      </c>
      <c r="K1029" s="9">
        <f t="shared" si="169"/>
        <v>0.10047846889952153</v>
      </c>
      <c r="L1029" s="19">
        <f t="shared" si="164"/>
        <v>-3344</v>
      </c>
    </row>
    <row r="1030" spans="1:12" x14ac:dyDescent="0.35">
      <c r="A1030" s="2" t="s">
        <v>127</v>
      </c>
      <c r="B1030" t="s">
        <v>128</v>
      </c>
      <c r="C1030" s="21" t="s">
        <v>275</v>
      </c>
      <c r="D1030" s="4">
        <v>5</v>
      </c>
      <c r="E1030" s="4"/>
      <c r="F1030" s="3">
        <v>45945</v>
      </c>
      <c r="G1030" s="1">
        <v>3680</v>
      </c>
      <c r="H1030" s="1">
        <v>3344</v>
      </c>
      <c r="I1030" s="1">
        <f t="shared" si="168"/>
        <v>336</v>
      </c>
      <c r="J1030" s="1">
        <f t="shared" si="170"/>
        <v>1678</v>
      </c>
      <c r="K1030" s="9">
        <f t="shared" si="169"/>
        <v>0.10047846889952153</v>
      </c>
      <c r="L1030" s="19">
        <f t="shared" si="164"/>
        <v>-3344</v>
      </c>
    </row>
    <row r="1031" spans="1:12" x14ac:dyDescent="0.35">
      <c r="A1031" s="2" t="s">
        <v>127</v>
      </c>
      <c r="B1031" t="s">
        <v>128</v>
      </c>
      <c r="C1031" s="21" t="s">
        <v>275</v>
      </c>
      <c r="D1031" s="4">
        <v>6</v>
      </c>
      <c r="E1031" s="4"/>
      <c r="F1031" s="3">
        <v>45952</v>
      </c>
      <c r="G1031" s="1">
        <v>3680</v>
      </c>
      <c r="H1031" s="1">
        <v>3344</v>
      </c>
      <c r="I1031" s="1">
        <f t="shared" si="168"/>
        <v>336</v>
      </c>
      <c r="J1031" s="1">
        <f t="shared" si="170"/>
        <v>2014</v>
      </c>
      <c r="K1031" s="9">
        <f t="shared" si="169"/>
        <v>0.10047846889952153</v>
      </c>
      <c r="L1031" s="19">
        <f t="shared" si="164"/>
        <v>-3344</v>
      </c>
    </row>
    <row r="1032" spans="1:12" x14ac:dyDescent="0.35">
      <c r="A1032" s="2" t="s">
        <v>127</v>
      </c>
      <c r="B1032" t="s">
        <v>128</v>
      </c>
      <c r="C1032" s="21" t="s">
        <v>275</v>
      </c>
      <c r="D1032" s="4">
        <v>7</v>
      </c>
      <c r="E1032" s="4"/>
      <c r="F1032" s="3">
        <v>45959</v>
      </c>
      <c r="G1032" s="1">
        <v>3680</v>
      </c>
      <c r="H1032" s="1">
        <v>3344</v>
      </c>
      <c r="I1032" s="1">
        <f t="shared" si="168"/>
        <v>336</v>
      </c>
      <c r="J1032" s="1">
        <f t="shared" si="170"/>
        <v>2350</v>
      </c>
      <c r="K1032" s="9">
        <f t="shared" si="169"/>
        <v>0.10047846889952153</v>
      </c>
      <c r="L1032" s="19">
        <f t="shared" si="164"/>
        <v>-3344</v>
      </c>
    </row>
    <row r="1033" spans="1:12" x14ac:dyDescent="0.35">
      <c r="A1033" s="2" t="s">
        <v>127</v>
      </c>
      <c r="B1033" t="s">
        <v>128</v>
      </c>
      <c r="C1033" s="21" t="s">
        <v>275</v>
      </c>
      <c r="D1033" s="4">
        <v>8</v>
      </c>
      <c r="E1033" s="4"/>
      <c r="F1033" s="3">
        <v>45966</v>
      </c>
      <c r="G1033" s="34">
        <v>3680</v>
      </c>
      <c r="H1033" s="34">
        <v>3344</v>
      </c>
      <c r="I1033" s="1">
        <f t="shared" si="168"/>
        <v>336</v>
      </c>
      <c r="J1033" s="1">
        <f t="shared" si="170"/>
        <v>2686</v>
      </c>
      <c r="K1033" s="9">
        <f t="shared" si="169"/>
        <v>0.10047846889952153</v>
      </c>
      <c r="L1033" s="19">
        <f t="shared" si="164"/>
        <v>-3344</v>
      </c>
    </row>
    <row r="1034" spans="1:12" x14ac:dyDescent="0.35">
      <c r="A1034" s="2" t="s">
        <v>127</v>
      </c>
      <c r="B1034" t="s">
        <v>128</v>
      </c>
      <c r="C1034" s="21" t="s">
        <v>275</v>
      </c>
      <c r="D1034" s="4">
        <v>9</v>
      </c>
      <c r="E1034" s="4"/>
      <c r="G1034" s="1"/>
      <c r="H1034" s="1"/>
      <c r="I1034" s="1">
        <f t="shared" si="168"/>
        <v>0</v>
      </c>
      <c r="J1034" s="1">
        <f t="shared" si="170"/>
        <v>2686</v>
      </c>
      <c r="K1034" s="9" t="e">
        <f t="shared" si="169"/>
        <v>#DIV/0!</v>
      </c>
      <c r="L1034" s="19">
        <f t="shared" si="164"/>
        <v>0</v>
      </c>
    </row>
    <row r="1035" spans="1:12" x14ac:dyDescent="0.35">
      <c r="A1035" s="2" t="s">
        <v>127</v>
      </c>
      <c r="B1035" t="s">
        <v>128</v>
      </c>
      <c r="C1035" s="21" t="s">
        <v>275</v>
      </c>
      <c r="D1035" s="4">
        <v>10</v>
      </c>
      <c r="E1035" s="4"/>
      <c r="G1035" s="1"/>
      <c r="H1035" s="1"/>
      <c r="I1035" s="1">
        <f t="shared" si="168"/>
        <v>0</v>
      </c>
      <c r="J1035" s="1">
        <f t="shared" si="170"/>
        <v>2686</v>
      </c>
      <c r="K1035" s="9" t="e">
        <f t="shared" si="169"/>
        <v>#DIV/0!</v>
      </c>
      <c r="L1035" s="19">
        <f t="shared" si="164"/>
        <v>0</v>
      </c>
    </row>
    <row r="1036" spans="1:12" x14ac:dyDescent="0.35">
      <c r="A1036" s="2" t="s">
        <v>127</v>
      </c>
      <c r="B1036" t="s">
        <v>128</v>
      </c>
      <c r="C1036" s="21" t="s">
        <v>275</v>
      </c>
      <c r="D1036" s="4">
        <v>11</v>
      </c>
      <c r="E1036" s="4"/>
      <c r="G1036" s="1"/>
      <c r="H1036" s="1"/>
      <c r="I1036" s="1">
        <f t="shared" si="168"/>
        <v>0</v>
      </c>
      <c r="J1036" s="1">
        <f t="shared" si="170"/>
        <v>2686</v>
      </c>
      <c r="K1036" s="9" t="e">
        <f t="shared" si="169"/>
        <v>#DIV/0!</v>
      </c>
      <c r="L1036" s="19">
        <f t="shared" si="164"/>
        <v>0</v>
      </c>
    </row>
    <row r="1037" spans="1:12" x14ac:dyDescent="0.35">
      <c r="A1037" s="2" t="s">
        <v>127</v>
      </c>
      <c r="B1037" t="s">
        <v>128</v>
      </c>
      <c r="C1037" s="21" t="s">
        <v>275</v>
      </c>
      <c r="D1037" s="4">
        <v>12</v>
      </c>
      <c r="E1037" s="4"/>
      <c r="G1037" s="1"/>
      <c r="H1037" s="1"/>
      <c r="I1037" s="1">
        <f t="shared" si="168"/>
        <v>0</v>
      </c>
      <c r="J1037" s="1">
        <f t="shared" si="170"/>
        <v>2686</v>
      </c>
      <c r="K1037" s="9" t="e">
        <f t="shared" si="169"/>
        <v>#DIV/0!</v>
      </c>
      <c r="L1037" s="19">
        <f t="shared" si="164"/>
        <v>0</v>
      </c>
    </row>
    <row r="1038" spans="1:12" x14ac:dyDescent="0.35">
      <c r="A1038" s="2" t="s">
        <v>127</v>
      </c>
      <c r="B1038" t="s">
        <v>128</v>
      </c>
      <c r="C1038" s="21" t="s">
        <v>275</v>
      </c>
      <c r="D1038" s="4">
        <v>13</v>
      </c>
      <c r="E1038" s="4"/>
      <c r="G1038" s="1"/>
      <c r="H1038" s="1"/>
      <c r="I1038" s="1">
        <f t="shared" si="168"/>
        <v>0</v>
      </c>
      <c r="J1038" s="1">
        <f t="shared" si="170"/>
        <v>2686</v>
      </c>
      <c r="K1038" s="9" t="e">
        <f t="shared" si="169"/>
        <v>#DIV/0!</v>
      </c>
      <c r="L1038" s="19">
        <f t="shared" si="164"/>
        <v>0</v>
      </c>
    </row>
    <row r="1039" spans="1:12" x14ac:dyDescent="0.35">
      <c r="A1039" s="2" t="s">
        <v>127</v>
      </c>
      <c r="B1039" t="s">
        <v>128</v>
      </c>
      <c r="C1039" s="21" t="s">
        <v>275</v>
      </c>
      <c r="D1039" s="4">
        <v>14</v>
      </c>
      <c r="E1039" s="4"/>
      <c r="G1039" s="1"/>
      <c r="H1039" s="1"/>
      <c r="I1039" s="1">
        <f t="shared" si="168"/>
        <v>0</v>
      </c>
      <c r="J1039" s="1">
        <f t="shared" si="170"/>
        <v>2686</v>
      </c>
      <c r="K1039" s="9" t="e">
        <f t="shared" si="169"/>
        <v>#DIV/0!</v>
      </c>
      <c r="L1039" s="19">
        <f t="shared" si="164"/>
        <v>0</v>
      </c>
    </row>
    <row r="1040" spans="1:12" x14ac:dyDescent="0.35">
      <c r="A1040" s="2" t="s">
        <v>127</v>
      </c>
      <c r="B1040" t="s">
        <v>128</v>
      </c>
      <c r="C1040" s="21" t="s">
        <v>275</v>
      </c>
      <c r="D1040" s="4">
        <v>15</v>
      </c>
      <c r="E1040" s="4"/>
      <c r="G1040" s="1"/>
      <c r="H1040" s="1"/>
      <c r="I1040" s="1">
        <f t="shared" si="168"/>
        <v>0</v>
      </c>
      <c r="J1040" s="1">
        <f t="shared" si="170"/>
        <v>2686</v>
      </c>
      <c r="K1040" s="9" t="e">
        <f t="shared" si="169"/>
        <v>#DIV/0!</v>
      </c>
      <c r="L1040" s="19">
        <f t="shared" si="164"/>
        <v>0</v>
      </c>
    </row>
    <row r="1041" spans="1:12" ht="15" thickBot="1" x14ac:dyDescent="0.4">
      <c r="A1041" s="12" t="s">
        <v>127</v>
      </c>
      <c r="B1041" s="13" t="s">
        <v>128</v>
      </c>
      <c r="C1041" s="21" t="s">
        <v>275</v>
      </c>
      <c r="D1041" s="14">
        <v>16</v>
      </c>
      <c r="E1041" s="14"/>
      <c r="F1041" s="13"/>
      <c r="G1041" s="15"/>
      <c r="H1041" s="15"/>
      <c r="I1041" s="15">
        <f t="shared" si="168"/>
        <v>0</v>
      </c>
      <c r="J1041" s="15">
        <f t="shared" si="170"/>
        <v>2686</v>
      </c>
      <c r="K1041" s="13"/>
      <c r="L1041" s="19">
        <f t="shared" si="164"/>
        <v>0</v>
      </c>
    </row>
    <row r="1042" spans="1:12" x14ac:dyDescent="0.35">
      <c r="A1042" s="2" t="s">
        <v>129</v>
      </c>
      <c r="B1042" t="s">
        <v>130</v>
      </c>
      <c r="C1042" s="21" t="s">
        <v>275</v>
      </c>
      <c r="D1042" s="4">
        <v>1</v>
      </c>
      <c r="E1042" s="4"/>
      <c r="F1042" s="3">
        <v>45918</v>
      </c>
      <c r="G1042" s="1">
        <v>11333</v>
      </c>
      <c r="H1042" s="1">
        <v>10793</v>
      </c>
      <c r="I1042" s="1">
        <f t="shared" si="168"/>
        <v>540</v>
      </c>
      <c r="J1042" s="1">
        <f>I1042</f>
        <v>540</v>
      </c>
      <c r="K1042" s="9">
        <f t="shared" ref="K1042:K1056" si="171">I1042/H1042</f>
        <v>5.0032428425831554E-2</v>
      </c>
      <c r="L1042" s="19">
        <f t="shared" si="164"/>
        <v>-10793</v>
      </c>
    </row>
    <row r="1043" spans="1:12" x14ac:dyDescent="0.35">
      <c r="A1043" s="2" t="s">
        <v>129</v>
      </c>
      <c r="B1043" t="s">
        <v>130</v>
      </c>
      <c r="C1043" s="21" t="s">
        <v>275</v>
      </c>
      <c r="D1043" s="4">
        <v>2</v>
      </c>
      <c r="E1043" s="4"/>
      <c r="F1043" s="3">
        <v>45925</v>
      </c>
      <c r="G1043" s="1">
        <v>10802</v>
      </c>
      <c r="H1043" s="1">
        <v>10802</v>
      </c>
      <c r="I1043" s="1">
        <f t="shared" si="168"/>
        <v>0</v>
      </c>
      <c r="J1043" s="1">
        <f>J1042+I1043</f>
        <v>540</v>
      </c>
      <c r="K1043" s="9">
        <f t="shared" si="171"/>
        <v>0</v>
      </c>
      <c r="L1043" s="19">
        <f t="shared" si="164"/>
        <v>-10802</v>
      </c>
    </row>
    <row r="1044" spans="1:12" x14ac:dyDescent="0.35">
      <c r="A1044" s="2" t="s">
        <v>129</v>
      </c>
      <c r="B1044" t="s">
        <v>130</v>
      </c>
      <c r="C1044" s="21" t="s">
        <v>275</v>
      </c>
      <c r="D1044" s="4">
        <v>3</v>
      </c>
      <c r="E1044" s="4"/>
      <c r="F1044" s="3">
        <v>45932</v>
      </c>
      <c r="G1044" s="1">
        <v>10802</v>
      </c>
      <c r="H1044" s="1">
        <v>10802</v>
      </c>
      <c r="I1044" s="1">
        <f t="shared" si="168"/>
        <v>0</v>
      </c>
      <c r="J1044" s="1">
        <f t="shared" ref="J1044:J1057" si="172">J1043+I1044</f>
        <v>540</v>
      </c>
      <c r="K1044" s="9">
        <f t="shared" si="171"/>
        <v>0</v>
      </c>
      <c r="L1044" s="19">
        <f t="shared" si="164"/>
        <v>-10802</v>
      </c>
    </row>
    <row r="1045" spans="1:12" x14ac:dyDescent="0.35">
      <c r="A1045" s="2" t="s">
        <v>129</v>
      </c>
      <c r="B1045" t="s">
        <v>130</v>
      </c>
      <c r="C1045" s="21" t="s">
        <v>275</v>
      </c>
      <c r="D1045" s="4">
        <v>4</v>
      </c>
      <c r="E1045" s="4"/>
      <c r="F1045" s="3">
        <v>45939</v>
      </c>
      <c r="G1045" s="1">
        <v>10802</v>
      </c>
      <c r="H1045" s="1">
        <v>10802</v>
      </c>
      <c r="I1045" s="1">
        <f t="shared" si="168"/>
        <v>0</v>
      </c>
      <c r="J1045" s="1">
        <f t="shared" si="172"/>
        <v>540</v>
      </c>
      <c r="K1045" s="9">
        <f t="shared" si="171"/>
        <v>0</v>
      </c>
      <c r="L1045" s="19">
        <f t="shared" si="164"/>
        <v>-10802</v>
      </c>
    </row>
    <row r="1046" spans="1:12" x14ac:dyDescent="0.35">
      <c r="A1046" s="2" t="s">
        <v>129</v>
      </c>
      <c r="B1046" t="s">
        <v>130</v>
      </c>
      <c r="C1046" s="21" t="s">
        <v>275</v>
      </c>
      <c r="D1046" s="4">
        <v>5</v>
      </c>
      <c r="E1046" s="4"/>
      <c r="F1046" s="3">
        <v>45946</v>
      </c>
      <c r="G1046" s="1">
        <v>10805</v>
      </c>
      <c r="H1046" s="1">
        <v>10805</v>
      </c>
      <c r="I1046" s="1">
        <f t="shared" si="168"/>
        <v>0</v>
      </c>
      <c r="J1046" s="1">
        <f t="shared" si="172"/>
        <v>540</v>
      </c>
      <c r="K1046" s="9">
        <f t="shared" si="171"/>
        <v>0</v>
      </c>
      <c r="L1046" s="19">
        <f t="shared" si="164"/>
        <v>-10805</v>
      </c>
    </row>
    <row r="1047" spans="1:12" x14ac:dyDescent="0.35">
      <c r="A1047" s="2" t="s">
        <v>129</v>
      </c>
      <c r="B1047" t="s">
        <v>130</v>
      </c>
      <c r="C1047" s="21" t="s">
        <v>275</v>
      </c>
      <c r="D1047" s="4">
        <v>6</v>
      </c>
      <c r="E1047" s="4"/>
      <c r="F1047" s="3">
        <v>45953</v>
      </c>
      <c r="G1047" s="1">
        <v>10805</v>
      </c>
      <c r="H1047" s="1">
        <v>10805</v>
      </c>
      <c r="I1047" s="1">
        <f t="shared" si="168"/>
        <v>0</v>
      </c>
      <c r="J1047" s="1">
        <f t="shared" si="172"/>
        <v>540</v>
      </c>
      <c r="K1047" s="9">
        <f t="shared" si="171"/>
        <v>0</v>
      </c>
      <c r="L1047" s="19">
        <f t="shared" si="164"/>
        <v>-10805</v>
      </c>
    </row>
    <row r="1048" spans="1:12" x14ac:dyDescent="0.35">
      <c r="A1048" s="2" t="s">
        <v>129</v>
      </c>
      <c r="B1048" t="s">
        <v>130</v>
      </c>
      <c r="C1048" s="21" t="s">
        <v>275</v>
      </c>
      <c r="D1048" s="4">
        <v>7</v>
      </c>
      <c r="E1048" s="4"/>
      <c r="F1048" s="3">
        <v>45961</v>
      </c>
      <c r="G1048" s="1">
        <v>10805</v>
      </c>
      <c r="H1048" s="1">
        <v>10805</v>
      </c>
      <c r="I1048" s="1">
        <f t="shared" si="168"/>
        <v>0</v>
      </c>
      <c r="J1048" s="1">
        <f t="shared" si="172"/>
        <v>540</v>
      </c>
      <c r="K1048" s="9">
        <f t="shared" si="171"/>
        <v>0</v>
      </c>
      <c r="L1048" s="19">
        <f t="shared" si="164"/>
        <v>-10805</v>
      </c>
    </row>
    <row r="1049" spans="1:12" x14ac:dyDescent="0.35">
      <c r="A1049" s="2" t="s">
        <v>129</v>
      </c>
      <c r="B1049" t="s">
        <v>130</v>
      </c>
      <c r="C1049" s="21" t="s">
        <v>275</v>
      </c>
      <c r="D1049" s="4">
        <v>8</v>
      </c>
      <c r="E1049" s="4"/>
      <c r="F1049" s="3">
        <v>45967</v>
      </c>
      <c r="G1049" s="1">
        <v>10807</v>
      </c>
      <c r="H1049" s="1">
        <v>10805</v>
      </c>
      <c r="I1049" s="1">
        <f t="shared" si="168"/>
        <v>2</v>
      </c>
      <c r="J1049" s="1">
        <f t="shared" si="172"/>
        <v>542</v>
      </c>
      <c r="K1049" s="9">
        <f t="shared" si="171"/>
        <v>1.8509949097639982E-4</v>
      </c>
      <c r="L1049" s="19">
        <f t="shared" si="164"/>
        <v>-10805</v>
      </c>
    </row>
    <row r="1050" spans="1:12" x14ac:dyDescent="0.35">
      <c r="A1050" s="2" t="s">
        <v>129</v>
      </c>
      <c r="B1050" t="s">
        <v>130</v>
      </c>
      <c r="C1050" s="21" t="s">
        <v>275</v>
      </c>
      <c r="D1050" s="4">
        <v>9</v>
      </c>
      <c r="E1050" s="4"/>
      <c r="G1050" s="1"/>
      <c r="H1050" s="1"/>
      <c r="I1050" s="1">
        <f t="shared" si="168"/>
        <v>0</v>
      </c>
      <c r="J1050" s="1">
        <f t="shared" si="172"/>
        <v>542</v>
      </c>
      <c r="K1050" s="9" t="e">
        <f t="shared" si="171"/>
        <v>#DIV/0!</v>
      </c>
      <c r="L1050" s="19">
        <f t="shared" si="164"/>
        <v>0</v>
      </c>
    </row>
    <row r="1051" spans="1:12" x14ac:dyDescent="0.35">
      <c r="A1051" s="2" t="s">
        <v>129</v>
      </c>
      <c r="B1051" t="s">
        <v>130</v>
      </c>
      <c r="C1051" s="21" t="s">
        <v>275</v>
      </c>
      <c r="D1051" s="4">
        <v>10</v>
      </c>
      <c r="E1051" s="4"/>
      <c r="G1051" s="1"/>
      <c r="H1051" s="1"/>
      <c r="I1051" s="1">
        <f t="shared" si="168"/>
        <v>0</v>
      </c>
      <c r="J1051" s="1">
        <f t="shared" si="172"/>
        <v>542</v>
      </c>
      <c r="K1051" s="9" t="e">
        <f t="shared" si="171"/>
        <v>#DIV/0!</v>
      </c>
      <c r="L1051" s="19">
        <f t="shared" si="164"/>
        <v>0</v>
      </c>
    </row>
    <row r="1052" spans="1:12" x14ac:dyDescent="0.35">
      <c r="A1052" s="2" t="s">
        <v>129</v>
      </c>
      <c r="B1052" t="s">
        <v>130</v>
      </c>
      <c r="C1052" s="21" t="s">
        <v>275</v>
      </c>
      <c r="D1052" s="4">
        <v>11</v>
      </c>
      <c r="E1052" s="4"/>
      <c r="G1052" s="1"/>
      <c r="H1052" s="1"/>
      <c r="I1052" s="1">
        <f t="shared" si="168"/>
        <v>0</v>
      </c>
      <c r="J1052" s="1">
        <f t="shared" si="172"/>
        <v>542</v>
      </c>
      <c r="K1052" s="9" t="e">
        <f t="shared" si="171"/>
        <v>#DIV/0!</v>
      </c>
      <c r="L1052" s="19">
        <f t="shared" si="164"/>
        <v>0</v>
      </c>
    </row>
    <row r="1053" spans="1:12" x14ac:dyDescent="0.35">
      <c r="A1053" s="2" t="s">
        <v>129</v>
      </c>
      <c r="B1053" t="s">
        <v>130</v>
      </c>
      <c r="C1053" s="21" t="s">
        <v>275</v>
      </c>
      <c r="D1053" s="4">
        <v>12</v>
      </c>
      <c r="E1053" s="4"/>
      <c r="G1053" s="1"/>
      <c r="H1053" s="1"/>
      <c r="I1053" s="1">
        <f t="shared" si="168"/>
        <v>0</v>
      </c>
      <c r="J1053" s="1">
        <f t="shared" si="172"/>
        <v>542</v>
      </c>
      <c r="K1053" s="9" t="e">
        <f t="shared" si="171"/>
        <v>#DIV/0!</v>
      </c>
      <c r="L1053" s="19">
        <f t="shared" si="164"/>
        <v>0</v>
      </c>
    </row>
    <row r="1054" spans="1:12" x14ac:dyDescent="0.35">
      <c r="A1054" s="2" t="s">
        <v>129</v>
      </c>
      <c r="B1054" t="s">
        <v>130</v>
      </c>
      <c r="C1054" s="21" t="s">
        <v>275</v>
      </c>
      <c r="D1054" s="4">
        <v>13</v>
      </c>
      <c r="E1054" s="4"/>
      <c r="G1054" s="1"/>
      <c r="H1054" s="1"/>
      <c r="I1054" s="1">
        <f t="shared" si="168"/>
        <v>0</v>
      </c>
      <c r="J1054" s="1">
        <f t="shared" si="172"/>
        <v>542</v>
      </c>
      <c r="K1054" s="9" t="e">
        <f t="shared" si="171"/>
        <v>#DIV/0!</v>
      </c>
      <c r="L1054" s="19">
        <f t="shared" si="164"/>
        <v>0</v>
      </c>
    </row>
    <row r="1055" spans="1:12" x14ac:dyDescent="0.35">
      <c r="A1055" s="2" t="s">
        <v>129</v>
      </c>
      <c r="B1055" t="s">
        <v>130</v>
      </c>
      <c r="C1055" s="21" t="s">
        <v>275</v>
      </c>
      <c r="D1055" s="4">
        <v>14</v>
      </c>
      <c r="E1055" s="4"/>
      <c r="G1055" s="1"/>
      <c r="H1055" s="1"/>
      <c r="I1055" s="1">
        <f t="shared" si="168"/>
        <v>0</v>
      </c>
      <c r="J1055" s="1">
        <f t="shared" si="172"/>
        <v>542</v>
      </c>
      <c r="K1055" s="9" t="e">
        <f t="shared" si="171"/>
        <v>#DIV/0!</v>
      </c>
      <c r="L1055" s="19">
        <f t="shared" si="164"/>
        <v>0</v>
      </c>
    </row>
    <row r="1056" spans="1:12" x14ac:dyDescent="0.35">
      <c r="A1056" s="2" t="s">
        <v>129</v>
      </c>
      <c r="B1056" t="s">
        <v>130</v>
      </c>
      <c r="C1056" s="21" t="s">
        <v>275</v>
      </c>
      <c r="D1056" s="4">
        <v>15</v>
      </c>
      <c r="E1056" s="4"/>
      <c r="G1056" s="1"/>
      <c r="H1056" s="1"/>
      <c r="I1056" s="1">
        <f t="shared" si="168"/>
        <v>0</v>
      </c>
      <c r="J1056" s="1">
        <f t="shared" si="172"/>
        <v>542</v>
      </c>
      <c r="K1056" s="9" t="e">
        <f t="shared" si="171"/>
        <v>#DIV/0!</v>
      </c>
      <c r="L1056" s="19">
        <f t="shared" si="164"/>
        <v>0</v>
      </c>
    </row>
    <row r="1057" spans="1:12" ht="15" thickBot="1" x14ac:dyDescent="0.4">
      <c r="A1057" s="12" t="s">
        <v>129</v>
      </c>
      <c r="B1057" s="13" t="s">
        <v>130</v>
      </c>
      <c r="C1057" s="21" t="s">
        <v>275</v>
      </c>
      <c r="D1057" s="14">
        <v>16</v>
      </c>
      <c r="E1057" s="14"/>
      <c r="F1057" s="13"/>
      <c r="G1057" s="15"/>
      <c r="H1057" s="15"/>
      <c r="I1057" s="15">
        <f t="shared" si="168"/>
        <v>0</v>
      </c>
      <c r="J1057" s="15">
        <f t="shared" si="172"/>
        <v>542</v>
      </c>
      <c r="K1057" s="13"/>
      <c r="L1057" s="19">
        <f t="shared" si="164"/>
        <v>0</v>
      </c>
    </row>
    <row r="1058" spans="1:12" x14ac:dyDescent="0.35">
      <c r="A1058" s="2" t="s">
        <v>131</v>
      </c>
      <c r="B1058" t="s">
        <v>145</v>
      </c>
      <c r="C1058" s="21" t="s">
        <v>275</v>
      </c>
      <c r="D1058" s="4">
        <v>1</v>
      </c>
      <c r="E1058" s="4"/>
      <c r="F1058" s="3">
        <v>45917</v>
      </c>
      <c r="G1058" s="1">
        <v>8444</v>
      </c>
      <c r="H1058" s="1">
        <v>7676</v>
      </c>
      <c r="I1058" s="1">
        <f t="shared" si="168"/>
        <v>768</v>
      </c>
      <c r="J1058" s="1">
        <f>I1058</f>
        <v>768</v>
      </c>
      <c r="K1058" s="9">
        <f t="shared" ref="K1058:K1067" si="173">I1058/H1058</f>
        <v>0.10005211047420531</v>
      </c>
      <c r="L1058" s="19">
        <f t="shared" ref="L1058:L1075" si="174">E1058-H1058</f>
        <v>-7676</v>
      </c>
    </row>
    <row r="1059" spans="1:12" x14ac:dyDescent="0.35">
      <c r="A1059" s="2" t="s">
        <v>131</v>
      </c>
      <c r="B1059" t="s">
        <v>145</v>
      </c>
      <c r="C1059" s="21" t="s">
        <v>275</v>
      </c>
      <c r="D1059" s="4">
        <v>2</v>
      </c>
      <c r="E1059" s="4"/>
      <c r="F1059" s="3">
        <v>45924</v>
      </c>
      <c r="G1059" s="1">
        <v>8444</v>
      </c>
      <c r="H1059" s="1">
        <v>7676</v>
      </c>
      <c r="I1059" s="1">
        <f t="shared" si="168"/>
        <v>768</v>
      </c>
      <c r="J1059" s="1">
        <f>J1058+I1059</f>
        <v>1536</v>
      </c>
      <c r="K1059" s="9">
        <f t="shared" si="173"/>
        <v>0.10005211047420531</v>
      </c>
      <c r="L1059" s="19">
        <f t="shared" si="174"/>
        <v>-7676</v>
      </c>
    </row>
    <row r="1060" spans="1:12" x14ac:dyDescent="0.35">
      <c r="A1060" s="2" t="s">
        <v>131</v>
      </c>
      <c r="B1060" t="s">
        <v>145</v>
      </c>
      <c r="C1060" s="21" t="s">
        <v>275</v>
      </c>
      <c r="D1060" s="4">
        <v>3</v>
      </c>
      <c r="E1060" s="4"/>
      <c r="F1060" s="3">
        <v>45931</v>
      </c>
      <c r="G1060" s="1">
        <v>7950</v>
      </c>
      <c r="H1060" s="1">
        <v>7676</v>
      </c>
      <c r="I1060" s="1">
        <f t="shared" si="168"/>
        <v>274</v>
      </c>
      <c r="J1060" s="1">
        <f t="shared" ref="J1060:J1073" si="175">J1059+I1060</f>
        <v>1810</v>
      </c>
      <c r="K1060" s="9">
        <f t="shared" si="173"/>
        <v>3.5695674830640955E-2</v>
      </c>
      <c r="L1060" s="19">
        <f t="shared" si="174"/>
        <v>-7676</v>
      </c>
    </row>
    <row r="1061" spans="1:12" x14ac:dyDescent="0.35">
      <c r="A1061" s="2" t="s">
        <v>131</v>
      </c>
      <c r="B1061" t="s">
        <v>145</v>
      </c>
      <c r="C1061" s="21" t="s">
        <v>275</v>
      </c>
      <c r="D1061" s="4">
        <v>4</v>
      </c>
      <c r="E1061" s="4"/>
      <c r="F1061" s="3">
        <v>45938</v>
      </c>
      <c r="G1061" s="1">
        <v>8452</v>
      </c>
      <c r="H1061" s="1">
        <v>7676</v>
      </c>
      <c r="I1061" s="1">
        <f t="shared" si="168"/>
        <v>776</v>
      </c>
      <c r="J1061" s="1">
        <f t="shared" si="175"/>
        <v>2586</v>
      </c>
      <c r="K1061" s="9">
        <f t="shared" si="173"/>
        <v>0.10109431995831163</v>
      </c>
      <c r="L1061" s="19">
        <f t="shared" si="174"/>
        <v>-7676</v>
      </c>
    </row>
    <row r="1062" spans="1:12" x14ac:dyDescent="0.35">
      <c r="A1062" s="2" t="s">
        <v>131</v>
      </c>
      <c r="B1062" t="s">
        <v>145</v>
      </c>
      <c r="C1062" s="21" t="s">
        <v>275</v>
      </c>
      <c r="D1062" s="4">
        <v>5</v>
      </c>
      <c r="E1062" s="4"/>
      <c r="F1062" s="3">
        <v>45945</v>
      </c>
      <c r="G1062" s="1">
        <v>8500</v>
      </c>
      <c r="H1062" s="1">
        <v>7676</v>
      </c>
      <c r="I1062" s="1">
        <f t="shared" si="168"/>
        <v>824</v>
      </c>
      <c r="J1062" s="1">
        <f t="shared" si="175"/>
        <v>3410</v>
      </c>
      <c r="K1062" s="9">
        <f t="shared" si="173"/>
        <v>0.10734757686294945</v>
      </c>
      <c r="L1062" s="19">
        <f t="shared" si="174"/>
        <v>-7676</v>
      </c>
    </row>
    <row r="1063" spans="1:12" x14ac:dyDescent="0.35">
      <c r="A1063" s="2" t="s">
        <v>131</v>
      </c>
      <c r="B1063" t="s">
        <v>145</v>
      </c>
      <c r="C1063" s="21" t="s">
        <v>275</v>
      </c>
      <c r="D1063" s="4">
        <v>6</v>
      </c>
      <c r="E1063" s="4"/>
      <c r="F1063" s="3">
        <v>45952</v>
      </c>
      <c r="G1063" s="1">
        <v>8451</v>
      </c>
      <c r="H1063" s="1">
        <v>7676</v>
      </c>
      <c r="I1063" s="1">
        <f t="shared" si="168"/>
        <v>775</v>
      </c>
      <c r="J1063" s="1">
        <f t="shared" si="175"/>
        <v>4185</v>
      </c>
      <c r="K1063" s="9">
        <f t="shared" si="173"/>
        <v>0.10096404377279833</v>
      </c>
      <c r="L1063" s="19">
        <f t="shared" si="174"/>
        <v>-7676</v>
      </c>
    </row>
    <row r="1064" spans="1:12" x14ac:dyDescent="0.35">
      <c r="A1064" s="2" t="s">
        <v>131</v>
      </c>
      <c r="B1064" t="s">
        <v>145</v>
      </c>
      <c r="C1064" s="21" t="s">
        <v>275</v>
      </c>
      <c r="D1064" s="4">
        <v>7</v>
      </c>
      <c r="E1064" s="4"/>
      <c r="F1064" s="3">
        <v>45959</v>
      </c>
      <c r="G1064" s="1">
        <v>7691</v>
      </c>
      <c r="H1064" s="1">
        <v>7676</v>
      </c>
      <c r="I1064" s="1">
        <f t="shared" si="168"/>
        <v>15</v>
      </c>
      <c r="J1064" s="1">
        <f t="shared" si="175"/>
        <v>4200</v>
      </c>
      <c r="K1064" s="9">
        <f t="shared" si="173"/>
        <v>1.9541427826993227E-3</v>
      </c>
      <c r="L1064" s="19">
        <f t="shared" si="174"/>
        <v>-7676</v>
      </c>
    </row>
    <row r="1065" spans="1:12" x14ac:dyDescent="0.35">
      <c r="A1065" s="2" t="s">
        <v>131</v>
      </c>
      <c r="B1065" t="s">
        <v>145</v>
      </c>
      <c r="C1065" s="21" t="s">
        <v>275</v>
      </c>
      <c r="D1065" s="4">
        <v>8</v>
      </c>
      <c r="E1065" s="4"/>
      <c r="F1065" s="3">
        <v>45966</v>
      </c>
      <c r="G1065" s="1">
        <v>8319</v>
      </c>
      <c r="H1065" s="1">
        <v>7676</v>
      </c>
      <c r="I1065" s="1">
        <f t="shared" si="168"/>
        <v>643</v>
      </c>
      <c r="J1065" s="1">
        <f t="shared" si="175"/>
        <v>4843</v>
      </c>
      <c r="K1065" s="9">
        <f t="shared" si="173"/>
        <v>8.3767587285044298E-2</v>
      </c>
      <c r="L1065" s="19">
        <f t="shared" si="174"/>
        <v>-7676</v>
      </c>
    </row>
    <row r="1066" spans="1:12" x14ac:dyDescent="0.35">
      <c r="A1066" s="2" t="s">
        <v>131</v>
      </c>
      <c r="B1066" t="s">
        <v>145</v>
      </c>
      <c r="C1066" s="21" t="s">
        <v>275</v>
      </c>
      <c r="D1066" s="4">
        <v>9</v>
      </c>
      <c r="E1066" s="4"/>
      <c r="G1066" s="1"/>
      <c r="H1066" s="1"/>
      <c r="I1066" s="1">
        <f t="shared" si="168"/>
        <v>0</v>
      </c>
      <c r="J1066" s="1">
        <f t="shared" si="175"/>
        <v>4843</v>
      </c>
      <c r="K1066" s="9" t="e">
        <f t="shared" si="173"/>
        <v>#DIV/0!</v>
      </c>
      <c r="L1066" s="19">
        <f t="shared" si="174"/>
        <v>0</v>
      </c>
    </row>
    <row r="1067" spans="1:12" x14ac:dyDescent="0.35">
      <c r="A1067" s="2" t="s">
        <v>131</v>
      </c>
      <c r="B1067" t="s">
        <v>145</v>
      </c>
      <c r="C1067" s="21" t="s">
        <v>275</v>
      </c>
      <c r="D1067" s="4">
        <v>10</v>
      </c>
      <c r="E1067" s="4"/>
      <c r="G1067" s="1"/>
      <c r="H1067" s="1"/>
      <c r="I1067" s="1">
        <f t="shared" si="168"/>
        <v>0</v>
      </c>
      <c r="J1067" s="1">
        <f t="shared" si="175"/>
        <v>4843</v>
      </c>
      <c r="K1067" s="9" t="e">
        <f t="shared" si="173"/>
        <v>#DIV/0!</v>
      </c>
      <c r="L1067" s="19">
        <f t="shared" si="174"/>
        <v>0</v>
      </c>
    </row>
    <row r="1068" spans="1:12" x14ac:dyDescent="0.35">
      <c r="A1068" s="2" t="s">
        <v>131</v>
      </c>
      <c r="B1068" t="s">
        <v>145</v>
      </c>
      <c r="C1068" s="21" t="s">
        <v>275</v>
      </c>
      <c r="D1068" s="4">
        <v>11</v>
      </c>
      <c r="E1068" s="4"/>
      <c r="G1068" s="1"/>
      <c r="H1068" s="1"/>
      <c r="I1068" s="1">
        <f t="shared" si="168"/>
        <v>0</v>
      </c>
      <c r="J1068" s="1">
        <f t="shared" si="175"/>
        <v>4843</v>
      </c>
      <c r="L1068" s="19">
        <f t="shared" si="174"/>
        <v>0</v>
      </c>
    </row>
    <row r="1069" spans="1:12" x14ac:dyDescent="0.35">
      <c r="A1069" s="2" t="s">
        <v>131</v>
      </c>
      <c r="B1069" t="s">
        <v>145</v>
      </c>
      <c r="C1069" s="21" t="s">
        <v>275</v>
      </c>
      <c r="D1069" s="4">
        <v>12</v>
      </c>
      <c r="E1069" s="4"/>
      <c r="G1069" s="1"/>
      <c r="H1069" s="1"/>
      <c r="I1069" s="1">
        <f t="shared" si="168"/>
        <v>0</v>
      </c>
      <c r="J1069" s="1">
        <f t="shared" si="175"/>
        <v>4843</v>
      </c>
      <c r="L1069" s="19">
        <f t="shared" si="174"/>
        <v>0</v>
      </c>
    </row>
    <row r="1070" spans="1:12" x14ac:dyDescent="0.35">
      <c r="A1070" s="2" t="s">
        <v>131</v>
      </c>
      <c r="B1070" t="s">
        <v>145</v>
      </c>
      <c r="C1070" s="21" t="s">
        <v>275</v>
      </c>
      <c r="D1070" s="4">
        <v>13</v>
      </c>
      <c r="E1070" s="4"/>
      <c r="G1070" s="1"/>
      <c r="H1070" s="1"/>
      <c r="I1070" s="1">
        <f t="shared" si="168"/>
        <v>0</v>
      </c>
      <c r="J1070" s="1">
        <f t="shared" si="175"/>
        <v>4843</v>
      </c>
      <c r="L1070" s="19">
        <f t="shared" si="174"/>
        <v>0</v>
      </c>
    </row>
    <row r="1071" spans="1:12" x14ac:dyDescent="0.35">
      <c r="A1071" s="2" t="s">
        <v>131</v>
      </c>
      <c r="B1071" t="s">
        <v>145</v>
      </c>
      <c r="C1071" s="21" t="s">
        <v>275</v>
      </c>
      <c r="D1071" s="4">
        <v>14</v>
      </c>
      <c r="E1071" s="4"/>
      <c r="G1071" s="1"/>
      <c r="H1071" s="1"/>
      <c r="I1071" s="1">
        <f t="shared" si="168"/>
        <v>0</v>
      </c>
      <c r="J1071" s="1">
        <f t="shared" si="175"/>
        <v>4843</v>
      </c>
      <c r="L1071" s="19">
        <f t="shared" si="174"/>
        <v>0</v>
      </c>
    </row>
    <row r="1072" spans="1:12" x14ac:dyDescent="0.35">
      <c r="A1072" s="2" t="s">
        <v>131</v>
      </c>
      <c r="B1072" t="s">
        <v>145</v>
      </c>
      <c r="C1072" s="21" t="s">
        <v>275</v>
      </c>
      <c r="D1072" s="4">
        <v>15</v>
      </c>
      <c r="E1072" s="4"/>
      <c r="G1072" s="1"/>
      <c r="H1072" s="1"/>
      <c r="I1072" s="1">
        <f t="shared" si="168"/>
        <v>0</v>
      </c>
      <c r="J1072" s="1">
        <f t="shared" si="175"/>
        <v>4843</v>
      </c>
      <c r="L1072" s="19">
        <f t="shared" si="174"/>
        <v>0</v>
      </c>
    </row>
    <row r="1073" spans="1:12" ht="15" thickBot="1" x14ac:dyDescent="0.4">
      <c r="A1073" s="12" t="s">
        <v>131</v>
      </c>
      <c r="B1073" s="13" t="s">
        <v>145</v>
      </c>
      <c r="C1073" s="21" t="s">
        <v>275</v>
      </c>
      <c r="D1073" s="14">
        <v>16</v>
      </c>
      <c r="E1073" s="14"/>
      <c r="F1073" s="13"/>
      <c r="G1073" s="15"/>
      <c r="H1073" s="15"/>
      <c r="I1073" s="15">
        <f t="shared" si="168"/>
        <v>0</v>
      </c>
      <c r="J1073" s="15">
        <f t="shared" si="175"/>
        <v>4843</v>
      </c>
      <c r="K1073" s="13"/>
      <c r="L1073" s="19">
        <f t="shared" si="174"/>
        <v>0</v>
      </c>
    </row>
    <row r="1074" spans="1:12" x14ac:dyDescent="0.35">
      <c r="A1074" s="2" t="s">
        <v>132</v>
      </c>
      <c r="B1074" t="s">
        <v>149</v>
      </c>
      <c r="C1074" s="21" t="s">
        <v>275</v>
      </c>
      <c r="D1074" s="4">
        <v>1</v>
      </c>
      <c r="E1074" s="4"/>
      <c r="F1074" s="3">
        <v>45918</v>
      </c>
      <c r="G1074" s="1">
        <v>11970</v>
      </c>
      <c r="H1074" s="1">
        <v>11407</v>
      </c>
      <c r="I1074" s="1">
        <f t="shared" si="168"/>
        <v>563</v>
      </c>
      <c r="J1074" s="1">
        <f>I1074</f>
        <v>563</v>
      </c>
      <c r="K1074" s="9">
        <f t="shared" ref="K1074:K1088" si="176">I1074/H1074</f>
        <v>4.9355658805996315E-2</v>
      </c>
      <c r="L1074" s="19">
        <f t="shared" si="174"/>
        <v>-11407</v>
      </c>
    </row>
    <row r="1075" spans="1:12" x14ac:dyDescent="0.35">
      <c r="A1075" s="2" t="s">
        <v>132</v>
      </c>
      <c r="B1075" t="s">
        <v>149</v>
      </c>
      <c r="C1075" s="21" t="s">
        <v>275</v>
      </c>
      <c r="D1075" s="4">
        <v>2</v>
      </c>
      <c r="E1075" s="4"/>
      <c r="F1075" s="3">
        <v>45925</v>
      </c>
      <c r="G1075" s="1">
        <v>11970</v>
      </c>
      <c r="H1075" s="1">
        <v>11407</v>
      </c>
      <c r="I1075" s="1">
        <f t="shared" si="168"/>
        <v>563</v>
      </c>
      <c r="J1075" s="1">
        <f>J1074+I1075</f>
        <v>1126</v>
      </c>
      <c r="K1075" s="9">
        <f t="shared" si="176"/>
        <v>4.9355658805996315E-2</v>
      </c>
      <c r="L1075" s="19">
        <f t="shared" si="174"/>
        <v>-11407</v>
      </c>
    </row>
    <row r="1076" spans="1:12" x14ac:dyDescent="0.35">
      <c r="A1076" s="2" t="s">
        <v>132</v>
      </c>
      <c r="B1076" t="s">
        <v>149</v>
      </c>
      <c r="C1076" s="21" t="s">
        <v>275</v>
      </c>
      <c r="D1076" s="4">
        <v>3</v>
      </c>
      <c r="E1076" s="4"/>
      <c r="F1076" s="3">
        <v>45932</v>
      </c>
      <c r="G1076" s="1">
        <v>11970</v>
      </c>
      <c r="H1076" s="1">
        <v>11407</v>
      </c>
      <c r="I1076" s="1">
        <f t="shared" si="168"/>
        <v>563</v>
      </c>
      <c r="J1076" s="1">
        <f t="shared" ref="J1076:J1089" si="177">J1075+I1076</f>
        <v>1689</v>
      </c>
      <c r="K1076" s="9">
        <f t="shared" si="176"/>
        <v>4.9355658805996315E-2</v>
      </c>
    </row>
    <row r="1077" spans="1:12" x14ac:dyDescent="0.35">
      <c r="A1077" s="2" t="s">
        <v>132</v>
      </c>
      <c r="B1077" t="s">
        <v>149</v>
      </c>
      <c r="C1077" s="21" t="s">
        <v>275</v>
      </c>
      <c r="D1077" s="4">
        <v>4</v>
      </c>
      <c r="E1077" s="4"/>
      <c r="F1077" s="3">
        <v>45939</v>
      </c>
      <c r="G1077" s="1">
        <v>11970</v>
      </c>
      <c r="H1077" s="1">
        <v>11407</v>
      </c>
      <c r="I1077" s="1">
        <f t="shared" si="168"/>
        <v>563</v>
      </c>
      <c r="J1077" s="1">
        <f t="shared" si="177"/>
        <v>2252</v>
      </c>
      <c r="K1077" s="9">
        <f t="shared" si="176"/>
        <v>4.9355658805996315E-2</v>
      </c>
    </row>
    <row r="1078" spans="1:12" x14ac:dyDescent="0.35">
      <c r="A1078" s="2" t="s">
        <v>132</v>
      </c>
      <c r="B1078" t="s">
        <v>149</v>
      </c>
      <c r="C1078" s="21" t="s">
        <v>275</v>
      </c>
      <c r="D1078" s="4">
        <v>5</v>
      </c>
      <c r="E1078" s="4"/>
      <c r="F1078" s="3">
        <v>45946</v>
      </c>
      <c r="G1078" s="1">
        <v>11970</v>
      </c>
      <c r="H1078" s="1">
        <v>11407</v>
      </c>
      <c r="I1078" s="1">
        <f t="shared" si="168"/>
        <v>563</v>
      </c>
      <c r="J1078" s="1">
        <f t="shared" si="177"/>
        <v>2815</v>
      </c>
      <c r="K1078" s="9">
        <f t="shared" si="176"/>
        <v>4.9355658805996315E-2</v>
      </c>
    </row>
    <row r="1079" spans="1:12" x14ac:dyDescent="0.35">
      <c r="A1079" s="2" t="s">
        <v>132</v>
      </c>
      <c r="B1079" t="s">
        <v>149</v>
      </c>
      <c r="C1079" s="21" t="s">
        <v>275</v>
      </c>
      <c r="D1079" s="4">
        <v>6</v>
      </c>
      <c r="E1079" s="4"/>
      <c r="F1079" s="3">
        <v>45953</v>
      </c>
      <c r="G1079" s="1">
        <v>11970</v>
      </c>
      <c r="H1079" s="1">
        <v>11407</v>
      </c>
      <c r="I1079" s="1">
        <f t="shared" si="168"/>
        <v>563</v>
      </c>
      <c r="J1079" s="1">
        <f t="shared" si="177"/>
        <v>3378</v>
      </c>
      <c r="K1079" s="9">
        <f t="shared" si="176"/>
        <v>4.9355658805996315E-2</v>
      </c>
    </row>
    <row r="1080" spans="1:12" x14ac:dyDescent="0.35">
      <c r="A1080" s="2" t="s">
        <v>132</v>
      </c>
      <c r="B1080" t="s">
        <v>149</v>
      </c>
      <c r="C1080" s="21" t="s">
        <v>275</v>
      </c>
      <c r="D1080" s="4">
        <v>7</v>
      </c>
      <c r="E1080" s="4"/>
      <c r="F1080" s="3">
        <v>45960</v>
      </c>
      <c r="G1080" s="1">
        <v>11970</v>
      </c>
      <c r="H1080" s="1">
        <v>11407</v>
      </c>
      <c r="I1080" s="1">
        <f t="shared" si="168"/>
        <v>563</v>
      </c>
      <c r="J1080" s="1">
        <f t="shared" si="177"/>
        <v>3941</v>
      </c>
      <c r="K1080" s="9">
        <f t="shared" si="176"/>
        <v>4.9355658805996315E-2</v>
      </c>
    </row>
    <row r="1081" spans="1:12" x14ac:dyDescent="0.35">
      <c r="A1081" s="2" t="s">
        <v>132</v>
      </c>
      <c r="B1081" t="s">
        <v>149</v>
      </c>
      <c r="C1081" s="21" t="s">
        <v>275</v>
      </c>
      <c r="D1081" s="4">
        <v>8</v>
      </c>
      <c r="E1081" s="4"/>
      <c r="F1081" s="3">
        <v>45967</v>
      </c>
      <c r="G1081" s="1">
        <v>11970</v>
      </c>
      <c r="H1081" s="1">
        <v>11407</v>
      </c>
      <c r="I1081" s="1">
        <f t="shared" si="168"/>
        <v>563</v>
      </c>
      <c r="J1081" s="1">
        <f t="shared" si="177"/>
        <v>4504</v>
      </c>
      <c r="K1081" s="9">
        <f t="shared" si="176"/>
        <v>4.9355658805996315E-2</v>
      </c>
    </row>
    <row r="1082" spans="1:12" x14ac:dyDescent="0.35">
      <c r="A1082" s="2" t="s">
        <v>132</v>
      </c>
      <c r="B1082" t="s">
        <v>149</v>
      </c>
      <c r="C1082" s="21" t="s">
        <v>275</v>
      </c>
      <c r="D1082" s="4">
        <v>9</v>
      </c>
      <c r="E1082" s="4"/>
      <c r="G1082" s="1"/>
      <c r="H1082" s="1"/>
      <c r="I1082" s="1">
        <f t="shared" si="168"/>
        <v>0</v>
      </c>
      <c r="J1082" s="1">
        <f t="shared" si="177"/>
        <v>4504</v>
      </c>
      <c r="K1082" s="9" t="e">
        <f t="shared" si="176"/>
        <v>#DIV/0!</v>
      </c>
    </row>
    <row r="1083" spans="1:12" x14ac:dyDescent="0.35">
      <c r="A1083" s="2" t="s">
        <v>132</v>
      </c>
      <c r="B1083" t="s">
        <v>149</v>
      </c>
      <c r="C1083" s="21" t="s">
        <v>275</v>
      </c>
      <c r="D1083" s="4">
        <v>10</v>
      </c>
      <c r="E1083" s="4"/>
      <c r="G1083" s="1"/>
      <c r="H1083" s="1"/>
      <c r="I1083" s="1">
        <f t="shared" si="168"/>
        <v>0</v>
      </c>
      <c r="J1083" s="1">
        <f t="shared" si="177"/>
        <v>4504</v>
      </c>
      <c r="K1083" s="9" t="e">
        <f t="shared" si="176"/>
        <v>#DIV/0!</v>
      </c>
    </row>
    <row r="1084" spans="1:12" x14ac:dyDescent="0.35">
      <c r="A1084" s="2" t="s">
        <v>132</v>
      </c>
      <c r="B1084" t="s">
        <v>149</v>
      </c>
      <c r="C1084" s="21" t="s">
        <v>275</v>
      </c>
      <c r="D1084" s="4">
        <v>11</v>
      </c>
      <c r="E1084" s="4"/>
      <c r="G1084" s="1"/>
      <c r="H1084" s="1"/>
      <c r="I1084" s="1">
        <f t="shared" si="168"/>
        <v>0</v>
      </c>
      <c r="J1084" s="1">
        <f t="shared" si="177"/>
        <v>4504</v>
      </c>
      <c r="K1084" s="9" t="e">
        <f t="shared" si="176"/>
        <v>#DIV/0!</v>
      </c>
    </row>
    <row r="1085" spans="1:12" x14ac:dyDescent="0.35">
      <c r="A1085" s="2" t="s">
        <v>132</v>
      </c>
      <c r="B1085" t="s">
        <v>149</v>
      </c>
      <c r="C1085" s="21" t="s">
        <v>275</v>
      </c>
      <c r="D1085" s="4">
        <v>12</v>
      </c>
      <c r="E1085" s="4"/>
      <c r="G1085" s="1"/>
      <c r="H1085" s="1"/>
      <c r="I1085" s="1">
        <f t="shared" si="168"/>
        <v>0</v>
      </c>
      <c r="J1085" s="1">
        <f t="shared" si="177"/>
        <v>4504</v>
      </c>
      <c r="K1085" s="9" t="e">
        <f t="shared" si="176"/>
        <v>#DIV/0!</v>
      </c>
    </row>
    <row r="1086" spans="1:12" x14ac:dyDescent="0.35">
      <c r="A1086" s="2" t="s">
        <v>132</v>
      </c>
      <c r="B1086" t="s">
        <v>149</v>
      </c>
      <c r="C1086" s="21" t="s">
        <v>275</v>
      </c>
      <c r="D1086" s="4">
        <v>13</v>
      </c>
      <c r="E1086" s="4"/>
      <c r="G1086" s="1"/>
      <c r="H1086" s="1"/>
      <c r="I1086" s="1">
        <f t="shared" si="168"/>
        <v>0</v>
      </c>
      <c r="J1086" s="1">
        <f t="shared" si="177"/>
        <v>4504</v>
      </c>
      <c r="K1086" s="9" t="e">
        <f t="shared" si="176"/>
        <v>#DIV/0!</v>
      </c>
    </row>
    <row r="1087" spans="1:12" x14ac:dyDescent="0.35">
      <c r="A1087" s="2" t="s">
        <v>132</v>
      </c>
      <c r="B1087" t="s">
        <v>149</v>
      </c>
      <c r="C1087" s="21" t="s">
        <v>275</v>
      </c>
      <c r="D1087" s="4">
        <v>14</v>
      </c>
      <c r="E1087" s="4"/>
      <c r="G1087" s="1"/>
      <c r="H1087" s="1"/>
      <c r="I1087" s="1">
        <f t="shared" si="168"/>
        <v>0</v>
      </c>
      <c r="J1087" s="1">
        <f t="shared" si="177"/>
        <v>4504</v>
      </c>
      <c r="K1087" s="9" t="e">
        <f t="shared" si="176"/>
        <v>#DIV/0!</v>
      </c>
    </row>
    <row r="1088" spans="1:12" x14ac:dyDescent="0.35">
      <c r="A1088" s="2" t="s">
        <v>132</v>
      </c>
      <c r="B1088" t="s">
        <v>149</v>
      </c>
      <c r="C1088" s="21" t="s">
        <v>275</v>
      </c>
      <c r="D1088" s="4">
        <v>15</v>
      </c>
      <c r="E1088" s="4"/>
      <c r="G1088" s="1"/>
      <c r="H1088" s="1"/>
      <c r="I1088" s="1">
        <f t="shared" si="168"/>
        <v>0</v>
      </c>
      <c r="J1088" s="1">
        <f t="shared" si="177"/>
        <v>4504</v>
      </c>
      <c r="K1088" s="9" t="e">
        <f t="shared" si="176"/>
        <v>#DIV/0!</v>
      </c>
    </row>
    <row r="1089" spans="1:11" ht="15" thickBot="1" x14ac:dyDescent="0.4">
      <c r="A1089" s="12" t="s">
        <v>132</v>
      </c>
      <c r="B1089" s="13" t="s">
        <v>149</v>
      </c>
      <c r="C1089" s="21" t="s">
        <v>275</v>
      </c>
      <c r="D1089" s="14">
        <v>16</v>
      </c>
      <c r="E1089" s="14"/>
      <c r="F1089" s="13"/>
      <c r="G1089" s="15"/>
      <c r="H1089" s="15"/>
      <c r="I1089" s="15">
        <f t="shared" si="168"/>
        <v>0</v>
      </c>
      <c r="J1089" s="15">
        <f t="shared" si="177"/>
        <v>4504</v>
      </c>
      <c r="K1089" s="13"/>
    </row>
    <row r="1090" spans="1:11" x14ac:dyDescent="0.35">
      <c r="A1090" s="2" t="s">
        <v>133</v>
      </c>
      <c r="B1090" t="s">
        <v>148</v>
      </c>
      <c r="C1090" s="21" t="s">
        <v>275</v>
      </c>
      <c r="D1090" s="4">
        <v>1</v>
      </c>
      <c r="E1090" s="4"/>
      <c r="F1090" s="3">
        <v>45917</v>
      </c>
      <c r="G1090" s="1">
        <v>4973</v>
      </c>
      <c r="H1090" s="1">
        <v>4637</v>
      </c>
      <c r="I1090" s="1">
        <f t="shared" si="168"/>
        <v>336</v>
      </c>
      <c r="J1090" s="1">
        <f>I1090</f>
        <v>336</v>
      </c>
      <c r="K1090" s="9">
        <f t="shared" ref="K1090:K1101" si="178">I1090/H1090</f>
        <v>7.2460642656890228E-2</v>
      </c>
    </row>
    <row r="1091" spans="1:11" x14ac:dyDescent="0.35">
      <c r="A1091" s="2" t="s">
        <v>133</v>
      </c>
      <c r="B1091" t="s">
        <v>148</v>
      </c>
      <c r="C1091" s="21" t="s">
        <v>275</v>
      </c>
      <c r="D1091" s="4">
        <v>2</v>
      </c>
      <c r="E1091" s="4"/>
      <c r="F1091" s="3">
        <v>45924</v>
      </c>
      <c r="G1091" s="1">
        <v>4973</v>
      </c>
      <c r="H1091" s="1">
        <v>4637</v>
      </c>
      <c r="I1091" s="1">
        <f t="shared" si="168"/>
        <v>336</v>
      </c>
      <c r="J1091" s="1">
        <f>J1090+I1091</f>
        <v>672</v>
      </c>
      <c r="K1091" s="9">
        <f t="shared" si="178"/>
        <v>7.2460642656890228E-2</v>
      </c>
    </row>
    <row r="1092" spans="1:11" x14ac:dyDescent="0.35">
      <c r="A1092" s="2" t="s">
        <v>133</v>
      </c>
      <c r="B1092" t="s">
        <v>148</v>
      </c>
      <c r="C1092" s="21" t="s">
        <v>275</v>
      </c>
      <c r="D1092" s="4">
        <v>3</v>
      </c>
      <c r="E1092" s="4"/>
      <c r="F1092" s="3">
        <v>45931</v>
      </c>
      <c r="G1092" s="1">
        <v>4973</v>
      </c>
      <c r="H1092" s="1">
        <v>4636</v>
      </c>
      <c r="I1092" s="1">
        <f t="shared" si="168"/>
        <v>337</v>
      </c>
      <c r="J1092" s="1">
        <f t="shared" ref="J1092:J1105" si="179">J1091+I1092</f>
        <v>1009</v>
      </c>
      <c r="K1092" s="9">
        <f t="shared" si="178"/>
        <v>7.2691975841242457E-2</v>
      </c>
    </row>
    <row r="1093" spans="1:11" x14ac:dyDescent="0.35">
      <c r="A1093" s="2" t="s">
        <v>133</v>
      </c>
      <c r="B1093" t="s">
        <v>148</v>
      </c>
      <c r="C1093" s="21" t="s">
        <v>275</v>
      </c>
      <c r="D1093" s="4">
        <v>4</v>
      </c>
      <c r="E1093" s="4"/>
      <c r="F1093" s="3">
        <v>45938</v>
      </c>
      <c r="G1093" s="1">
        <v>4973</v>
      </c>
      <c r="H1093" s="1">
        <v>4637</v>
      </c>
      <c r="I1093" s="1">
        <f t="shared" si="168"/>
        <v>336</v>
      </c>
      <c r="J1093" s="1">
        <f t="shared" si="179"/>
        <v>1345</v>
      </c>
      <c r="K1093" s="9">
        <f t="shared" si="178"/>
        <v>7.2460642656890228E-2</v>
      </c>
    </row>
    <row r="1094" spans="1:11" x14ac:dyDescent="0.35">
      <c r="A1094" s="2" t="s">
        <v>133</v>
      </c>
      <c r="B1094" t="s">
        <v>148</v>
      </c>
      <c r="C1094" s="21" t="s">
        <v>275</v>
      </c>
      <c r="D1094" s="4">
        <v>5</v>
      </c>
      <c r="E1094" s="4"/>
      <c r="F1094" s="3">
        <v>45945</v>
      </c>
      <c r="G1094" s="1">
        <v>4973</v>
      </c>
      <c r="H1094" s="1">
        <v>4636</v>
      </c>
      <c r="I1094" s="1">
        <f t="shared" si="168"/>
        <v>337</v>
      </c>
      <c r="J1094" s="1">
        <f t="shared" si="179"/>
        <v>1682</v>
      </c>
      <c r="K1094" s="9">
        <f t="shared" si="178"/>
        <v>7.2691975841242457E-2</v>
      </c>
    </row>
    <row r="1095" spans="1:11" x14ac:dyDescent="0.35">
      <c r="A1095" s="2" t="s">
        <v>133</v>
      </c>
      <c r="B1095" t="s">
        <v>148</v>
      </c>
      <c r="C1095" s="21" t="s">
        <v>275</v>
      </c>
      <c r="D1095" s="4">
        <v>6</v>
      </c>
      <c r="E1095" s="4"/>
      <c r="F1095" s="3">
        <v>45952</v>
      </c>
      <c r="G1095" s="1">
        <v>4973</v>
      </c>
      <c r="H1095" s="1">
        <v>4637</v>
      </c>
      <c r="I1095" s="1">
        <f t="shared" si="168"/>
        <v>336</v>
      </c>
      <c r="J1095" s="1">
        <f t="shared" si="179"/>
        <v>2018</v>
      </c>
      <c r="K1095" s="9">
        <f t="shared" si="178"/>
        <v>7.2460642656890228E-2</v>
      </c>
    </row>
    <row r="1096" spans="1:11" x14ac:dyDescent="0.35">
      <c r="A1096" s="2" t="s">
        <v>133</v>
      </c>
      <c r="B1096" t="s">
        <v>148</v>
      </c>
      <c r="C1096" s="21" t="s">
        <v>275</v>
      </c>
      <c r="D1096" s="4">
        <v>7</v>
      </c>
      <c r="E1096" s="4"/>
      <c r="F1096" s="3">
        <v>45959</v>
      </c>
      <c r="G1096" s="1">
        <v>4973</v>
      </c>
      <c r="H1096" s="1">
        <v>4637</v>
      </c>
      <c r="I1096" s="1">
        <f t="shared" si="168"/>
        <v>336</v>
      </c>
      <c r="J1096" s="1">
        <f t="shared" si="179"/>
        <v>2354</v>
      </c>
      <c r="K1096" s="9">
        <f t="shared" si="178"/>
        <v>7.2460642656890228E-2</v>
      </c>
    </row>
    <row r="1097" spans="1:11" x14ac:dyDescent="0.35">
      <c r="A1097" s="2" t="s">
        <v>133</v>
      </c>
      <c r="B1097" t="s">
        <v>148</v>
      </c>
      <c r="C1097" s="21" t="s">
        <v>275</v>
      </c>
      <c r="D1097" s="4">
        <v>8</v>
      </c>
      <c r="E1097" s="4"/>
      <c r="F1097" s="3">
        <v>45966</v>
      </c>
      <c r="G1097" s="1">
        <v>4973</v>
      </c>
      <c r="H1097" s="1">
        <v>4636</v>
      </c>
      <c r="I1097" s="1">
        <f t="shared" si="168"/>
        <v>337</v>
      </c>
      <c r="J1097" s="1">
        <f t="shared" si="179"/>
        <v>2691</v>
      </c>
      <c r="K1097" s="9">
        <f t="shared" si="178"/>
        <v>7.2691975841242457E-2</v>
      </c>
    </row>
    <row r="1098" spans="1:11" x14ac:dyDescent="0.35">
      <c r="A1098" s="2" t="s">
        <v>133</v>
      </c>
      <c r="B1098" t="s">
        <v>148</v>
      </c>
      <c r="C1098" s="21" t="s">
        <v>275</v>
      </c>
      <c r="D1098" s="4">
        <v>9</v>
      </c>
      <c r="E1098" s="4"/>
      <c r="G1098" s="1"/>
      <c r="H1098" s="1"/>
      <c r="I1098" s="1">
        <f t="shared" si="168"/>
        <v>0</v>
      </c>
      <c r="J1098" s="1">
        <f t="shared" si="179"/>
        <v>2691</v>
      </c>
      <c r="K1098" s="9" t="e">
        <f t="shared" si="178"/>
        <v>#DIV/0!</v>
      </c>
    </row>
    <row r="1099" spans="1:11" x14ac:dyDescent="0.35">
      <c r="A1099" s="2" t="s">
        <v>133</v>
      </c>
      <c r="B1099" t="s">
        <v>148</v>
      </c>
      <c r="C1099" s="21" t="s">
        <v>275</v>
      </c>
      <c r="D1099" s="4">
        <v>10</v>
      </c>
      <c r="E1099" s="4"/>
      <c r="G1099" s="1"/>
      <c r="H1099" s="1"/>
      <c r="I1099" s="1">
        <f t="shared" si="168"/>
        <v>0</v>
      </c>
      <c r="J1099" s="1">
        <f t="shared" si="179"/>
        <v>2691</v>
      </c>
      <c r="K1099" s="9" t="e">
        <f t="shared" si="178"/>
        <v>#DIV/0!</v>
      </c>
    </row>
    <row r="1100" spans="1:11" x14ac:dyDescent="0.35">
      <c r="A1100" s="2" t="s">
        <v>133</v>
      </c>
      <c r="B1100" t="s">
        <v>148</v>
      </c>
      <c r="C1100" s="21" t="s">
        <v>275</v>
      </c>
      <c r="D1100" s="4">
        <v>11</v>
      </c>
      <c r="E1100" s="4"/>
      <c r="G1100" s="1"/>
      <c r="H1100" s="1"/>
      <c r="I1100" s="1">
        <f t="shared" si="168"/>
        <v>0</v>
      </c>
      <c r="J1100" s="1">
        <f t="shared" si="179"/>
        <v>2691</v>
      </c>
      <c r="K1100" s="9" t="e">
        <f t="shared" si="178"/>
        <v>#DIV/0!</v>
      </c>
    </row>
    <row r="1101" spans="1:11" x14ac:dyDescent="0.35">
      <c r="A1101" s="2" t="s">
        <v>133</v>
      </c>
      <c r="B1101" t="s">
        <v>148</v>
      </c>
      <c r="C1101" s="21" t="s">
        <v>275</v>
      </c>
      <c r="D1101" s="4">
        <v>12</v>
      </c>
      <c r="E1101" s="4"/>
      <c r="G1101" s="1"/>
      <c r="H1101" s="1"/>
      <c r="I1101" s="1">
        <f t="shared" si="168"/>
        <v>0</v>
      </c>
      <c r="J1101" s="1">
        <f t="shared" si="179"/>
        <v>2691</v>
      </c>
      <c r="K1101" s="9" t="e">
        <f t="shared" si="178"/>
        <v>#DIV/0!</v>
      </c>
    </row>
    <row r="1102" spans="1:11" x14ac:dyDescent="0.35">
      <c r="A1102" s="2" t="s">
        <v>133</v>
      </c>
      <c r="B1102" t="s">
        <v>148</v>
      </c>
      <c r="C1102" s="21" t="s">
        <v>275</v>
      </c>
      <c r="D1102" s="4">
        <v>13</v>
      </c>
      <c r="E1102" s="4"/>
      <c r="G1102" s="1"/>
      <c r="H1102" s="1"/>
      <c r="I1102" s="1">
        <f t="shared" si="168"/>
        <v>0</v>
      </c>
      <c r="J1102" s="1">
        <f t="shared" si="179"/>
        <v>2691</v>
      </c>
    </row>
    <row r="1103" spans="1:11" x14ac:dyDescent="0.35">
      <c r="A1103" s="2" t="s">
        <v>133</v>
      </c>
      <c r="B1103" t="s">
        <v>148</v>
      </c>
      <c r="C1103" s="21" t="s">
        <v>275</v>
      </c>
      <c r="D1103" s="4">
        <v>14</v>
      </c>
      <c r="E1103" s="4"/>
      <c r="G1103" s="1"/>
      <c r="H1103" s="1"/>
      <c r="I1103" s="1">
        <f t="shared" si="168"/>
        <v>0</v>
      </c>
      <c r="J1103" s="1">
        <f t="shared" si="179"/>
        <v>2691</v>
      </c>
    </row>
    <row r="1104" spans="1:11" x14ac:dyDescent="0.35">
      <c r="A1104" s="2" t="s">
        <v>133</v>
      </c>
      <c r="B1104" t="s">
        <v>148</v>
      </c>
      <c r="C1104" s="21" t="s">
        <v>275</v>
      </c>
      <c r="D1104" s="4">
        <v>15</v>
      </c>
      <c r="E1104" s="4"/>
      <c r="G1104" s="1"/>
      <c r="H1104" s="1"/>
      <c r="I1104" s="1">
        <f t="shared" si="168"/>
        <v>0</v>
      </c>
      <c r="J1104" s="1">
        <f t="shared" si="179"/>
        <v>2691</v>
      </c>
    </row>
    <row r="1105" spans="1:11" ht="15" thickBot="1" x14ac:dyDescent="0.4">
      <c r="A1105" s="12" t="s">
        <v>133</v>
      </c>
      <c r="B1105" s="13" t="s">
        <v>148</v>
      </c>
      <c r="C1105" s="21" t="s">
        <v>275</v>
      </c>
      <c r="D1105" s="14">
        <v>16</v>
      </c>
      <c r="E1105" s="14"/>
      <c r="F1105" s="13"/>
      <c r="G1105" s="15"/>
      <c r="H1105" s="15"/>
      <c r="I1105" s="15">
        <f t="shared" si="168"/>
        <v>0</v>
      </c>
      <c r="J1105" s="15">
        <f t="shared" si="179"/>
        <v>2691</v>
      </c>
      <c r="K1105" s="13"/>
    </row>
    <row r="1106" spans="1:11" x14ac:dyDescent="0.35">
      <c r="A1106" s="2" t="s">
        <v>134</v>
      </c>
      <c r="B1106" t="s">
        <v>150</v>
      </c>
      <c r="C1106" s="21" t="s">
        <v>275</v>
      </c>
      <c r="D1106" s="4">
        <v>1</v>
      </c>
      <c r="E1106" s="4"/>
      <c r="F1106" s="3">
        <v>45918</v>
      </c>
      <c r="G1106" s="1">
        <v>16552</v>
      </c>
      <c r="H1106" s="1">
        <v>15090</v>
      </c>
      <c r="I1106" s="1">
        <f t="shared" si="168"/>
        <v>1462</v>
      </c>
      <c r="J1106" s="1">
        <f>I1106</f>
        <v>1462</v>
      </c>
      <c r="K1106" s="9">
        <f t="shared" ref="K1106:K1120" si="180">I1106/H1106</f>
        <v>9.6885354539430091E-2</v>
      </c>
    </row>
    <row r="1107" spans="1:11" x14ac:dyDescent="0.35">
      <c r="A1107" s="2" t="s">
        <v>134</v>
      </c>
      <c r="B1107" t="s">
        <v>150</v>
      </c>
      <c r="C1107" s="21" t="s">
        <v>275</v>
      </c>
      <c r="D1107" s="4">
        <v>2</v>
      </c>
      <c r="E1107" s="4"/>
      <c r="F1107" s="3">
        <v>45925</v>
      </c>
      <c r="G1107" s="1">
        <v>16552</v>
      </c>
      <c r="H1107" s="1">
        <v>15090</v>
      </c>
      <c r="I1107" s="1">
        <f t="shared" si="168"/>
        <v>1462</v>
      </c>
      <c r="J1107" s="1">
        <f>J1106+I1107</f>
        <v>2924</v>
      </c>
      <c r="K1107" s="9">
        <f t="shared" si="180"/>
        <v>9.6885354539430091E-2</v>
      </c>
    </row>
    <row r="1108" spans="1:11" x14ac:dyDescent="0.35">
      <c r="A1108" s="2" t="s">
        <v>134</v>
      </c>
      <c r="B1108" t="s">
        <v>150</v>
      </c>
      <c r="C1108" s="21" t="s">
        <v>275</v>
      </c>
      <c r="D1108" s="4">
        <v>3</v>
      </c>
      <c r="E1108" s="4"/>
      <c r="F1108" s="3">
        <v>45932</v>
      </c>
      <c r="G1108" s="1">
        <v>16201</v>
      </c>
      <c r="H1108" s="1">
        <v>15090</v>
      </c>
      <c r="I1108" s="1">
        <f t="shared" si="168"/>
        <v>1111</v>
      </c>
      <c r="J1108" s="1">
        <f t="shared" ref="J1108:J1121" si="181">J1107+I1108</f>
        <v>4035</v>
      </c>
      <c r="K1108" s="9">
        <f t="shared" si="180"/>
        <v>7.3624917163684564E-2</v>
      </c>
    </row>
    <row r="1109" spans="1:11" x14ac:dyDescent="0.35">
      <c r="A1109" s="2" t="s">
        <v>134</v>
      </c>
      <c r="B1109" t="s">
        <v>150</v>
      </c>
      <c r="C1109" s="21" t="s">
        <v>275</v>
      </c>
      <c r="D1109" s="4">
        <v>4</v>
      </c>
      <c r="E1109" s="4"/>
      <c r="F1109" s="3">
        <v>45939</v>
      </c>
      <c r="G1109" s="1">
        <v>16213</v>
      </c>
      <c r="H1109" s="1">
        <v>15090</v>
      </c>
      <c r="I1109" s="1">
        <f t="shared" si="168"/>
        <v>1123</v>
      </c>
      <c r="J1109" s="1">
        <f t="shared" si="181"/>
        <v>5158</v>
      </c>
      <c r="K1109" s="9">
        <f t="shared" si="180"/>
        <v>7.4420145791915179E-2</v>
      </c>
    </row>
    <row r="1110" spans="1:11" x14ac:dyDescent="0.35">
      <c r="A1110" s="2" t="s">
        <v>134</v>
      </c>
      <c r="B1110" t="s">
        <v>150</v>
      </c>
      <c r="C1110" s="21" t="s">
        <v>275</v>
      </c>
      <c r="D1110" s="4">
        <v>5</v>
      </c>
      <c r="E1110" s="4"/>
      <c r="F1110" s="3">
        <v>45946</v>
      </c>
      <c r="G1110" s="1">
        <v>16369</v>
      </c>
      <c r="H1110" s="1">
        <v>15890</v>
      </c>
      <c r="I1110" s="1">
        <f t="shared" si="168"/>
        <v>479</v>
      </c>
      <c r="J1110" s="1">
        <f t="shared" si="181"/>
        <v>5637</v>
      </c>
      <c r="K1110" s="9">
        <f t="shared" si="180"/>
        <v>3.014474512271869E-2</v>
      </c>
    </row>
    <row r="1111" spans="1:11" x14ac:dyDescent="0.35">
      <c r="A1111" s="2" t="s">
        <v>134</v>
      </c>
      <c r="B1111" t="s">
        <v>150</v>
      </c>
      <c r="C1111" s="21" t="s">
        <v>275</v>
      </c>
      <c r="D1111" s="4">
        <v>6</v>
      </c>
      <c r="E1111" s="4"/>
      <c r="F1111" s="3">
        <v>45953</v>
      </c>
      <c r="G1111" s="1">
        <v>16000</v>
      </c>
      <c r="H1111" s="1">
        <v>15089</v>
      </c>
      <c r="I1111" s="1">
        <f t="shared" si="168"/>
        <v>911</v>
      </c>
      <c r="J1111" s="1">
        <f t="shared" si="181"/>
        <v>6548</v>
      </c>
      <c r="K1111" s="9">
        <f t="shared" si="180"/>
        <v>6.0375107694346876E-2</v>
      </c>
    </row>
    <row r="1112" spans="1:11" x14ac:dyDescent="0.35">
      <c r="A1112" s="2" t="s">
        <v>134</v>
      </c>
      <c r="B1112" t="s">
        <v>150</v>
      </c>
      <c r="C1112" s="21" t="s">
        <v>275</v>
      </c>
      <c r="D1112" s="4">
        <v>7</v>
      </c>
      <c r="E1112" s="4"/>
      <c r="F1112" s="3">
        <v>45960</v>
      </c>
      <c r="G1112" s="1">
        <v>16127</v>
      </c>
      <c r="H1112" s="1">
        <v>15089</v>
      </c>
      <c r="I1112" s="1">
        <f t="shared" si="168"/>
        <v>1038</v>
      </c>
      <c r="J1112" s="1">
        <f t="shared" si="181"/>
        <v>7586</v>
      </c>
      <c r="K1112" s="9">
        <f t="shared" si="180"/>
        <v>6.8791835111670752E-2</v>
      </c>
    </row>
    <row r="1113" spans="1:11" x14ac:dyDescent="0.35">
      <c r="A1113" s="2" t="s">
        <v>134</v>
      </c>
      <c r="B1113" t="s">
        <v>150</v>
      </c>
      <c r="C1113" s="21" t="s">
        <v>275</v>
      </c>
      <c r="D1113" s="4">
        <v>8</v>
      </c>
      <c r="E1113" s="4"/>
      <c r="F1113" s="3">
        <v>45967</v>
      </c>
      <c r="G1113" s="1">
        <v>15049</v>
      </c>
      <c r="H1113" s="1">
        <v>15049</v>
      </c>
      <c r="I1113" s="1">
        <f t="shared" si="168"/>
        <v>0</v>
      </c>
      <c r="J1113" s="1">
        <f t="shared" si="181"/>
        <v>7586</v>
      </c>
      <c r="K1113" s="9">
        <f t="shared" si="180"/>
        <v>0</v>
      </c>
    </row>
    <row r="1114" spans="1:11" x14ac:dyDescent="0.35">
      <c r="A1114" s="2" t="s">
        <v>134</v>
      </c>
      <c r="B1114" t="s">
        <v>150</v>
      </c>
      <c r="C1114" s="21" t="s">
        <v>275</v>
      </c>
      <c r="D1114" s="4">
        <v>9</v>
      </c>
      <c r="E1114" s="4"/>
      <c r="G1114" s="1"/>
      <c r="H1114" s="1"/>
      <c r="I1114" s="1">
        <f t="shared" si="168"/>
        <v>0</v>
      </c>
      <c r="J1114" s="1">
        <f t="shared" si="181"/>
        <v>7586</v>
      </c>
      <c r="K1114" s="9" t="e">
        <f t="shared" si="180"/>
        <v>#DIV/0!</v>
      </c>
    </row>
    <row r="1115" spans="1:11" x14ac:dyDescent="0.35">
      <c r="A1115" s="2" t="s">
        <v>134</v>
      </c>
      <c r="B1115" t="s">
        <v>150</v>
      </c>
      <c r="C1115" s="21" t="s">
        <v>275</v>
      </c>
      <c r="D1115" s="4">
        <v>10</v>
      </c>
      <c r="E1115" s="4"/>
      <c r="G1115" s="1"/>
      <c r="H1115" s="1"/>
      <c r="I1115" s="1">
        <f t="shared" si="168"/>
        <v>0</v>
      </c>
      <c r="J1115" s="1">
        <f t="shared" si="181"/>
        <v>7586</v>
      </c>
      <c r="K1115" s="9" t="e">
        <f t="shared" si="180"/>
        <v>#DIV/0!</v>
      </c>
    </row>
    <row r="1116" spans="1:11" x14ac:dyDescent="0.35">
      <c r="A1116" s="2" t="s">
        <v>134</v>
      </c>
      <c r="B1116" t="s">
        <v>150</v>
      </c>
      <c r="C1116" s="21" t="s">
        <v>275</v>
      </c>
      <c r="D1116" s="4">
        <v>11</v>
      </c>
      <c r="E1116" s="4"/>
      <c r="G1116" s="1"/>
      <c r="H1116" s="1"/>
      <c r="I1116" s="1">
        <f t="shared" si="168"/>
        <v>0</v>
      </c>
      <c r="J1116" s="1">
        <f t="shared" si="181"/>
        <v>7586</v>
      </c>
      <c r="K1116" s="9" t="e">
        <f t="shared" si="180"/>
        <v>#DIV/0!</v>
      </c>
    </row>
    <row r="1117" spans="1:11" x14ac:dyDescent="0.35">
      <c r="A1117" s="2" t="s">
        <v>134</v>
      </c>
      <c r="B1117" t="s">
        <v>150</v>
      </c>
      <c r="C1117" s="21" t="s">
        <v>275</v>
      </c>
      <c r="D1117" s="4">
        <v>12</v>
      </c>
      <c r="E1117" s="4"/>
      <c r="G1117" s="1"/>
      <c r="H1117" s="1"/>
      <c r="I1117" s="1">
        <f t="shared" si="168"/>
        <v>0</v>
      </c>
      <c r="J1117" s="1">
        <f t="shared" si="181"/>
        <v>7586</v>
      </c>
      <c r="K1117" s="9" t="e">
        <f t="shared" si="180"/>
        <v>#DIV/0!</v>
      </c>
    </row>
    <row r="1118" spans="1:11" x14ac:dyDescent="0.35">
      <c r="A1118" s="2" t="s">
        <v>134</v>
      </c>
      <c r="B1118" t="s">
        <v>150</v>
      </c>
      <c r="C1118" s="21" t="s">
        <v>275</v>
      </c>
      <c r="D1118" s="4">
        <v>13</v>
      </c>
      <c r="E1118" s="4"/>
      <c r="G1118" s="1"/>
      <c r="H1118" s="1"/>
      <c r="I1118" s="1">
        <f t="shared" si="168"/>
        <v>0</v>
      </c>
      <c r="J1118" s="1">
        <f t="shared" si="181"/>
        <v>7586</v>
      </c>
      <c r="K1118" s="9" t="e">
        <f t="shared" si="180"/>
        <v>#DIV/0!</v>
      </c>
    </row>
    <row r="1119" spans="1:11" x14ac:dyDescent="0.35">
      <c r="A1119" s="2" t="s">
        <v>134</v>
      </c>
      <c r="B1119" t="s">
        <v>150</v>
      </c>
      <c r="C1119" s="21" t="s">
        <v>275</v>
      </c>
      <c r="D1119" s="4">
        <v>14</v>
      </c>
      <c r="E1119" s="4"/>
      <c r="G1119" s="1"/>
      <c r="H1119" s="1"/>
      <c r="I1119" s="1">
        <f t="shared" si="168"/>
        <v>0</v>
      </c>
      <c r="J1119" s="1">
        <f t="shared" si="181"/>
        <v>7586</v>
      </c>
      <c r="K1119" s="9" t="e">
        <f t="shared" si="180"/>
        <v>#DIV/0!</v>
      </c>
    </row>
    <row r="1120" spans="1:11" x14ac:dyDescent="0.35">
      <c r="A1120" s="2" t="s">
        <v>134</v>
      </c>
      <c r="B1120" t="s">
        <v>150</v>
      </c>
      <c r="C1120" s="21" t="s">
        <v>275</v>
      </c>
      <c r="D1120" s="4">
        <v>15</v>
      </c>
      <c r="E1120" s="4"/>
      <c r="G1120" s="1"/>
      <c r="H1120" s="1"/>
      <c r="I1120" s="1">
        <f t="shared" si="168"/>
        <v>0</v>
      </c>
      <c r="J1120" s="1">
        <f t="shared" si="181"/>
        <v>7586</v>
      </c>
      <c r="K1120" s="9" t="e">
        <f t="shared" si="180"/>
        <v>#DIV/0!</v>
      </c>
    </row>
    <row r="1121" spans="1:11" ht="15" thickBot="1" x14ac:dyDescent="0.4">
      <c r="A1121" s="12" t="s">
        <v>134</v>
      </c>
      <c r="B1121" s="13" t="s">
        <v>150</v>
      </c>
      <c r="C1121" s="21" t="s">
        <v>275</v>
      </c>
      <c r="D1121" s="14">
        <v>16</v>
      </c>
      <c r="E1121" s="14"/>
      <c r="F1121" s="13"/>
      <c r="G1121" s="15"/>
      <c r="H1121" s="15"/>
      <c r="I1121" s="15">
        <f t="shared" si="168"/>
        <v>0</v>
      </c>
      <c r="J1121" s="15">
        <f t="shared" si="181"/>
        <v>7586</v>
      </c>
      <c r="K1121" s="13"/>
    </row>
    <row r="1122" spans="1:11" x14ac:dyDescent="0.35">
      <c r="A1122" s="2" t="s">
        <v>135</v>
      </c>
      <c r="B1122" t="s">
        <v>146</v>
      </c>
      <c r="C1122" s="21" t="s">
        <v>275</v>
      </c>
      <c r="D1122" s="4">
        <v>1</v>
      </c>
      <c r="E1122" s="4"/>
      <c r="F1122" s="3">
        <v>45917</v>
      </c>
      <c r="G1122" s="1">
        <v>6070</v>
      </c>
      <c r="H1122" s="1">
        <v>5781</v>
      </c>
      <c r="I1122" s="1">
        <f t="shared" si="168"/>
        <v>289</v>
      </c>
      <c r="J1122" s="1">
        <f>I1122</f>
        <v>289</v>
      </c>
      <c r="K1122" s="9">
        <f t="shared" ref="K1122:K1130" si="182">I1122/H1122</f>
        <v>4.999135097733956E-2</v>
      </c>
    </row>
    <row r="1123" spans="1:11" x14ac:dyDescent="0.35">
      <c r="A1123" s="2" t="s">
        <v>135</v>
      </c>
      <c r="B1123" t="s">
        <v>146</v>
      </c>
      <c r="C1123" s="21" t="s">
        <v>275</v>
      </c>
      <c r="D1123" s="4">
        <v>2</v>
      </c>
      <c r="E1123" s="4"/>
      <c r="F1123" s="3">
        <v>45924</v>
      </c>
      <c r="G1123" s="1">
        <v>6071</v>
      </c>
      <c r="H1123" s="1">
        <v>5782</v>
      </c>
      <c r="I1123" s="1">
        <f t="shared" si="168"/>
        <v>289</v>
      </c>
      <c r="J1123" s="1">
        <f>J1122+I1123</f>
        <v>578</v>
      </c>
      <c r="K1123" s="9">
        <f t="shared" si="182"/>
        <v>4.9982704946385334E-2</v>
      </c>
    </row>
    <row r="1124" spans="1:11" x14ac:dyDescent="0.35">
      <c r="A1124" s="2" t="s">
        <v>135</v>
      </c>
      <c r="B1124" t="s">
        <v>146</v>
      </c>
      <c r="C1124" s="21" t="s">
        <v>275</v>
      </c>
      <c r="D1124" s="4">
        <v>3</v>
      </c>
      <c r="E1124" s="4"/>
      <c r="F1124" s="3">
        <v>45931</v>
      </c>
      <c r="G1124" s="1">
        <v>6071</v>
      </c>
      <c r="H1124" s="1">
        <v>5782</v>
      </c>
      <c r="I1124" s="1">
        <f t="shared" si="168"/>
        <v>289</v>
      </c>
      <c r="J1124" s="1">
        <f t="shared" ref="J1124:J1137" si="183">J1123+I1124</f>
        <v>867</v>
      </c>
      <c r="K1124" s="9">
        <f t="shared" si="182"/>
        <v>4.9982704946385334E-2</v>
      </c>
    </row>
    <row r="1125" spans="1:11" x14ac:dyDescent="0.35">
      <c r="A1125" s="2" t="s">
        <v>135</v>
      </c>
      <c r="B1125" t="s">
        <v>146</v>
      </c>
      <c r="C1125" s="21" t="s">
        <v>275</v>
      </c>
      <c r="D1125" s="4">
        <v>4</v>
      </c>
      <c r="E1125" s="4"/>
      <c r="F1125" s="3">
        <v>45938</v>
      </c>
      <c r="G1125" s="1">
        <v>6071</v>
      </c>
      <c r="H1125" s="1">
        <v>5782</v>
      </c>
      <c r="I1125" s="1">
        <f t="shared" si="168"/>
        <v>289</v>
      </c>
      <c r="J1125" s="1">
        <f t="shared" si="183"/>
        <v>1156</v>
      </c>
      <c r="K1125" s="9">
        <f t="shared" si="182"/>
        <v>4.9982704946385334E-2</v>
      </c>
    </row>
    <row r="1126" spans="1:11" x14ac:dyDescent="0.35">
      <c r="A1126" s="2" t="s">
        <v>135</v>
      </c>
      <c r="B1126" t="s">
        <v>146</v>
      </c>
      <c r="C1126" s="21" t="s">
        <v>275</v>
      </c>
      <c r="D1126" s="4">
        <v>5</v>
      </c>
      <c r="E1126" s="4"/>
      <c r="F1126" s="3">
        <v>45945</v>
      </c>
      <c r="G1126" s="1">
        <v>6071</v>
      </c>
      <c r="H1126" s="1">
        <v>5782</v>
      </c>
      <c r="I1126" s="1">
        <f t="shared" ref="I1126:I1189" si="184">G1126-H1126</f>
        <v>289</v>
      </c>
      <c r="J1126" s="1">
        <f t="shared" si="183"/>
        <v>1445</v>
      </c>
      <c r="K1126" s="9">
        <f t="shared" si="182"/>
        <v>4.9982704946385334E-2</v>
      </c>
    </row>
    <row r="1127" spans="1:11" x14ac:dyDescent="0.35">
      <c r="A1127" s="2" t="s">
        <v>135</v>
      </c>
      <c r="B1127" t="s">
        <v>146</v>
      </c>
      <c r="C1127" s="21" t="s">
        <v>275</v>
      </c>
      <c r="D1127" s="4">
        <v>6</v>
      </c>
      <c r="E1127" s="4"/>
      <c r="F1127" s="3">
        <v>45952</v>
      </c>
      <c r="G1127" s="1">
        <v>6071</v>
      </c>
      <c r="H1127" s="1">
        <v>5782</v>
      </c>
      <c r="I1127" s="1">
        <f t="shared" si="184"/>
        <v>289</v>
      </c>
      <c r="J1127" s="1">
        <f t="shared" si="183"/>
        <v>1734</v>
      </c>
      <c r="K1127" s="9">
        <f t="shared" si="182"/>
        <v>4.9982704946385334E-2</v>
      </c>
    </row>
    <row r="1128" spans="1:11" x14ac:dyDescent="0.35">
      <c r="A1128" s="2" t="s">
        <v>135</v>
      </c>
      <c r="B1128" t="s">
        <v>146</v>
      </c>
      <c r="C1128" s="21" t="s">
        <v>275</v>
      </c>
      <c r="D1128" s="4">
        <v>7</v>
      </c>
      <c r="E1128" s="4"/>
      <c r="F1128" s="3">
        <v>45959</v>
      </c>
      <c r="G1128" s="1">
        <v>6071</v>
      </c>
      <c r="H1128" s="1">
        <v>5782</v>
      </c>
      <c r="I1128" s="1">
        <f t="shared" si="184"/>
        <v>289</v>
      </c>
      <c r="J1128" s="1">
        <f t="shared" si="183"/>
        <v>2023</v>
      </c>
      <c r="K1128" s="9">
        <f t="shared" si="182"/>
        <v>4.9982704946385334E-2</v>
      </c>
    </row>
    <row r="1129" spans="1:11" x14ac:dyDescent="0.35">
      <c r="A1129" s="2" t="s">
        <v>135</v>
      </c>
      <c r="B1129" t="s">
        <v>146</v>
      </c>
      <c r="C1129" s="21" t="s">
        <v>275</v>
      </c>
      <c r="D1129" s="4">
        <v>8</v>
      </c>
      <c r="E1129" s="4"/>
      <c r="F1129" s="3">
        <v>45966</v>
      </c>
      <c r="G1129" s="1">
        <v>6100</v>
      </c>
      <c r="H1129" s="1">
        <v>5782</v>
      </c>
      <c r="I1129" s="1">
        <f t="shared" si="184"/>
        <v>318</v>
      </c>
      <c r="J1129" s="1">
        <f t="shared" si="183"/>
        <v>2341</v>
      </c>
      <c r="K1129" s="9">
        <f t="shared" si="182"/>
        <v>5.4998270494638533E-2</v>
      </c>
    </row>
    <row r="1130" spans="1:11" x14ac:dyDescent="0.35">
      <c r="A1130" s="2" t="s">
        <v>135</v>
      </c>
      <c r="B1130" t="s">
        <v>146</v>
      </c>
      <c r="C1130" s="21" t="s">
        <v>275</v>
      </c>
      <c r="D1130" s="4">
        <v>9</v>
      </c>
      <c r="E1130" s="4"/>
      <c r="G1130" s="1"/>
      <c r="H1130" s="1"/>
      <c r="I1130" s="1">
        <f t="shared" si="184"/>
        <v>0</v>
      </c>
      <c r="J1130" s="1">
        <f t="shared" si="183"/>
        <v>2341</v>
      </c>
      <c r="K1130" s="9" t="e">
        <f t="shared" si="182"/>
        <v>#DIV/0!</v>
      </c>
    </row>
    <row r="1131" spans="1:11" x14ac:dyDescent="0.35">
      <c r="A1131" s="2" t="s">
        <v>135</v>
      </c>
      <c r="B1131" t="s">
        <v>146</v>
      </c>
      <c r="C1131" s="21" t="s">
        <v>275</v>
      </c>
      <c r="D1131" s="4">
        <v>10</v>
      </c>
      <c r="E1131" s="4"/>
      <c r="G1131" s="1"/>
      <c r="H1131" s="1"/>
      <c r="I1131" s="1">
        <f t="shared" si="184"/>
        <v>0</v>
      </c>
      <c r="J1131" s="1">
        <f t="shared" si="183"/>
        <v>2341</v>
      </c>
    </row>
    <row r="1132" spans="1:11" x14ac:dyDescent="0.35">
      <c r="A1132" s="2" t="s">
        <v>135</v>
      </c>
      <c r="B1132" t="s">
        <v>146</v>
      </c>
      <c r="C1132" s="21" t="s">
        <v>275</v>
      </c>
      <c r="D1132" s="4">
        <v>11</v>
      </c>
      <c r="E1132" s="4"/>
      <c r="G1132" s="1"/>
      <c r="H1132" s="1"/>
      <c r="I1132" s="1">
        <f t="shared" si="184"/>
        <v>0</v>
      </c>
      <c r="J1132" s="1">
        <f t="shared" si="183"/>
        <v>2341</v>
      </c>
    </row>
    <row r="1133" spans="1:11" x14ac:dyDescent="0.35">
      <c r="A1133" s="2" t="s">
        <v>135</v>
      </c>
      <c r="B1133" t="s">
        <v>146</v>
      </c>
      <c r="C1133" s="21" t="s">
        <v>275</v>
      </c>
      <c r="D1133" s="4">
        <v>12</v>
      </c>
      <c r="E1133" s="4"/>
      <c r="G1133" s="1"/>
      <c r="H1133" s="1"/>
      <c r="I1133" s="1">
        <f t="shared" si="184"/>
        <v>0</v>
      </c>
      <c r="J1133" s="1">
        <f t="shared" si="183"/>
        <v>2341</v>
      </c>
    </row>
    <row r="1134" spans="1:11" x14ac:dyDescent="0.35">
      <c r="A1134" s="2" t="s">
        <v>135</v>
      </c>
      <c r="B1134" t="s">
        <v>146</v>
      </c>
      <c r="C1134" s="21" t="s">
        <v>275</v>
      </c>
      <c r="D1134" s="4">
        <v>13</v>
      </c>
      <c r="E1134" s="4"/>
      <c r="G1134" s="1"/>
      <c r="H1134" s="1"/>
      <c r="I1134" s="1">
        <f t="shared" si="184"/>
        <v>0</v>
      </c>
      <c r="J1134" s="1">
        <f t="shared" si="183"/>
        <v>2341</v>
      </c>
    </row>
    <row r="1135" spans="1:11" x14ac:dyDescent="0.35">
      <c r="A1135" s="2" t="s">
        <v>135</v>
      </c>
      <c r="B1135" t="s">
        <v>146</v>
      </c>
      <c r="C1135" s="21" t="s">
        <v>275</v>
      </c>
      <c r="D1135" s="4">
        <v>14</v>
      </c>
      <c r="E1135" s="4"/>
      <c r="G1135" s="1"/>
      <c r="H1135" s="1"/>
      <c r="I1135" s="1">
        <f t="shared" si="184"/>
        <v>0</v>
      </c>
      <c r="J1135" s="1">
        <f t="shared" si="183"/>
        <v>2341</v>
      </c>
    </row>
    <row r="1136" spans="1:11" x14ac:dyDescent="0.35">
      <c r="A1136" s="2" t="s">
        <v>135</v>
      </c>
      <c r="B1136" t="s">
        <v>146</v>
      </c>
      <c r="C1136" s="21" t="s">
        <v>275</v>
      </c>
      <c r="D1136" s="4">
        <v>15</v>
      </c>
      <c r="E1136" s="4"/>
      <c r="G1136" s="1"/>
      <c r="H1136" s="1"/>
      <c r="I1136" s="1">
        <f t="shared" si="184"/>
        <v>0</v>
      </c>
      <c r="J1136" s="1">
        <f t="shared" si="183"/>
        <v>2341</v>
      </c>
    </row>
    <row r="1137" spans="1:11" ht="15" thickBot="1" x14ac:dyDescent="0.4">
      <c r="A1137" s="12" t="s">
        <v>135</v>
      </c>
      <c r="B1137" s="13" t="s">
        <v>146</v>
      </c>
      <c r="C1137" s="21" t="s">
        <v>275</v>
      </c>
      <c r="D1137" s="14">
        <v>16</v>
      </c>
      <c r="E1137" s="14"/>
      <c r="F1137" s="13"/>
      <c r="G1137" s="15"/>
      <c r="H1137" s="15"/>
      <c r="I1137" s="15">
        <f t="shared" si="184"/>
        <v>0</v>
      </c>
      <c r="J1137" s="15">
        <f t="shared" si="183"/>
        <v>2341</v>
      </c>
      <c r="K1137" s="13"/>
    </row>
    <row r="1138" spans="1:11" x14ac:dyDescent="0.35">
      <c r="A1138" s="2" t="s">
        <v>136</v>
      </c>
      <c r="B1138" t="s">
        <v>151</v>
      </c>
      <c r="C1138" s="21" t="s">
        <v>275</v>
      </c>
      <c r="D1138" s="4">
        <v>1</v>
      </c>
      <c r="E1138" s="4"/>
      <c r="F1138" s="3">
        <v>45918</v>
      </c>
      <c r="G1138" s="1">
        <v>7418.03</v>
      </c>
      <c r="H1138" s="1">
        <v>6916.06</v>
      </c>
      <c r="I1138" s="1">
        <f t="shared" si="184"/>
        <v>501.96999999999935</v>
      </c>
      <c r="J1138" s="1">
        <f>I1138</f>
        <v>501.96999999999935</v>
      </c>
      <c r="K1138" s="9">
        <f t="shared" ref="K1138:K1147" si="185">I1138/H1138</f>
        <v>7.2580341986622346E-2</v>
      </c>
    </row>
    <row r="1139" spans="1:11" x14ac:dyDescent="0.35">
      <c r="A1139" s="2" t="s">
        <v>136</v>
      </c>
      <c r="B1139" t="s">
        <v>151</v>
      </c>
      <c r="C1139" s="21" t="s">
        <v>275</v>
      </c>
      <c r="D1139" s="4">
        <v>2</v>
      </c>
      <c r="E1139" s="4"/>
      <c r="F1139" s="3">
        <v>45925</v>
      </c>
      <c r="G1139" s="1">
        <v>7318.03</v>
      </c>
      <c r="H1139" s="1">
        <v>6916.06</v>
      </c>
      <c r="I1139" s="1">
        <f t="shared" si="184"/>
        <v>401.96999999999935</v>
      </c>
      <c r="J1139" s="1">
        <f>J1138+I1139</f>
        <v>903.93999999999869</v>
      </c>
      <c r="K1139" s="9">
        <f t="shared" si="185"/>
        <v>5.8121242441505613E-2</v>
      </c>
    </row>
    <row r="1140" spans="1:11" x14ac:dyDescent="0.35">
      <c r="A1140" s="2" t="s">
        <v>136</v>
      </c>
      <c r="B1140" t="s">
        <v>151</v>
      </c>
      <c r="C1140" s="21" t="s">
        <v>275</v>
      </c>
      <c r="D1140" s="4">
        <v>3</v>
      </c>
      <c r="E1140" s="4"/>
      <c r="F1140" s="3">
        <v>45932</v>
      </c>
      <c r="G1140" s="1">
        <v>7418.03</v>
      </c>
      <c r="H1140" s="1">
        <v>6916.06</v>
      </c>
      <c r="I1140" s="1">
        <f t="shared" si="184"/>
        <v>501.96999999999935</v>
      </c>
      <c r="J1140" s="1">
        <f t="shared" ref="J1140:J1153" si="186">J1139+I1140</f>
        <v>1405.909999999998</v>
      </c>
      <c r="K1140" s="9">
        <f t="shared" si="185"/>
        <v>7.2580341986622346E-2</v>
      </c>
    </row>
    <row r="1141" spans="1:11" x14ac:dyDescent="0.35">
      <c r="A1141" s="2" t="s">
        <v>136</v>
      </c>
      <c r="B1141" t="s">
        <v>151</v>
      </c>
      <c r="C1141" s="21" t="s">
        <v>275</v>
      </c>
      <c r="D1141" s="4">
        <v>4</v>
      </c>
      <c r="E1141" s="4"/>
      <c r="F1141" s="3">
        <v>45939</v>
      </c>
      <c r="G1141" s="1">
        <v>7418.03</v>
      </c>
      <c r="H1141" s="1">
        <v>6916.06</v>
      </c>
      <c r="I1141" s="1">
        <f t="shared" si="184"/>
        <v>501.96999999999935</v>
      </c>
      <c r="J1141" s="1">
        <f t="shared" si="186"/>
        <v>1907.8799999999974</v>
      </c>
      <c r="K1141" s="9">
        <f t="shared" si="185"/>
        <v>7.2580341986622346E-2</v>
      </c>
    </row>
    <row r="1142" spans="1:11" x14ac:dyDescent="0.35">
      <c r="A1142" s="2" t="s">
        <v>136</v>
      </c>
      <c r="B1142" t="s">
        <v>151</v>
      </c>
      <c r="C1142" s="21" t="s">
        <v>275</v>
      </c>
      <c r="D1142" s="4">
        <v>5</v>
      </c>
      <c r="E1142" s="4"/>
      <c r="F1142" s="3">
        <v>45946</v>
      </c>
      <c r="G1142" s="1">
        <v>7418.03</v>
      </c>
      <c r="H1142" s="1">
        <v>6916.06</v>
      </c>
      <c r="I1142" s="1">
        <f t="shared" si="184"/>
        <v>501.96999999999935</v>
      </c>
      <c r="J1142" s="1">
        <f t="shared" si="186"/>
        <v>2409.8499999999967</v>
      </c>
      <c r="K1142" s="9">
        <f t="shared" si="185"/>
        <v>7.2580341986622346E-2</v>
      </c>
    </row>
    <row r="1143" spans="1:11" x14ac:dyDescent="0.35">
      <c r="A1143" s="2" t="s">
        <v>136</v>
      </c>
      <c r="B1143" t="s">
        <v>151</v>
      </c>
      <c r="C1143" s="21" t="s">
        <v>275</v>
      </c>
      <c r="D1143" s="4">
        <v>6</v>
      </c>
      <c r="E1143" s="4"/>
      <c r="F1143" s="3">
        <v>45953</v>
      </c>
      <c r="G1143" s="1">
        <v>7418.03</v>
      </c>
      <c r="H1143" s="1">
        <v>6916.06</v>
      </c>
      <c r="I1143" s="1">
        <f t="shared" si="184"/>
        <v>501.96999999999935</v>
      </c>
      <c r="J1143" s="1">
        <f t="shared" si="186"/>
        <v>2911.8199999999961</v>
      </c>
      <c r="K1143" s="9">
        <f t="shared" si="185"/>
        <v>7.2580341986622346E-2</v>
      </c>
    </row>
    <row r="1144" spans="1:11" x14ac:dyDescent="0.35">
      <c r="A1144" s="2" t="s">
        <v>136</v>
      </c>
      <c r="B1144" t="s">
        <v>151</v>
      </c>
      <c r="C1144" s="21" t="s">
        <v>275</v>
      </c>
      <c r="D1144" s="4">
        <v>7</v>
      </c>
      <c r="E1144" s="4"/>
      <c r="F1144" s="3">
        <v>45960</v>
      </c>
      <c r="G1144" s="1">
        <v>7418.03</v>
      </c>
      <c r="H1144" s="1">
        <v>6916.06</v>
      </c>
      <c r="I1144" s="1">
        <f t="shared" si="184"/>
        <v>501.96999999999935</v>
      </c>
      <c r="J1144" s="1">
        <f t="shared" si="186"/>
        <v>3413.7899999999954</v>
      </c>
      <c r="K1144" s="9">
        <f t="shared" si="185"/>
        <v>7.2580341986622346E-2</v>
      </c>
    </row>
    <row r="1145" spans="1:11" x14ac:dyDescent="0.35">
      <c r="A1145" s="2" t="s">
        <v>136</v>
      </c>
      <c r="B1145" t="s">
        <v>151</v>
      </c>
      <c r="C1145" s="21" t="s">
        <v>275</v>
      </c>
      <c r="D1145" s="4">
        <v>8</v>
      </c>
      <c r="E1145" s="4"/>
      <c r="F1145" s="3">
        <v>45967</v>
      </c>
      <c r="G1145" s="34">
        <v>7418.03</v>
      </c>
      <c r="H1145" s="34">
        <v>6916.06</v>
      </c>
      <c r="I1145" s="1">
        <f t="shared" si="184"/>
        <v>501.96999999999935</v>
      </c>
      <c r="J1145" s="1">
        <f t="shared" si="186"/>
        <v>3915.7599999999948</v>
      </c>
      <c r="K1145" s="9">
        <f t="shared" si="185"/>
        <v>7.2580341986622346E-2</v>
      </c>
    </row>
    <row r="1146" spans="1:11" x14ac:dyDescent="0.35">
      <c r="A1146" s="2" t="s">
        <v>136</v>
      </c>
      <c r="B1146" t="s">
        <v>151</v>
      </c>
      <c r="C1146" s="21" t="s">
        <v>275</v>
      </c>
      <c r="D1146" s="4">
        <v>9</v>
      </c>
      <c r="E1146" s="4"/>
      <c r="G1146" s="1"/>
      <c r="H1146" s="1"/>
      <c r="I1146" s="1">
        <f t="shared" si="184"/>
        <v>0</v>
      </c>
      <c r="J1146" s="1">
        <f t="shared" si="186"/>
        <v>3915.7599999999948</v>
      </c>
      <c r="K1146" s="9" t="e">
        <f t="shared" si="185"/>
        <v>#DIV/0!</v>
      </c>
    </row>
    <row r="1147" spans="1:11" x14ac:dyDescent="0.35">
      <c r="A1147" s="2" t="s">
        <v>136</v>
      </c>
      <c r="B1147" t="s">
        <v>151</v>
      </c>
      <c r="C1147" s="21" t="s">
        <v>275</v>
      </c>
      <c r="D1147" s="4">
        <v>10</v>
      </c>
      <c r="E1147" s="4"/>
      <c r="G1147" s="1"/>
      <c r="H1147" s="1"/>
      <c r="I1147" s="1">
        <f t="shared" si="184"/>
        <v>0</v>
      </c>
      <c r="J1147" s="1">
        <f t="shared" si="186"/>
        <v>3915.7599999999948</v>
      </c>
      <c r="K1147" s="9" t="e">
        <f t="shared" si="185"/>
        <v>#DIV/0!</v>
      </c>
    </row>
    <row r="1148" spans="1:11" x14ac:dyDescent="0.35">
      <c r="A1148" s="2" t="s">
        <v>136</v>
      </c>
      <c r="B1148" t="s">
        <v>151</v>
      </c>
      <c r="C1148" s="21" t="s">
        <v>275</v>
      </c>
      <c r="D1148" s="4">
        <v>11</v>
      </c>
      <c r="E1148" s="4"/>
      <c r="G1148" s="1"/>
      <c r="H1148" s="1"/>
      <c r="I1148" s="1">
        <f t="shared" si="184"/>
        <v>0</v>
      </c>
      <c r="J1148" s="1">
        <f t="shared" si="186"/>
        <v>3915.7599999999948</v>
      </c>
    </row>
    <row r="1149" spans="1:11" x14ac:dyDescent="0.35">
      <c r="A1149" s="2" t="s">
        <v>136</v>
      </c>
      <c r="B1149" t="s">
        <v>151</v>
      </c>
      <c r="C1149" s="21" t="s">
        <v>275</v>
      </c>
      <c r="D1149" s="4">
        <v>12</v>
      </c>
      <c r="E1149" s="4"/>
      <c r="G1149" s="1"/>
      <c r="H1149" s="1"/>
      <c r="I1149" s="1">
        <f t="shared" si="184"/>
        <v>0</v>
      </c>
      <c r="J1149" s="1">
        <f t="shared" si="186"/>
        <v>3915.7599999999948</v>
      </c>
    </row>
    <row r="1150" spans="1:11" x14ac:dyDescent="0.35">
      <c r="A1150" s="2" t="s">
        <v>136</v>
      </c>
      <c r="B1150" t="s">
        <v>151</v>
      </c>
      <c r="C1150" s="21" t="s">
        <v>275</v>
      </c>
      <c r="D1150" s="4">
        <v>13</v>
      </c>
      <c r="E1150" s="4"/>
      <c r="G1150" s="1"/>
      <c r="H1150" s="1"/>
      <c r="I1150" s="1">
        <f t="shared" si="184"/>
        <v>0</v>
      </c>
      <c r="J1150" s="1">
        <f t="shared" si="186"/>
        <v>3915.7599999999948</v>
      </c>
    </row>
    <row r="1151" spans="1:11" x14ac:dyDescent="0.35">
      <c r="A1151" s="2" t="s">
        <v>136</v>
      </c>
      <c r="B1151" t="s">
        <v>151</v>
      </c>
      <c r="C1151" s="21" t="s">
        <v>275</v>
      </c>
      <c r="D1151" s="4">
        <v>14</v>
      </c>
      <c r="E1151" s="4"/>
      <c r="G1151" s="1"/>
      <c r="H1151" s="1"/>
      <c r="I1151" s="1">
        <f t="shared" si="184"/>
        <v>0</v>
      </c>
      <c r="J1151" s="1">
        <f t="shared" si="186"/>
        <v>3915.7599999999948</v>
      </c>
    </row>
    <row r="1152" spans="1:11" x14ac:dyDescent="0.35">
      <c r="A1152" s="2" t="s">
        <v>136</v>
      </c>
      <c r="B1152" t="s">
        <v>151</v>
      </c>
      <c r="C1152" s="21" t="s">
        <v>275</v>
      </c>
      <c r="D1152" s="4">
        <v>15</v>
      </c>
      <c r="E1152" s="4"/>
      <c r="G1152" s="1"/>
      <c r="H1152" s="1"/>
      <c r="I1152" s="1">
        <f t="shared" si="184"/>
        <v>0</v>
      </c>
      <c r="J1152" s="1">
        <f t="shared" si="186"/>
        <v>3915.7599999999948</v>
      </c>
    </row>
    <row r="1153" spans="1:12" ht="15" thickBot="1" x14ac:dyDescent="0.4">
      <c r="A1153" s="12" t="s">
        <v>136</v>
      </c>
      <c r="B1153" s="13" t="s">
        <v>151</v>
      </c>
      <c r="C1153" s="21" t="s">
        <v>275</v>
      </c>
      <c r="D1153" s="14">
        <v>16</v>
      </c>
      <c r="E1153" s="14"/>
      <c r="F1153" s="13"/>
      <c r="G1153" s="15"/>
      <c r="H1153" s="15"/>
      <c r="I1153" s="15">
        <f t="shared" si="184"/>
        <v>0</v>
      </c>
      <c r="J1153" s="15">
        <f t="shared" si="186"/>
        <v>3915.7599999999948</v>
      </c>
      <c r="K1153" s="13"/>
    </row>
    <row r="1154" spans="1:12" x14ac:dyDescent="0.35">
      <c r="A1154" s="2" t="s">
        <v>152</v>
      </c>
      <c r="B1154" t="s">
        <v>153</v>
      </c>
      <c r="C1154" s="21" t="s">
        <v>275</v>
      </c>
      <c r="D1154" s="4">
        <v>1</v>
      </c>
      <c r="E1154" s="1">
        <v>7600.07</v>
      </c>
      <c r="F1154" s="3">
        <v>45918</v>
      </c>
      <c r="G1154" s="1">
        <v>8180</v>
      </c>
      <c r="H1154" s="1">
        <v>7601</v>
      </c>
      <c r="I1154" s="1">
        <f t="shared" si="184"/>
        <v>579</v>
      </c>
      <c r="J1154" s="1">
        <f>I1154</f>
        <v>579</v>
      </c>
      <c r="K1154" s="9">
        <f t="shared" ref="K1154:K1168" si="187">I1154/H1154</f>
        <v>7.6174187606893831E-2</v>
      </c>
      <c r="L1154" s="19">
        <f t="shared" ref="L1154:L1168" si="188">E1154-H1154</f>
        <v>-0.93000000000029104</v>
      </c>
    </row>
    <row r="1155" spans="1:12" x14ac:dyDescent="0.35">
      <c r="A1155" s="2" t="s">
        <v>152</v>
      </c>
      <c r="B1155" t="s">
        <v>153</v>
      </c>
      <c r="C1155" s="21" t="s">
        <v>275</v>
      </c>
      <c r="D1155" s="4">
        <v>2</v>
      </c>
      <c r="E1155" s="1">
        <v>7600.07</v>
      </c>
      <c r="F1155" s="3">
        <v>45925</v>
      </c>
      <c r="G1155" s="1">
        <v>8240</v>
      </c>
      <c r="H1155" s="1">
        <v>7606</v>
      </c>
      <c r="I1155" s="1">
        <f t="shared" si="184"/>
        <v>634</v>
      </c>
      <c r="J1155" s="1">
        <f>J1154+I1155</f>
        <v>1213</v>
      </c>
      <c r="K1155" s="9">
        <f t="shared" si="187"/>
        <v>8.3355245858532739E-2</v>
      </c>
      <c r="L1155" s="19">
        <f t="shared" si="188"/>
        <v>-5.930000000000291</v>
      </c>
    </row>
    <row r="1156" spans="1:12" x14ac:dyDescent="0.35">
      <c r="A1156" s="2" t="s">
        <v>152</v>
      </c>
      <c r="B1156" t="s">
        <v>153</v>
      </c>
      <c r="C1156" s="21" t="s">
        <v>275</v>
      </c>
      <c r="D1156" s="4">
        <v>3</v>
      </c>
      <c r="E1156" s="1">
        <v>7600.07</v>
      </c>
      <c r="F1156" s="3">
        <v>45932</v>
      </c>
      <c r="G1156" s="1">
        <v>8230</v>
      </c>
      <c r="H1156" s="1">
        <v>7601</v>
      </c>
      <c r="I1156" s="1">
        <f t="shared" si="184"/>
        <v>629</v>
      </c>
      <c r="J1156" s="1">
        <f t="shared" ref="J1156:J1169" si="189">J1155+I1156</f>
        <v>1842</v>
      </c>
      <c r="K1156" s="9">
        <f t="shared" si="187"/>
        <v>8.2752269438231815E-2</v>
      </c>
      <c r="L1156" s="19">
        <f t="shared" si="188"/>
        <v>-0.93000000000029104</v>
      </c>
    </row>
    <row r="1157" spans="1:12" x14ac:dyDescent="0.35">
      <c r="A1157" s="2" t="s">
        <v>152</v>
      </c>
      <c r="B1157" t="s">
        <v>153</v>
      </c>
      <c r="C1157" s="21" t="s">
        <v>275</v>
      </c>
      <c r="D1157" s="4">
        <v>4</v>
      </c>
      <c r="E1157" s="1">
        <v>7600.07</v>
      </c>
      <c r="F1157" s="3">
        <v>45939</v>
      </c>
      <c r="G1157" s="1">
        <v>8250</v>
      </c>
      <c r="H1157" s="1">
        <v>7601</v>
      </c>
      <c r="I1157" s="1">
        <f t="shared" si="184"/>
        <v>649</v>
      </c>
      <c r="J1157" s="1">
        <f t="shared" si="189"/>
        <v>2491</v>
      </c>
      <c r="K1157" s="9">
        <f t="shared" si="187"/>
        <v>8.5383502170766998E-2</v>
      </c>
      <c r="L1157" s="19">
        <f t="shared" si="188"/>
        <v>-0.93000000000029104</v>
      </c>
    </row>
    <row r="1158" spans="1:12" x14ac:dyDescent="0.35">
      <c r="A1158" s="2" t="s">
        <v>152</v>
      </c>
      <c r="B1158" t="s">
        <v>153</v>
      </c>
      <c r="C1158" s="21" t="s">
        <v>275</v>
      </c>
      <c r="D1158" s="4">
        <v>5</v>
      </c>
      <c r="E1158" s="1">
        <v>7600.07</v>
      </c>
      <c r="F1158" s="3">
        <v>45946</v>
      </c>
      <c r="G1158" s="1">
        <v>8250</v>
      </c>
      <c r="H1158" s="1">
        <v>7606</v>
      </c>
      <c r="I1158" s="1">
        <f t="shared" si="184"/>
        <v>644</v>
      </c>
      <c r="J1158" s="1">
        <f t="shared" si="189"/>
        <v>3135</v>
      </c>
      <c r="K1158" s="9">
        <f t="shared" si="187"/>
        <v>8.4669997370496977E-2</v>
      </c>
      <c r="L1158" s="19">
        <f t="shared" si="188"/>
        <v>-5.930000000000291</v>
      </c>
    </row>
    <row r="1159" spans="1:12" x14ac:dyDescent="0.35">
      <c r="A1159" s="2" t="s">
        <v>152</v>
      </c>
      <c r="B1159" t="s">
        <v>153</v>
      </c>
      <c r="C1159" s="21" t="s">
        <v>275</v>
      </c>
      <c r="D1159" s="4">
        <v>6</v>
      </c>
      <c r="E1159" s="1">
        <v>7600.07</v>
      </c>
      <c r="F1159" s="3">
        <v>45953</v>
      </c>
      <c r="G1159" s="1">
        <v>8260</v>
      </c>
      <c r="H1159" s="1">
        <v>7606</v>
      </c>
      <c r="I1159" s="1">
        <f t="shared" si="184"/>
        <v>654</v>
      </c>
      <c r="J1159" s="1">
        <f t="shared" si="189"/>
        <v>3789</v>
      </c>
      <c r="K1159" s="9">
        <f t="shared" si="187"/>
        <v>8.5984748882461215E-2</v>
      </c>
      <c r="L1159" s="19">
        <f t="shared" si="188"/>
        <v>-5.930000000000291</v>
      </c>
    </row>
    <row r="1160" spans="1:12" x14ac:dyDescent="0.35">
      <c r="A1160" s="2" t="s">
        <v>152</v>
      </c>
      <c r="B1160" t="s">
        <v>153</v>
      </c>
      <c r="C1160" s="21" t="s">
        <v>275</v>
      </c>
      <c r="D1160" s="4">
        <v>7</v>
      </c>
      <c r="E1160" s="1">
        <v>7600.07</v>
      </c>
      <c r="F1160" s="3">
        <v>45960</v>
      </c>
      <c r="G1160" s="1">
        <v>8250</v>
      </c>
      <c r="H1160" s="1">
        <v>7606</v>
      </c>
      <c r="I1160" s="1">
        <f t="shared" si="184"/>
        <v>644</v>
      </c>
      <c r="J1160" s="1">
        <f t="shared" si="189"/>
        <v>4433</v>
      </c>
      <c r="K1160" s="9">
        <f t="shared" si="187"/>
        <v>8.4669997370496977E-2</v>
      </c>
      <c r="L1160" s="19">
        <f t="shared" si="188"/>
        <v>-5.930000000000291</v>
      </c>
    </row>
    <row r="1161" spans="1:12" x14ac:dyDescent="0.35">
      <c r="A1161" s="2" t="s">
        <v>152</v>
      </c>
      <c r="B1161" t="s">
        <v>153</v>
      </c>
      <c r="C1161" s="21" t="s">
        <v>275</v>
      </c>
      <c r="D1161" s="4">
        <v>8</v>
      </c>
      <c r="E1161" s="1">
        <v>7600.07</v>
      </c>
      <c r="F1161" s="3">
        <v>45967</v>
      </c>
      <c r="G1161" s="1">
        <v>8250</v>
      </c>
      <c r="H1161" s="1">
        <v>7606</v>
      </c>
      <c r="I1161" s="1">
        <f t="shared" si="184"/>
        <v>644</v>
      </c>
      <c r="J1161" s="1">
        <f t="shared" si="189"/>
        <v>5077</v>
      </c>
      <c r="K1161" s="9">
        <f t="shared" si="187"/>
        <v>8.4669997370496977E-2</v>
      </c>
      <c r="L1161" s="19">
        <f t="shared" si="188"/>
        <v>-5.930000000000291</v>
      </c>
    </row>
    <row r="1162" spans="1:12" x14ac:dyDescent="0.35">
      <c r="A1162" s="2" t="s">
        <v>152</v>
      </c>
      <c r="B1162" t="s">
        <v>153</v>
      </c>
      <c r="C1162" s="21" t="s">
        <v>275</v>
      </c>
      <c r="D1162" s="4">
        <v>9</v>
      </c>
      <c r="E1162" s="1">
        <v>7600.07</v>
      </c>
      <c r="G1162" s="1"/>
      <c r="H1162" s="1"/>
      <c r="I1162" s="1">
        <f t="shared" si="184"/>
        <v>0</v>
      </c>
      <c r="J1162" s="1">
        <f t="shared" si="189"/>
        <v>5077</v>
      </c>
      <c r="K1162" s="9" t="e">
        <f t="shared" si="187"/>
        <v>#DIV/0!</v>
      </c>
      <c r="L1162" s="19">
        <f t="shared" si="188"/>
        <v>7600.07</v>
      </c>
    </row>
    <row r="1163" spans="1:12" x14ac:dyDescent="0.35">
      <c r="A1163" s="2" t="s">
        <v>152</v>
      </c>
      <c r="B1163" t="s">
        <v>153</v>
      </c>
      <c r="C1163" s="21" t="s">
        <v>275</v>
      </c>
      <c r="D1163" s="4">
        <v>10</v>
      </c>
      <c r="E1163" s="1">
        <v>7600.07</v>
      </c>
      <c r="G1163" s="1"/>
      <c r="H1163" s="1"/>
      <c r="I1163" s="1">
        <f t="shared" si="184"/>
        <v>0</v>
      </c>
      <c r="J1163" s="1">
        <f t="shared" si="189"/>
        <v>5077</v>
      </c>
      <c r="K1163" s="9" t="e">
        <f t="shared" si="187"/>
        <v>#DIV/0!</v>
      </c>
      <c r="L1163" s="19">
        <f t="shared" si="188"/>
        <v>7600.07</v>
      </c>
    </row>
    <row r="1164" spans="1:12" x14ac:dyDescent="0.35">
      <c r="A1164" s="2" t="s">
        <v>152</v>
      </c>
      <c r="B1164" t="s">
        <v>153</v>
      </c>
      <c r="C1164" s="21" t="s">
        <v>275</v>
      </c>
      <c r="D1164" s="4">
        <v>11</v>
      </c>
      <c r="E1164" s="1">
        <v>7600.07</v>
      </c>
      <c r="G1164" s="1"/>
      <c r="H1164" s="1"/>
      <c r="I1164" s="1">
        <f t="shared" si="184"/>
        <v>0</v>
      </c>
      <c r="J1164" s="1">
        <f t="shared" si="189"/>
        <v>5077</v>
      </c>
      <c r="K1164" s="9" t="e">
        <f t="shared" si="187"/>
        <v>#DIV/0!</v>
      </c>
      <c r="L1164" s="19">
        <f t="shared" si="188"/>
        <v>7600.07</v>
      </c>
    </row>
    <row r="1165" spans="1:12" x14ac:dyDescent="0.35">
      <c r="A1165" s="2" t="s">
        <v>152</v>
      </c>
      <c r="B1165" t="s">
        <v>153</v>
      </c>
      <c r="C1165" s="21" t="s">
        <v>275</v>
      </c>
      <c r="D1165" s="4">
        <v>12</v>
      </c>
      <c r="E1165" s="1">
        <v>7600.07</v>
      </c>
      <c r="G1165" s="1"/>
      <c r="H1165" s="1"/>
      <c r="I1165" s="1">
        <f t="shared" si="184"/>
        <v>0</v>
      </c>
      <c r="J1165" s="1">
        <f t="shared" si="189"/>
        <v>5077</v>
      </c>
      <c r="K1165" s="9" t="e">
        <f t="shared" si="187"/>
        <v>#DIV/0!</v>
      </c>
      <c r="L1165" s="19">
        <f t="shared" si="188"/>
        <v>7600.07</v>
      </c>
    </row>
    <row r="1166" spans="1:12" x14ac:dyDescent="0.35">
      <c r="A1166" s="2" t="s">
        <v>152</v>
      </c>
      <c r="B1166" t="s">
        <v>153</v>
      </c>
      <c r="C1166" s="21" t="s">
        <v>275</v>
      </c>
      <c r="D1166" s="4">
        <v>13</v>
      </c>
      <c r="E1166" s="1">
        <v>7600.07</v>
      </c>
      <c r="G1166" s="1"/>
      <c r="H1166" s="1"/>
      <c r="I1166" s="1">
        <f t="shared" si="184"/>
        <v>0</v>
      </c>
      <c r="J1166" s="1">
        <f t="shared" si="189"/>
        <v>5077</v>
      </c>
      <c r="K1166" s="9" t="e">
        <f t="shared" si="187"/>
        <v>#DIV/0!</v>
      </c>
      <c r="L1166" s="19">
        <f t="shared" si="188"/>
        <v>7600.07</v>
      </c>
    </row>
    <row r="1167" spans="1:12" x14ac:dyDescent="0.35">
      <c r="A1167" s="2" t="s">
        <v>152</v>
      </c>
      <c r="B1167" t="s">
        <v>153</v>
      </c>
      <c r="C1167" s="21" t="s">
        <v>275</v>
      </c>
      <c r="D1167" s="4">
        <v>14</v>
      </c>
      <c r="E1167" s="1">
        <v>7600.07</v>
      </c>
      <c r="G1167" s="1"/>
      <c r="H1167" s="1"/>
      <c r="I1167" s="1">
        <f t="shared" si="184"/>
        <v>0</v>
      </c>
      <c r="J1167" s="1">
        <f t="shared" si="189"/>
        <v>5077</v>
      </c>
      <c r="K1167" s="9" t="e">
        <f t="shared" si="187"/>
        <v>#DIV/0!</v>
      </c>
      <c r="L1167" s="19">
        <f t="shared" si="188"/>
        <v>7600.07</v>
      </c>
    </row>
    <row r="1168" spans="1:12" x14ac:dyDescent="0.35">
      <c r="A1168" s="2" t="s">
        <v>152</v>
      </c>
      <c r="B1168" t="s">
        <v>153</v>
      </c>
      <c r="C1168" s="21" t="s">
        <v>275</v>
      </c>
      <c r="D1168" s="4">
        <v>15</v>
      </c>
      <c r="E1168" s="1">
        <v>7600.07</v>
      </c>
      <c r="G1168" s="1"/>
      <c r="H1168" s="1"/>
      <c r="I1168" s="1">
        <f t="shared" si="184"/>
        <v>0</v>
      </c>
      <c r="J1168" s="1">
        <f t="shared" si="189"/>
        <v>5077</v>
      </c>
      <c r="K1168" s="9" t="e">
        <f t="shared" si="187"/>
        <v>#DIV/0!</v>
      </c>
      <c r="L1168" s="19">
        <f t="shared" si="188"/>
        <v>7600.07</v>
      </c>
    </row>
    <row r="1169" spans="1:11" ht="15" thickBot="1" x14ac:dyDescent="0.4">
      <c r="A1169" s="12" t="s">
        <v>152</v>
      </c>
      <c r="B1169" s="13" t="s">
        <v>153</v>
      </c>
      <c r="C1169" s="21" t="s">
        <v>275</v>
      </c>
      <c r="D1169" s="14">
        <v>16</v>
      </c>
      <c r="E1169" s="14"/>
      <c r="F1169" s="13"/>
      <c r="G1169" s="15"/>
      <c r="H1169" s="15"/>
      <c r="I1169" s="15">
        <f t="shared" si="184"/>
        <v>0</v>
      </c>
      <c r="J1169" s="15">
        <f t="shared" si="189"/>
        <v>5077</v>
      </c>
      <c r="K1169" s="13"/>
    </row>
    <row r="1170" spans="1:11" x14ac:dyDescent="0.35">
      <c r="A1170" s="2" t="s">
        <v>137</v>
      </c>
      <c r="B1170" t="s">
        <v>147</v>
      </c>
      <c r="C1170" s="21" t="s">
        <v>275</v>
      </c>
      <c r="D1170" s="4">
        <v>1</v>
      </c>
      <c r="E1170" s="4"/>
      <c r="F1170" s="3">
        <v>45917</v>
      </c>
      <c r="G1170" s="1">
        <v>12137</v>
      </c>
      <c r="H1170" s="1">
        <v>11552</v>
      </c>
      <c r="I1170" s="1">
        <f t="shared" si="184"/>
        <v>585</v>
      </c>
      <c r="J1170" s="1">
        <f>I1170</f>
        <v>585</v>
      </c>
      <c r="K1170" s="9">
        <f t="shared" ref="K1170:K1184" si="190">I1170/H1170</f>
        <v>5.0640581717451526E-2</v>
      </c>
    </row>
    <row r="1171" spans="1:11" x14ac:dyDescent="0.35">
      <c r="A1171" s="2" t="s">
        <v>137</v>
      </c>
      <c r="B1171" t="s">
        <v>147</v>
      </c>
      <c r="C1171" s="21" t="s">
        <v>275</v>
      </c>
      <c r="D1171" s="4">
        <v>2</v>
      </c>
      <c r="E1171" s="4"/>
      <c r="F1171" s="3">
        <v>45924</v>
      </c>
      <c r="G1171" s="1">
        <v>12137</v>
      </c>
      <c r="H1171" s="1">
        <v>11553</v>
      </c>
      <c r="I1171" s="1">
        <f t="shared" si="184"/>
        <v>584</v>
      </c>
      <c r="J1171" s="1">
        <f>J1170+I1171</f>
        <v>1169</v>
      </c>
      <c r="K1171" s="9">
        <f t="shared" si="190"/>
        <v>5.0549640785943047E-2</v>
      </c>
    </row>
    <row r="1172" spans="1:11" x14ac:dyDescent="0.35">
      <c r="A1172" s="2" t="s">
        <v>137</v>
      </c>
      <c r="B1172" t="s">
        <v>147</v>
      </c>
      <c r="C1172" s="21" t="s">
        <v>275</v>
      </c>
      <c r="D1172" s="4">
        <v>3</v>
      </c>
      <c r="E1172" s="4"/>
      <c r="F1172" s="3">
        <v>45931</v>
      </c>
      <c r="G1172" s="1">
        <v>12137</v>
      </c>
      <c r="H1172" s="1">
        <v>11552</v>
      </c>
      <c r="I1172" s="1">
        <f t="shared" si="184"/>
        <v>585</v>
      </c>
      <c r="J1172" s="1">
        <f t="shared" ref="J1172:J1185" si="191">J1171+I1172</f>
        <v>1754</v>
      </c>
      <c r="K1172" s="9">
        <f t="shared" si="190"/>
        <v>5.0640581717451526E-2</v>
      </c>
    </row>
    <row r="1173" spans="1:11" x14ac:dyDescent="0.35">
      <c r="A1173" s="2" t="s">
        <v>137</v>
      </c>
      <c r="B1173" t="s">
        <v>147</v>
      </c>
      <c r="C1173" s="21" t="s">
        <v>275</v>
      </c>
      <c r="D1173" s="4">
        <v>4</v>
      </c>
      <c r="E1173" s="4"/>
      <c r="F1173" s="3">
        <v>45938</v>
      </c>
      <c r="G1173" s="1">
        <v>12137</v>
      </c>
      <c r="H1173" s="1">
        <v>11553</v>
      </c>
      <c r="I1173" s="1">
        <f t="shared" si="184"/>
        <v>584</v>
      </c>
      <c r="J1173" s="1">
        <f t="shared" si="191"/>
        <v>2338</v>
      </c>
      <c r="K1173" s="9">
        <f t="shared" si="190"/>
        <v>5.0549640785943047E-2</v>
      </c>
    </row>
    <row r="1174" spans="1:11" x14ac:dyDescent="0.35">
      <c r="A1174" s="2" t="s">
        <v>137</v>
      </c>
      <c r="B1174" t="s">
        <v>147</v>
      </c>
      <c r="C1174" s="21" t="s">
        <v>275</v>
      </c>
      <c r="D1174" s="4">
        <v>5</v>
      </c>
      <c r="E1174" s="4"/>
      <c r="F1174" s="3">
        <v>45945</v>
      </c>
      <c r="G1174" s="1">
        <v>12137</v>
      </c>
      <c r="H1174" s="1">
        <v>11552</v>
      </c>
      <c r="I1174" s="1">
        <f t="shared" si="184"/>
        <v>585</v>
      </c>
      <c r="J1174" s="1">
        <f t="shared" si="191"/>
        <v>2923</v>
      </c>
      <c r="K1174" s="9">
        <f t="shared" si="190"/>
        <v>5.0640581717451526E-2</v>
      </c>
    </row>
    <row r="1175" spans="1:11" x14ac:dyDescent="0.35">
      <c r="A1175" s="2" t="s">
        <v>137</v>
      </c>
      <c r="B1175" t="s">
        <v>147</v>
      </c>
      <c r="C1175" s="21" t="s">
        <v>275</v>
      </c>
      <c r="D1175" s="4">
        <v>6</v>
      </c>
      <c r="E1175" s="4"/>
      <c r="F1175" s="3">
        <v>45952</v>
      </c>
      <c r="G1175" s="1">
        <v>12137</v>
      </c>
      <c r="H1175" s="1">
        <v>11553</v>
      </c>
      <c r="I1175" s="1">
        <f t="shared" si="184"/>
        <v>584</v>
      </c>
      <c r="J1175" s="1">
        <f t="shared" si="191"/>
        <v>3507</v>
      </c>
      <c r="K1175" s="9">
        <f t="shared" si="190"/>
        <v>5.0549640785943047E-2</v>
      </c>
    </row>
    <row r="1176" spans="1:11" x14ac:dyDescent="0.35">
      <c r="A1176" s="2" t="s">
        <v>137</v>
      </c>
      <c r="B1176" t="s">
        <v>147</v>
      </c>
      <c r="C1176" s="21" t="s">
        <v>275</v>
      </c>
      <c r="D1176" s="4">
        <v>7</v>
      </c>
      <c r="E1176" s="4"/>
      <c r="F1176" s="3">
        <v>45959</v>
      </c>
      <c r="G1176" s="1">
        <v>12137</v>
      </c>
      <c r="H1176" s="1">
        <v>11557</v>
      </c>
      <c r="I1176" s="1">
        <f t="shared" si="184"/>
        <v>580</v>
      </c>
      <c r="J1176" s="1">
        <f t="shared" si="191"/>
        <v>4087</v>
      </c>
      <c r="K1176" s="9">
        <f t="shared" si="190"/>
        <v>5.0186034438002944E-2</v>
      </c>
    </row>
    <row r="1177" spans="1:11" x14ac:dyDescent="0.35">
      <c r="A1177" s="2" t="s">
        <v>137</v>
      </c>
      <c r="B1177" t="s">
        <v>147</v>
      </c>
      <c r="C1177" s="21" t="s">
        <v>275</v>
      </c>
      <c r="D1177" s="4">
        <v>8</v>
      </c>
      <c r="E1177" s="4"/>
      <c r="F1177" s="3">
        <v>45966</v>
      </c>
      <c r="G1177" s="1">
        <v>12137</v>
      </c>
      <c r="H1177" s="1">
        <v>11552</v>
      </c>
      <c r="I1177" s="1">
        <f t="shared" si="184"/>
        <v>585</v>
      </c>
      <c r="J1177" s="1">
        <f t="shared" si="191"/>
        <v>4672</v>
      </c>
      <c r="K1177" s="9">
        <f t="shared" si="190"/>
        <v>5.0640581717451526E-2</v>
      </c>
    </row>
    <row r="1178" spans="1:11" x14ac:dyDescent="0.35">
      <c r="A1178" s="2" t="s">
        <v>137</v>
      </c>
      <c r="B1178" t="s">
        <v>147</v>
      </c>
      <c r="C1178" s="21" t="s">
        <v>275</v>
      </c>
      <c r="D1178" s="4">
        <v>9</v>
      </c>
      <c r="E1178" s="4"/>
      <c r="G1178" s="1"/>
      <c r="H1178" s="1"/>
      <c r="I1178" s="1">
        <f t="shared" si="184"/>
        <v>0</v>
      </c>
      <c r="J1178" s="1">
        <f t="shared" si="191"/>
        <v>4672</v>
      </c>
      <c r="K1178" s="9" t="e">
        <f t="shared" si="190"/>
        <v>#DIV/0!</v>
      </c>
    </row>
    <row r="1179" spans="1:11" x14ac:dyDescent="0.35">
      <c r="A1179" s="2" t="s">
        <v>137</v>
      </c>
      <c r="B1179" t="s">
        <v>147</v>
      </c>
      <c r="C1179" s="21" t="s">
        <v>275</v>
      </c>
      <c r="D1179" s="4">
        <v>10</v>
      </c>
      <c r="E1179" s="4"/>
      <c r="G1179" s="1"/>
      <c r="H1179" s="1"/>
      <c r="I1179" s="1">
        <f t="shared" si="184"/>
        <v>0</v>
      </c>
      <c r="J1179" s="1">
        <f t="shared" si="191"/>
        <v>4672</v>
      </c>
      <c r="K1179" s="9" t="e">
        <f t="shared" si="190"/>
        <v>#DIV/0!</v>
      </c>
    </row>
    <row r="1180" spans="1:11" x14ac:dyDescent="0.35">
      <c r="A1180" s="2" t="s">
        <v>137</v>
      </c>
      <c r="B1180" t="s">
        <v>147</v>
      </c>
      <c r="C1180" s="21" t="s">
        <v>275</v>
      </c>
      <c r="D1180" s="4">
        <v>11</v>
      </c>
      <c r="E1180" s="4"/>
      <c r="G1180" s="1"/>
      <c r="H1180" s="1"/>
      <c r="I1180" s="1">
        <f t="shared" si="184"/>
        <v>0</v>
      </c>
      <c r="J1180" s="1">
        <f t="shared" si="191"/>
        <v>4672</v>
      </c>
      <c r="K1180" s="9" t="e">
        <f t="shared" si="190"/>
        <v>#DIV/0!</v>
      </c>
    </row>
    <row r="1181" spans="1:11" x14ac:dyDescent="0.35">
      <c r="A1181" s="2" t="s">
        <v>137</v>
      </c>
      <c r="B1181" t="s">
        <v>147</v>
      </c>
      <c r="C1181" s="21" t="s">
        <v>275</v>
      </c>
      <c r="D1181" s="4">
        <v>12</v>
      </c>
      <c r="E1181" s="4"/>
      <c r="G1181" s="1"/>
      <c r="H1181" s="1"/>
      <c r="I1181" s="1">
        <f t="shared" si="184"/>
        <v>0</v>
      </c>
      <c r="J1181" s="1">
        <f t="shared" si="191"/>
        <v>4672</v>
      </c>
      <c r="K1181" s="9" t="e">
        <f t="shared" si="190"/>
        <v>#DIV/0!</v>
      </c>
    </row>
    <row r="1182" spans="1:11" x14ac:dyDescent="0.35">
      <c r="A1182" s="2" t="s">
        <v>137</v>
      </c>
      <c r="B1182" t="s">
        <v>147</v>
      </c>
      <c r="C1182" s="21" t="s">
        <v>275</v>
      </c>
      <c r="D1182" s="4">
        <v>13</v>
      </c>
      <c r="E1182" s="4"/>
      <c r="G1182" s="1"/>
      <c r="H1182" s="1"/>
      <c r="I1182" s="1">
        <f t="shared" si="184"/>
        <v>0</v>
      </c>
      <c r="J1182" s="1">
        <f t="shared" si="191"/>
        <v>4672</v>
      </c>
      <c r="K1182" s="9" t="e">
        <f t="shared" si="190"/>
        <v>#DIV/0!</v>
      </c>
    </row>
    <row r="1183" spans="1:11" x14ac:dyDescent="0.35">
      <c r="A1183" s="2" t="s">
        <v>137</v>
      </c>
      <c r="B1183" t="s">
        <v>147</v>
      </c>
      <c r="C1183" s="21" t="s">
        <v>275</v>
      </c>
      <c r="D1183" s="4">
        <v>14</v>
      </c>
      <c r="E1183" s="4"/>
      <c r="G1183" s="1"/>
      <c r="H1183" s="1"/>
      <c r="I1183" s="1">
        <f t="shared" si="184"/>
        <v>0</v>
      </c>
      <c r="J1183" s="1">
        <f t="shared" si="191"/>
        <v>4672</v>
      </c>
      <c r="K1183" s="9" t="e">
        <f t="shared" si="190"/>
        <v>#DIV/0!</v>
      </c>
    </row>
    <row r="1184" spans="1:11" x14ac:dyDescent="0.35">
      <c r="A1184" s="2" t="s">
        <v>137</v>
      </c>
      <c r="B1184" t="s">
        <v>147</v>
      </c>
      <c r="C1184" s="21" t="s">
        <v>275</v>
      </c>
      <c r="D1184" s="4">
        <v>15</v>
      </c>
      <c r="E1184" s="4"/>
      <c r="G1184" s="1"/>
      <c r="H1184" s="1"/>
      <c r="I1184" s="1">
        <f t="shared" si="184"/>
        <v>0</v>
      </c>
      <c r="J1184" s="1">
        <f t="shared" si="191"/>
        <v>4672</v>
      </c>
      <c r="K1184" s="9" t="e">
        <f t="shared" si="190"/>
        <v>#DIV/0!</v>
      </c>
    </row>
    <row r="1185" spans="1:11" ht="15" thickBot="1" x14ac:dyDescent="0.4">
      <c r="A1185" s="12" t="s">
        <v>137</v>
      </c>
      <c r="B1185" s="13" t="s">
        <v>147</v>
      </c>
      <c r="C1185" s="21" t="s">
        <v>275</v>
      </c>
      <c r="D1185" s="14">
        <v>16</v>
      </c>
      <c r="E1185" s="14"/>
      <c r="F1185" s="13"/>
      <c r="G1185" s="15"/>
      <c r="H1185" s="15"/>
      <c r="I1185" s="15">
        <f t="shared" si="184"/>
        <v>0</v>
      </c>
      <c r="J1185" s="15">
        <f t="shared" si="191"/>
        <v>4672</v>
      </c>
      <c r="K1185" s="13"/>
    </row>
    <row r="1186" spans="1:11" x14ac:dyDescent="0.35">
      <c r="A1186" s="2" t="s">
        <v>138</v>
      </c>
      <c r="B1186" t="s">
        <v>106</v>
      </c>
      <c r="C1186" s="21" t="s">
        <v>275</v>
      </c>
      <c r="D1186" s="4">
        <v>1</v>
      </c>
      <c r="E1186" s="4"/>
      <c r="F1186" s="3">
        <v>45918</v>
      </c>
      <c r="G1186" s="1">
        <v>15064</v>
      </c>
      <c r="H1186" s="1">
        <v>14060</v>
      </c>
      <c r="I1186" s="1">
        <f t="shared" si="184"/>
        <v>1004</v>
      </c>
      <c r="J1186" s="1">
        <f>I1186</f>
        <v>1004</v>
      </c>
      <c r="K1186" s="9">
        <f t="shared" ref="K1186:K1200" si="192">I1186/H1186</f>
        <v>7.1408250355618777E-2</v>
      </c>
    </row>
    <row r="1187" spans="1:11" x14ac:dyDescent="0.35">
      <c r="A1187" s="2" t="s">
        <v>138</v>
      </c>
      <c r="B1187" t="s">
        <v>106</v>
      </c>
      <c r="C1187" s="21" t="s">
        <v>275</v>
      </c>
      <c r="D1187" s="4">
        <v>2</v>
      </c>
      <c r="E1187" s="4"/>
      <c r="F1187" s="3">
        <v>45925</v>
      </c>
      <c r="G1187" s="1">
        <v>15064</v>
      </c>
      <c r="H1187" s="1">
        <v>14060</v>
      </c>
      <c r="I1187" s="1">
        <f t="shared" si="184"/>
        <v>1004</v>
      </c>
      <c r="J1187" s="1">
        <f>J1186+I1187</f>
        <v>2008</v>
      </c>
      <c r="K1187" s="9">
        <f t="shared" si="192"/>
        <v>7.1408250355618777E-2</v>
      </c>
    </row>
    <row r="1188" spans="1:11" x14ac:dyDescent="0.35">
      <c r="A1188" s="2" t="s">
        <v>138</v>
      </c>
      <c r="B1188" t="s">
        <v>106</v>
      </c>
      <c r="C1188" s="21" t="s">
        <v>275</v>
      </c>
      <c r="D1188" s="4">
        <v>3</v>
      </c>
      <c r="E1188" s="4"/>
      <c r="F1188" s="3">
        <v>45932</v>
      </c>
      <c r="G1188" s="1">
        <v>15064</v>
      </c>
      <c r="H1188" s="1">
        <v>14060</v>
      </c>
      <c r="I1188" s="1">
        <f t="shared" si="184"/>
        <v>1004</v>
      </c>
      <c r="J1188" s="1">
        <f t="shared" ref="J1188:J1201" si="193">J1187+I1188</f>
        <v>3012</v>
      </c>
      <c r="K1188" s="9">
        <f t="shared" si="192"/>
        <v>7.1408250355618777E-2</v>
      </c>
    </row>
    <row r="1189" spans="1:11" x14ac:dyDescent="0.35">
      <c r="A1189" s="2" t="s">
        <v>138</v>
      </c>
      <c r="B1189" t="s">
        <v>106</v>
      </c>
      <c r="C1189" s="21" t="s">
        <v>275</v>
      </c>
      <c r="D1189" s="4">
        <v>4</v>
      </c>
      <c r="E1189" s="4"/>
      <c r="F1189" s="3">
        <v>45939</v>
      </c>
      <c r="G1189" s="1">
        <v>15064</v>
      </c>
      <c r="H1189" s="1">
        <v>14060</v>
      </c>
      <c r="I1189" s="1">
        <f t="shared" si="184"/>
        <v>1004</v>
      </c>
      <c r="J1189" s="1">
        <f t="shared" si="193"/>
        <v>4016</v>
      </c>
      <c r="K1189" s="9">
        <f t="shared" si="192"/>
        <v>7.1408250355618777E-2</v>
      </c>
    </row>
    <row r="1190" spans="1:11" x14ac:dyDescent="0.35">
      <c r="A1190" s="2" t="s">
        <v>138</v>
      </c>
      <c r="B1190" t="s">
        <v>106</v>
      </c>
      <c r="C1190" s="21" t="s">
        <v>275</v>
      </c>
      <c r="D1190" s="4">
        <v>5</v>
      </c>
      <c r="E1190" s="4"/>
      <c r="F1190" s="3">
        <v>45946</v>
      </c>
      <c r="G1190" s="1">
        <v>15064</v>
      </c>
      <c r="H1190" s="1">
        <v>14060</v>
      </c>
      <c r="I1190" s="1">
        <f t="shared" ref="I1190:I1253" si="194">G1190-H1190</f>
        <v>1004</v>
      </c>
      <c r="J1190" s="1">
        <f t="shared" si="193"/>
        <v>5020</v>
      </c>
      <c r="K1190" s="9">
        <f t="shared" si="192"/>
        <v>7.1408250355618777E-2</v>
      </c>
    </row>
    <row r="1191" spans="1:11" x14ac:dyDescent="0.35">
      <c r="A1191" s="2" t="s">
        <v>138</v>
      </c>
      <c r="B1191" t="s">
        <v>106</v>
      </c>
      <c r="C1191" s="21" t="s">
        <v>275</v>
      </c>
      <c r="D1191" s="4">
        <v>6</v>
      </c>
      <c r="E1191" s="4"/>
      <c r="F1191" s="3">
        <v>45953</v>
      </c>
      <c r="G1191" s="1">
        <v>15064</v>
      </c>
      <c r="H1191" s="1">
        <v>14060</v>
      </c>
      <c r="I1191" s="1">
        <f t="shared" si="194"/>
        <v>1004</v>
      </c>
      <c r="J1191" s="1">
        <f t="shared" si="193"/>
        <v>6024</v>
      </c>
      <c r="K1191" s="9">
        <f t="shared" si="192"/>
        <v>7.1408250355618777E-2</v>
      </c>
    </row>
    <row r="1192" spans="1:11" x14ac:dyDescent="0.35">
      <c r="A1192" s="2" t="s">
        <v>138</v>
      </c>
      <c r="B1192" t="s">
        <v>106</v>
      </c>
      <c r="C1192" s="21" t="s">
        <v>275</v>
      </c>
      <c r="D1192" s="4">
        <v>7</v>
      </c>
      <c r="E1192" s="4"/>
      <c r="F1192" s="3">
        <v>45960</v>
      </c>
      <c r="G1192" s="1">
        <v>15064</v>
      </c>
      <c r="H1192" s="1">
        <v>14061</v>
      </c>
      <c r="I1192" s="1">
        <f t="shared" si="194"/>
        <v>1003</v>
      </c>
      <c r="J1192" s="1">
        <f t="shared" si="193"/>
        <v>7027</v>
      </c>
      <c r="K1192" s="9">
        <f t="shared" si="192"/>
        <v>7.1332053196785442E-2</v>
      </c>
    </row>
    <row r="1193" spans="1:11" x14ac:dyDescent="0.35">
      <c r="A1193" s="2" t="s">
        <v>138</v>
      </c>
      <c r="B1193" t="s">
        <v>106</v>
      </c>
      <c r="C1193" s="21" t="s">
        <v>275</v>
      </c>
      <c r="D1193" s="4">
        <v>8</v>
      </c>
      <c r="E1193" s="4"/>
      <c r="F1193" s="3">
        <v>45967</v>
      </c>
      <c r="G1193" s="1">
        <v>15064</v>
      </c>
      <c r="H1193" s="1">
        <v>14060</v>
      </c>
      <c r="I1193" s="1">
        <f t="shared" si="194"/>
        <v>1004</v>
      </c>
      <c r="J1193" s="1">
        <f t="shared" si="193"/>
        <v>8031</v>
      </c>
      <c r="K1193" s="9">
        <f t="shared" si="192"/>
        <v>7.1408250355618777E-2</v>
      </c>
    </row>
    <row r="1194" spans="1:11" x14ac:dyDescent="0.35">
      <c r="A1194" s="2" t="s">
        <v>138</v>
      </c>
      <c r="B1194" t="s">
        <v>106</v>
      </c>
      <c r="C1194" s="21" t="s">
        <v>275</v>
      </c>
      <c r="D1194" s="4">
        <v>9</v>
      </c>
      <c r="E1194" s="4"/>
      <c r="G1194" s="1"/>
      <c r="H1194" s="1"/>
      <c r="I1194" s="1">
        <f t="shared" si="194"/>
        <v>0</v>
      </c>
      <c r="J1194" s="1">
        <f t="shared" si="193"/>
        <v>8031</v>
      </c>
      <c r="K1194" s="9" t="e">
        <f t="shared" si="192"/>
        <v>#DIV/0!</v>
      </c>
    </row>
    <row r="1195" spans="1:11" x14ac:dyDescent="0.35">
      <c r="A1195" s="2" t="s">
        <v>138</v>
      </c>
      <c r="B1195" t="s">
        <v>106</v>
      </c>
      <c r="C1195" s="21" t="s">
        <v>275</v>
      </c>
      <c r="D1195" s="4">
        <v>10</v>
      </c>
      <c r="E1195" s="4"/>
      <c r="G1195" s="1"/>
      <c r="H1195" s="1"/>
      <c r="I1195" s="1">
        <f t="shared" si="194"/>
        <v>0</v>
      </c>
      <c r="J1195" s="1">
        <f t="shared" si="193"/>
        <v>8031</v>
      </c>
      <c r="K1195" s="9" t="e">
        <f t="shared" si="192"/>
        <v>#DIV/0!</v>
      </c>
    </row>
    <row r="1196" spans="1:11" x14ac:dyDescent="0.35">
      <c r="A1196" s="2" t="s">
        <v>138</v>
      </c>
      <c r="B1196" t="s">
        <v>106</v>
      </c>
      <c r="C1196" s="21" t="s">
        <v>275</v>
      </c>
      <c r="D1196" s="4">
        <v>11</v>
      </c>
      <c r="E1196" s="4"/>
      <c r="G1196" s="1"/>
      <c r="H1196" s="1"/>
      <c r="I1196" s="1">
        <f t="shared" si="194"/>
        <v>0</v>
      </c>
      <c r="J1196" s="1">
        <f t="shared" si="193"/>
        <v>8031</v>
      </c>
      <c r="K1196" s="9" t="e">
        <f t="shared" si="192"/>
        <v>#DIV/0!</v>
      </c>
    </row>
    <row r="1197" spans="1:11" x14ac:dyDescent="0.35">
      <c r="A1197" s="2" t="s">
        <v>138</v>
      </c>
      <c r="B1197" t="s">
        <v>106</v>
      </c>
      <c r="C1197" s="21" t="s">
        <v>275</v>
      </c>
      <c r="D1197" s="4">
        <v>12</v>
      </c>
      <c r="E1197" s="4"/>
      <c r="G1197" s="1"/>
      <c r="H1197" s="1"/>
      <c r="I1197" s="1">
        <f t="shared" si="194"/>
        <v>0</v>
      </c>
      <c r="J1197" s="1">
        <f t="shared" si="193"/>
        <v>8031</v>
      </c>
      <c r="K1197" s="9" t="e">
        <f t="shared" si="192"/>
        <v>#DIV/0!</v>
      </c>
    </row>
    <row r="1198" spans="1:11" x14ac:dyDescent="0.35">
      <c r="A1198" s="2" t="s">
        <v>138</v>
      </c>
      <c r="B1198" t="s">
        <v>106</v>
      </c>
      <c r="C1198" s="21" t="s">
        <v>275</v>
      </c>
      <c r="D1198" s="4">
        <v>13</v>
      </c>
      <c r="E1198" s="4"/>
      <c r="G1198" s="1"/>
      <c r="H1198" s="1"/>
      <c r="I1198" s="1">
        <f t="shared" si="194"/>
        <v>0</v>
      </c>
      <c r="J1198" s="1">
        <f t="shared" si="193"/>
        <v>8031</v>
      </c>
      <c r="K1198" s="9" t="e">
        <f t="shared" si="192"/>
        <v>#DIV/0!</v>
      </c>
    </row>
    <row r="1199" spans="1:11" x14ac:dyDescent="0.35">
      <c r="A1199" s="2" t="s">
        <v>138</v>
      </c>
      <c r="B1199" t="s">
        <v>106</v>
      </c>
      <c r="C1199" s="21" t="s">
        <v>275</v>
      </c>
      <c r="D1199" s="4">
        <v>14</v>
      </c>
      <c r="E1199" s="4"/>
      <c r="G1199" s="1"/>
      <c r="H1199" s="1"/>
      <c r="I1199" s="1">
        <f t="shared" si="194"/>
        <v>0</v>
      </c>
      <c r="J1199" s="1">
        <f t="shared" si="193"/>
        <v>8031</v>
      </c>
      <c r="K1199" s="9" t="e">
        <f t="shared" si="192"/>
        <v>#DIV/0!</v>
      </c>
    </row>
    <row r="1200" spans="1:11" x14ac:dyDescent="0.35">
      <c r="A1200" s="2" t="s">
        <v>138</v>
      </c>
      <c r="B1200" t="s">
        <v>106</v>
      </c>
      <c r="C1200" s="21" t="s">
        <v>275</v>
      </c>
      <c r="D1200" s="4">
        <v>15</v>
      </c>
      <c r="E1200" s="4"/>
      <c r="G1200" s="1"/>
      <c r="H1200" s="1"/>
      <c r="I1200" s="1">
        <f t="shared" si="194"/>
        <v>0</v>
      </c>
      <c r="J1200" s="1">
        <f t="shared" si="193"/>
        <v>8031</v>
      </c>
      <c r="K1200" s="9" t="e">
        <f t="shared" si="192"/>
        <v>#DIV/0!</v>
      </c>
    </row>
    <row r="1201" spans="1:11" ht="15" thickBot="1" x14ac:dyDescent="0.4">
      <c r="A1201" s="12" t="s">
        <v>138</v>
      </c>
      <c r="B1201" s="13" t="s">
        <v>106</v>
      </c>
      <c r="C1201" s="21" t="s">
        <v>275</v>
      </c>
      <c r="D1201" s="14">
        <v>16</v>
      </c>
      <c r="E1201" s="14"/>
      <c r="F1201" s="13"/>
      <c r="G1201" s="15"/>
      <c r="H1201" s="15"/>
      <c r="I1201" s="15">
        <f t="shared" si="194"/>
        <v>0</v>
      </c>
      <c r="J1201" s="15">
        <f t="shared" si="193"/>
        <v>8031</v>
      </c>
      <c r="K1201" s="13"/>
    </row>
    <row r="1202" spans="1:11" x14ac:dyDescent="0.35">
      <c r="A1202" s="2" t="s">
        <v>139</v>
      </c>
      <c r="B1202" t="s">
        <v>154</v>
      </c>
      <c r="C1202" s="21" t="s">
        <v>275</v>
      </c>
      <c r="D1202" s="4">
        <v>1</v>
      </c>
      <c r="E1202" s="4"/>
      <c r="F1202" s="3">
        <v>45918</v>
      </c>
      <c r="G1202" s="1">
        <v>3540</v>
      </c>
      <c r="H1202" s="1">
        <v>3344.03</v>
      </c>
      <c r="I1202" s="1">
        <f t="shared" si="194"/>
        <v>195.9699999999998</v>
      </c>
      <c r="J1202" s="1">
        <f>I1202</f>
        <v>195.9699999999998</v>
      </c>
      <c r="K1202" s="9">
        <f t="shared" ref="K1202:K1216" si="195">I1202/H1202</f>
        <v>5.8602943155414214E-2</v>
      </c>
    </row>
    <row r="1203" spans="1:11" x14ac:dyDescent="0.35">
      <c r="A1203" s="2" t="s">
        <v>139</v>
      </c>
      <c r="B1203" t="s">
        <v>154</v>
      </c>
      <c r="C1203" s="21" t="s">
        <v>275</v>
      </c>
      <c r="D1203" s="4">
        <v>2</v>
      </c>
      <c r="E1203" s="4"/>
      <c r="F1203" s="3">
        <v>45925</v>
      </c>
      <c r="G1203" s="1">
        <v>3540</v>
      </c>
      <c r="H1203" s="1">
        <v>3344.03</v>
      </c>
      <c r="I1203" s="1">
        <f t="shared" si="194"/>
        <v>195.9699999999998</v>
      </c>
      <c r="J1203" s="1">
        <f>J1202+I1203</f>
        <v>391.9399999999996</v>
      </c>
      <c r="K1203" s="9">
        <f t="shared" si="195"/>
        <v>5.8602943155414214E-2</v>
      </c>
    </row>
    <row r="1204" spans="1:11" x14ac:dyDescent="0.35">
      <c r="A1204" s="2" t="s">
        <v>139</v>
      </c>
      <c r="B1204" t="s">
        <v>154</v>
      </c>
      <c r="C1204" s="21" t="s">
        <v>275</v>
      </c>
      <c r="D1204" s="4">
        <v>3</v>
      </c>
      <c r="E1204" s="4"/>
      <c r="F1204" s="3">
        <v>45932</v>
      </c>
      <c r="G1204" s="1">
        <v>3540</v>
      </c>
      <c r="H1204" s="1">
        <v>3344.03</v>
      </c>
      <c r="I1204" s="1">
        <f t="shared" si="194"/>
        <v>195.9699999999998</v>
      </c>
      <c r="J1204" s="1">
        <f t="shared" ref="J1204:J1217" si="196">J1203+I1204</f>
        <v>587.9099999999994</v>
      </c>
      <c r="K1204" s="9">
        <f t="shared" si="195"/>
        <v>5.8602943155414214E-2</v>
      </c>
    </row>
    <row r="1205" spans="1:11" x14ac:dyDescent="0.35">
      <c r="A1205" s="2" t="s">
        <v>139</v>
      </c>
      <c r="B1205" t="s">
        <v>154</v>
      </c>
      <c r="C1205" s="21" t="s">
        <v>275</v>
      </c>
      <c r="D1205" s="4">
        <v>4</v>
      </c>
      <c r="E1205" s="4"/>
      <c r="F1205" s="3">
        <v>45939</v>
      </c>
      <c r="G1205" s="1">
        <v>3540</v>
      </c>
      <c r="H1205" s="1">
        <v>3344.03</v>
      </c>
      <c r="I1205" s="1">
        <f t="shared" si="194"/>
        <v>195.9699999999998</v>
      </c>
      <c r="J1205" s="1">
        <f t="shared" si="196"/>
        <v>783.8799999999992</v>
      </c>
      <c r="K1205" s="9">
        <f t="shared" si="195"/>
        <v>5.8602943155414214E-2</v>
      </c>
    </row>
    <row r="1206" spans="1:11" x14ac:dyDescent="0.35">
      <c r="A1206" s="2" t="s">
        <v>139</v>
      </c>
      <c r="B1206" t="s">
        <v>154</v>
      </c>
      <c r="C1206" s="21" t="s">
        <v>275</v>
      </c>
      <c r="D1206" s="4">
        <v>5</v>
      </c>
      <c r="E1206" s="4"/>
      <c r="F1206" s="3">
        <v>45946</v>
      </c>
      <c r="G1206" s="1">
        <v>3552</v>
      </c>
      <c r="H1206" s="1">
        <v>3344.03</v>
      </c>
      <c r="I1206" s="1">
        <f t="shared" si="194"/>
        <v>207.9699999999998</v>
      </c>
      <c r="J1206" s="1">
        <f t="shared" si="196"/>
        <v>991.849999999999</v>
      </c>
      <c r="K1206" s="9">
        <f t="shared" si="195"/>
        <v>6.2191427708483411E-2</v>
      </c>
    </row>
    <row r="1207" spans="1:11" x14ac:dyDescent="0.35">
      <c r="A1207" s="2" t="s">
        <v>139</v>
      </c>
      <c r="B1207" t="s">
        <v>154</v>
      </c>
      <c r="C1207" s="21" t="s">
        <v>275</v>
      </c>
      <c r="D1207" s="4">
        <v>6</v>
      </c>
      <c r="E1207" s="4"/>
      <c r="F1207" s="3">
        <v>45953</v>
      </c>
      <c r="G1207" s="1">
        <v>3540</v>
      </c>
      <c r="H1207" s="1">
        <v>3344.03</v>
      </c>
      <c r="I1207" s="1">
        <f t="shared" si="194"/>
        <v>195.9699999999998</v>
      </c>
      <c r="J1207" s="1">
        <f t="shared" si="196"/>
        <v>1187.8199999999988</v>
      </c>
      <c r="K1207" s="9">
        <f t="shared" si="195"/>
        <v>5.8602943155414214E-2</v>
      </c>
    </row>
    <row r="1208" spans="1:11" x14ac:dyDescent="0.35">
      <c r="A1208" s="2" t="s">
        <v>139</v>
      </c>
      <c r="B1208" t="s">
        <v>154</v>
      </c>
      <c r="C1208" s="21" t="s">
        <v>275</v>
      </c>
      <c r="D1208" s="4">
        <v>7</v>
      </c>
      <c r="E1208" s="4"/>
      <c r="F1208" s="3">
        <v>45960</v>
      </c>
      <c r="G1208" s="1">
        <v>3540</v>
      </c>
      <c r="H1208" s="1">
        <v>3344.03</v>
      </c>
      <c r="I1208" s="1">
        <f t="shared" si="194"/>
        <v>195.9699999999998</v>
      </c>
      <c r="J1208" s="1">
        <f t="shared" si="196"/>
        <v>1383.7899999999986</v>
      </c>
      <c r="K1208" s="9">
        <f t="shared" si="195"/>
        <v>5.8602943155414214E-2</v>
      </c>
    </row>
    <row r="1209" spans="1:11" x14ac:dyDescent="0.35">
      <c r="A1209" s="2" t="s">
        <v>139</v>
      </c>
      <c r="B1209" t="s">
        <v>154</v>
      </c>
      <c r="C1209" s="21" t="s">
        <v>275</v>
      </c>
      <c r="D1209" s="4">
        <v>8</v>
      </c>
      <c r="E1209" s="4"/>
      <c r="F1209" s="3">
        <v>45967</v>
      </c>
      <c r="G1209" s="34">
        <v>3540</v>
      </c>
      <c r="H1209" s="34">
        <v>3344.03</v>
      </c>
      <c r="I1209" s="1">
        <f t="shared" si="194"/>
        <v>195.9699999999998</v>
      </c>
      <c r="J1209" s="1">
        <f t="shared" si="196"/>
        <v>1579.7599999999984</v>
      </c>
      <c r="K1209" s="9">
        <f t="shared" si="195"/>
        <v>5.8602943155414214E-2</v>
      </c>
    </row>
    <row r="1210" spans="1:11" x14ac:dyDescent="0.35">
      <c r="A1210" s="2" t="s">
        <v>139</v>
      </c>
      <c r="B1210" t="s">
        <v>154</v>
      </c>
      <c r="C1210" s="21" t="s">
        <v>275</v>
      </c>
      <c r="D1210" s="4">
        <v>9</v>
      </c>
      <c r="E1210" s="4"/>
      <c r="G1210" s="1"/>
      <c r="H1210" s="1"/>
      <c r="I1210" s="1">
        <f t="shared" si="194"/>
        <v>0</v>
      </c>
      <c r="J1210" s="1">
        <f t="shared" si="196"/>
        <v>1579.7599999999984</v>
      </c>
      <c r="K1210" s="9" t="e">
        <f t="shared" si="195"/>
        <v>#DIV/0!</v>
      </c>
    </row>
    <row r="1211" spans="1:11" x14ac:dyDescent="0.35">
      <c r="A1211" s="2" t="s">
        <v>139</v>
      </c>
      <c r="B1211" t="s">
        <v>154</v>
      </c>
      <c r="C1211" s="21" t="s">
        <v>275</v>
      </c>
      <c r="D1211" s="4">
        <v>10</v>
      </c>
      <c r="E1211" s="4"/>
      <c r="G1211" s="1"/>
      <c r="H1211" s="1"/>
      <c r="I1211" s="1">
        <f t="shared" si="194"/>
        <v>0</v>
      </c>
      <c r="J1211" s="1">
        <f t="shared" si="196"/>
        <v>1579.7599999999984</v>
      </c>
      <c r="K1211" s="9" t="e">
        <f t="shared" si="195"/>
        <v>#DIV/0!</v>
      </c>
    </row>
    <row r="1212" spans="1:11" x14ac:dyDescent="0.35">
      <c r="A1212" s="2" t="s">
        <v>139</v>
      </c>
      <c r="B1212" t="s">
        <v>154</v>
      </c>
      <c r="C1212" s="21" t="s">
        <v>275</v>
      </c>
      <c r="D1212" s="4">
        <v>11</v>
      </c>
      <c r="E1212" s="4"/>
      <c r="G1212" s="1"/>
      <c r="H1212" s="1"/>
      <c r="I1212" s="1">
        <f t="shared" si="194"/>
        <v>0</v>
      </c>
      <c r="J1212" s="1">
        <f t="shared" si="196"/>
        <v>1579.7599999999984</v>
      </c>
      <c r="K1212" s="9" t="e">
        <f t="shared" si="195"/>
        <v>#DIV/0!</v>
      </c>
    </row>
    <row r="1213" spans="1:11" x14ac:dyDescent="0.35">
      <c r="A1213" s="2" t="s">
        <v>139</v>
      </c>
      <c r="B1213" t="s">
        <v>154</v>
      </c>
      <c r="C1213" s="21" t="s">
        <v>275</v>
      </c>
      <c r="D1213" s="4">
        <v>12</v>
      </c>
      <c r="E1213" s="4"/>
      <c r="G1213" s="1"/>
      <c r="H1213" s="1"/>
      <c r="I1213" s="1">
        <f t="shared" si="194"/>
        <v>0</v>
      </c>
      <c r="J1213" s="1">
        <f t="shared" si="196"/>
        <v>1579.7599999999984</v>
      </c>
      <c r="K1213" s="9" t="e">
        <f t="shared" si="195"/>
        <v>#DIV/0!</v>
      </c>
    </row>
    <row r="1214" spans="1:11" x14ac:dyDescent="0.35">
      <c r="A1214" s="2" t="s">
        <v>139</v>
      </c>
      <c r="B1214" t="s">
        <v>154</v>
      </c>
      <c r="C1214" s="21" t="s">
        <v>275</v>
      </c>
      <c r="D1214" s="4">
        <v>13</v>
      </c>
      <c r="E1214" s="4"/>
      <c r="G1214" s="1"/>
      <c r="H1214" s="1"/>
      <c r="I1214" s="1">
        <f t="shared" si="194"/>
        <v>0</v>
      </c>
      <c r="J1214" s="1">
        <f t="shared" si="196"/>
        <v>1579.7599999999984</v>
      </c>
      <c r="K1214" s="9" t="e">
        <f t="shared" si="195"/>
        <v>#DIV/0!</v>
      </c>
    </row>
    <row r="1215" spans="1:11" x14ac:dyDescent="0.35">
      <c r="A1215" s="2" t="s">
        <v>139</v>
      </c>
      <c r="B1215" t="s">
        <v>154</v>
      </c>
      <c r="C1215" s="21" t="s">
        <v>275</v>
      </c>
      <c r="D1215" s="4">
        <v>14</v>
      </c>
      <c r="E1215" s="4"/>
      <c r="G1215" s="1"/>
      <c r="H1215" s="1"/>
      <c r="I1215" s="1">
        <f t="shared" si="194"/>
        <v>0</v>
      </c>
      <c r="J1215" s="1">
        <f t="shared" si="196"/>
        <v>1579.7599999999984</v>
      </c>
      <c r="K1215" s="9" t="e">
        <f t="shared" si="195"/>
        <v>#DIV/0!</v>
      </c>
    </row>
    <row r="1216" spans="1:11" x14ac:dyDescent="0.35">
      <c r="A1216" s="2" t="s">
        <v>139</v>
      </c>
      <c r="B1216" t="s">
        <v>154</v>
      </c>
      <c r="C1216" s="21" t="s">
        <v>275</v>
      </c>
      <c r="D1216" s="4">
        <v>15</v>
      </c>
      <c r="E1216" s="4"/>
      <c r="G1216" s="1"/>
      <c r="H1216" s="1"/>
      <c r="I1216" s="1">
        <f t="shared" si="194"/>
        <v>0</v>
      </c>
      <c r="J1216" s="1">
        <f t="shared" si="196"/>
        <v>1579.7599999999984</v>
      </c>
      <c r="K1216" s="9" t="e">
        <f t="shared" si="195"/>
        <v>#DIV/0!</v>
      </c>
    </row>
    <row r="1217" spans="1:11" ht="15" thickBot="1" x14ac:dyDescent="0.4">
      <c r="A1217" s="12" t="s">
        <v>139</v>
      </c>
      <c r="B1217" s="13" t="s">
        <v>154</v>
      </c>
      <c r="C1217" s="21" t="s">
        <v>275</v>
      </c>
      <c r="D1217" s="14">
        <v>16</v>
      </c>
      <c r="E1217" s="14"/>
      <c r="F1217" s="13"/>
      <c r="G1217" s="15"/>
      <c r="H1217" s="15"/>
      <c r="I1217" s="15">
        <f t="shared" si="194"/>
        <v>0</v>
      </c>
      <c r="J1217" s="15">
        <f t="shared" si="196"/>
        <v>1579.7599999999984</v>
      </c>
      <c r="K1217" s="13"/>
    </row>
    <row r="1218" spans="1:11" x14ac:dyDescent="0.35">
      <c r="A1218" s="2" t="s">
        <v>140</v>
      </c>
      <c r="B1218" t="s">
        <v>155</v>
      </c>
      <c r="C1218" s="21" t="s">
        <v>275</v>
      </c>
      <c r="D1218" s="4">
        <v>1</v>
      </c>
      <c r="E1218" s="4"/>
      <c r="F1218" s="3">
        <v>45918</v>
      </c>
      <c r="G1218" s="1">
        <v>3261</v>
      </c>
      <c r="H1218" s="1">
        <v>2965</v>
      </c>
      <c r="I1218" s="1">
        <f t="shared" si="194"/>
        <v>296</v>
      </c>
      <c r="J1218" s="1">
        <f>I1218</f>
        <v>296</v>
      </c>
      <c r="K1218" s="9">
        <f t="shared" ref="K1218:K1232" si="197">I1218/H1218</f>
        <v>9.9831365935919056E-2</v>
      </c>
    </row>
    <row r="1219" spans="1:11" x14ac:dyDescent="0.35">
      <c r="A1219" s="2" t="s">
        <v>140</v>
      </c>
      <c r="B1219" t="s">
        <v>155</v>
      </c>
      <c r="C1219" s="21" t="s">
        <v>275</v>
      </c>
      <c r="D1219" s="4">
        <v>2</v>
      </c>
      <c r="E1219" s="4"/>
      <c r="F1219" s="3">
        <v>45925</v>
      </c>
      <c r="G1219" s="1">
        <v>3261</v>
      </c>
      <c r="H1219" s="1">
        <v>2961</v>
      </c>
      <c r="I1219" s="1">
        <f t="shared" si="194"/>
        <v>300</v>
      </c>
      <c r="J1219" s="1">
        <f>J1218+I1219</f>
        <v>596</v>
      </c>
      <c r="K1219" s="9">
        <f t="shared" si="197"/>
        <v>0.10131712259371833</v>
      </c>
    </row>
    <row r="1220" spans="1:11" x14ac:dyDescent="0.35">
      <c r="A1220" s="2" t="s">
        <v>140</v>
      </c>
      <c r="B1220" t="s">
        <v>155</v>
      </c>
      <c r="C1220" s="21" t="s">
        <v>275</v>
      </c>
      <c r="D1220" s="4">
        <v>3</v>
      </c>
      <c r="E1220" s="4"/>
      <c r="F1220" s="3">
        <v>45932</v>
      </c>
      <c r="G1220" s="1">
        <v>3261</v>
      </c>
      <c r="H1220" s="1">
        <v>2965</v>
      </c>
      <c r="I1220" s="1">
        <f t="shared" si="194"/>
        <v>296</v>
      </c>
      <c r="J1220" s="1">
        <f t="shared" ref="J1220:J1233" si="198">J1219+I1220</f>
        <v>892</v>
      </c>
      <c r="K1220" s="9">
        <f t="shared" si="197"/>
        <v>9.9831365935919056E-2</v>
      </c>
    </row>
    <row r="1221" spans="1:11" x14ac:dyDescent="0.35">
      <c r="A1221" s="2" t="s">
        <v>140</v>
      </c>
      <c r="B1221" t="s">
        <v>155</v>
      </c>
      <c r="C1221" s="21" t="s">
        <v>275</v>
      </c>
      <c r="D1221" s="4">
        <v>4</v>
      </c>
      <c r="E1221" s="4"/>
      <c r="F1221" s="3">
        <v>45939</v>
      </c>
      <c r="G1221" s="1">
        <v>3191</v>
      </c>
      <c r="H1221" s="1">
        <v>2965</v>
      </c>
      <c r="I1221" s="1">
        <f t="shared" si="194"/>
        <v>226</v>
      </c>
      <c r="J1221" s="1">
        <f t="shared" si="198"/>
        <v>1118</v>
      </c>
      <c r="K1221" s="9">
        <f t="shared" si="197"/>
        <v>7.6222596964586845E-2</v>
      </c>
    </row>
    <row r="1222" spans="1:11" x14ac:dyDescent="0.35">
      <c r="A1222" s="2" t="s">
        <v>140</v>
      </c>
      <c r="B1222" t="s">
        <v>155</v>
      </c>
      <c r="C1222" s="21" t="s">
        <v>275</v>
      </c>
      <c r="D1222" s="4">
        <v>5</v>
      </c>
      <c r="E1222" s="4"/>
      <c r="F1222" s="3">
        <v>45946</v>
      </c>
      <c r="G1222" s="1">
        <v>3191</v>
      </c>
      <c r="H1222" s="1">
        <v>2965</v>
      </c>
      <c r="I1222" s="1">
        <f t="shared" si="194"/>
        <v>226</v>
      </c>
      <c r="J1222" s="1">
        <f t="shared" si="198"/>
        <v>1344</v>
      </c>
      <c r="K1222" s="9">
        <f t="shared" si="197"/>
        <v>7.6222596964586845E-2</v>
      </c>
    </row>
    <row r="1223" spans="1:11" x14ac:dyDescent="0.35">
      <c r="A1223" s="2" t="s">
        <v>140</v>
      </c>
      <c r="B1223" t="s">
        <v>155</v>
      </c>
      <c r="C1223" s="21" t="s">
        <v>275</v>
      </c>
      <c r="D1223" s="4">
        <v>6</v>
      </c>
      <c r="E1223" s="4"/>
      <c r="F1223" s="3">
        <v>45953</v>
      </c>
      <c r="G1223" s="1">
        <v>3191</v>
      </c>
      <c r="H1223" s="1">
        <v>2974</v>
      </c>
      <c r="I1223" s="1">
        <f t="shared" si="194"/>
        <v>217</v>
      </c>
      <c r="J1223" s="1">
        <f t="shared" si="198"/>
        <v>1561</v>
      </c>
      <c r="K1223" s="9">
        <f t="shared" si="197"/>
        <v>7.2965702757229314E-2</v>
      </c>
    </row>
    <row r="1224" spans="1:11" x14ac:dyDescent="0.35">
      <c r="A1224" s="2" t="s">
        <v>140</v>
      </c>
      <c r="B1224" t="s">
        <v>155</v>
      </c>
      <c r="C1224" s="21" t="s">
        <v>275</v>
      </c>
      <c r="D1224" s="4">
        <v>7</v>
      </c>
      <c r="E1224" s="4"/>
      <c r="F1224" s="3">
        <v>45960</v>
      </c>
      <c r="G1224" s="1">
        <v>3191</v>
      </c>
      <c r="H1224" s="1">
        <v>2964</v>
      </c>
      <c r="I1224" s="1">
        <f t="shared" si="194"/>
        <v>227</v>
      </c>
      <c r="J1224" s="1">
        <f t="shared" si="198"/>
        <v>1788</v>
      </c>
      <c r="K1224" s="9">
        <f t="shared" si="197"/>
        <v>7.6585695006747639E-2</v>
      </c>
    </row>
    <row r="1225" spans="1:11" x14ac:dyDescent="0.35">
      <c r="A1225" s="2" t="s">
        <v>140</v>
      </c>
      <c r="B1225" t="s">
        <v>155</v>
      </c>
      <c r="C1225" s="21" t="s">
        <v>275</v>
      </c>
      <c r="D1225" s="4">
        <v>8</v>
      </c>
      <c r="E1225" s="4"/>
      <c r="F1225" s="3">
        <v>45967</v>
      </c>
      <c r="G1225" s="1">
        <v>3191</v>
      </c>
      <c r="H1225" s="1">
        <v>2964</v>
      </c>
      <c r="I1225" s="1">
        <f t="shared" si="194"/>
        <v>227</v>
      </c>
      <c r="J1225" s="1">
        <f t="shared" si="198"/>
        <v>2015</v>
      </c>
      <c r="K1225" s="9">
        <f t="shared" si="197"/>
        <v>7.6585695006747639E-2</v>
      </c>
    </row>
    <row r="1226" spans="1:11" x14ac:dyDescent="0.35">
      <c r="A1226" s="2" t="s">
        <v>140</v>
      </c>
      <c r="B1226" t="s">
        <v>155</v>
      </c>
      <c r="C1226" s="21" t="s">
        <v>275</v>
      </c>
      <c r="D1226" s="4">
        <v>9</v>
      </c>
      <c r="E1226" s="4"/>
      <c r="G1226" s="1"/>
      <c r="H1226" s="1"/>
      <c r="I1226" s="1">
        <f t="shared" si="194"/>
        <v>0</v>
      </c>
      <c r="J1226" s="1">
        <f t="shared" si="198"/>
        <v>2015</v>
      </c>
      <c r="K1226" s="9" t="e">
        <f t="shared" si="197"/>
        <v>#DIV/0!</v>
      </c>
    </row>
    <row r="1227" spans="1:11" x14ac:dyDescent="0.35">
      <c r="A1227" s="2" t="s">
        <v>140</v>
      </c>
      <c r="B1227" t="s">
        <v>155</v>
      </c>
      <c r="C1227" s="21" t="s">
        <v>275</v>
      </c>
      <c r="D1227" s="4">
        <v>10</v>
      </c>
      <c r="E1227" s="4"/>
      <c r="G1227" s="1"/>
      <c r="H1227" s="1"/>
      <c r="I1227" s="1">
        <f t="shared" si="194"/>
        <v>0</v>
      </c>
      <c r="J1227" s="1">
        <f t="shared" si="198"/>
        <v>2015</v>
      </c>
      <c r="K1227" s="9" t="e">
        <f t="shared" si="197"/>
        <v>#DIV/0!</v>
      </c>
    </row>
    <row r="1228" spans="1:11" x14ac:dyDescent="0.35">
      <c r="A1228" s="2" t="s">
        <v>140</v>
      </c>
      <c r="B1228" t="s">
        <v>155</v>
      </c>
      <c r="C1228" s="21" t="s">
        <v>275</v>
      </c>
      <c r="D1228" s="4">
        <v>11</v>
      </c>
      <c r="E1228" s="4"/>
      <c r="G1228" s="1"/>
      <c r="H1228" s="1"/>
      <c r="I1228" s="1">
        <f t="shared" si="194"/>
        <v>0</v>
      </c>
      <c r="J1228" s="1">
        <f t="shared" si="198"/>
        <v>2015</v>
      </c>
      <c r="K1228" s="9" t="e">
        <f t="shared" si="197"/>
        <v>#DIV/0!</v>
      </c>
    </row>
    <row r="1229" spans="1:11" x14ac:dyDescent="0.35">
      <c r="A1229" s="2" t="s">
        <v>140</v>
      </c>
      <c r="B1229" t="s">
        <v>155</v>
      </c>
      <c r="C1229" s="21" t="s">
        <v>275</v>
      </c>
      <c r="D1229" s="4">
        <v>12</v>
      </c>
      <c r="E1229" s="4"/>
      <c r="G1229" s="1"/>
      <c r="H1229" s="1"/>
      <c r="I1229" s="1">
        <f t="shared" si="194"/>
        <v>0</v>
      </c>
      <c r="J1229" s="1">
        <f t="shared" si="198"/>
        <v>2015</v>
      </c>
      <c r="K1229" s="9" t="e">
        <f t="shared" si="197"/>
        <v>#DIV/0!</v>
      </c>
    </row>
    <row r="1230" spans="1:11" x14ac:dyDescent="0.35">
      <c r="A1230" s="2" t="s">
        <v>140</v>
      </c>
      <c r="B1230" t="s">
        <v>155</v>
      </c>
      <c r="C1230" s="21" t="s">
        <v>275</v>
      </c>
      <c r="D1230" s="4">
        <v>13</v>
      </c>
      <c r="E1230" s="4"/>
      <c r="G1230" s="1"/>
      <c r="H1230" s="1"/>
      <c r="I1230" s="1">
        <f t="shared" si="194"/>
        <v>0</v>
      </c>
      <c r="J1230" s="1">
        <f t="shared" si="198"/>
        <v>2015</v>
      </c>
      <c r="K1230" s="9" t="e">
        <f t="shared" si="197"/>
        <v>#DIV/0!</v>
      </c>
    </row>
    <row r="1231" spans="1:11" x14ac:dyDescent="0.35">
      <c r="A1231" s="2" t="s">
        <v>140</v>
      </c>
      <c r="B1231" t="s">
        <v>155</v>
      </c>
      <c r="C1231" s="21" t="s">
        <v>275</v>
      </c>
      <c r="D1231" s="4">
        <v>14</v>
      </c>
      <c r="E1231" s="4"/>
      <c r="G1231" s="1"/>
      <c r="H1231" s="1"/>
      <c r="I1231" s="1">
        <f t="shared" si="194"/>
        <v>0</v>
      </c>
      <c r="J1231" s="1">
        <f t="shared" si="198"/>
        <v>2015</v>
      </c>
      <c r="K1231" s="9" t="e">
        <f t="shared" si="197"/>
        <v>#DIV/0!</v>
      </c>
    </row>
    <row r="1232" spans="1:11" x14ac:dyDescent="0.35">
      <c r="A1232" s="2" t="s">
        <v>140</v>
      </c>
      <c r="B1232" t="s">
        <v>155</v>
      </c>
      <c r="C1232" s="21" t="s">
        <v>275</v>
      </c>
      <c r="D1232" s="4">
        <v>15</v>
      </c>
      <c r="E1232" s="4"/>
      <c r="G1232" s="1"/>
      <c r="H1232" s="1"/>
      <c r="I1232" s="1">
        <f t="shared" si="194"/>
        <v>0</v>
      </c>
      <c r="J1232" s="1">
        <f t="shared" si="198"/>
        <v>2015</v>
      </c>
      <c r="K1232" s="9" t="e">
        <f t="shared" si="197"/>
        <v>#DIV/0!</v>
      </c>
    </row>
    <row r="1233" spans="1:11" ht="15" thickBot="1" x14ac:dyDescent="0.4">
      <c r="A1233" s="12" t="s">
        <v>140</v>
      </c>
      <c r="B1233" s="13" t="s">
        <v>155</v>
      </c>
      <c r="C1233" s="21" t="s">
        <v>275</v>
      </c>
      <c r="D1233" s="14">
        <v>16</v>
      </c>
      <c r="E1233" s="14"/>
      <c r="F1233" s="13"/>
      <c r="G1233" s="15"/>
      <c r="H1233" s="15"/>
      <c r="I1233" s="15">
        <f t="shared" si="194"/>
        <v>0</v>
      </c>
      <c r="J1233" s="15">
        <f t="shared" si="198"/>
        <v>2015</v>
      </c>
      <c r="K1233" s="13"/>
    </row>
    <row r="1234" spans="1:11" x14ac:dyDescent="0.35">
      <c r="A1234" s="2" t="s">
        <v>141</v>
      </c>
      <c r="B1234" t="s">
        <v>156</v>
      </c>
      <c r="C1234" s="21" t="s">
        <v>275</v>
      </c>
      <c r="D1234" s="4">
        <v>1</v>
      </c>
      <c r="E1234" s="4"/>
      <c r="F1234" s="3">
        <v>45918</v>
      </c>
      <c r="G1234" s="1">
        <v>10032</v>
      </c>
      <c r="H1234" s="1">
        <v>9120.08</v>
      </c>
      <c r="I1234" s="1">
        <f t="shared" si="194"/>
        <v>911.92000000000007</v>
      </c>
      <c r="J1234" s="1">
        <f>I1234</f>
        <v>911.92000000000007</v>
      </c>
      <c r="K1234" s="9">
        <f t="shared" ref="K1234:K1248" si="199">I1234/H1234</f>
        <v>9.9990350961833674E-2</v>
      </c>
    </row>
    <row r="1235" spans="1:11" x14ac:dyDescent="0.35">
      <c r="A1235" s="2" t="s">
        <v>141</v>
      </c>
      <c r="B1235" t="s">
        <v>156</v>
      </c>
      <c r="C1235" s="21" t="s">
        <v>275</v>
      </c>
      <c r="D1235" s="4">
        <v>2</v>
      </c>
      <c r="E1235" s="4"/>
      <c r="F1235" s="3">
        <v>45925</v>
      </c>
      <c r="G1235" s="1">
        <v>10032</v>
      </c>
      <c r="H1235" s="1">
        <v>9120.08</v>
      </c>
      <c r="I1235" s="1">
        <f t="shared" si="194"/>
        <v>911.92000000000007</v>
      </c>
      <c r="J1235" s="1">
        <f>J1234+I1235</f>
        <v>1823.8400000000001</v>
      </c>
      <c r="K1235" s="9">
        <f t="shared" si="199"/>
        <v>9.9990350961833674E-2</v>
      </c>
    </row>
    <row r="1236" spans="1:11" x14ac:dyDescent="0.35">
      <c r="A1236" s="2" t="s">
        <v>141</v>
      </c>
      <c r="B1236" t="s">
        <v>156</v>
      </c>
      <c r="C1236" s="21" t="s">
        <v>275</v>
      </c>
      <c r="D1236" s="4">
        <v>3</v>
      </c>
      <c r="E1236" s="4"/>
      <c r="F1236" s="3">
        <v>45932</v>
      </c>
      <c r="G1236" s="1">
        <v>10032</v>
      </c>
      <c r="H1236" s="1">
        <v>9120.08</v>
      </c>
      <c r="I1236" s="1">
        <f t="shared" si="194"/>
        <v>911.92000000000007</v>
      </c>
      <c r="J1236" s="1">
        <f t="shared" ref="J1236:J1249" si="200">J1235+I1236</f>
        <v>2735.76</v>
      </c>
      <c r="K1236" s="9">
        <f t="shared" si="199"/>
        <v>9.9990350961833674E-2</v>
      </c>
    </row>
    <row r="1237" spans="1:11" x14ac:dyDescent="0.35">
      <c r="A1237" s="2" t="s">
        <v>141</v>
      </c>
      <c r="B1237" t="s">
        <v>156</v>
      </c>
      <c r="C1237" s="21" t="s">
        <v>275</v>
      </c>
      <c r="D1237" s="4">
        <v>4</v>
      </c>
      <c r="E1237" s="4"/>
      <c r="F1237" s="3">
        <v>45939</v>
      </c>
      <c r="G1237" s="1">
        <v>10032</v>
      </c>
      <c r="H1237" s="1">
        <v>9121</v>
      </c>
      <c r="I1237" s="1">
        <f t="shared" si="194"/>
        <v>911</v>
      </c>
      <c r="J1237" s="1">
        <f t="shared" si="200"/>
        <v>3646.76</v>
      </c>
      <c r="K1237" s="9">
        <f t="shared" si="199"/>
        <v>9.987939918868545E-2</v>
      </c>
    </row>
    <row r="1238" spans="1:11" x14ac:dyDescent="0.35">
      <c r="A1238" s="2" t="s">
        <v>141</v>
      </c>
      <c r="B1238" t="s">
        <v>156</v>
      </c>
      <c r="C1238" s="21" t="s">
        <v>275</v>
      </c>
      <c r="D1238" s="4">
        <v>5</v>
      </c>
      <c r="E1238" s="4"/>
      <c r="F1238" s="3">
        <v>45946</v>
      </c>
      <c r="G1238" s="1">
        <v>10032</v>
      </c>
      <c r="H1238" s="1">
        <v>9121</v>
      </c>
      <c r="I1238" s="1">
        <f t="shared" si="194"/>
        <v>911</v>
      </c>
      <c r="J1238" s="1">
        <f t="shared" si="200"/>
        <v>4557.76</v>
      </c>
      <c r="K1238" s="9">
        <f t="shared" si="199"/>
        <v>9.987939918868545E-2</v>
      </c>
    </row>
    <row r="1239" spans="1:11" x14ac:dyDescent="0.35">
      <c r="A1239" s="2" t="s">
        <v>141</v>
      </c>
      <c r="B1239" t="s">
        <v>156</v>
      </c>
      <c r="C1239" s="21" t="s">
        <v>275</v>
      </c>
      <c r="D1239" s="4">
        <v>6</v>
      </c>
      <c r="E1239" s="4"/>
      <c r="F1239" s="3">
        <v>45953</v>
      </c>
      <c r="G1239" s="1">
        <v>10032</v>
      </c>
      <c r="H1239" s="1">
        <v>9121</v>
      </c>
      <c r="I1239" s="1">
        <f t="shared" si="194"/>
        <v>911</v>
      </c>
      <c r="J1239" s="1">
        <f t="shared" si="200"/>
        <v>5468.76</v>
      </c>
      <c r="K1239" s="9">
        <f t="shared" si="199"/>
        <v>9.987939918868545E-2</v>
      </c>
    </row>
    <row r="1240" spans="1:11" x14ac:dyDescent="0.35">
      <c r="A1240" s="2" t="s">
        <v>141</v>
      </c>
      <c r="B1240" t="s">
        <v>156</v>
      </c>
      <c r="C1240" s="21" t="s">
        <v>275</v>
      </c>
      <c r="D1240" s="4">
        <v>7</v>
      </c>
      <c r="E1240" s="4"/>
      <c r="F1240" s="3">
        <v>45960</v>
      </c>
      <c r="G1240" s="1">
        <v>10032</v>
      </c>
      <c r="H1240" s="1">
        <v>9121</v>
      </c>
      <c r="I1240" s="1">
        <f t="shared" si="194"/>
        <v>911</v>
      </c>
      <c r="J1240" s="1">
        <f t="shared" si="200"/>
        <v>6379.76</v>
      </c>
      <c r="K1240" s="9">
        <f t="shared" si="199"/>
        <v>9.987939918868545E-2</v>
      </c>
    </row>
    <row r="1241" spans="1:11" x14ac:dyDescent="0.35">
      <c r="A1241" s="2" t="s">
        <v>141</v>
      </c>
      <c r="B1241" t="s">
        <v>156</v>
      </c>
      <c r="C1241" s="21" t="s">
        <v>275</v>
      </c>
      <c r="D1241" s="4">
        <v>8</v>
      </c>
      <c r="E1241" s="4"/>
      <c r="F1241" s="3">
        <v>45967</v>
      </c>
      <c r="G1241" s="1">
        <v>10032</v>
      </c>
      <c r="H1241" s="1">
        <v>9121</v>
      </c>
      <c r="I1241" s="1">
        <f t="shared" si="194"/>
        <v>911</v>
      </c>
      <c r="J1241" s="1">
        <f t="shared" si="200"/>
        <v>7290.76</v>
      </c>
      <c r="K1241" s="9">
        <f t="shared" si="199"/>
        <v>9.987939918868545E-2</v>
      </c>
    </row>
    <row r="1242" spans="1:11" x14ac:dyDescent="0.35">
      <c r="A1242" s="2" t="s">
        <v>141</v>
      </c>
      <c r="B1242" t="s">
        <v>156</v>
      </c>
      <c r="C1242" s="21" t="s">
        <v>275</v>
      </c>
      <c r="D1242" s="4">
        <v>9</v>
      </c>
      <c r="E1242" s="4"/>
      <c r="G1242" s="1"/>
      <c r="H1242" s="1"/>
      <c r="I1242" s="1">
        <f t="shared" si="194"/>
        <v>0</v>
      </c>
      <c r="J1242" s="1">
        <f t="shared" si="200"/>
        <v>7290.76</v>
      </c>
      <c r="K1242" s="9" t="e">
        <f t="shared" si="199"/>
        <v>#DIV/0!</v>
      </c>
    </row>
    <row r="1243" spans="1:11" x14ac:dyDescent="0.35">
      <c r="A1243" s="2" t="s">
        <v>141</v>
      </c>
      <c r="B1243" t="s">
        <v>156</v>
      </c>
      <c r="C1243" s="21" t="s">
        <v>275</v>
      </c>
      <c r="D1243" s="4">
        <v>10</v>
      </c>
      <c r="E1243" s="4"/>
      <c r="G1243" s="1"/>
      <c r="H1243" s="1"/>
      <c r="I1243" s="1">
        <f t="shared" si="194"/>
        <v>0</v>
      </c>
      <c r="J1243" s="1">
        <f t="shared" si="200"/>
        <v>7290.76</v>
      </c>
      <c r="K1243" s="9" t="e">
        <f t="shared" si="199"/>
        <v>#DIV/0!</v>
      </c>
    </row>
    <row r="1244" spans="1:11" x14ac:dyDescent="0.35">
      <c r="A1244" s="2" t="s">
        <v>141</v>
      </c>
      <c r="B1244" t="s">
        <v>156</v>
      </c>
      <c r="C1244" s="21" t="s">
        <v>275</v>
      </c>
      <c r="D1244" s="4">
        <v>11</v>
      </c>
      <c r="E1244" s="4"/>
      <c r="G1244" s="1"/>
      <c r="H1244" s="1"/>
      <c r="I1244" s="1">
        <f t="shared" si="194"/>
        <v>0</v>
      </c>
      <c r="J1244" s="1">
        <f t="shared" si="200"/>
        <v>7290.76</v>
      </c>
      <c r="K1244" s="9" t="e">
        <f t="shared" si="199"/>
        <v>#DIV/0!</v>
      </c>
    </row>
    <row r="1245" spans="1:11" x14ac:dyDescent="0.35">
      <c r="A1245" s="2" t="s">
        <v>141</v>
      </c>
      <c r="B1245" t="s">
        <v>156</v>
      </c>
      <c r="C1245" s="21" t="s">
        <v>275</v>
      </c>
      <c r="D1245" s="4">
        <v>12</v>
      </c>
      <c r="E1245" s="4"/>
      <c r="G1245" s="1"/>
      <c r="H1245" s="1"/>
      <c r="I1245" s="1">
        <f t="shared" si="194"/>
        <v>0</v>
      </c>
      <c r="J1245" s="1">
        <f t="shared" si="200"/>
        <v>7290.76</v>
      </c>
      <c r="K1245" s="9" t="e">
        <f t="shared" si="199"/>
        <v>#DIV/0!</v>
      </c>
    </row>
    <row r="1246" spans="1:11" x14ac:dyDescent="0.35">
      <c r="A1246" s="2" t="s">
        <v>141</v>
      </c>
      <c r="B1246" t="s">
        <v>156</v>
      </c>
      <c r="C1246" s="21" t="s">
        <v>275</v>
      </c>
      <c r="D1246" s="4">
        <v>13</v>
      </c>
      <c r="E1246" s="4"/>
      <c r="G1246" s="1"/>
      <c r="H1246" s="1"/>
      <c r="I1246" s="1">
        <f t="shared" si="194"/>
        <v>0</v>
      </c>
      <c r="J1246" s="1">
        <f t="shared" si="200"/>
        <v>7290.76</v>
      </c>
      <c r="K1246" s="9" t="e">
        <f t="shared" si="199"/>
        <v>#DIV/0!</v>
      </c>
    </row>
    <row r="1247" spans="1:11" x14ac:dyDescent="0.35">
      <c r="A1247" s="2" t="s">
        <v>141</v>
      </c>
      <c r="B1247" t="s">
        <v>156</v>
      </c>
      <c r="C1247" s="21" t="s">
        <v>275</v>
      </c>
      <c r="D1247" s="4">
        <v>14</v>
      </c>
      <c r="E1247" s="4"/>
      <c r="G1247" s="1"/>
      <c r="H1247" s="1"/>
      <c r="I1247" s="1">
        <f t="shared" si="194"/>
        <v>0</v>
      </c>
      <c r="J1247" s="1">
        <f t="shared" si="200"/>
        <v>7290.76</v>
      </c>
      <c r="K1247" s="9" t="e">
        <f t="shared" si="199"/>
        <v>#DIV/0!</v>
      </c>
    </row>
    <row r="1248" spans="1:11" x14ac:dyDescent="0.35">
      <c r="A1248" s="2" t="s">
        <v>141</v>
      </c>
      <c r="B1248" t="s">
        <v>156</v>
      </c>
      <c r="C1248" s="21" t="s">
        <v>275</v>
      </c>
      <c r="D1248" s="4">
        <v>15</v>
      </c>
      <c r="E1248" s="4"/>
      <c r="G1248" s="1"/>
      <c r="H1248" s="1"/>
      <c r="I1248" s="1">
        <f t="shared" si="194"/>
        <v>0</v>
      </c>
      <c r="J1248" s="1">
        <f t="shared" si="200"/>
        <v>7290.76</v>
      </c>
      <c r="K1248" s="9" t="e">
        <f t="shared" si="199"/>
        <v>#DIV/0!</v>
      </c>
    </row>
    <row r="1249" spans="1:11" ht="15" thickBot="1" x14ac:dyDescent="0.4">
      <c r="A1249" s="12" t="s">
        <v>141</v>
      </c>
      <c r="B1249" s="13" t="s">
        <v>156</v>
      </c>
      <c r="C1249" s="21" t="s">
        <v>275</v>
      </c>
      <c r="D1249" s="14">
        <v>16</v>
      </c>
      <c r="E1249" s="14"/>
      <c r="F1249" s="13"/>
      <c r="G1249" s="15"/>
      <c r="H1249" s="15"/>
      <c r="I1249" s="15">
        <f t="shared" si="194"/>
        <v>0</v>
      </c>
      <c r="J1249" s="15">
        <f t="shared" si="200"/>
        <v>7290.76</v>
      </c>
      <c r="K1249" s="13"/>
    </row>
    <row r="1250" spans="1:11" x14ac:dyDescent="0.35">
      <c r="A1250" s="2" t="s">
        <v>142</v>
      </c>
      <c r="B1250" t="s">
        <v>157</v>
      </c>
      <c r="C1250" s="21" t="s">
        <v>275</v>
      </c>
      <c r="D1250" s="4">
        <v>1</v>
      </c>
      <c r="E1250" s="4"/>
      <c r="F1250" s="3">
        <v>45918</v>
      </c>
      <c r="G1250" s="1">
        <v>4561</v>
      </c>
      <c r="H1250" s="1">
        <v>4561</v>
      </c>
      <c r="I1250" s="1">
        <f t="shared" si="194"/>
        <v>0</v>
      </c>
      <c r="J1250" s="1">
        <f>I1250</f>
        <v>0</v>
      </c>
      <c r="K1250" s="9">
        <f t="shared" ref="K1250:K1264" si="201">I1250/H1250</f>
        <v>0</v>
      </c>
    </row>
    <row r="1251" spans="1:11" x14ac:dyDescent="0.35">
      <c r="A1251" s="2" t="s">
        <v>142</v>
      </c>
      <c r="B1251" t="s">
        <v>157</v>
      </c>
      <c r="C1251" s="21" t="s">
        <v>275</v>
      </c>
      <c r="D1251" s="4">
        <v>2</v>
      </c>
      <c r="E1251" s="4"/>
      <c r="F1251" s="3">
        <v>45925</v>
      </c>
      <c r="G1251" s="1">
        <v>4561</v>
      </c>
      <c r="H1251" s="1">
        <v>4561</v>
      </c>
      <c r="I1251" s="1">
        <f t="shared" si="194"/>
        <v>0</v>
      </c>
      <c r="J1251" s="1">
        <f>J1250+I1251</f>
        <v>0</v>
      </c>
      <c r="K1251" s="9">
        <f t="shared" si="201"/>
        <v>0</v>
      </c>
    </row>
    <row r="1252" spans="1:11" x14ac:dyDescent="0.35">
      <c r="A1252" s="2" t="s">
        <v>142</v>
      </c>
      <c r="B1252" t="s">
        <v>157</v>
      </c>
      <c r="C1252" s="21" t="s">
        <v>275</v>
      </c>
      <c r="D1252" s="4">
        <v>3</v>
      </c>
      <c r="E1252" s="4"/>
      <c r="F1252" s="3">
        <v>45932</v>
      </c>
      <c r="G1252" s="1">
        <v>4829</v>
      </c>
      <c r="H1252" s="1">
        <v>4561</v>
      </c>
      <c r="I1252" s="1">
        <f t="shared" si="194"/>
        <v>268</v>
      </c>
      <c r="J1252" s="1">
        <f t="shared" ref="J1252:J1265" si="202">J1251+I1252</f>
        <v>268</v>
      </c>
      <c r="K1252" s="9">
        <f t="shared" si="201"/>
        <v>5.8759044069283055E-2</v>
      </c>
    </row>
    <row r="1253" spans="1:11" x14ac:dyDescent="0.35">
      <c r="A1253" s="2" t="s">
        <v>142</v>
      </c>
      <c r="B1253" t="s">
        <v>157</v>
      </c>
      <c r="C1253" s="21" t="s">
        <v>275</v>
      </c>
      <c r="D1253" s="4">
        <v>4</v>
      </c>
      <c r="E1253" s="4"/>
      <c r="F1253" s="3">
        <v>45939</v>
      </c>
      <c r="G1253" s="1">
        <v>4636</v>
      </c>
      <c r="H1253" s="1">
        <v>4560</v>
      </c>
      <c r="I1253" s="1">
        <f t="shared" si="194"/>
        <v>76</v>
      </c>
      <c r="J1253" s="1">
        <f t="shared" si="202"/>
        <v>344</v>
      </c>
      <c r="K1253" s="9">
        <f t="shared" si="201"/>
        <v>1.6666666666666666E-2</v>
      </c>
    </row>
    <row r="1254" spans="1:11" x14ac:dyDescent="0.35">
      <c r="A1254" s="2" t="s">
        <v>142</v>
      </c>
      <c r="B1254" t="s">
        <v>157</v>
      </c>
      <c r="C1254" s="21" t="s">
        <v>275</v>
      </c>
      <c r="D1254" s="4">
        <v>5</v>
      </c>
      <c r="E1254" s="4"/>
      <c r="F1254" s="3">
        <v>45946</v>
      </c>
      <c r="G1254" s="1">
        <v>4636</v>
      </c>
      <c r="H1254" s="1">
        <v>4560</v>
      </c>
      <c r="I1254" s="1">
        <f t="shared" ref="I1254:I1333" si="203">G1254-H1254</f>
        <v>76</v>
      </c>
      <c r="J1254" s="1">
        <f t="shared" si="202"/>
        <v>420</v>
      </c>
      <c r="K1254" s="9">
        <f t="shared" si="201"/>
        <v>1.6666666666666666E-2</v>
      </c>
    </row>
    <row r="1255" spans="1:11" x14ac:dyDescent="0.35">
      <c r="A1255" s="2" t="s">
        <v>142</v>
      </c>
      <c r="B1255" t="s">
        <v>157</v>
      </c>
      <c r="C1255" s="21" t="s">
        <v>275</v>
      </c>
      <c r="D1255" s="4">
        <v>6</v>
      </c>
      <c r="E1255" s="4"/>
      <c r="F1255" s="3">
        <v>45953</v>
      </c>
      <c r="G1255" s="1">
        <v>4676</v>
      </c>
      <c r="H1255" s="1">
        <v>4560</v>
      </c>
      <c r="I1255" s="1">
        <f t="shared" si="203"/>
        <v>116</v>
      </c>
      <c r="J1255" s="1">
        <f t="shared" si="202"/>
        <v>536</v>
      </c>
      <c r="K1255" s="9">
        <f t="shared" si="201"/>
        <v>2.5438596491228069E-2</v>
      </c>
    </row>
    <row r="1256" spans="1:11" x14ac:dyDescent="0.35">
      <c r="A1256" s="2" t="s">
        <v>142</v>
      </c>
      <c r="B1256" t="s">
        <v>157</v>
      </c>
      <c r="C1256" s="21" t="s">
        <v>275</v>
      </c>
      <c r="D1256" s="4">
        <v>7</v>
      </c>
      <c r="E1256" s="4"/>
      <c r="F1256" s="3">
        <v>45960</v>
      </c>
      <c r="G1256" s="1">
        <v>4636</v>
      </c>
      <c r="H1256" s="1">
        <v>4560</v>
      </c>
      <c r="I1256" s="1">
        <f t="shared" si="203"/>
        <v>76</v>
      </c>
      <c r="J1256" s="1">
        <f t="shared" si="202"/>
        <v>612</v>
      </c>
      <c r="K1256" s="9">
        <f t="shared" si="201"/>
        <v>1.6666666666666666E-2</v>
      </c>
    </row>
    <row r="1257" spans="1:11" x14ac:dyDescent="0.35">
      <c r="A1257" s="2" t="s">
        <v>142</v>
      </c>
      <c r="B1257" t="s">
        <v>157</v>
      </c>
      <c r="C1257" s="21" t="s">
        <v>275</v>
      </c>
      <c r="D1257" s="4">
        <v>8</v>
      </c>
      <c r="E1257" s="4"/>
      <c r="F1257" s="3">
        <v>45967</v>
      </c>
      <c r="G1257" s="1">
        <v>4636</v>
      </c>
      <c r="H1257" s="1">
        <v>4560</v>
      </c>
      <c r="I1257" s="1">
        <f t="shared" si="203"/>
        <v>76</v>
      </c>
      <c r="J1257" s="1">
        <f t="shared" si="202"/>
        <v>688</v>
      </c>
      <c r="K1257" s="9">
        <f t="shared" si="201"/>
        <v>1.6666666666666666E-2</v>
      </c>
    </row>
    <row r="1258" spans="1:11" x14ac:dyDescent="0.35">
      <c r="A1258" s="2" t="s">
        <v>142</v>
      </c>
      <c r="B1258" t="s">
        <v>157</v>
      </c>
      <c r="C1258" s="21" t="s">
        <v>275</v>
      </c>
      <c r="D1258" s="4">
        <v>9</v>
      </c>
      <c r="E1258" s="4"/>
      <c r="F1258" s="3"/>
      <c r="G1258" s="1"/>
      <c r="H1258" s="1"/>
      <c r="I1258" s="1">
        <f t="shared" si="203"/>
        <v>0</v>
      </c>
      <c r="J1258" s="1">
        <f t="shared" si="202"/>
        <v>688</v>
      </c>
      <c r="K1258" s="9" t="e">
        <f t="shared" si="201"/>
        <v>#DIV/0!</v>
      </c>
    </row>
    <row r="1259" spans="1:11" x14ac:dyDescent="0.35">
      <c r="A1259" s="2" t="s">
        <v>142</v>
      </c>
      <c r="B1259" t="s">
        <v>157</v>
      </c>
      <c r="C1259" s="21" t="s">
        <v>275</v>
      </c>
      <c r="D1259" s="4">
        <v>10</v>
      </c>
      <c r="E1259" s="4"/>
      <c r="G1259" s="1"/>
      <c r="H1259" s="1"/>
      <c r="I1259" s="1">
        <f t="shared" si="203"/>
        <v>0</v>
      </c>
      <c r="J1259" s="1">
        <f t="shared" si="202"/>
        <v>688</v>
      </c>
      <c r="K1259" s="9" t="e">
        <f t="shared" si="201"/>
        <v>#DIV/0!</v>
      </c>
    </row>
    <row r="1260" spans="1:11" x14ac:dyDescent="0.35">
      <c r="A1260" s="2" t="s">
        <v>142</v>
      </c>
      <c r="B1260" t="s">
        <v>157</v>
      </c>
      <c r="C1260" s="21" t="s">
        <v>275</v>
      </c>
      <c r="D1260" s="4">
        <v>11</v>
      </c>
      <c r="E1260" s="4"/>
      <c r="G1260" s="1"/>
      <c r="H1260" s="1"/>
      <c r="I1260" s="1">
        <f t="shared" si="203"/>
        <v>0</v>
      </c>
      <c r="J1260" s="1">
        <f t="shared" si="202"/>
        <v>688</v>
      </c>
      <c r="K1260" s="9" t="e">
        <f t="shared" si="201"/>
        <v>#DIV/0!</v>
      </c>
    </row>
    <row r="1261" spans="1:11" x14ac:dyDescent="0.35">
      <c r="A1261" s="2" t="s">
        <v>142</v>
      </c>
      <c r="B1261" t="s">
        <v>157</v>
      </c>
      <c r="C1261" s="21" t="s">
        <v>275</v>
      </c>
      <c r="D1261" s="4">
        <v>12</v>
      </c>
      <c r="E1261" s="4"/>
      <c r="G1261" s="1"/>
      <c r="H1261" s="1"/>
      <c r="I1261" s="1">
        <f t="shared" si="203"/>
        <v>0</v>
      </c>
      <c r="J1261" s="1">
        <f t="shared" si="202"/>
        <v>688</v>
      </c>
      <c r="K1261" s="9" t="e">
        <f t="shared" si="201"/>
        <v>#DIV/0!</v>
      </c>
    </row>
    <row r="1262" spans="1:11" x14ac:dyDescent="0.35">
      <c r="A1262" s="2" t="s">
        <v>142</v>
      </c>
      <c r="B1262" t="s">
        <v>157</v>
      </c>
      <c r="C1262" s="21" t="s">
        <v>275</v>
      </c>
      <c r="D1262" s="4">
        <v>13</v>
      </c>
      <c r="E1262" s="4"/>
      <c r="G1262" s="1"/>
      <c r="H1262" s="1"/>
      <c r="I1262" s="1">
        <f t="shared" si="203"/>
        <v>0</v>
      </c>
      <c r="J1262" s="1">
        <f t="shared" si="202"/>
        <v>688</v>
      </c>
      <c r="K1262" s="9" t="e">
        <f t="shared" si="201"/>
        <v>#DIV/0!</v>
      </c>
    </row>
    <row r="1263" spans="1:11" x14ac:dyDescent="0.35">
      <c r="A1263" s="2" t="s">
        <v>142</v>
      </c>
      <c r="B1263" t="s">
        <v>157</v>
      </c>
      <c r="C1263" s="21" t="s">
        <v>275</v>
      </c>
      <c r="D1263" s="4">
        <v>14</v>
      </c>
      <c r="E1263" s="4"/>
      <c r="G1263" s="1"/>
      <c r="H1263" s="1"/>
      <c r="I1263" s="1">
        <f t="shared" si="203"/>
        <v>0</v>
      </c>
      <c r="J1263" s="1">
        <f t="shared" si="202"/>
        <v>688</v>
      </c>
      <c r="K1263" s="9" t="e">
        <f t="shared" si="201"/>
        <v>#DIV/0!</v>
      </c>
    </row>
    <row r="1264" spans="1:11" x14ac:dyDescent="0.35">
      <c r="A1264" s="2" t="s">
        <v>142</v>
      </c>
      <c r="B1264" t="s">
        <v>157</v>
      </c>
      <c r="C1264" s="21" t="s">
        <v>275</v>
      </c>
      <c r="D1264" s="4">
        <v>15</v>
      </c>
      <c r="E1264" s="4"/>
      <c r="G1264" s="1"/>
      <c r="H1264" s="1"/>
      <c r="I1264" s="1">
        <f t="shared" si="203"/>
        <v>0</v>
      </c>
      <c r="J1264" s="1">
        <f t="shared" si="202"/>
        <v>688</v>
      </c>
      <c r="K1264" s="9" t="e">
        <f t="shared" si="201"/>
        <v>#DIV/0!</v>
      </c>
    </row>
    <row r="1265" spans="1:11" ht="15" thickBot="1" x14ac:dyDescent="0.4">
      <c r="A1265" s="12" t="s">
        <v>142</v>
      </c>
      <c r="B1265" s="13" t="s">
        <v>157</v>
      </c>
      <c r="C1265" s="21" t="s">
        <v>275</v>
      </c>
      <c r="D1265" s="14">
        <v>16</v>
      </c>
      <c r="E1265" s="14"/>
      <c r="F1265" s="13"/>
      <c r="G1265" s="15"/>
      <c r="H1265" s="15"/>
      <c r="I1265" s="15">
        <f t="shared" si="203"/>
        <v>0</v>
      </c>
      <c r="J1265" s="15">
        <f t="shared" si="202"/>
        <v>688</v>
      </c>
      <c r="K1265" s="13"/>
    </row>
    <row r="1266" spans="1:11" x14ac:dyDescent="0.35">
      <c r="A1266" s="2" t="s">
        <v>143</v>
      </c>
      <c r="B1266" t="s">
        <v>158</v>
      </c>
      <c r="C1266" s="21" t="s">
        <v>275</v>
      </c>
      <c r="D1266" s="4">
        <v>1</v>
      </c>
      <c r="E1266" s="4"/>
      <c r="F1266" s="3">
        <v>45919</v>
      </c>
      <c r="G1266" s="1">
        <v>12369</v>
      </c>
      <c r="H1266" s="1">
        <v>11780.1</v>
      </c>
      <c r="I1266" s="1">
        <f t="shared" si="203"/>
        <v>588.89999999999964</v>
      </c>
      <c r="J1266" s="1">
        <f>I1266</f>
        <v>588.89999999999964</v>
      </c>
      <c r="K1266" s="9">
        <f t="shared" ref="K1266:K1280" si="204">I1266/H1266</f>
        <v>4.99910866631013E-2</v>
      </c>
    </row>
    <row r="1267" spans="1:11" x14ac:dyDescent="0.35">
      <c r="A1267" s="2" t="s">
        <v>143</v>
      </c>
      <c r="B1267" t="s">
        <v>158</v>
      </c>
      <c r="C1267" s="21" t="s">
        <v>275</v>
      </c>
      <c r="D1267" s="4">
        <v>2</v>
      </c>
      <c r="E1267" s="4"/>
      <c r="F1267" s="3">
        <v>45926</v>
      </c>
      <c r="G1267" s="1">
        <v>12377</v>
      </c>
      <c r="H1267" s="1">
        <v>11780.1</v>
      </c>
      <c r="I1267" s="1">
        <f t="shared" si="203"/>
        <v>596.89999999999964</v>
      </c>
      <c r="J1267" s="1">
        <f>J1266+I1267</f>
        <v>1185.7999999999993</v>
      </c>
      <c r="K1267" s="9">
        <f t="shared" si="204"/>
        <v>5.0670198045856964E-2</v>
      </c>
    </row>
    <row r="1268" spans="1:11" x14ac:dyDescent="0.35">
      <c r="A1268" s="2" t="s">
        <v>143</v>
      </c>
      <c r="B1268" t="s">
        <v>158</v>
      </c>
      <c r="C1268" s="21" t="s">
        <v>275</v>
      </c>
      <c r="D1268" s="4">
        <v>3</v>
      </c>
      <c r="E1268" s="4"/>
      <c r="F1268" s="3">
        <v>45932</v>
      </c>
      <c r="G1268" s="1">
        <v>12369</v>
      </c>
      <c r="H1268" s="1">
        <v>11780.1</v>
      </c>
      <c r="I1268" s="1">
        <f t="shared" si="203"/>
        <v>588.89999999999964</v>
      </c>
      <c r="J1268" s="1">
        <f t="shared" ref="J1268:J1281" si="205">J1267+I1268</f>
        <v>1774.6999999999989</v>
      </c>
      <c r="K1268" s="9">
        <f t="shared" si="204"/>
        <v>4.99910866631013E-2</v>
      </c>
    </row>
    <row r="1269" spans="1:11" x14ac:dyDescent="0.35">
      <c r="A1269" s="2" t="s">
        <v>143</v>
      </c>
      <c r="B1269" t="s">
        <v>158</v>
      </c>
      <c r="C1269" s="21" t="s">
        <v>275</v>
      </c>
      <c r="D1269" s="4">
        <v>4</v>
      </c>
      <c r="E1269" s="4"/>
      <c r="F1269" s="3">
        <v>45939</v>
      </c>
      <c r="G1269" s="1">
        <v>12369</v>
      </c>
      <c r="H1269" s="1">
        <v>11780.1</v>
      </c>
      <c r="I1269" s="1">
        <f t="shared" si="203"/>
        <v>588.89999999999964</v>
      </c>
      <c r="J1269" s="1">
        <f t="shared" si="205"/>
        <v>2363.5999999999985</v>
      </c>
      <c r="K1269" s="9">
        <f t="shared" si="204"/>
        <v>4.99910866631013E-2</v>
      </c>
    </row>
    <row r="1270" spans="1:11" x14ac:dyDescent="0.35">
      <c r="A1270" s="2" t="s">
        <v>143</v>
      </c>
      <c r="B1270" t="s">
        <v>158</v>
      </c>
      <c r="C1270" s="21" t="s">
        <v>275</v>
      </c>
      <c r="D1270" s="4">
        <v>5</v>
      </c>
      <c r="E1270" s="4"/>
      <c r="F1270" s="3">
        <v>45947</v>
      </c>
      <c r="G1270" s="1">
        <v>12369</v>
      </c>
      <c r="H1270" s="1">
        <v>11780.1</v>
      </c>
      <c r="I1270" s="1">
        <f t="shared" si="203"/>
        <v>588.89999999999964</v>
      </c>
      <c r="J1270" s="1">
        <f t="shared" si="205"/>
        <v>2952.4999999999982</v>
      </c>
      <c r="K1270" s="9">
        <f t="shared" si="204"/>
        <v>4.99910866631013E-2</v>
      </c>
    </row>
    <row r="1271" spans="1:11" x14ac:dyDescent="0.35">
      <c r="A1271" s="2" t="s">
        <v>143</v>
      </c>
      <c r="B1271" t="s">
        <v>158</v>
      </c>
      <c r="C1271" s="21" t="s">
        <v>275</v>
      </c>
      <c r="D1271" s="4">
        <v>6</v>
      </c>
      <c r="E1271" s="4"/>
      <c r="F1271" s="3">
        <v>45954</v>
      </c>
      <c r="G1271" s="1">
        <v>12369</v>
      </c>
      <c r="H1271" s="1">
        <v>11780.1</v>
      </c>
      <c r="I1271" s="1">
        <f t="shared" si="203"/>
        <v>588.89999999999964</v>
      </c>
      <c r="J1271" s="1">
        <f t="shared" si="205"/>
        <v>3541.3999999999978</v>
      </c>
      <c r="K1271" s="9">
        <f t="shared" si="204"/>
        <v>4.99910866631013E-2</v>
      </c>
    </row>
    <row r="1272" spans="1:11" x14ac:dyDescent="0.35">
      <c r="A1272" s="2" t="s">
        <v>143</v>
      </c>
      <c r="B1272" t="s">
        <v>158</v>
      </c>
      <c r="C1272" s="21" t="s">
        <v>275</v>
      </c>
      <c r="D1272" s="4">
        <v>7</v>
      </c>
      <c r="E1272" s="4"/>
      <c r="F1272" s="3">
        <v>45961</v>
      </c>
      <c r="G1272" s="1">
        <v>12369</v>
      </c>
      <c r="H1272" s="1">
        <v>11780.1</v>
      </c>
      <c r="I1272" s="1">
        <f t="shared" si="203"/>
        <v>588.89999999999964</v>
      </c>
      <c r="J1272" s="1">
        <f t="shared" si="205"/>
        <v>4130.2999999999975</v>
      </c>
      <c r="K1272" s="9">
        <f t="shared" si="204"/>
        <v>4.99910866631013E-2</v>
      </c>
    </row>
    <row r="1273" spans="1:11" x14ac:dyDescent="0.35">
      <c r="A1273" s="2" t="s">
        <v>143</v>
      </c>
      <c r="B1273" t="s">
        <v>158</v>
      </c>
      <c r="C1273" s="21" t="s">
        <v>275</v>
      </c>
      <c r="D1273" s="4">
        <v>8</v>
      </c>
      <c r="E1273" s="4"/>
      <c r="G1273" s="1"/>
      <c r="H1273" s="1"/>
      <c r="I1273" s="1">
        <f t="shared" si="203"/>
        <v>0</v>
      </c>
      <c r="J1273" s="1">
        <f t="shared" si="205"/>
        <v>4130.2999999999975</v>
      </c>
      <c r="K1273" s="9" t="e">
        <f t="shared" si="204"/>
        <v>#DIV/0!</v>
      </c>
    </row>
    <row r="1274" spans="1:11" x14ac:dyDescent="0.35">
      <c r="A1274" s="2" t="s">
        <v>143</v>
      </c>
      <c r="B1274" t="s">
        <v>158</v>
      </c>
      <c r="C1274" s="21" t="s">
        <v>275</v>
      </c>
      <c r="D1274" s="4">
        <v>9</v>
      </c>
      <c r="E1274" s="4"/>
      <c r="G1274" s="1"/>
      <c r="H1274" s="1"/>
      <c r="I1274" s="1">
        <f t="shared" si="203"/>
        <v>0</v>
      </c>
      <c r="J1274" s="1">
        <f t="shared" si="205"/>
        <v>4130.2999999999975</v>
      </c>
      <c r="K1274" s="9" t="e">
        <f t="shared" si="204"/>
        <v>#DIV/0!</v>
      </c>
    </row>
    <row r="1275" spans="1:11" x14ac:dyDescent="0.35">
      <c r="A1275" s="2" t="s">
        <v>143</v>
      </c>
      <c r="B1275" t="s">
        <v>158</v>
      </c>
      <c r="C1275" s="21" t="s">
        <v>275</v>
      </c>
      <c r="D1275" s="4">
        <v>10</v>
      </c>
      <c r="E1275" s="4"/>
      <c r="G1275" s="1"/>
      <c r="H1275" s="1"/>
      <c r="I1275" s="1">
        <f t="shared" si="203"/>
        <v>0</v>
      </c>
      <c r="J1275" s="1">
        <f t="shared" si="205"/>
        <v>4130.2999999999975</v>
      </c>
      <c r="K1275" s="9" t="e">
        <f t="shared" si="204"/>
        <v>#DIV/0!</v>
      </c>
    </row>
    <row r="1276" spans="1:11" x14ac:dyDescent="0.35">
      <c r="A1276" s="2" t="s">
        <v>143</v>
      </c>
      <c r="B1276" t="s">
        <v>158</v>
      </c>
      <c r="C1276" s="21" t="s">
        <v>275</v>
      </c>
      <c r="D1276" s="4">
        <v>11</v>
      </c>
      <c r="E1276" s="4"/>
      <c r="G1276" s="1"/>
      <c r="H1276" s="1"/>
      <c r="I1276" s="1">
        <f t="shared" si="203"/>
        <v>0</v>
      </c>
      <c r="J1276" s="1">
        <f t="shared" si="205"/>
        <v>4130.2999999999975</v>
      </c>
      <c r="K1276" s="9" t="e">
        <f t="shared" si="204"/>
        <v>#DIV/0!</v>
      </c>
    </row>
    <row r="1277" spans="1:11" x14ac:dyDescent="0.35">
      <c r="A1277" s="2" t="s">
        <v>143</v>
      </c>
      <c r="B1277" t="s">
        <v>158</v>
      </c>
      <c r="C1277" s="21" t="s">
        <v>275</v>
      </c>
      <c r="D1277" s="4">
        <v>12</v>
      </c>
      <c r="E1277" s="4"/>
      <c r="G1277" s="1"/>
      <c r="H1277" s="1"/>
      <c r="I1277" s="1">
        <f t="shared" si="203"/>
        <v>0</v>
      </c>
      <c r="J1277" s="1">
        <f t="shared" si="205"/>
        <v>4130.2999999999975</v>
      </c>
      <c r="K1277" s="9" t="e">
        <f t="shared" si="204"/>
        <v>#DIV/0!</v>
      </c>
    </row>
    <row r="1278" spans="1:11" x14ac:dyDescent="0.35">
      <c r="A1278" s="2" t="s">
        <v>143</v>
      </c>
      <c r="B1278" t="s">
        <v>158</v>
      </c>
      <c r="C1278" s="21" t="s">
        <v>275</v>
      </c>
      <c r="D1278" s="4">
        <v>13</v>
      </c>
      <c r="E1278" s="4"/>
      <c r="G1278" s="1"/>
      <c r="H1278" s="1"/>
      <c r="I1278" s="1">
        <f t="shared" si="203"/>
        <v>0</v>
      </c>
      <c r="J1278" s="1">
        <f t="shared" si="205"/>
        <v>4130.2999999999975</v>
      </c>
      <c r="K1278" s="9" t="e">
        <f t="shared" si="204"/>
        <v>#DIV/0!</v>
      </c>
    </row>
    <row r="1279" spans="1:11" x14ac:dyDescent="0.35">
      <c r="A1279" s="2" t="s">
        <v>143</v>
      </c>
      <c r="B1279" t="s">
        <v>158</v>
      </c>
      <c r="C1279" s="21" t="s">
        <v>275</v>
      </c>
      <c r="D1279" s="4">
        <v>14</v>
      </c>
      <c r="E1279" s="4"/>
      <c r="G1279" s="1"/>
      <c r="H1279" s="1"/>
      <c r="I1279" s="1">
        <f t="shared" si="203"/>
        <v>0</v>
      </c>
      <c r="J1279" s="1">
        <f t="shared" si="205"/>
        <v>4130.2999999999975</v>
      </c>
      <c r="K1279" s="9" t="e">
        <f t="shared" si="204"/>
        <v>#DIV/0!</v>
      </c>
    </row>
    <row r="1280" spans="1:11" x14ac:dyDescent="0.35">
      <c r="A1280" s="2" t="s">
        <v>143</v>
      </c>
      <c r="B1280" t="s">
        <v>158</v>
      </c>
      <c r="C1280" s="21" t="s">
        <v>275</v>
      </c>
      <c r="D1280" s="4">
        <v>15</v>
      </c>
      <c r="E1280" s="4"/>
      <c r="G1280" s="1"/>
      <c r="H1280" s="1"/>
      <c r="I1280" s="1">
        <f t="shared" si="203"/>
        <v>0</v>
      </c>
      <c r="J1280" s="1">
        <f t="shared" si="205"/>
        <v>4130.2999999999975</v>
      </c>
      <c r="K1280" s="9" t="e">
        <f t="shared" si="204"/>
        <v>#DIV/0!</v>
      </c>
    </row>
    <row r="1281" spans="1:11" ht="15" thickBot="1" x14ac:dyDescent="0.4">
      <c r="A1281" s="12" t="s">
        <v>143</v>
      </c>
      <c r="B1281" s="13" t="s">
        <v>158</v>
      </c>
      <c r="C1281" s="21" t="s">
        <v>275</v>
      </c>
      <c r="D1281" s="14">
        <v>16</v>
      </c>
      <c r="E1281" s="14"/>
      <c r="F1281" s="13"/>
      <c r="G1281" s="15"/>
      <c r="H1281" s="15"/>
      <c r="I1281" s="15">
        <f t="shared" si="203"/>
        <v>0</v>
      </c>
      <c r="J1281" s="15">
        <f t="shared" si="205"/>
        <v>4130.2999999999975</v>
      </c>
      <c r="K1281" s="13"/>
    </row>
    <row r="1282" spans="1:11" x14ac:dyDescent="0.35">
      <c r="A1282" s="2" t="s">
        <v>144</v>
      </c>
      <c r="B1282" t="s">
        <v>94</v>
      </c>
      <c r="C1282" s="21" t="s">
        <v>275</v>
      </c>
      <c r="D1282" s="4">
        <v>1</v>
      </c>
      <c r="E1282" s="4"/>
      <c r="F1282" s="3">
        <v>45923</v>
      </c>
      <c r="G1282" s="1">
        <v>5506</v>
      </c>
      <c r="H1282" s="1">
        <v>5245</v>
      </c>
      <c r="I1282" s="1">
        <f t="shared" si="203"/>
        <v>261</v>
      </c>
      <c r="J1282" s="1">
        <f>I1282</f>
        <v>261</v>
      </c>
      <c r="K1282" s="9">
        <f t="shared" ref="K1282:K1296" si="206">I1282/H1282</f>
        <v>4.9761677788369874E-2</v>
      </c>
    </row>
    <row r="1283" spans="1:11" x14ac:dyDescent="0.35">
      <c r="A1283" s="2" t="s">
        <v>144</v>
      </c>
      <c r="B1283" t="s">
        <v>94</v>
      </c>
      <c r="C1283" s="21" t="s">
        <v>275</v>
      </c>
      <c r="D1283" s="4">
        <v>2</v>
      </c>
      <c r="E1283" s="4"/>
      <c r="F1283" s="3">
        <v>45930</v>
      </c>
      <c r="G1283" s="1">
        <v>5506</v>
      </c>
      <c r="H1283" s="1">
        <v>5245</v>
      </c>
      <c r="I1283" s="1">
        <f t="shared" si="203"/>
        <v>261</v>
      </c>
      <c r="J1283" s="1">
        <f>J1282+I1283</f>
        <v>522</v>
      </c>
      <c r="K1283" s="9">
        <f t="shared" si="206"/>
        <v>4.9761677788369874E-2</v>
      </c>
    </row>
    <row r="1284" spans="1:11" x14ac:dyDescent="0.35">
      <c r="A1284" s="2" t="s">
        <v>144</v>
      </c>
      <c r="B1284" t="s">
        <v>94</v>
      </c>
      <c r="C1284" s="21" t="s">
        <v>275</v>
      </c>
      <c r="D1284" s="4">
        <v>3</v>
      </c>
      <c r="E1284" s="4"/>
      <c r="F1284" s="3">
        <v>45937</v>
      </c>
      <c r="G1284" s="1">
        <v>5506</v>
      </c>
      <c r="H1284" s="1">
        <v>5245</v>
      </c>
      <c r="I1284" s="1">
        <f t="shared" si="203"/>
        <v>261</v>
      </c>
      <c r="J1284" s="1">
        <f t="shared" ref="J1284:J1297" si="207">J1283+I1284</f>
        <v>783</v>
      </c>
      <c r="K1284" s="9">
        <f t="shared" si="206"/>
        <v>4.9761677788369874E-2</v>
      </c>
    </row>
    <row r="1285" spans="1:11" x14ac:dyDescent="0.35">
      <c r="A1285" s="2" t="s">
        <v>144</v>
      </c>
      <c r="B1285" t="s">
        <v>94</v>
      </c>
      <c r="C1285" s="21" t="s">
        <v>275</v>
      </c>
      <c r="D1285" s="4">
        <v>4</v>
      </c>
      <c r="E1285" s="4"/>
      <c r="F1285" s="3">
        <v>45944</v>
      </c>
      <c r="G1285" s="1">
        <v>5506</v>
      </c>
      <c r="H1285" s="1">
        <v>5245</v>
      </c>
      <c r="I1285" s="1">
        <f t="shared" si="203"/>
        <v>261</v>
      </c>
      <c r="J1285" s="1">
        <f t="shared" si="207"/>
        <v>1044</v>
      </c>
      <c r="K1285" s="9">
        <f t="shared" si="206"/>
        <v>4.9761677788369874E-2</v>
      </c>
    </row>
    <row r="1286" spans="1:11" x14ac:dyDescent="0.35">
      <c r="A1286" s="2" t="s">
        <v>144</v>
      </c>
      <c r="B1286" t="s">
        <v>94</v>
      </c>
      <c r="C1286" s="21" t="s">
        <v>275</v>
      </c>
      <c r="D1286" s="4">
        <v>5</v>
      </c>
      <c r="E1286" s="4"/>
      <c r="F1286" s="3">
        <v>45951</v>
      </c>
      <c r="G1286" s="1">
        <v>5506</v>
      </c>
      <c r="H1286" s="1">
        <v>5245</v>
      </c>
      <c r="I1286" s="1">
        <f t="shared" si="203"/>
        <v>261</v>
      </c>
      <c r="J1286" s="1">
        <f t="shared" si="207"/>
        <v>1305</v>
      </c>
      <c r="K1286" s="9">
        <f t="shared" si="206"/>
        <v>4.9761677788369874E-2</v>
      </c>
    </row>
    <row r="1287" spans="1:11" x14ac:dyDescent="0.35">
      <c r="A1287" s="2" t="s">
        <v>144</v>
      </c>
      <c r="B1287" t="s">
        <v>94</v>
      </c>
      <c r="C1287" s="21" t="s">
        <v>275</v>
      </c>
      <c r="D1287" s="4">
        <v>6</v>
      </c>
      <c r="E1287" s="4"/>
      <c r="F1287" s="3">
        <v>45958</v>
      </c>
      <c r="G1287" s="1">
        <v>5506</v>
      </c>
      <c r="H1287" s="1">
        <v>5245</v>
      </c>
      <c r="I1287" s="1">
        <f t="shared" si="203"/>
        <v>261</v>
      </c>
      <c r="J1287" s="1">
        <f t="shared" si="207"/>
        <v>1566</v>
      </c>
      <c r="K1287" s="9">
        <f t="shared" si="206"/>
        <v>4.9761677788369874E-2</v>
      </c>
    </row>
    <row r="1288" spans="1:11" x14ac:dyDescent="0.35">
      <c r="A1288" s="2" t="s">
        <v>144</v>
      </c>
      <c r="B1288" t="s">
        <v>94</v>
      </c>
      <c r="C1288" s="21" t="s">
        <v>275</v>
      </c>
      <c r="D1288" s="4">
        <v>7</v>
      </c>
      <c r="E1288" s="4"/>
      <c r="G1288" s="1"/>
      <c r="H1288" s="1"/>
      <c r="I1288" s="1">
        <f t="shared" si="203"/>
        <v>0</v>
      </c>
      <c r="J1288" s="1">
        <f t="shared" si="207"/>
        <v>1566</v>
      </c>
      <c r="K1288" s="9" t="e">
        <f t="shared" si="206"/>
        <v>#DIV/0!</v>
      </c>
    </row>
    <row r="1289" spans="1:11" x14ac:dyDescent="0.35">
      <c r="A1289" s="2" t="s">
        <v>144</v>
      </c>
      <c r="B1289" t="s">
        <v>94</v>
      </c>
      <c r="C1289" s="21" t="s">
        <v>275</v>
      </c>
      <c r="D1289" s="4">
        <v>8</v>
      </c>
      <c r="E1289" s="4"/>
      <c r="G1289" s="1"/>
      <c r="H1289" s="1"/>
      <c r="I1289" s="1">
        <f t="shared" si="203"/>
        <v>0</v>
      </c>
      <c r="J1289" s="1">
        <f t="shared" si="207"/>
        <v>1566</v>
      </c>
      <c r="K1289" s="9" t="e">
        <f t="shared" si="206"/>
        <v>#DIV/0!</v>
      </c>
    </row>
    <row r="1290" spans="1:11" x14ac:dyDescent="0.35">
      <c r="A1290" s="2" t="s">
        <v>144</v>
      </c>
      <c r="B1290" t="s">
        <v>94</v>
      </c>
      <c r="C1290" s="21" t="s">
        <v>275</v>
      </c>
      <c r="D1290" s="4">
        <v>9</v>
      </c>
      <c r="E1290" s="4"/>
      <c r="G1290" s="1"/>
      <c r="H1290" s="1"/>
      <c r="I1290" s="1">
        <f t="shared" si="203"/>
        <v>0</v>
      </c>
      <c r="J1290" s="1">
        <f t="shared" si="207"/>
        <v>1566</v>
      </c>
      <c r="K1290" s="9" t="e">
        <f t="shared" si="206"/>
        <v>#DIV/0!</v>
      </c>
    </row>
    <row r="1291" spans="1:11" x14ac:dyDescent="0.35">
      <c r="A1291" s="2" t="s">
        <v>144</v>
      </c>
      <c r="B1291" t="s">
        <v>94</v>
      </c>
      <c r="C1291" s="21" t="s">
        <v>275</v>
      </c>
      <c r="D1291" s="4">
        <v>10</v>
      </c>
      <c r="E1291" s="4"/>
      <c r="G1291" s="1"/>
      <c r="H1291" s="1"/>
      <c r="I1291" s="1">
        <f t="shared" si="203"/>
        <v>0</v>
      </c>
      <c r="J1291" s="1">
        <f t="shared" si="207"/>
        <v>1566</v>
      </c>
      <c r="K1291" s="9" t="e">
        <f t="shared" si="206"/>
        <v>#DIV/0!</v>
      </c>
    </row>
    <row r="1292" spans="1:11" x14ac:dyDescent="0.35">
      <c r="A1292" s="2" t="s">
        <v>144</v>
      </c>
      <c r="B1292" t="s">
        <v>94</v>
      </c>
      <c r="C1292" s="21" t="s">
        <v>275</v>
      </c>
      <c r="D1292" s="4">
        <v>11</v>
      </c>
      <c r="E1292" s="4"/>
      <c r="G1292" s="1"/>
      <c r="H1292" s="1"/>
      <c r="I1292" s="1">
        <f t="shared" si="203"/>
        <v>0</v>
      </c>
      <c r="J1292" s="1">
        <f t="shared" si="207"/>
        <v>1566</v>
      </c>
      <c r="K1292" s="9" t="e">
        <f t="shared" si="206"/>
        <v>#DIV/0!</v>
      </c>
    </row>
    <row r="1293" spans="1:11" x14ac:dyDescent="0.35">
      <c r="A1293" s="2" t="s">
        <v>144</v>
      </c>
      <c r="B1293" t="s">
        <v>94</v>
      </c>
      <c r="C1293" s="21" t="s">
        <v>275</v>
      </c>
      <c r="D1293" s="4">
        <v>12</v>
      </c>
      <c r="E1293" s="4"/>
      <c r="G1293" s="1"/>
      <c r="H1293" s="1"/>
      <c r="I1293" s="1">
        <f t="shared" si="203"/>
        <v>0</v>
      </c>
      <c r="J1293" s="1">
        <f t="shared" si="207"/>
        <v>1566</v>
      </c>
      <c r="K1293" s="9" t="e">
        <f t="shared" si="206"/>
        <v>#DIV/0!</v>
      </c>
    </row>
    <row r="1294" spans="1:11" x14ac:dyDescent="0.35">
      <c r="A1294" s="2" t="s">
        <v>144</v>
      </c>
      <c r="B1294" t="s">
        <v>94</v>
      </c>
      <c r="C1294" s="21" t="s">
        <v>275</v>
      </c>
      <c r="D1294" s="4">
        <v>13</v>
      </c>
      <c r="E1294" s="4"/>
      <c r="G1294" s="1"/>
      <c r="H1294" s="1"/>
      <c r="I1294" s="1">
        <f t="shared" si="203"/>
        <v>0</v>
      </c>
      <c r="J1294" s="1">
        <f t="shared" si="207"/>
        <v>1566</v>
      </c>
      <c r="K1294" s="9" t="e">
        <f t="shared" si="206"/>
        <v>#DIV/0!</v>
      </c>
    </row>
    <row r="1295" spans="1:11" x14ac:dyDescent="0.35">
      <c r="A1295" s="2" t="s">
        <v>144</v>
      </c>
      <c r="B1295" t="s">
        <v>94</v>
      </c>
      <c r="C1295" s="21" t="s">
        <v>275</v>
      </c>
      <c r="D1295" s="4">
        <v>14</v>
      </c>
      <c r="E1295" s="4"/>
      <c r="G1295" s="1"/>
      <c r="H1295" s="1"/>
      <c r="I1295" s="1">
        <f t="shared" si="203"/>
        <v>0</v>
      </c>
      <c r="J1295" s="1">
        <f t="shared" si="207"/>
        <v>1566</v>
      </c>
      <c r="K1295" s="9" t="e">
        <f t="shared" si="206"/>
        <v>#DIV/0!</v>
      </c>
    </row>
    <row r="1296" spans="1:11" x14ac:dyDescent="0.35">
      <c r="A1296" s="2" t="s">
        <v>144</v>
      </c>
      <c r="B1296" t="s">
        <v>94</v>
      </c>
      <c r="C1296" s="21" t="s">
        <v>275</v>
      </c>
      <c r="D1296" s="4">
        <v>15</v>
      </c>
      <c r="E1296" s="4"/>
      <c r="G1296" s="1"/>
      <c r="H1296" s="1"/>
      <c r="I1296" s="1">
        <f t="shared" si="203"/>
        <v>0</v>
      </c>
      <c r="J1296" s="1">
        <f t="shared" si="207"/>
        <v>1566</v>
      </c>
      <c r="K1296" s="9" t="e">
        <f t="shared" si="206"/>
        <v>#DIV/0!</v>
      </c>
    </row>
    <row r="1297" spans="1:11" ht="15" thickBot="1" x14ac:dyDescent="0.4">
      <c r="A1297" s="12" t="s">
        <v>144</v>
      </c>
      <c r="B1297" s="13" t="s">
        <v>94</v>
      </c>
      <c r="C1297" s="21" t="s">
        <v>275</v>
      </c>
      <c r="D1297" s="14">
        <v>16</v>
      </c>
      <c r="E1297" s="14"/>
      <c r="F1297" s="13"/>
      <c r="G1297" s="15"/>
      <c r="H1297" s="15"/>
      <c r="I1297" s="15">
        <f t="shared" si="203"/>
        <v>0</v>
      </c>
      <c r="J1297" s="15">
        <f t="shared" si="207"/>
        <v>1566</v>
      </c>
      <c r="K1297" s="13"/>
    </row>
    <row r="1298" spans="1:11" x14ac:dyDescent="0.35">
      <c r="A1298" s="2" t="s">
        <v>159</v>
      </c>
      <c r="B1298" t="s">
        <v>160</v>
      </c>
      <c r="C1298" s="21" t="s">
        <v>275</v>
      </c>
      <c r="D1298" s="4">
        <v>1</v>
      </c>
      <c r="E1298" s="4"/>
      <c r="F1298" s="3">
        <v>45924</v>
      </c>
      <c r="G1298" s="1">
        <v>3834</v>
      </c>
      <c r="H1298" s="1">
        <v>3648</v>
      </c>
      <c r="I1298" s="1">
        <f t="shared" si="203"/>
        <v>186</v>
      </c>
      <c r="J1298" s="1">
        <f>I1298</f>
        <v>186</v>
      </c>
      <c r="K1298" s="9">
        <f t="shared" ref="K1298:K1312" si="208">I1298/H1298</f>
        <v>5.0986842105263157E-2</v>
      </c>
    </row>
    <row r="1299" spans="1:11" x14ac:dyDescent="0.35">
      <c r="A1299" s="2" t="s">
        <v>159</v>
      </c>
      <c r="B1299" t="s">
        <v>160</v>
      </c>
      <c r="C1299" s="21" t="s">
        <v>275</v>
      </c>
      <c r="D1299" s="4">
        <v>2</v>
      </c>
      <c r="E1299" s="4"/>
      <c r="F1299" s="3">
        <v>45931</v>
      </c>
      <c r="G1299" s="1">
        <v>3835</v>
      </c>
      <c r="H1299" s="1">
        <v>3648</v>
      </c>
      <c r="I1299" s="1">
        <f t="shared" si="203"/>
        <v>187</v>
      </c>
      <c r="J1299" s="1">
        <f>J1298+I1299</f>
        <v>373</v>
      </c>
      <c r="K1299" s="9">
        <f t="shared" si="208"/>
        <v>5.1260964912280702E-2</v>
      </c>
    </row>
    <row r="1300" spans="1:11" x14ac:dyDescent="0.35">
      <c r="A1300" s="2" t="s">
        <v>159</v>
      </c>
      <c r="B1300" t="s">
        <v>160</v>
      </c>
      <c r="C1300" s="21" t="s">
        <v>275</v>
      </c>
      <c r="D1300" s="4">
        <v>3</v>
      </c>
      <c r="E1300" s="4"/>
      <c r="F1300" s="3">
        <v>45938</v>
      </c>
      <c r="G1300" s="1">
        <v>3834</v>
      </c>
      <c r="H1300" s="1">
        <v>3648</v>
      </c>
      <c r="I1300" s="1">
        <f t="shared" si="203"/>
        <v>186</v>
      </c>
      <c r="J1300" s="1">
        <f t="shared" ref="J1300:J1313" si="209">J1299+I1300</f>
        <v>559</v>
      </c>
      <c r="K1300" s="9">
        <f t="shared" si="208"/>
        <v>5.0986842105263157E-2</v>
      </c>
    </row>
    <row r="1301" spans="1:11" x14ac:dyDescent="0.35">
      <c r="A1301" s="2" t="s">
        <v>159</v>
      </c>
      <c r="B1301" t="s">
        <v>160</v>
      </c>
      <c r="C1301" s="21" t="s">
        <v>275</v>
      </c>
      <c r="D1301" s="4">
        <v>4</v>
      </c>
      <c r="E1301" s="4"/>
      <c r="F1301" s="3">
        <v>45945</v>
      </c>
      <c r="G1301" s="1">
        <v>3834</v>
      </c>
      <c r="H1301" s="1">
        <v>3648</v>
      </c>
      <c r="I1301" s="1">
        <f t="shared" si="203"/>
        <v>186</v>
      </c>
      <c r="J1301" s="1">
        <f t="shared" si="209"/>
        <v>745</v>
      </c>
      <c r="K1301" s="9">
        <f t="shared" si="208"/>
        <v>5.0986842105263157E-2</v>
      </c>
    </row>
    <row r="1302" spans="1:11" x14ac:dyDescent="0.35">
      <c r="A1302" s="2" t="s">
        <v>159</v>
      </c>
      <c r="B1302" t="s">
        <v>160</v>
      </c>
      <c r="C1302" s="21" t="s">
        <v>275</v>
      </c>
      <c r="D1302" s="4">
        <v>5</v>
      </c>
      <c r="E1302" s="4"/>
      <c r="F1302" s="3">
        <v>45952</v>
      </c>
      <c r="G1302" s="1">
        <v>3834</v>
      </c>
      <c r="H1302" s="1">
        <v>3648</v>
      </c>
      <c r="I1302" s="1">
        <f t="shared" si="203"/>
        <v>186</v>
      </c>
      <c r="J1302" s="1">
        <f t="shared" si="209"/>
        <v>931</v>
      </c>
      <c r="K1302" s="9">
        <f t="shared" si="208"/>
        <v>5.0986842105263157E-2</v>
      </c>
    </row>
    <row r="1303" spans="1:11" x14ac:dyDescent="0.35">
      <c r="A1303" s="2" t="s">
        <v>159</v>
      </c>
      <c r="B1303" t="s">
        <v>160</v>
      </c>
      <c r="C1303" s="21" t="s">
        <v>275</v>
      </c>
      <c r="D1303" s="4">
        <v>6</v>
      </c>
      <c r="E1303" s="4"/>
      <c r="F1303" s="3">
        <v>45959</v>
      </c>
      <c r="G1303" s="1">
        <v>3834</v>
      </c>
      <c r="H1303" s="1">
        <v>3648</v>
      </c>
      <c r="I1303" s="1">
        <f t="shared" si="203"/>
        <v>186</v>
      </c>
      <c r="J1303" s="1">
        <f t="shared" si="209"/>
        <v>1117</v>
      </c>
      <c r="K1303" s="9">
        <f t="shared" si="208"/>
        <v>5.0986842105263157E-2</v>
      </c>
    </row>
    <row r="1304" spans="1:11" x14ac:dyDescent="0.35">
      <c r="A1304" s="2" t="s">
        <v>159</v>
      </c>
      <c r="B1304" t="s">
        <v>160</v>
      </c>
      <c r="C1304" s="21" t="s">
        <v>275</v>
      </c>
      <c r="D1304" s="4">
        <v>7</v>
      </c>
      <c r="E1304" s="4"/>
      <c r="F1304" s="3">
        <v>45966</v>
      </c>
      <c r="G1304" s="1">
        <v>3834</v>
      </c>
      <c r="H1304" s="1">
        <v>3648</v>
      </c>
      <c r="I1304" s="1">
        <f t="shared" si="203"/>
        <v>186</v>
      </c>
      <c r="J1304" s="1">
        <f t="shared" si="209"/>
        <v>1303</v>
      </c>
      <c r="K1304" s="9">
        <f t="shared" si="208"/>
        <v>5.0986842105263157E-2</v>
      </c>
    </row>
    <row r="1305" spans="1:11" x14ac:dyDescent="0.35">
      <c r="A1305" s="2" t="s">
        <v>159</v>
      </c>
      <c r="B1305" t="s">
        <v>160</v>
      </c>
      <c r="C1305" s="21" t="s">
        <v>275</v>
      </c>
      <c r="D1305" s="4">
        <v>8</v>
      </c>
      <c r="E1305" s="4"/>
      <c r="G1305" s="1"/>
      <c r="H1305" s="1"/>
      <c r="I1305" s="1">
        <f t="shared" si="203"/>
        <v>0</v>
      </c>
      <c r="J1305" s="1">
        <f t="shared" si="209"/>
        <v>1303</v>
      </c>
      <c r="K1305" s="9" t="e">
        <f t="shared" si="208"/>
        <v>#DIV/0!</v>
      </c>
    </row>
    <row r="1306" spans="1:11" x14ac:dyDescent="0.35">
      <c r="A1306" s="2" t="s">
        <v>159</v>
      </c>
      <c r="B1306" t="s">
        <v>160</v>
      </c>
      <c r="C1306" s="21" t="s">
        <v>275</v>
      </c>
      <c r="D1306" s="4">
        <v>9</v>
      </c>
      <c r="E1306" s="4"/>
      <c r="G1306" s="1"/>
      <c r="H1306" s="1"/>
      <c r="I1306" s="1">
        <f t="shared" si="203"/>
        <v>0</v>
      </c>
      <c r="J1306" s="1">
        <f t="shared" si="209"/>
        <v>1303</v>
      </c>
      <c r="K1306" s="9" t="e">
        <f t="shared" si="208"/>
        <v>#DIV/0!</v>
      </c>
    </row>
    <row r="1307" spans="1:11" x14ac:dyDescent="0.35">
      <c r="A1307" s="2" t="s">
        <v>159</v>
      </c>
      <c r="B1307" t="s">
        <v>160</v>
      </c>
      <c r="C1307" s="21" t="s">
        <v>275</v>
      </c>
      <c r="D1307" s="4">
        <v>10</v>
      </c>
      <c r="E1307" s="4"/>
      <c r="G1307" s="1"/>
      <c r="H1307" s="1"/>
      <c r="I1307" s="1">
        <f t="shared" si="203"/>
        <v>0</v>
      </c>
      <c r="J1307" s="1">
        <f t="shared" si="209"/>
        <v>1303</v>
      </c>
      <c r="K1307" s="9" t="e">
        <f t="shared" si="208"/>
        <v>#DIV/0!</v>
      </c>
    </row>
    <row r="1308" spans="1:11" x14ac:dyDescent="0.35">
      <c r="A1308" s="2" t="s">
        <v>159</v>
      </c>
      <c r="B1308" t="s">
        <v>160</v>
      </c>
      <c r="C1308" s="21" t="s">
        <v>275</v>
      </c>
      <c r="D1308" s="4">
        <v>11</v>
      </c>
      <c r="E1308" s="4"/>
      <c r="G1308" s="1"/>
      <c r="H1308" s="1"/>
      <c r="I1308" s="1">
        <f t="shared" si="203"/>
        <v>0</v>
      </c>
      <c r="J1308" s="1">
        <f t="shared" si="209"/>
        <v>1303</v>
      </c>
      <c r="K1308" s="9" t="e">
        <f t="shared" si="208"/>
        <v>#DIV/0!</v>
      </c>
    </row>
    <row r="1309" spans="1:11" x14ac:dyDescent="0.35">
      <c r="A1309" s="2" t="s">
        <v>159</v>
      </c>
      <c r="B1309" t="s">
        <v>160</v>
      </c>
      <c r="C1309" s="21" t="s">
        <v>275</v>
      </c>
      <c r="D1309" s="4">
        <v>12</v>
      </c>
      <c r="E1309" s="4"/>
      <c r="G1309" s="1"/>
      <c r="H1309" s="1"/>
      <c r="I1309" s="1">
        <f t="shared" si="203"/>
        <v>0</v>
      </c>
      <c r="J1309" s="1">
        <f t="shared" si="209"/>
        <v>1303</v>
      </c>
      <c r="K1309" s="9" t="e">
        <f t="shared" si="208"/>
        <v>#DIV/0!</v>
      </c>
    </row>
    <row r="1310" spans="1:11" x14ac:dyDescent="0.35">
      <c r="A1310" s="2" t="s">
        <v>159</v>
      </c>
      <c r="B1310" t="s">
        <v>160</v>
      </c>
      <c r="C1310" s="21" t="s">
        <v>275</v>
      </c>
      <c r="D1310" s="4">
        <v>13</v>
      </c>
      <c r="E1310" s="4"/>
      <c r="G1310" s="1"/>
      <c r="H1310" s="1"/>
      <c r="I1310" s="1">
        <f t="shared" si="203"/>
        <v>0</v>
      </c>
      <c r="J1310" s="1">
        <f t="shared" si="209"/>
        <v>1303</v>
      </c>
      <c r="K1310" s="9" t="e">
        <f t="shared" si="208"/>
        <v>#DIV/0!</v>
      </c>
    </row>
    <row r="1311" spans="1:11" x14ac:dyDescent="0.35">
      <c r="A1311" s="2" t="s">
        <v>159</v>
      </c>
      <c r="B1311" t="s">
        <v>160</v>
      </c>
      <c r="C1311" s="21" t="s">
        <v>275</v>
      </c>
      <c r="D1311" s="4">
        <v>14</v>
      </c>
      <c r="E1311" s="4"/>
      <c r="G1311" s="1"/>
      <c r="H1311" s="1"/>
      <c r="I1311" s="1">
        <f t="shared" si="203"/>
        <v>0</v>
      </c>
      <c r="J1311" s="1">
        <f t="shared" si="209"/>
        <v>1303</v>
      </c>
      <c r="K1311" s="9" t="e">
        <f t="shared" si="208"/>
        <v>#DIV/0!</v>
      </c>
    </row>
    <row r="1312" spans="1:11" x14ac:dyDescent="0.35">
      <c r="A1312" s="2" t="s">
        <v>159</v>
      </c>
      <c r="B1312" t="s">
        <v>160</v>
      </c>
      <c r="C1312" s="21" t="s">
        <v>275</v>
      </c>
      <c r="D1312" s="4">
        <v>15</v>
      </c>
      <c r="E1312" s="4"/>
      <c r="G1312" s="1"/>
      <c r="H1312" s="1"/>
      <c r="I1312" s="1">
        <f t="shared" si="203"/>
        <v>0</v>
      </c>
      <c r="J1312" s="1">
        <f t="shared" si="209"/>
        <v>1303</v>
      </c>
      <c r="K1312" s="9" t="e">
        <f t="shared" si="208"/>
        <v>#DIV/0!</v>
      </c>
    </row>
    <row r="1313" spans="1:11" ht="15" thickBot="1" x14ac:dyDescent="0.4">
      <c r="A1313" s="12" t="s">
        <v>159</v>
      </c>
      <c r="B1313" s="13" t="s">
        <v>160</v>
      </c>
      <c r="C1313" s="21" t="s">
        <v>275</v>
      </c>
      <c r="D1313" s="14">
        <v>16</v>
      </c>
      <c r="E1313" s="14"/>
      <c r="F1313" s="13"/>
      <c r="G1313" s="15"/>
      <c r="H1313" s="15"/>
      <c r="I1313" s="15">
        <f t="shared" si="203"/>
        <v>0</v>
      </c>
      <c r="J1313" s="15">
        <f t="shared" si="209"/>
        <v>1303</v>
      </c>
      <c r="K1313" s="13"/>
    </row>
    <row r="1314" spans="1:11" x14ac:dyDescent="0.35">
      <c r="A1314" s="2" t="s">
        <v>197</v>
      </c>
      <c r="B1314" t="s">
        <v>198</v>
      </c>
      <c r="C1314" s="21" t="s">
        <v>275</v>
      </c>
      <c r="D1314" s="4">
        <v>1</v>
      </c>
      <c r="E1314" s="4"/>
      <c r="F1314" s="3">
        <v>45926</v>
      </c>
      <c r="G1314" s="1">
        <v>4864</v>
      </c>
      <c r="H1314" s="1">
        <v>4560.04</v>
      </c>
      <c r="I1314" s="1">
        <f t="shared" si="203"/>
        <v>303.96000000000004</v>
      </c>
      <c r="J1314" s="1">
        <f>I1314</f>
        <v>303.96000000000004</v>
      </c>
      <c r="K1314" s="9">
        <f t="shared" ref="K1314:K1328" si="210">I1314/H1314</f>
        <v>6.6657310023596289E-2</v>
      </c>
    </row>
    <row r="1315" spans="1:11" x14ac:dyDescent="0.35">
      <c r="A1315" s="2" t="s">
        <v>197</v>
      </c>
      <c r="B1315" t="s">
        <v>198</v>
      </c>
      <c r="C1315" s="21" t="s">
        <v>275</v>
      </c>
      <c r="D1315" s="4">
        <v>2</v>
      </c>
      <c r="E1315" s="4"/>
      <c r="F1315" s="3">
        <v>45933</v>
      </c>
      <c r="G1315" s="1">
        <v>4864</v>
      </c>
      <c r="H1315" s="1">
        <v>4560.04</v>
      </c>
      <c r="I1315" s="1">
        <f t="shared" si="203"/>
        <v>303.96000000000004</v>
      </c>
      <c r="J1315" s="1">
        <f>J1314+I1315</f>
        <v>607.92000000000007</v>
      </c>
      <c r="K1315" s="9">
        <f t="shared" si="210"/>
        <v>6.6657310023596289E-2</v>
      </c>
    </row>
    <row r="1316" spans="1:11" x14ac:dyDescent="0.35">
      <c r="A1316" s="2" t="s">
        <v>197</v>
      </c>
      <c r="B1316" t="s">
        <v>198</v>
      </c>
      <c r="C1316" s="21" t="s">
        <v>275</v>
      </c>
      <c r="D1316" s="4">
        <v>3</v>
      </c>
      <c r="E1316" s="4"/>
      <c r="F1316" s="3">
        <v>45940</v>
      </c>
      <c r="G1316" s="1">
        <v>4864</v>
      </c>
      <c r="H1316" s="1">
        <v>4561</v>
      </c>
      <c r="I1316" s="1">
        <f t="shared" si="203"/>
        <v>303</v>
      </c>
      <c r="J1316" s="1">
        <f t="shared" ref="J1316:J1329" si="211">J1315+I1316</f>
        <v>910.92000000000007</v>
      </c>
      <c r="K1316" s="9">
        <f t="shared" si="210"/>
        <v>6.6432799824599875E-2</v>
      </c>
    </row>
    <row r="1317" spans="1:11" x14ac:dyDescent="0.35">
      <c r="A1317" s="2" t="s">
        <v>197</v>
      </c>
      <c r="B1317" t="s">
        <v>198</v>
      </c>
      <c r="C1317" s="21" t="s">
        <v>275</v>
      </c>
      <c r="D1317" s="4">
        <v>4</v>
      </c>
      <c r="E1317" s="4"/>
      <c r="F1317" s="3">
        <v>45947</v>
      </c>
      <c r="G1317" s="1">
        <v>4864</v>
      </c>
      <c r="H1317" s="1">
        <v>4561</v>
      </c>
      <c r="I1317" s="1">
        <f t="shared" si="203"/>
        <v>303</v>
      </c>
      <c r="J1317" s="1">
        <f t="shared" si="211"/>
        <v>1213.92</v>
      </c>
      <c r="K1317" s="9">
        <f t="shared" si="210"/>
        <v>6.6432799824599875E-2</v>
      </c>
    </row>
    <row r="1318" spans="1:11" x14ac:dyDescent="0.35">
      <c r="A1318" s="2" t="s">
        <v>197</v>
      </c>
      <c r="B1318" t="s">
        <v>198</v>
      </c>
      <c r="C1318" s="21" t="s">
        <v>275</v>
      </c>
      <c r="D1318" s="4">
        <v>5</v>
      </c>
      <c r="E1318" s="4"/>
      <c r="F1318" s="3">
        <v>45954</v>
      </c>
      <c r="G1318" s="1">
        <v>4864</v>
      </c>
      <c r="H1318" s="1">
        <v>4561</v>
      </c>
      <c r="I1318" s="1">
        <f t="shared" si="203"/>
        <v>303</v>
      </c>
      <c r="J1318" s="1">
        <f t="shared" si="211"/>
        <v>1516.92</v>
      </c>
      <c r="K1318" s="9">
        <f t="shared" si="210"/>
        <v>6.6432799824599875E-2</v>
      </c>
    </row>
    <row r="1319" spans="1:11" x14ac:dyDescent="0.35">
      <c r="A1319" s="2" t="s">
        <v>197</v>
      </c>
      <c r="B1319" t="s">
        <v>198</v>
      </c>
      <c r="C1319" s="21" t="s">
        <v>275</v>
      </c>
      <c r="D1319" s="4">
        <v>6</v>
      </c>
      <c r="E1319" s="4"/>
      <c r="F1319" s="3">
        <v>45961</v>
      </c>
      <c r="G1319" s="1">
        <v>4864</v>
      </c>
      <c r="H1319" s="1">
        <v>4561</v>
      </c>
      <c r="I1319" s="1">
        <f t="shared" si="203"/>
        <v>303</v>
      </c>
      <c r="J1319" s="1">
        <f t="shared" si="211"/>
        <v>1819.92</v>
      </c>
      <c r="K1319" s="9">
        <f t="shared" si="210"/>
        <v>6.6432799824599875E-2</v>
      </c>
    </row>
    <row r="1320" spans="1:11" x14ac:dyDescent="0.35">
      <c r="A1320" s="2" t="s">
        <v>197</v>
      </c>
      <c r="B1320" t="s">
        <v>198</v>
      </c>
      <c r="C1320" s="21" t="s">
        <v>275</v>
      </c>
      <c r="D1320" s="4">
        <v>7</v>
      </c>
      <c r="E1320" s="4"/>
      <c r="F1320" s="3">
        <v>45968</v>
      </c>
      <c r="G1320" s="34">
        <v>4864</v>
      </c>
      <c r="H1320" s="34">
        <v>4561</v>
      </c>
      <c r="I1320" s="1">
        <f t="shared" si="203"/>
        <v>303</v>
      </c>
      <c r="J1320" s="1">
        <f t="shared" si="211"/>
        <v>2122.92</v>
      </c>
      <c r="K1320" s="9">
        <f t="shared" si="210"/>
        <v>6.6432799824599875E-2</v>
      </c>
    </row>
    <row r="1321" spans="1:11" x14ac:dyDescent="0.35">
      <c r="A1321" s="2" t="s">
        <v>197</v>
      </c>
      <c r="B1321" t="s">
        <v>198</v>
      </c>
      <c r="C1321" s="21" t="s">
        <v>275</v>
      </c>
      <c r="D1321" s="4">
        <v>8</v>
      </c>
      <c r="E1321" s="4"/>
      <c r="G1321" s="1"/>
      <c r="H1321" s="1"/>
      <c r="I1321" s="1">
        <f t="shared" si="203"/>
        <v>0</v>
      </c>
      <c r="J1321" s="1">
        <f t="shared" si="211"/>
        <v>2122.92</v>
      </c>
      <c r="K1321" s="9" t="e">
        <f t="shared" si="210"/>
        <v>#DIV/0!</v>
      </c>
    </row>
    <row r="1322" spans="1:11" x14ac:dyDescent="0.35">
      <c r="A1322" s="2" t="s">
        <v>197</v>
      </c>
      <c r="B1322" t="s">
        <v>198</v>
      </c>
      <c r="C1322" s="21" t="s">
        <v>275</v>
      </c>
      <c r="D1322" s="4">
        <v>9</v>
      </c>
      <c r="E1322" s="4"/>
      <c r="G1322" s="1"/>
      <c r="H1322" s="1"/>
      <c r="I1322" s="1">
        <f t="shared" si="203"/>
        <v>0</v>
      </c>
      <c r="J1322" s="1">
        <f t="shared" si="211"/>
        <v>2122.92</v>
      </c>
      <c r="K1322" s="9" t="e">
        <f t="shared" si="210"/>
        <v>#DIV/0!</v>
      </c>
    </row>
    <row r="1323" spans="1:11" x14ac:dyDescent="0.35">
      <c r="A1323" s="2" t="s">
        <v>197</v>
      </c>
      <c r="B1323" t="s">
        <v>198</v>
      </c>
      <c r="C1323" s="21" t="s">
        <v>275</v>
      </c>
      <c r="D1323" s="4">
        <v>10</v>
      </c>
      <c r="E1323" s="4"/>
      <c r="G1323" s="1"/>
      <c r="H1323" s="1"/>
      <c r="I1323" s="1">
        <f t="shared" si="203"/>
        <v>0</v>
      </c>
      <c r="J1323" s="1">
        <f t="shared" si="211"/>
        <v>2122.92</v>
      </c>
      <c r="K1323" s="9" t="e">
        <f t="shared" si="210"/>
        <v>#DIV/0!</v>
      </c>
    </row>
    <row r="1324" spans="1:11" x14ac:dyDescent="0.35">
      <c r="A1324" s="2" t="s">
        <v>197</v>
      </c>
      <c r="B1324" t="s">
        <v>198</v>
      </c>
      <c r="C1324" s="21" t="s">
        <v>275</v>
      </c>
      <c r="D1324" s="4">
        <v>11</v>
      </c>
      <c r="E1324" s="4"/>
      <c r="G1324" s="1"/>
      <c r="H1324" s="1"/>
      <c r="I1324" s="1">
        <f t="shared" si="203"/>
        <v>0</v>
      </c>
      <c r="J1324" s="1">
        <f t="shared" si="211"/>
        <v>2122.92</v>
      </c>
      <c r="K1324" s="9" t="e">
        <f t="shared" si="210"/>
        <v>#DIV/0!</v>
      </c>
    </row>
    <row r="1325" spans="1:11" x14ac:dyDescent="0.35">
      <c r="A1325" s="2" t="s">
        <v>197</v>
      </c>
      <c r="B1325" t="s">
        <v>198</v>
      </c>
      <c r="C1325" s="21" t="s">
        <v>275</v>
      </c>
      <c r="D1325" s="4">
        <v>12</v>
      </c>
      <c r="E1325" s="4"/>
      <c r="G1325" s="1"/>
      <c r="H1325" s="1"/>
      <c r="I1325" s="1">
        <f t="shared" si="203"/>
        <v>0</v>
      </c>
      <c r="J1325" s="1">
        <f t="shared" si="211"/>
        <v>2122.92</v>
      </c>
      <c r="K1325" s="9" t="e">
        <f t="shared" si="210"/>
        <v>#DIV/0!</v>
      </c>
    </row>
    <row r="1326" spans="1:11" x14ac:dyDescent="0.35">
      <c r="A1326" s="2" t="s">
        <v>197</v>
      </c>
      <c r="B1326" t="s">
        <v>198</v>
      </c>
      <c r="C1326" s="21" t="s">
        <v>275</v>
      </c>
      <c r="D1326" s="4">
        <v>13</v>
      </c>
      <c r="E1326" s="4"/>
      <c r="G1326" s="1"/>
      <c r="H1326" s="1"/>
      <c r="I1326" s="1">
        <f t="shared" si="203"/>
        <v>0</v>
      </c>
      <c r="J1326" s="1">
        <f t="shared" si="211"/>
        <v>2122.92</v>
      </c>
      <c r="K1326" s="9" t="e">
        <f t="shared" si="210"/>
        <v>#DIV/0!</v>
      </c>
    </row>
    <row r="1327" spans="1:11" x14ac:dyDescent="0.35">
      <c r="A1327" s="2" t="s">
        <v>197</v>
      </c>
      <c r="B1327" t="s">
        <v>198</v>
      </c>
      <c r="C1327" s="21" t="s">
        <v>275</v>
      </c>
      <c r="D1327" s="4">
        <v>14</v>
      </c>
      <c r="E1327" s="4"/>
      <c r="G1327" s="1"/>
      <c r="H1327" s="1"/>
      <c r="I1327" s="1">
        <f t="shared" si="203"/>
        <v>0</v>
      </c>
      <c r="J1327" s="1">
        <f t="shared" si="211"/>
        <v>2122.92</v>
      </c>
      <c r="K1327" s="9" t="e">
        <f t="shared" si="210"/>
        <v>#DIV/0!</v>
      </c>
    </row>
    <row r="1328" spans="1:11" x14ac:dyDescent="0.35">
      <c r="A1328" s="2" t="s">
        <v>197</v>
      </c>
      <c r="B1328" t="s">
        <v>198</v>
      </c>
      <c r="C1328" s="21" t="s">
        <v>275</v>
      </c>
      <c r="D1328" s="4">
        <v>15</v>
      </c>
      <c r="E1328" s="4"/>
      <c r="G1328" s="1"/>
      <c r="H1328" s="1"/>
      <c r="I1328" s="1">
        <f t="shared" si="203"/>
        <v>0</v>
      </c>
      <c r="J1328" s="1">
        <f t="shared" si="211"/>
        <v>2122.92</v>
      </c>
      <c r="K1328" s="9" t="e">
        <f t="shared" si="210"/>
        <v>#DIV/0!</v>
      </c>
    </row>
    <row r="1329" spans="1:11" ht="15" thickBot="1" x14ac:dyDescent="0.4">
      <c r="A1329" s="18" t="s">
        <v>197</v>
      </c>
      <c r="B1329" s="7" t="s">
        <v>198</v>
      </c>
      <c r="C1329" s="21" t="s">
        <v>275</v>
      </c>
      <c r="D1329" s="5">
        <v>16</v>
      </c>
      <c r="E1329" s="5"/>
      <c r="F1329" s="7"/>
      <c r="G1329" s="8"/>
      <c r="H1329" s="8"/>
      <c r="I1329" s="8">
        <f t="shared" si="203"/>
        <v>0</v>
      </c>
      <c r="J1329" s="8">
        <f t="shared" si="211"/>
        <v>2122.92</v>
      </c>
      <c r="K1329" s="7"/>
    </row>
    <row r="1330" spans="1:11" ht="15" thickTop="1" x14ac:dyDescent="0.35">
      <c r="A1330" s="2" t="s">
        <v>161</v>
      </c>
      <c r="B1330" t="s">
        <v>162</v>
      </c>
      <c r="C1330" s="21" t="s">
        <v>275</v>
      </c>
      <c r="D1330" s="4">
        <v>1</v>
      </c>
      <c r="E1330" s="4"/>
      <c r="F1330" s="3">
        <v>45925</v>
      </c>
      <c r="G1330" s="1">
        <v>8540</v>
      </c>
      <c r="H1330" s="1">
        <v>7600</v>
      </c>
      <c r="I1330" s="1">
        <f t="shared" si="203"/>
        <v>940</v>
      </c>
      <c r="J1330" s="1">
        <f>I1330</f>
        <v>940</v>
      </c>
      <c r="K1330" s="9">
        <f t="shared" ref="K1330:K1344" si="212">I1330/H1330</f>
        <v>0.12368421052631579</v>
      </c>
    </row>
    <row r="1331" spans="1:11" x14ac:dyDescent="0.35">
      <c r="A1331" s="2" t="s">
        <v>161</v>
      </c>
      <c r="B1331" t="s">
        <v>162</v>
      </c>
      <c r="C1331" s="21" t="s">
        <v>275</v>
      </c>
      <c r="D1331" s="4">
        <v>2</v>
      </c>
      <c r="E1331" s="4"/>
      <c r="F1331" s="3">
        <v>45932</v>
      </c>
      <c r="G1331" s="1">
        <v>8367</v>
      </c>
      <c r="H1331" s="1">
        <v>7600</v>
      </c>
      <c r="I1331" s="1">
        <f t="shared" si="203"/>
        <v>767</v>
      </c>
      <c r="J1331" s="1">
        <f>J1330+I1331</f>
        <v>1707</v>
      </c>
      <c r="K1331" s="9">
        <f t="shared" si="212"/>
        <v>0.10092105263157895</v>
      </c>
    </row>
    <row r="1332" spans="1:11" x14ac:dyDescent="0.35">
      <c r="A1332" s="2" t="s">
        <v>161</v>
      </c>
      <c r="B1332" t="s">
        <v>162</v>
      </c>
      <c r="C1332" s="21" t="s">
        <v>275</v>
      </c>
      <c r="D1332" s="4">
        <v>3</v>
      </c>
      <c r="E1332" s="4"/>
      <c r="F1332" s="3">
        <v>45939</v>
      </c>
      <c r="G1332" s="1">
        <v>8367</v>
      </c>
      <c r="H1332" s="1">
        <v>7600</v>
      </c>
      <c r="I1332" s="1">
        <f t="shared" si="203"/>
        <v>767</v>
      </c>
      <c r="J1332" s="1">
        <f t="shared" ref="J1332:J1345" si="213">J1331+I1332</f>
        <v>2474</v>
      </c>
      <c r="K1332" s="9">
        <f t="shared" si="212"/>
        <v>0.10092105263157895</v>
      </c>
    </row>
    <row r="1333" spans="1:11" x14ac:dyDescent="0.35">
      <c r="A1333" s="2" t="s">
        <v>161</v>
      </c>
      <c r="B1333" t="s">
        <v>162</v>
      </c>
      <c r="C1333" s="21" t="s">
        <v>275</v>
      </c>
      <c r="D1333" s="4">
        <v>4</v>
      </c>
      <c r="E1333" s="4"/>
      <c r="F1333" s="3">
        <v>45946</v>
      </c>
      <c r="G1333" s="1">
        <v>8360</v>
      </c>
      <c r="H1333" s="1">
        <v>7600</v>
      </c>
      <c r="I1333" s="1">
        <f t="shared" si="203"/>
        <v>760</v>
      </c>
      <c r="J1333" s="1">
        <f t="shared" si="213"/>
        <v>3234</v>
      </c>
      <c r="K1333" s="9">
        <f t="shared" si="212"/>
        <v>0.1</v>
      </c>
    </row>
    <row r="1334" spans="1:11" x14ac:dyDescent="0.35">
      <c r="A1334" s="2" t="s">
        <v>161</v>
      </c>
      <c r="B1334" t="s">
        <v>162</v>
      </c>
      <c r="C1334" s="21" t="s">
        <v>275</v>
      </c>
      <c r="D1334" s="4">
        <v>5</v>
      </c>
      <c r="E1334" s="4"/>
      <c r="F1334" s="3">
        <v>45953</v>
      </c>
      <c r="G1334" s="1">
        <v>7970</v>
      </c>
      <c r="H1334" s="1">
        <v>7600</v>
      </c>
      <c r="I1334" s="1">
        <f t="shared" ref="I1334:I1397" si="214">G1334-H1334</f>
        <v>370</v>
      </c>
      <c r="J1334" s="1">
        <f t="shared" si="213"/>
        <v>3604</v>
      </c>
      <c r="K1334" s="9">
        <f t="shared" si="212"/>
        <v>4.8684210526315788E-2</v>
      </c>
    </row>
    <row r="1335" spans="1:11" x14ac:dyDescent="0.35">
      <c r="A1335" s="2" t="s">
        <v>161</v>
      </c>
      <c r="B1335" t="s">
        <v>162</v>
      </c>
      <c r="C1335" s="21" t="s">
        <v>275</v>
      </c>
      <c r="D1335" s="4">
        <v>6</v>
      </c>
      <c r="E1335" s="4"/>
      <c r="F1335" s="3">
        <v>45960</v>
      </c>
      <c r="G1335" s="1">
        <v>8300</v>
      </c>
      <c r="H1335" s="1">
        <v>7600</v>
      </c>
      <c r="I1335" s="1">
        <f t="shared" si="214"/>
        <v>700</v>
      </c>
      <c r="J1335" s="1">
        <f t="shared" si="213"/>
        <v>4304</v>
      </c>
      <c r="K1335" s="9">
        <f t="shared" si="212"/>
        <v>9.2105263157894732E-2</v>
      </c>
    </row>
    <row r="1336" spans="1:11" x14ac:dyDescent="0.35">
      <c r="A1336" s="2" t="s">
        <v>161</v>
      </c>
      <c r="B1336" t="s">
        <v>162</v>
      </c>
      <c r="C1336" s="21" t="s">
        <v>275</v>
      </c>
      <c r="D1336" s="4">
        <v>7</v>
      </c>
      <c r="E1336" s="4"/>
      <c r="F1336" s="3">
        <v>45967</v>
      </c>
      <c r="G1336" s="1">
        <v>8200</v>
      </c>
      <c r="H1336" s="1">
        <v>7600</v>
      </c>
      <c r="I1336" s="1">
        <f t="shared" si="214"/>
        <v>600</v>
      </c>
      <c r="J1336" s="1">
        <f t="shared" si="213"/>
        <v>4904</v>
      </c>
      <c r="K1336" s="9">
        <f t="shared" si="212"/>
        <v>7.8947368421052627E-2</v>
      </c>
    </row>
    <row r="1337" spans="1:11" x14ac:dyDescent="0.35">
      <c r="A1337" s="2" t="s">
        <v>161</v>
      </c>
      <c r="B1337" t="s">
        <v>162</v>
      </c>
      <c r="C1337" s="21" t="s">
        <v>275</v>
      </c>
      <c r="D1337" s="4">
        <v>8</v>
      </c>
      <c r="E1337" s="4"/>
      <c r="G1337" s="1"/>
      <c r="H1337" s="1"/>
      <c r="I1337" s="1">
        <f t="shared" si="214"/>
        <v>0</v>
      </c>
      <c r="J1337" s="1">
        <f t="shared" si="213"/>
        <v>4904</v>
      </c>
      <c r="K1337" s="9" t="e">
        <f t="shared" si="212"/>
        <v>#DIV/0!</v>
      </c>
    </row>
    <row r="1338" spans="1:11" x14ac:dyDescent="0.35">
      <c r="A1338" s="2" t="s">
        <v>161</v>
      </c>
      <c r="B1338" t="s">
        <v>162</v>
      </c>
      <c r="C1338" s="21" t="s">
        <v>275</v>
      </c>
      <c r="D1338" s="4">
        <v>9</v>
      </c>
      <c r="E1338" s="4"/>
      <c r="G1338" s="1"/>
      <c r="H1338" s="1"/>
      <c r="I1338" s="1">
        <f t="shared" si="214"/>
        <v>0</v>
      </c>
      <c r="J1338" s="1">
        <f t="shared" si="213"/>
        <v>4904</v>
      </c>
      <c r="K1338" s="9" t="e">
        <f t="shared" si="212"/>
        <v>#DIV/0!</v>
      </c>
    </row>
    <row r="1339" spans="1:11" x14ac:dyDescent="0.35">
      <c r="A1339" s="2" t="s">
        <v>161</v>
      </c>
      <c r="B1339" t="s">
        <v>162</v>
      </c>
      <c r="C1339" s="21" t="s">
        <v>275</v>
      </c>
      <c r="D1339" s="4">
        <v>10</v>
      </c>
      <c r="E1339" s="4"/>
      <c r="G1339" s="1"/>
      <c r="H1339" s="1"/>
      <c r="I1339" s="1">
        <f t="shared" si="214"/>
        <v>0</v>
      </c>
      <c r="J1339" s="1">
        <f t="shared" si="213"/>
        <v>4904</v>
      </c>
      <c r="K1339" s="9" t="e">
        <f t="shared" si="212"/>
        <v>#DIV/0!</v>
      </c>
    </row>
    <row r="1340" spans="1:11" x14ac:dyDescent="0.35">
      <c r="A1340" s="2" t="s">
        <v>161</v>
      </c>
      <c r="B1340" t="s">
        <v>162</v>
      </c>
      <c r="C1340" s="21" t="s">
        <v>275</v>
      </c>
      <c r="D1340" s="4">
        <v>11</v>
      </c>
      <c r="E1340" s="4"/>
      <c r="G1340" s="1"/>
      <c r="H1340" s="1"/>
      <c r="I1340" s="1">
        <f t="shared" si="214"/>
        <v>0</v>
      </c>
      <c r="J1340" s="1">
        <f t="shared" si="213"/>
        <v>4904</v>
      </c>
      <c r="K1340" s="9" t="e">
        <f t="shared" si="212"/>
        <v>#DIV/0!</v>
      </c>
    </row>
    <row r="1341" spans="1:11" x14ac:dyDescent="0.35">
      <c r="A1341" s="2" t="s">
        <v>161</v>
      </c>
      <c r="B1341" t="s">
        <v>162</v>
      </c>
      <c r="C1341" s="21" t="s">
        <v>275</v>
      </c>
      <c r="D1341" s="4">
        <v>12</v>
      </c>
      <c r="E1341" s="4"/>
      <c r="G1341" s="1"/>
      <c r="H1341" s="1"/>
      <c r="I1341" s="1">
        <f t="shared" si="214"/>
        <v>0</v>
      </c>
      <c r="J1341" s="1">
        <f t="shared" si="213"/>
        <v>4904</v>
      </c>
      <c r="K1341" s="9" t="e">
        <f t="shared" si="212"/>
        <v>#DIV/0!</v>
      </c>
    </row>
    <row r="1342" spans="1:11" x14ac:dyDescent="0.35">
      <c r="A1342" s="2" t="s">
        <v>161</v>
      </c>
      <c r="B1342" t="s">
        <v>162</v>
      </c>
      <c r="C1342" s="21" t="s">
        <v>275</v>
      </c>
      <c r="D1342" s="4">
        <v>13</v>
      </c>
      <c r="E1342" s="4"/>
      <c r="G1342" s="1"/>
      <c r="H1342" s="1"/>
      <c r="I1342" s="1">
        <f t="shared" si="214"/>
        <v>0</v>
      </c>
      <c r="J1342" s="1">
        <f t="shared" si="213"/>
        <v>4904</v>
      </c>
      <c r="K1342" s="9" t="e">
        <f t="shared" si="212"/>
        <v>#DIV/0!</v>
      </c>
    </row>
    <row r="1343" spans="1:11" x14ac:dyDescent="0.35">
      <c r="A1343" s="2" t="s">
        <v>161</v>
      </c>
      <c r="B1343" t="s">
        <v>162</v>
      </c>
      <c r="C1343" s="21" t="s">
        <v>275</v>
      </c>
      <c r="D1343" s="4">
        <v>14</v>
      </c>
      <c r="E1343" s="4"/>
      <c r="G1343" s="1"/>
      <c r="H1343" s="1"/>
      <c r="I1343" s="1">
        <f t="shared" si="214"/>
        <v>0</v>
      </c>
      <c r="J1343" s="1">
        <f t="shared" si="213"/>
        <v>4904</v>
      </c>
      <c r="K1343" s="9" t="e">
        <f t="shared" si="212"/>
        <v>#DIV/0!</v>
      </c>
    </row>
    <row r="1344" spans="1:11" x14ac:dyDescent="0.35">
      <c r="A1344" s="2" t="s">
        <v>161</v>
      </c>
      <c r="B1344" t="s">
        <v>162</v>
      </c>
      <c r="C1344" s="21" t="s">
        <v>275</v>
      </c>
      <c r="D1344" s="4">
        <v>15</v>
      </c>
      <c r="E1344" s="4"/>
      <c r="G1344" s="1"/>
      <c r="H1344" s="1"/>
      <c r="I1344" s="1">
        <f t="shared" si="214"/>
        <v>0</v>
      </c>
      <c r="J1344" s="1">
        <f t="shared" si="213"/>
        <v>4904</v>
      </c>
      <c r="K1344" s="9" t="e">
        <f t="shared" si="212"/>
        <v>#DIV/0!</v>
      </c>
    </row>
    <row r="1345" spans="1:11" ht="15" thickBot="1" x14ac:dyDescent="0.4">
      <c r="A1345" s="12" t="s">
        <v>161</v>
      </c>
      <c r="B1345" s="13" t="s">
        <v>162</v>
      </c>
      <c r="C1345" s="21" t="s">
        <v>275</v>
      </c>
      <c r="D1345" s="14">
        <v>16</v>
      </c>
      <c r="E1345" s="14"/>
      <c r="F1345" s="13"/>
      <c r="G1345" s="15"/>
      <c r="H1345" s="15"/>
      <c r="I1345" s="15">
        <f t="shared" si="214"/>
        <v>0</v>
      </c>
      <c r="J1345" s="15">
        <f t="shared" si="213"/>
        <v>4904</v>
      </c>
      <c r="K1345" s="13"/>
    </row>
    <row r="1346" spans="1:11" x14ac:dyDescent="0.35">
      <c r="A1346" s="2" t="s">
        <v>163</v>
      </c>
      <c r="B1346" t="s">
        <v>166</v>
      </c>
      <c r="C1346" s="21" t="s">
        <v>275</v>
      </c>
      <c r="D1346" s="4">
        <v>1</v>
      </c>
      <c r="E1346" s="4"/>
      <c r="F1346" s="3">
        <v>45925</v>
      </c>
      <c r="G1346" s="1">
        <v>4430</v>
      </c>
      <c r="H1346" s="1">
        <v>3876.03</v>
      </c>
      <c r="I1346" s="1">
        <f t="shared" si="214"/>
        <v>553.9699999999998</v>
      </c>
      <c r="J1346" s="1">
        <f>I1346</f>
        <v>553.9699999999998</v>
      </c>
      <c r="K1346" s="9">
        <f t="shared" ref="K1346:K1360" si="215">I1346/H1346</f>
        <v>0.14292201040755612</v>
      </c>
    </row>
    <row r="1347" spans="1:11" x14ac:dyDescent="0.35">
      <c r="A1347" s="2" t="s">
        <v>163</v>
      </c>
      <c r="B1347" t="s">
        <v>166</v>
      </c>
      <c r="C1347" s="21" t="s">
        <v>275</v>
      </c>
      <c r="D1347" s="4">
        <v>2</v>
      </c>
      <c r="E1347" s="4"/>
      <c r="F1347" s="3">
        <v>45932</v>
      </c>
      <c r="G1347" s="1">
        <v>4368</v>
      </c>
      <c r="H1347" s="1">
        <v>3876.03</v>
      </c>
      <c r="I1347" s="1">
        <f t="shared" si="214"/>
        <v>491.9699999999998</v>
      </c>
      <c r="J1347" s="1">
        <f>J1346+I1347</f>
        <v>1045.9399999999996</v>
      </c>
      <c r="K1347" s="9">
        <f t="shared" si="215"/>
        <v>0.12692626218063321</v>
      </c>
    </row>
    <row r="1348" spans="1:11" x14ac:dyDescent="0.35">
      <c r="A1348" s="2" t="s">
        <v>163</v>
      </c>
      <c r="B1348" t="s">
        <v>166</v>
      </c>
      <c r="C1348" s="21" t="s">
        <v>275</v>
      </c>
      <c r="D1348" s="4">
        <v>3</v>
      </c>
      <c r="E1348" s="4"/>
      <c r="F1348" s="3">
        <v>45939</v>
      </c>
      <c r="G1348" s="1">
        <v>4351</v>
      </c>
      <c r="H1348" s="1">
        <v>3876.03</v>
      </c>
      <c r="I1348" s="1">
        <f t="shared" si="214"/>
        <v>474.9699999999998</v>
      </c>
      <c r="J1348" s="1">
        <f t="shared" ref="J1348:J1361" si="216">J1347+I1348</f>
        <v>1520.9099999999994</v>
      </c>
      <c r="K1348" s="9">
        <f t="shared" si="215"/>
        <v>0.12254033121518662</v>
      </c>
    </row>
    <row r="1349" spans="1:11" x14ac:dyDescent="0.35">
      <c r="A1349" s="2" t="s">
        <v>163</v>
      </c>
      <c r="B1349" t="s">
        <v>166</v>
      </c>
      <c r="C1349" s="21" t="s">
        <v>275</v>
      </c>
      <c r="D1349" s="4">
        <v>4</v>
      </c>
      <c r="E1349" s="4"/>
      <c r="F1349" s="3">
        <v>45946</v>
      </c>
      <c r="G1349" s="1">
        <v>4368</v>
      </c>
      <c r="H1349" s="1">
        <v>3876.03</v>
      </c>
      <c r="I1349" s="1">
        <f t="shared" si="214"/>
        <v>491.9699999999998</v>
      </c>
      <c r="J1349" s="1">
        <f t="shared" si="216"/>
        <v>2012.8799999999992</v>
      </c>
      <c r="K1349" s="9">
        <f t="shared" si="215"/>
        <v>0.12692626218063321</v>
      </c>
    </row>
    <row r="1350" spans="1:11" x14ac:dyDescent="0.35">
      <c r="A1350" s="2" t="s">
        <v>163</v>
      </c>
      <c r="B1350" t="s">
        <v>166</v>
      </c>
      <c r="C1350" s="21" t="s">
        <v>275</v>
      </c>
      <c r="D1350" s="4">
        <v>5</v>
      </c>
      <c r="E1350" s="4"/>
      <c r="F1350" s="3">
        <v>45953</v>
      </c>
      <c r="G1350" s="1">
        <v>4368</v>
      </c>
      <c r="H1350" s="1">
        <v>3876.03</v>
      </c>
      <c r="I1350" s="1">
        <f t="shared" si="214"/>
        <v>491.9699999999998</v>
      </c>
      <c r="J1350" s="1">
        <f t="shared" si="216"/>
        <v>2504.849999999999</v>
      </c>
      <c r="K1350" s="9">
        <f t="shared" si="215"/>
        <v>0.12692626218063321</v>
      </c>
    </row>
    <row r="1351" spans="1:11" x14ac:dyDescent="0.35">
      <c r="A1351" s="2" t="s">
        <v>163</v>
      </c>
      <c r="B1351" t="s">
        <v>166</v>
      </c>
      <c r="C1351" s="21" t="s">
        <v>275</v>
      </c>
      <c r="D1351" s="4">
        <v>6</v>
      </c>
      <c r="E1351" s="4"/>
      <c r="F1351" s="3">
        <v>45960</v>
      </c>
      <c r="G1351" s="1">
        <v>4368</v>
      </c>
      <c r="H1351" s="1">
        <v>3876.03</v>
      </c>
      <c r="I1351" s="1">
        <f t="shared" si="214"/>
        <v>491.9699999999998</v>
      </c>
      <c r="J1351" s="1">
        <f t="shared" si="216"/>
        <v>2996.8199999999988</v>
      </c>
      <c r="K1351" s="9">
        <f t="shared" si="215"/>
        <v>0.12692626218063321</v>
      </c>
    </row>
    <row r="1352" spans="1:11" x14ac:dyDescent="0.35">
      <c r="A1352" s="2" t="s">
        <v>163</v>
      </c>
      <c r="B1352" t="s">
        <v>166</v>
      </c>
      <c r="C1352" s="21" t="s">
        <v>275</v>
      </c>
      <c r="D1352" s="4">
        <v>7</v>
      </c>
      <c r="E1352" s="4"/>
      <c r="F1352" s="3">
        <v>45967</v>
      </c>
      <c r="G1352" s="34">
        <v>4368</v>
      </c>
      <c r="H1352" s="34">
        <v>3876.03</v>
      </c>
      <c r="I1352" s="1">
        <f t="shared" si="214"/>
        <v>491.9699999999998</v>
      </c>
      <c r="J1352" s="1">
        <f t="shared" si="216"/>
        <v>3488.7899999999986</v>
      </c>
      <c r="K1352" s="9">
        <f t="shared" si="215"/>
        <v>0.12692626218063321</v>
      </c>
    </row>
    <row r="1353" spans="1:11" x14ac:dyDescent="0.35">
      <c r="A1353" s="2" t="s">
        <v>163</v>
      </c>
      <c r="B1353" t="s">
        <v>166</v>
      </c>
      <c r="C1353" s="21" t="s">
        <v>275</v>
      </c>
      <c r="D1353" s="4">
        <v>8</v>
      </c>
      <c r="E1353" s="4"/>
      <c r="G1353" s="1"/>
      <c r="H1353" s="1"/>
      <c r="I1353" s="1">
        <f t="shared" si="214"/>
        <v>0</v>
      </c>
      <c r="J1353" s="1">
        <f t="shared" si="216"/>
        <v>3488.7899999999986</v>
      </c>
      <c r="K1353" s="9" t="e">
        <f t="shared" si="215"/>
        <v>#DIV/0!</v>
      </c>
    </row>
    <row r="1354" spans="1:11" x14ac:dyDescent="0.35">
      <c r="A1354" s="2" t="s">
        <v>163</v>
      </c>
      <c r="B1354" t="s">
        <v>166</v>
      </c>
      <c r="C1354" s="21" t="s">
        <v>275</v>
      </c>
      <c r="D1354" s="4">
        <v>9</v>
      </c>
      <c r="E1354" s="4"/>
      <c r="G1354" s="1"/>
      <c r="H1354" s="1"/>
      <c r="I1354" s="1">
        <f t="shared" si="214"/>
        <v>0</v>
      </c>
      <c r="J1354" s="1">
        <f t="shared" si="216"/>
        <v>3488.7899999999986</v>
      </c>
      <c r="K1354" s="9" t="e">
        <f t="shared" si="215"/>
        <v>#DIV/0!</v>
      </c>
    </row>
    <row r="1355" spans="1:11" x14ac:dyDescent="0.35">
      <c r="A1355" s="2" t="s">
        <v>163</v>
      </c>
      <c r="B1355" t="s">
        <v>166</v>
      </c>
      <c r="C1355" s="21" t="s">
        <v>275</v>
      </c>
      <c r="D1355" s="4">
        <v>10</v>
      </c>
      <c r="E1355" s="4"/>
      <c r="G1355" s="1"/>
      <c r="H1355" s="1"/>
      <c r="I1355" s="1">
        <f t="shared" si="214"/>
        <v>0</v>
      </c>
      <c r="J1355" s="1">
        <f t="shared" si="216"/>
        <v>3488.7899999999986</v>
      </c>
      <c r="K1355" s="9" t="e">
        <f t="shared" si="215"/>
        <v>#DIV/0!</v>
      </c>
    </row>
    <row r="1356" spans="1:11" x14ac:dyDescent="0.35">
      <c r="A1356" s="2" t="s">
        <v>163</v>
      </c>
      <c r="B1356" t="s">
        <v>166</v>
      </c>
      <c r="C1356" s="21" t="s">
        <v>275</v>
      </c>
      <c r="D1356" s="4">
        <v>11</v>
      </c>
      <c r="E1356" s="4"/>
      <c r="G1356" s="1"/>
      <c r="H1356" s="1"/>
      <c r="I1356" s="1">
        <f t="shared" si="214"/>
        <v>0</v>
      </c>
      <c r="J1356" s="1">
        <f t="shared" si="216"/>
        <v>3488.7899999999986</v>
      </c>
      <c r="K1356" s="9" t="e">
        <f t="shared" si="215"/>
        <v>#DIV/0!</v>
      </c>
    </row>
    <row r="1357" spans="1:11" x14ac:dyDescent="0.35">
      <c r="A1357" s="2" t="s">
        <v>163</v>
      </c>
      <c r="B1357" t="s">
        <v>166</v>
      </c>
      <c r="C1357" s="21" t="s">
        <v>275</v>
      </c>
      <c r="D1357" s="4">
        <v>12</v>
      </c>
      <c r="E1357" s="4"/>
      <c r="G1357" s="1"/>
      <c r="H1357" s="1"/>
      <c r="I1357" s="1">
        <f t="shared" si="214"/>
        <v>0</v>
      </c>
      <c r="J1357" s="1">
        <f t="shared" si="216"/>
        <v>3488.7899999999986</v>
      </c>
      <c r="K1357" s="9" t="e">
        <f t="shared" si="215"/>
        <v>#DIV/0!</v>
      </c>
    </row>
    <row r="1358" spans="1:11" x14ac:dyDescent="0.35">
      <c r="A1358" s="2" t="s">
        <v>163</v>
      </c>
      <c r="B1358" t="s">
        <v>166</v>
      </c>
      <c r="C1358" s="21" t="s">
        <v>275</v>
      </c>
      <c r="D1358" s="4">
        <v>13</v>
      </c>
      <c r="E1358" s="4"/>
      <c r="G1358" s="1"/>
      <c r="H1358" s="1"/>
      <c r="I1358" s="1">
        <f t="shared" si="214"/>
        <v>0</v>
      </c>
      <c r="J1358" s="1">
        <f t="shared" si="216"/>
        <v>3488.7899999999986</v>
      </c>
      <c r="K1358" s="9" t="e">
        <f t="shared" si="215"/>
        <v>#DIV/0!</v>
      </c>
    </row>
    <row r="1359" spans="1:11" x14ac:dyDescent="0.35">
      <c r="A1359" s="2" t="s">
        <v>163</v>
      </c>
      <c r="B1359" t="s">
        <v>166</v>
      </c>
      <c r="C1359" s="21" t="s">
        <v>275</v>
      </c>
      <c r="D1359" s="4">
        <v>14</v>
      </c>
      <c r="E1359" s="4"/>
      <c r="G1359" s="1"/>
      <c r="H1359" s="1"/>
      <c r="I1359" s="1">
        <f t="shared" si="214"/>
        <v>0</v>
      </c>
      <c r="J1359" s="1">
        <f t="shared" si="216"/>
        <v>3488.7899999999986</v>
      </c>
      <c r="K1359" s="9" t="e">
        <f t="shared" si="215"/>
        <v>#DIV/0!</v>
      </c>
    </row>
    <row r="1360" spans="1:11" x14ac:dyDescent="0.35">
      <c r="A1360" s="2" t="s">
        <v>163</v>
      </c>
      <c r="B1360" t="s">
        <v>166</v>
      </c>
      <c r="C1360" s="21" t="s">
        <v>275</v>
      </c>
      <c r="D1360" s="4">
        <v>15</v>
      </c>
      <c r="E1360" s="4"/>
      <c r="G1360" s="1"/>
      <c r="H1360" s="1"/>
      <c r="I1360" s="1">
        <f t="shared" si="214"/>
        <v>0</v>
      </c>
      <c r="J1360" s="1">
        <f t="shared" si="216"/>
        <v>3488.7899999999986</v>
      </c>
      <c r="K1360" s="9" t="e">
        <f t="shared" si="215"/>
        <v>#DIV/0!</v>
      </c>
    </row>
    <row r="1361" spans="1:11" ht="15" thickBot="1" x14ac:dyDescent="0.4">
      <c r="A1361" s="12" t="s">
        <v>163</v>
      </c>
      <c r="B1361" s="13" t="s">
        <v>166</v>
      </c>
      <c r="C1361" s="21" t="s">
        <v>275</v>
      </c>
      <c r="D1361" s="14">
        <v>16</v>
      </c>
      <c r="E1361" s="14"/>
      <c r="F1361" s="13"/>
      <c r="G1361" s="15"/>
      <c r="H1361" s="15"/>
      <c r="I1361" s="15">
        <f t="shared" si="214"/>
        <v>0</v>
      </c>
      <c r="J1361" s="15">
        <f t="shared" si="216"/>
        <v>3488.7899999999986</v>
      </c>
      <c r="K1361" s="13"/>
    </row>
    <row r="1362" spans="1:11" x14ac:dyDescent="0.35">
      <c r="A1362" s="2" t="s">
        <v>164</v>
      </c>
      <c r="B1362" t="s">
        <v>167</v>
      </c>
      <c r="C1362" s="21" t="s">
        <v>275</v>
      </c>
      <c r="D1362" s="4">
        <v>1</v>
      </c>
      <c r="E1362" s="4"/>
      <c r="F1362" s="3">
        <v>45925</v>
      </c>
      <c r="G1362" s="1">
        <v>13696</v>
      </c>
      <c r="H1362" s="1">
        <v>12920.11</v>
      </c>
      <c r="I1362" s="1">
        <f t="shared" si="214"/>
        <v>775.88999999999942</v>
      </c>
      <c r="J1362" s="1">
        <f>I1362</f>
        <v>775.88999999999942</v>
      </c>
      <c r="K1362" s="9">
        <f t="shared" ref="K1362:K1376" si="217">I1362/H1362</f>
        <v>6.0052894286503705E-2</v>
      </c>
    </row>
    <row r="1363" spans="1:11" x14ac:dyDescent="0.35">
      <c r="A1363" s="2" t="s">
        <v>164</v>
      </c>
      <c r="B1363" t="s">
        <v>167</v>
      </c>
      <c r="C1363" s="21" t="s">
        <v>275</v>
      </c>
      <c r="D1363" s="4">
        <v>2</v>
      </c>
      <c r="E1363" s="4"/>
      <c r="F1363" s="3">
        <v>45932</v>
      </c>
      <c r="G1363" s="1">
        <v>13696</v>
      </c>
      <c r="H1363" s="1">
        <v>12920.11</v>
      </c>
      <c r="I1363" s="1">
        <f t="shared" si="214"/>
        <v>775.88999999999942</v>
      </c>
      <c r="J1363" s="1">
        <f>J1362+I1363</f>
        <v>1551.7799999999988</v>
      </c>
      <c r="K1363" s="9">
        <f t="shared" si="217"/>
        <v>6.0052894286503705E-2</v>
      </c>
    </row>
    <row r="1364" spans="1:11" x14ac:dyDescent="0.35">
      <c r="A1364" s="2" t="s">
        <v>164</v>
      </c>
      <c r="B1364" t="s">
        <v>167</v>
      </c>
      <c r="C1364" s="21" t="s">
        <v>275</v>
      </c>
      <c r="D1364" s="4">
        <v>3</v>
      </c>
      <c r="E1364" s="4"/>
      <c r="F1364" s="3">
        <v>45939</v>
      </c>
      <c r="G1364" s="1">
        <v>13696</v>
      </c>
      <c r="H1364" s="1">
        <v>12920.11</v>
      </c>
      <c r="I1364" s="1">
        <f t="shared" si="214"/>
        <v>775.88999999999942</v>
      </c>
      <c r="J1364" s="1">
        <f t="shared" ref="J1364:J1377" si="218">J1363+I1364</f>
        <v>2327.6699999999983</v>
      </c>
      <c r="K1364" s="9">
        <f t="shared" si="217"/>
        <v>6.0052894286503705E-2</v>
      </c>
    </row>
    <row r="1365" spans="1:11" x14ac:dyDescent="0.35">
      <c r="A1365" s="2" t="s">
        <v>164</v>
      </c>
      <c r="B1365" t="s">
        <v>167</v>
      </c>
      <c r="C1365" s="21" t="s">
        <v>275</v>
      </c>
      <c r="D1365" s="4">
        <v>4</v>
      </c>
      <c r="E1365" s="4"/>
      <c r="F1365" s="3">
        <v>45946</v>
      </c>
      <c r="G1365" s="1">
        <v>13696</v>
      </c>
      <c r="H1365" s="1">
        <v>12920.11</v>
      </c>
      <c r="I1365" s="1">
        <f t="shared" si="214"/>
        <v>775.88999999999942</v>
      </c>
      <c r="J1365" s="1">
        <f t="shared" si="218"/>
        <v>3103.5599999999977</v>
      </c>
      <c r="K1365" s="9">
        <f t="shared" si="217"/>
        <v>6.0052894286503705E-2</v>
      </c>
    </row>
    <row r="1366" spans="1:11" x14ac:dyDescent="0.35">
      <c r="A1366" s="2" t="s">
        <v>164</v>
      </c>
      <c r="B1366" t="s">
        <v>167</v>
      </c>
      <c r="C1366" s="21" t="s">
        <v>275</v>
      </c>
      <c r="D1366" s="4">
        <v>5</v>
      </c>
      <c r="E1366" s="4"/>
      <c r="F1366" s="3">
        <v>45953</v>
      </c>
      <c r="G1366" s="1">
        <v>14214</v>
      </c>
      <c r="H1366" s="1">
        <v>12921</v>
      </c>
      <c r="I1366" s="1">
        <f t="shared" si="214"/>
        <v>1293</v>
      </c>
      <c r="J1366" s="1">
        <f t="shared" si="218"/>
        <v>4396.5599999999977</v>
      </c>
      <c r="K1366" s="9">
        <f t="shared" si="217"/>
        <v>0.100069654051544</v>
      </c>
    </row>
    <row r="1367" spans="1:11" x14ac:dyDescent="0.35">
      <c r="A1367" s="2" t="s">
        <v>164</v>
      </c>
      <c r="B1367" t="s">
        <v>167</v>
      </c>
      <c r="C1367" s="21" t="s">
        <v>275</v>
      </c>
      <c r="D1367" s="4">
        <v>6</v>
      </c>
      <c r="E1367" s="4"/>
      <c r="F1367" s="3">
        <v>45960</v>
      </c>
      <c r="G1367" s="1">
        <v>13696</v>
      </c>
      <c r="H1367" s="1">
        <v>12921</v>
      </c>
      <c r="I1367" s="1">
        <f t="shared" si="214"/>
        <v>775</v>
      </c>
      <c r="J1367" s="1">
        <f t="shared" si="218"/>
        <v>5171.5599999999977</v>
      </c>
      <c r="K1367" s="9">
        <f t="shared" si="217"/>
        <v>5.9979877718442848E-2</v>
      </c>
    </row>
    <row r="1368" spans="1:11" x14ac:dyDescent="0.35">
      <c r="A1368" s="2" t="s">
        <v>164</v>
      </c>
      <c r="B1368" t="s">
        <v>167</v>
      </c>
      <c r="C1368" s="21" t="s">
        <v>275</v>
      </c>
      <c r="D1368" s="4">
        <v>7</v>
      </c>
      <c r="E1368" s="4"/>
      <c r="F1368" s="3">
        <v>45967</v>
      </c>
      <c r="G1368" s="1">
        <v>13696</v>
      </c>
      <c r="H1368" s="1">
        <v>12921</v>
      </c>
      <c r="I1368" s="1">
        <f t="shared" si="214"/>
        <v>775</v>
      </c>
      <c r="J1368" s="1">
        <f t="shared" si="218"/>
        <v>5946.5599999999977</v>
      </c>
      <c r="K1368" s="9">
        <f t="shared" si="217"/>
        <v>5.9979877718442848E-2</v>
      </c>
    </row>
    <row r="1369" spans="1:11" x14ac:dyDescent="0.35">
      <c r="A1369" s="2" t="s">
        <v>164</v>
      </c>
      <c r="B1369" t="s">
        <v>167</v>
      </c>
      <c r="C1369" s="21" t="s">
        <v>275</v>
      </c>
      <c r="D1369" s="4">
        <v>8</v>
      </c>
      <c r="E1369" s="4"/>
      <c r="G1369" s="1"/>
      <c r="H1369" s="1"/>
      <c r="I1369" s="1">
        <f t="shared" si="214"/>
        <v>0</v>
      </c>
      <c r="J1369" s="1">
        <f t="shared" si="218"/>
        <v>5946.5599999999977</v>
      </c>
      <c r="K1369" s="9" t="e">
        <f t="shared" si="217"/>
        <v>#DIV/0!</v>
      </c>
    </row>
    <row r="1370" spans="1:11" x14ac:dyDescent="0.35">
      <c r="A1370" s="2" t="s">
        <v>164</v>
      </c>
      <c r="B1370" t="s">
        <v>167</v>
      </c>
      <c r="C1370" s="21" t="s">
        <v>275</v>
      </c>
      <c r="D1370" s="4">
        <v>9</v>
      </c>
      <c r="E1370" s="4"/>
      <c r="G1370" s="1"/>
      <c r="H1370" s="1"/>
      <c r="I1370" s="1">
        <f t="shared" si="214"/>
        <v>0</v>
      </c>
      <c r="J1370" s="1">
        <f t="shared" si="218"/>
        <v>5946.5599999999977</v>
      </c>
      <c r="K1370" s="9" t="e">
        <f t="shared" si="217"/>
        <v>#DIV/0!</v>
      </c>
    </row>
    <row r="1371" spans="1:11" x14ac:dyDescent="0.35">
      <c r="A1371" s="2" t="s">
        <v>164</v>
      </c>
      <c r="B1371" t="s">
        <v>167</v>
      </c>
      <c r="C1371" s="21" t="s">
        <v>275</v>
      </c>
      <c r="D1371" s="4">
        <v>10</v>
      </c>
      <c r="E1371" s="4"/>
      <c r="G1371" s="1"/>
      <c r="H1371" s="1"/>
      <c r="I1371" s="1">
        <f t="shared" si="214"/>
        <v>0</v>
      </c>
      <c r="J1371" s="1">
        <f t="shared" si="218"/>
        <v>5946.5599999999977</v>
      </c>
      <c r="K1371" s="9" t="e">
        <f t="shared" si="217"/>
        <v>#DIV/0!</v>
      </c>
    </row>
    <row r="1372" spans="1:11" x14ac:dyDescent="0.35">
      <c r="A1372" s="2" t="s">
        <v>164</v>
      </c>
      <c r="B1372" t="s">
        <v>167</v>
      </c>
      <c r="C1372" s="21" t="s">
        <v>275</v>
      </c>
      <c r="D1372" s="4">
        <v>11</v>
      </c>
      <c r="E1372" s="4"/>
      <c r="G1372" s="1"/>
      <c r="H1372" s="1"/>
      <c r="I1372" s="1">
        <f t="shared" si="214"/>
        <v>0</v>
      </c>
      <c r="J1372" s="1">
        <f t="shared" si="218"/>
        <v>5946.5599999999977</v>
      </c>
      <c r="K1372" s="9" t="e">
        <f t="shared" si="217"/>
        <v>#DIV/0!</v>
      </c>
    </row>
    <row r="1373" spans="1:11" x14ac:dyDescent="0.35">
      <c r="A1373" s="2" t="s">
        <v>164</v>
      </c>
      <c r="B1373" t="s">
        <v>167</v>
      </c>
      <c r="C1373" s="21" t="s">
        <v>275</v>
      </c>
      <c r="D1373" s="4">
        <v>12</v>
      </c>
      <c r="E1373" s="4"/>
      <c r="G1373" s="1"/>
      <c r="H1373" s="1"/>
      <c r="I1373" s="1">
        <f t="shared" si="214"/>
        <v>0</v>
      </c>
      <c r="J1373" s="1">
        <f t="shared" si="218"/>
        <v>5946.5599999999977</v>
      </c>
      <c r="K1373" s="9" t="e">
        <f t="shared" si="217"/>
        <v>#DIV/0!</v>
      </c>
    </row>
    <row r="1374" spans="1:11" x14ac:dyDescent="0.35">
      <c r="A1374" s="2" t="s">
        <v>164</v>
      </c>
      <c r="B1374" t="s">
        <v>167</v>
      </c>
      <c r="C1374" s="21" t="s">
        <v>275</v>
      </c>
      <c r="D1374" s="4">
        <v>13</v>
      </c>
      <c r="E1374" s="4"/>
      <c r="G1374" s="1"/>
      <c r="H1374" s="1"/>
      <c r="I1374" s="1">
        <f t="shared" si="214"/>
        <v>0</v>
      </c>
      <c r="J1374" s="1">
        <f t="shared" si="218"/>
        <v>5946.5599999999977</v>
      </c>
      <c r="K1374" s="9" t="e">
        <f t="shared" si="217"/>
        <v>#DIV/0!</v>
      </c>
    </row>
    <row r="1375" spans="1:11" x14ac:dyDescent="0.35">
      <c r="A1375" s="2" t="s">
        <v>164</v>
      </c>
      <c r="B1375" t="s">
        <v>167</v>
      </c>
      <c r="C1375" s="21" t="s">
        <v>275</v>
      </c>
      <c r="D1375" s="4">
        <v>14</v>
      </c>
      <c r="E1375" s="4"/>
      <c r="G1375" s="1"/>
      <c r="H1375" s="1"/>
      <c r="I1375" s="1">
        <f t="shared" si="214"/>
        <v>0</v>
      </c>
      <c r="J1375" s="1">
        <f t="shared" si="218"/>
        <v>5946.5599999999977</v>
      </c>
      <c r="K1375" s="9" t="e">
        <f t="shared" si="217"/>
        <v>#DIV/0!</v>
      </c>
    </row>
    <row r="1376" spans="1:11" x14ac:dyDescent="0.35">
      <c r="A1376" s="2" t="s">
        <v>164</v>
      </c>
      <c r="B1376" t="s">
        <v>167</v>
      </c>
      <c r="C1376" s="21" t="s">
        <v>275</v>
      </c>
      <c r="D1376" s="4">
        <v>15</v>
      </c>
      <c r="E1376" s="4"/>
      <c r="G1376" s="1"/>
      <c r="H1376" s="1"/>
      <c r="I1376" s="1">
        <f t="shared" si="214"/>
        <v>0</v>
      </c>
      <c r="J1376" s="1">
        <f t="shared" si="218"/>
        <v>5946.5599999999977</v>
      </c>
      <c r="K1376" s="9" t="e">
        <f t="shared" si="217"/>
        <v>#DIV/0!</v>
      </c>
    </row>
    <row r="1377" spans="1:11" ht="15" thickBot="1" x14ac:dyDescent="0.4">
      <c r="A1377" s="12" t="s">
        <v>164</v>
      </c>
      <c r="B1377" s="13" t="s">
        <v>167</v>
      </c>
      <c r="C1377" s="21" t="s">
        <v>275</v>
      </c>
      <c r="D1377" s="14">
        <v>16</v>
      </c>
      <c r="E1377" s="14"/>
      <c r="F1377" s="13"/>
      <c r="G1377" s="15"/>
      <c r="H1377" s="15"/>
      <c r="I1377" s="15">
        <f t="shared" si="214"/>
        <v>0</v>
      </c>
      <c r="J1377" s="15">
        <f t="shared" si="218"/>
        <v>5946.5599999999977</v>
      </c>
      <c r="K1377" s="13"/>
    </row>
    <row r="1378" spans="1:11" x14ac:dyDescent="0.35">
      <c r="A1378" s="2" t="s">
        <v>165</v>
      </c>
      <c r="B1378" t="s">
        <v>168</v>
      </c>
      <c r="C1378" s="21" t="s">
        <v>275</v>
      </c>
      <c r="D1378" s="4">
        <v>1</v>
      </c>
      <c r="E1378" s="4"/>
      <c r="F1378" s="3">
        <v>45926</v>
      </c>
      <c r="G1378" s="1">
        <v>4486</v>
      </c>
      <c r="H1378" s="1">
        <v>4180.04</v>
      </c>
      <c r="I1378" s="1">
        <f t="shared" si="214"/>
        <v>305.96000000000004</v>
      </c>
      <c r="J1378" s="1">
        <f>I1378</f>
        <v>305.96000000000004</v>
      </c>
      <c r="K1378" s="9">
        <f t="shared" ref="K1378:K1392" si="219">I1378/H1378</f>
        <v>7.3195471813666868E-2</v>
      </c>
    </row>
    <row r="1379" spans="1:11" x14ac:dyDescent="0.35">
      <c r="A1379" s="2" t="s">
        <v>165</v>
      </c>
      <c r="B1379" t="s">
        <v>168</v>
      </c>
      <c r="C1379" s="21" t="s">
        <v>275</v>
      </c>
      <c r="D1379" s="4">
        <v>2</v>
      </c>
      <c r="E1379" s="4"/>
      <c r="F1379" s="3">
        <v>45932</v>
      </c>
      <c r="G1379" s="1">
        <v>4486</v>
      </c>
      <c r="H1379" s="1">
        <v>4180.04</v>
      </c>
      <c r="I1379" s="1">
        <f t="shared" si="214"/>
        <v>305.96000000000004</v>
      </c>
      <c r="J1379" s="1">
        <f>J1378+I1379</f>
        <v>611.92000000000007</v>
      </c>
      <c r="K1379" s="9">
        <f t="shared" si="219"/>
        <v>7.3195471813666868E-2</v>
      </c>
    </row>
    <row r="1380" spans="1:11" x14ac:dyDescent="0.35">
      <c r="A1380" s="2" t="s">
        <v>165</v>
      </c>
      <c r="B1380" t="s">
        <v>168</v>
      </c>
      <c r="C1380" s="21" t="s">
        <v>275</v>
      </c>
      <c r="D1380" s="4">
        <v>3</v>
      </c>
      <c r="E1380" s="4"/>
      <c r="F1380" s="3">
        <v>45939</v>
      </c>
      <c r="G1380" s="1">
        <v>4486</v>
      </c>
      <c r="H1380" s="1">
        <v>4180.04</v>
      </c>
      <c r="I1380" s="1">
        <f t="shared" si="214"/>
        <v>305.96000000000004</v>
      </c>
      <c r="J1380" s="1">
        <f t="shared" ref="J1380:J1393" si="220">J1379+I1380</f>
        <v>917.88000000000011</v>
      </c>
      <c r="K1380" s="9">
        <f t="shared" si="219"/>
        <v>7.3195471813666868E-2</v>
      </c>
    </row>
    <row r="1381" spans="1:11" x14ac:dyDescent="0.35">
      <c r="A1381" s="2" t="s">
        <v>165</v>
      </c>
      <c r="B1381" t="s">
        <v>168</v>
      </c>
      <c r="C1381" s="21" t="s">
        <v>275</v>
      </c>
      <c r="D1381" s="4">
        <v>4</v>
      </c>
      <c r="E1381" s="4"/>
      <c r="F1381" s="3">
        <v>45946</v>
      </c>
      <c r="G1381" s="1">
        <v>4486</v>
      </c>
      <c r="H1381" s="1">
        <v>4180.04</v>
      </c>
      <c r="I1381" s="1">
        <f t="shared" si="214"/>
        <v>305.96000000000004</v>
      </c>
      <c r="J1381" s="1">
        <f t="shared" si="220"/>
        <v>1223.8400000000001</v>
      </c>
      <c r="K1381" s="9">
        <f t="shared" si="219"/>
        <v>7.3195471813666868E-2</v>
      </c>
    </row>
    <row r="1382" spans="1:11" x14ac:dyDescent="0.35">
      <c r="A1382" s="2" t="s">
        <v>165</v>
      </c>
      <c r="B1382" t="s">
        <v>168</v>
      </c>
      <c r="C1382" s="21" t="s">
        <v>275</v>
      </c>
      <c r="D1382" s="4">
        <v>5</v>
      </c>
      <c r="E1382" s="4"/>
      <c r="F1382" s="3">
        <v>45953</v>
      </c>
      <c r="G1382" s="1">
        <v>4486</v>
      </c>
      <c r="H1382" s="1">
        <v>4180.04</v>
      </c>
      <c r="I1382" s="1">
        <f t="shared" si="214"/>
        <v>305.96000000000004</v>
      </c>
      <c r="J1382" s="1">
        <f t="shared" si="220"/>
        <v>1529.8000000000002</v>
      </c>
      <c r="K1382" s="9">
        <f t="shared" si="219"/>
        <v>7.3195471813666868E-2</v>
      </c>
    </row>
    <row r="1383" spans="1:11" x14ac:dyDescent="0.35">
      <c r="A1383" s="2" t="s">
        <v>165</v>
      </c>
      <c r="B1383" t="s">
        <v>168</v>
      </c>
      <c r="C1383" s="21" t="s">
        <v>275</v>
      </c>
      <c r="D1383" s="4">
        <v>6</v>
      </c>
      <c r="E1383" s="4"/>
      <c r="F1383" s="3">
        <v>45960</v>
      </c>
      <c r="G1383" s="1">
        <v>4486</v>
      </c>
      <c r="H1383" s="1">
        <v>4180.04</v>
      </c>
      <c r="I1383" s="1">
        <f t="shared" si="214"/>
        <v>305.96000000000004</v>
      </c>
      <c r="J1383" s="1">
        <f t="shared" si="220"/>
        <v>1835.7600000000002</v>
      </c>
      <c r="K1383" s="9">
        <f t="shared" si="219"/>
        <v>7.3195471813666868E-2</v>
      </c>
    </row>
    <row r="1384" spans="1:11" x14ac:dyDescent="0.35">
      <c r="A1384" s="2" t="s">
        <v>165</v>
      </c>
      <c r="B1384" t="s">
        <v>168</v>
      </c>
      <c r="C1384" s="21" t="s">
        <v>275</v>
      </c>
      <c r="D1384" s="4">
        <v>7</v>
      </c>
      <c r="E1384" s="4"/>
      <c r="F1384" s="3">
        <v>45967</v>
      </c>
      <c r="G1384" s="34">
        <v>4486</v>
      </c>
      <c r="H1384" s="34">
        <v>4180.04</v>
      </c>
      <c r="I1384" s="1">
        <f t="shared" si="214"/>
        <v>305.96000000000004</v>
      </c>
      <c r="J1384" s="1">
        <f t="shared" si="220"/>
        <v>2141.7200000000003</v>
      </c>
      <c r="K1384" s="9">
        <f t="shared" si="219"/>
        <v>7.3195471813666868E-2</v>
      </c>
    </row>
    <row r="1385" spans="1:11" x14ac:dyDescent="0.35">
      <c r="A1385" s="2" t="s">
        <v>165</v>
      </c>
      <c r="B1385" t="s">
        <v>168</v>
      </c>
      <c r="C1385" s="21" t="s">
        <v>275</v>
      </c>
      <c r="D1385" s="4">
        <v>8</v>
      </c>
      <c r="E1385" s="4"/>
      <c r="G1385" s="1"/>
      <c r="H1385" s="1"/>
      <c r="I1385" s="1">
        <f t="shared" si="214"/>
        <v>0</v>
      </c>
      <c r="J1385" s="1">
        <f t="shared" si="220"/>
        <v>2141.7200000000003</v>
      </c>
      <c r="K1385" s="9" t="e">
        <f t="shared" si="219"/>
        <v>#DIV/0!</v>
      </c>
    </row>
    <row r="1386" spans="1:11" x14ac:dyDescent="0.35">
      <c r="A1386" s="2" t="s">
        <v>165</v>
      </c>
      <c r="B1386" t="s">
        <v>168</v>
      </c>
      <c r="C1386" s="21" t="s">
        <v>275</v>
      </c>
      <c r="D1386" s="4">
        <v>9</v>
      </c>
      <c r="E1386" s="4"/>
      <c r="G1386" s="1"/>
      <c r="H1386" s="1"/>
      <c r="I1386" s="1">
        <f t="shared" si="214"/>
        <v>0</v>
      </c>
      <c r="J1386" s="1">
        <f t="shared" si="220"/>
        <v>2141.7200000000003</v>
      </c>
      <c r="K1386" s="9" t="e">
        <f t="shared" si="219"/>
        <v>#DIV/0!</v>
      </c>
    </row>
    <row r="1387" spans="1:11" x14ac:dyDescent="0.35">
      <c r="A1387" s="2" t="s">
        <v>165</v>
      </c>
      <c r="B1387" t="s">
        <v>168</v>
      </c>
      <c r="C1387" s="21" t="s">
        <v>275</v>
      </c>
      <c r="D1387" s="4">
        <v>10</v>
      </c>
      <c r="E1387" s="4"/>
      <c r="G1387" s="1"/>
      <c r="H1387" s="1"/>
      <c r="I1387" s="1">
        <f t="shared" si="214"/>
        <v>0</v>
      </c>
      <c r="J1387" s="1">
        <f t="shared" si="220"/>
        <v>2141.7200000000003</v>
      </c>
      <c r="K1387" s="9" t="e">
        <f t="shared" si="219"/>
        <v>#DIV/0!</v>
      </c>
    </row>
    <row r="1388" spans="1:11" x14ac:dyDescent="0.35">
      <c r="A1388" s="2" t="s">
        <v>165</v>
      </c>
      <c r="B1388" t="s">
        <v>168</v>
      </c>
      <c r="C1388" s="21" t="s">
        <v>275</v>
      </c>
      <c r="D1388" s="4">
        <v>11</v>
      </c>
      <c r="E1388" s="4"/>
      <c r="G1388" s="1"/>
      <c r="H1388" s="1"/>
      <c r="I1388" s="1">
        <f t="shared" si="214"/>
        <v>0</v>
      </c>
      <c r="J1388" s="1">
        <f t="shared" si="220"/>
        <v>2141.7200000000003</v>
      </c>
      <c r="K1388" s="9" t="e">
        <f t="shared" si="219"/>
        <v>#DIV/0!</v>
      </c>
    </row>
    <row r="1389" spans="1:11" x14ac:dyDescent="0.35">
      <c r="A1389" s="2" t="s">
        <v>165</v>
      </c>
      <c r="B1389" t="s">
        <v>168</v>
      </c>
      <c r="C1389" s="21" t="s">
        <v>275</v>
      </c>
      <c r="D1389" s="4">
        <v>12</v>
      </c>
      <c r="E1389" s="4"/>
      <c r="G1389" s="1"/>
      <c r="H1389" s="1"/>
      <c r="I1389" s="1">
        <f t="shared" si="214"/>
        <v>0</v>
      </c>
      <c r="J1389" s="1">
        <f t="shared" si="220"/>
        <v>2141.7200000000003</v>
      </c>
      <c r="K1389" s="9" t="e">
        <f t="shared" si="219"/>
        <v>#DIV/0!</v>
      </c>
    </row>
    <row r="1390" spans="1:11" x14ac:dyDescent="0.35">
      <c r="A1390" s="2" t="s">
        <v>165</v>
      </c>
      <c r="B1390" t="s">
        <v>168</v>
      </c>
      <c r="C1390" s="21" t="s">
        <v>275</v>
      </c>
      <c r="D1390" s="4">
        <v>13</v>
      </c>
      <c r="E1390" s="4"/>
      <c r="G1390" s="1"/>
      <c r="H1390" s="1"/>
      <c r="I1390" s="1">
        <f t="shared" si="214"/>
        <v>0</v>
      </c>
      <c r="J1390" s="1">
        <f t="shared" si="220"/>
        <v>2141.7200000000003</v>
      </c>
      <c r="K1390" s="9" t="e">
        <f t="shared" si="219"/>
        <v>#DIV/0!</v>
      </c>
    </row>
    <row r="1391" spans="1:11" x14ac:dyDescent="0.35">
      <c r="A1391" s="2" t="s">
        <v>165</v>
      </c>
      <c r="B1391" t="s">
        <v>168</v>
      </c>
      <c r="C1391" s="21" t="s">
        <v>275</v>
      </c>
      <c r="D1391" s="4">
        <v>14</v>
      </c>
      <c r="E1391" s="4"/>
      <c r="G1391" s="1"/>
      <c r="H1391" s="1"/>
      <c r="I1391" s="1">
        <f t="shared" si="214"/>
        <v>0</v>
      </c>
      <c r="J1391" s="1">
        <f t="shared" si="220"/>
        <v>2141.7200000000003</v>
      </c>
      <c r="K1391" s="9" t="e">
        <f t="shared" si="219"/>
        <v>#DIV/0!</v>
      </c>
    </row>
    <row r="1392" spans="1:11" x14ac:dyDescent="0.35">
      <c r="A1392" s="2" t="s">
        <v>165</v>
      </c>
      <c r="B1392" t="s">
        <v>168</v>
      </c>
      <c r="C1392" s="21" t="s">
        <v>275</v>
      </c>
      <c r="D1392" s="4">
        <v>15</v>
      </c>
      <c r="E1392" s="4"/>
      <c r="G1392" s="1"/>
      <c r="H1392" s="1"/>
      <c r="I1392" s="1">
        <f t="shared" si="214"/>
        <v>0</v>
      </c>
      <c r="J1392" s="1">
        <f t="shared" si="220"/>
        <v>2141.7200000000003</v>
      </c>
      <c r="K1392" s="9" t="e">
        <f t="shared" si="219"/>
        <v>#DIV/0!</v>
      </c>
    </row>
    <row r="1393" spans="1:11" ht="15" thickBot="1" x14ac:dyDescent="0.4">
      <c r="A1393" s="12" t="s">
        <v>165</v>
      </c>
      <c r="B1393" s="13" t="s">
        <v>168</v>
      </c>
      <c r="C1393" s="21" t="s">
        <v>275</v>
      </c>
      <c r="D1393" s="14">
        <v>16</v>
      </c>
      <c r="E1393" s="14"/>
      <c r="F1393" s="13"/>
      <c r="G1393" s="15"/>
      <c r="H1393" s="15"/>
      <c r="I1393" s="15">
        <f t="shared" si="214"/>
        <v>0</v>
      </c>
      <c r="J1393" s="15">
        <f t="shared" si="220"/>
        <v>2141.7200000000003</v>
      </c>
      <c r="K1393" s="13"/>
    </row>
    <row r="1394" spans="1:11" x14ac:dyDescent="0.35">
      <c r="A1394" s="2" t="s">
        <v>169</v>
      </c>
      <c r="B1394" t="s">
        <v>170</v>
      </c>
      <c r="C1394" s="21" t="s">
        <v>275</v>
      </c>
      <c r="D1394" s="4">
        <v>1</v>
      </c>
      <c r="E1394" s="4"/>
      <c r="F1394" s="3">
        <v>45926</v>
      </c>
      <c r="G1394" s="1">
        <v>8104</v>
      </c>
      <c r="H1394" s="1">
        <v>7372</v>
      </c>
      <c r="I1394" s="1">
        <f t="shared" si="214"/>
        <v>732</v>
      </c>
      <c r="J1394" s="1">
        <f>I1394</f>
        <v>732</v>
      </c>
      <c r="K1394" s="9">
        <f t="shared" ref="K1394:K1408" si="221">I1394/H1394</f>
        <v>9.9294628323385786E-2</v>
      </c>
    </row>
    <row r="1395" spans="1:11" x14ac:dyDescent="0.35">
      <c r="A1395" s="2" t="s">
        <v>169</v>
      </c>
      <c r="B1395" t="s">
        <v>170</v>
      </c>
      <c r="C1395" s="21" t="s">
        <v>275</v>
      </c>
      <c r="D1395" s="4">
        <v>2</v>
      </c>
      <c r="E1395" s="4"/>
      <c r="F1395" s="3">
        <v>45933</v>
      </c>
      <c r="G1395" s="1">
        <v>8104</v>
      </c>
      <c r="H1395" s="1">
        <v>7372</v>
      </c>
      <c r="I1395" s="1">
        <f t="shared" si="214"/>
        <v>732</v>
      </c>
      <c r="J1395" s="1">
        <f>J1394+I1395</f>
        <v>1464</v>
      </c>
      <c r="K1395" s="9">
        <f t="shared" si="221"/>
        <v>9.9294628323385786E-2</v>
      </c>
    </row>
    <row r="1396" spans="1:11" x14ac:dyDescent="0.35">
      <c r="A1396" s="2" t="s">
        <v>169</v>
      </c>
      <c r="B1396" t="s">
        <v>170</v>
      </c>
      <c r="C1396" s="21" t="s">
        <v>275</v>
      </c>
      <c r="D1396" s="4">
        <v>3</v>
      </c>
      <c r="E1396" s="4"/>
      <c r="F1396" s="3">
        <v>45940</v>
      </c>
      <c r="G1396" s="1">
        <v>8104</v>
      </c>
      <c r="H1396" s="1">
        <v>7372</v>
      </c>
      <c r="I1396" s="1">
        <f t="shared" si="214"/>
        <v>732</v>
      </c>
      <c r="J1396" s="1">
        <f t="shared" ref="J1396:J1409" si="222">J1395+I1396</f>
        <v>2196</v>
      </c>
      <c r="K1396" s="9">
        <f t="shared" si="221"/>
        <v>9.9294628323385786E-2</v>
      </c>
    </row>
    <row r="1397" spans="1:11" x14ac:dyDescent="0.35">
      <c r="A1397" s="2" t="s">
        <v>169</v>
      </c>
      <c r="B1397" t="s">
        <v>170</v>
      </c>
      <c r="C1397" s="21" t="s">
        <v>275</v>
      </c>
      <c r="D1397" s="4">
        <v>4</v>
      </c>
      <c r="E1397" s="4"/>
      <c r="F1397" s="3">
        <v>45947</v>
      </c>
      <c r="G1397" s="1">
        <v>8104</v>
      </c>
      <c r="H1397" s="1">
        <v>7372</v>
      </c>
      <c r="I1397" s="1">
        <f t="shared" si="214"/>
        <v>732</v>
      </c>
      <c r="J1397" s="1">
        <f t="shared" si="222"/>
        <v>2928</v>
      </c>
      <c r="K1397" s="9">
        <f t="shared" si="221"/>
        <v>9.9294628323385786E-2</v>
      </c>
    </row>
    <row r="1398" spans="1:11" x14ac:dyDescent="0.35">
      <c r="A1398" s="2" t="s">
        <v>169</v>
      </c>
      <c r="B1398" t="s">
        <v>170</v>
      </c>
      <c r="C1398" s="21" t="s">
        <v>275</v>
      </c>
      <c r="D1398" s="4">
        <v>5</v>
      </c>
      <c r="E1398" s="4"/>
      <c r="F1398" s="3">
        <v>45954</v>
      </c>
      <c r="G1398" s="1">
        <v>8104</v>
      </c>
      <c r="H1398" s="1">
        <v>7372</v>
      </c>
      <c r="I1398" s="1">
        <f t="shared" ref="I1398:I1477" si="223">G1398-H1398</f>
        <v>732</v>
      </c>
      <c r="J1398" s="1">
        <f t="shared" si="222"/>
        <v>3660</v>
      </c>
      <c r="K1398" s="9">
        <f t="shared" si="221"/>
        <v>9.9294628323385786E-2</v>
      </c>
    </row>
    <row r="1399" spans="1:11" x14ac:dyDescent="0.35">
      <c r="A1399" s="2" t="s">
        <v>169</v>
      </c>
      <c r="B1399" t="s">
        <v>170</v>
      </c>
      <c r="C1399" s="21" t="s">
        <v>275</v>
      </c>
      <c r="D1399" s="4">
        <v>6</v>
      </c>
      <c r="E1399" s="4"/>
      <c r="F1399" s="3">
        <v>45961</v>
      </c>
      <c r="G1399" s="1">
        <v>8104</v>
      </c>
      <c r="H1399" s="1">
        <v>7372</v>
      </c>
      <c r="I1399" s="1">
        <f t="shared" si="223"/>
        <v>732</v>
      </c>
      <c r="J1399" s="1">
        <f t="shared" si="222"/>
        <v>4392</v>
      </c>
      <c r="K1399" s="9">
        <f t="shared" si="221"/>
        <v>9.9294628323385786E-2</v>
      </c>
    </row>
    <row r="1400" spans="1:11" x14ac:dyDescent="0.35">
      <c r="A1400" s="2" t="s">
        <v>169</v>
      </c>
      <c r="B1400" t="s">
        <v>170</v>
      </c>
      <c r="C1400" s="21" t="s">
        <v>275</v>
      </c>
      <c r="D1400" s="4">
        <v>7</v>
      </c>
      <c r="E1400" s="4"/>
      <c r="G1400" s="1"/>
      <c r="H1400" s="1"/>
      <c r="I1400" s="1">
        <f t="shared" si="223"/>
        <v>0</v>
      </c>
      <c r="J1400" s="1">
        <f t="shared" si="222"/>
        <v>4392</v>
      </c>
      <c r="K1400" s="9" t="e">
        <f t="shared" si="221"/>
        <v>#DIV/0!</v>
      </c>
    </row>
    <row r="1401" spans="1:11" x14ac:dyDescent="0.35">
      <c r="A1401" s="2" t="s">
        <v>169</v>
      </c>
      <c r="B1401" t="s">
        <v>170</v>
      </c>
      <c r="C1401" s="21" t="s">
        <v>275</v>
      </c>
      <c r="D1401" s="4">
        <v>8</v>
      </c>
      <c r="E1401" s="4"/>
      <c r="G1401" s="1"/>
      <c r="H1401" s="1"/>
      <c r="I1401" s="1">
        <f t="shared" si="223"/>
        <v>0</v>
      </c>
      <c r="J1401" s="1">
        <f t="shared" si="222"/>
        <v>4392</v>
      </c>
      <c r="K1401" s="9" t="e">
        <f t="shared" si="221"/>
        <v>#DIV/0!</v>
      </c>
    </row>
    <row r="1402" spans="1:11" x14ac:dyDescent="0.35">
      <c r="A1402" s="2" t="s">
        <v>169</v>
      </c>
      <c r="B1402" t="s">
        <v>170</v>
      </c>
      <c r="C1402" s="21" t="s">
        <v>275</v>
      </c>
      <c r="D1402" s="4">
        <v>9</v>
      </c>
      <c r="E1402" s="4"/>
      <c r="G1402" s="1"/>
      <c r="H1402" s="1"/>
      <c r="I1402" s="1">
        <f t="shared" si="223"/>
        <v>0</v>
      </c>
      <c r="J1402" s="1">
        <f t="shared" si="222"/>
        <v>4392</v>
      </c>
      <c r="K1402" s="9" t="e">
        <f t="shared" si="221"/>
        <v>#DIV/0!</v>
      </c>
    </row>
    <row r="1403" spans="1:11" x14ac:dyDescent="0.35">
      <c r="A1403" s="2" t="s">
        <v>169</v>
      </c>
      <c r="B1403" t="s">
        <v>170</v>
      </c>
      <c r="C1403" s="21" t="s">
        <v>275</v>
      </c>
      <c r="D1403" s="4">
        <v>10</v>
      </c>
      <c r="E1403" s="4"/>
      <c r="G1403" s="1"/>
      <c r="H1403" s="1"/>
      <c r="I1403" s="1">
        <f t="shared" si="223"/>
        <v>0</v>
      </c>
      <c r="J1403" s="1">
        <f t="shared" si="222"/>
        <v>4392</v>
      </c>
      <c r="K1403" s="9" t="e">
        <f t="shared" si="221"/>
        <v>#DIV/0!</v>
      </c>
    </row>
    <row r="1404" spans="1:11" x14ac:dyDescent="0.35">
      <c r="A1404" s="2" t="s">
        <v>169</v>
      </c>
      <c r="B1404" t="s">
        <v>170</v>
      </c>
      <c r="C1404" s="21" t="s">
        <v>275</v>
      </c>
      <c r="D1404" s="4">
        <v>11</v>
      </c>
      <c r="E1404" s="4"/>
      <c r="G1404" s="1"/>
      <c r="H1404" s="1"/>
      <c r="I1404" s="1">
        <f t="shared" si="223"/>
        <v>0</v>
      </c>
      <c r="J1404" s="1">
        <f t="shared" si="222"/>
        <v>4392</v>
      </c>
      <c r="K1404" s="9" t="e">
        <f t="shared" si="221"/>
        <v>#DIV/0!</v>
      </c>
    </row>
    <row r="1405" spans="1:11" x14ac:dyDescent="0.35">
      <c r="A1405" s="2" t="s">
        <v>169</v>
      </c>
      <c r="B1405" t="s">
        <v>170</v>
      </c>
      <c r="C1405" s="21" t="s">
        <v>275</v>
      </c>
      <c r="D1405" s="4">
        <v>12</v>
      </c>
      <c r="E1405" s="4"/>
      <c r="G1405" s="1"/>
      <c r="H1405" s="1"/>
      <c r="I1405" s="1">
        <f t="shared" si="223"/>
        <v>0</v>
      </c>
      <c r="J1405" s="1">
        <f t="shared" si="222"/>
        <v>4392</v>
      </c>
      <c r="K1405" s="9" t="e">
        <f t="shared" si="221"/>
        <v>#DIV/0!</v>
      </c>
    </row>
    <row r="1406" spans="1:11" x14ac:dyDescent="0.35">
      <c r="A1406" s="2" t="s">
        <v>169</v>
      </c>
      <c r="B1406" t="s">
        <v>170</v>
      </c>
      <c r="C1406" s="21" t="s">
        <v>275</v>
      </c>
      <c r="D1406" s="4">
        <v>13</v>
      </c>
      <c r="E1406" s="4"/>
      <c r="G1406" s="1"/>
      <c r="H1406" s="1"/>
      <c r="I1406" s="1">
        <f t="shared" si="223"/>
        <v>0</v>
      </c>
      <c r="J1406" s="1">
        <f t="shared" si="222"/>
        <v>4392</v>
      </c>
      <c r="K1406" s="9" t="e">
        <f t="shared" si="221"/>
        <v>#DIV/0!</v>
      </c>
    </row>
    <row r="1407" spans="1:11" x14ac:dyDescent="0.35">
      <c r="A1407" s="2" t="s">
        <v>169</v>
      </c>
      <c r="B1407" t="s">
        <v>170</v>
      </c>
      <c r="C1407" s="21" t="s">
        <v>275</v>
      </c>
      <c r="D1407" s="4">
        <v>14</v>
      </c>
      <c r="E1407" s="4"/>
      <c r="G1407" s="1"/>
      <c r="H1407" s="1"/>
      <c r="I1407" s="1">
        <f t="shared" si="223"/>
        <v>0</v>
      </c>
      <c r="J1407" s="1">
        <f t="shared" si="222"/>
        <v>4392</v>
      </c>
      <c r="K1407" s="9" t="e">
        <f t="shared" si="221"/>
        <v>#DIV/0!</v>
      </c>
    </row>
    <row r="1408" spans="1:11" x14ac:dyDescent="0.35">
      <c r="A1408" s="2" t="s">
        <v>169</v>
      </c>
      <c r="B1408" t="s">
        <v>170</v>
      </c>
      <c r="C1408" s="21" t="s">
        <v>275</v>
      </c>
      <c r="D1408" s="4">
        <v>15</v>
      </c>
      <c r="E1408" s="4"/>
      <c r="G1408" s="1"/>
      <c r="H1408" s="1"/>
      <c r="I1408" s="1">
        <f t="shared" si="223"/>
        <v>0</v>
      </c>
      <c r="J1408" s="1">
        <f t="shared" si="222"/>
        <v>4392</v>
      </c>
      <c r="K1408" s="9" t="e">
        <f t="shared" si="221"/>
        <v>#DIV/0!</v>
      </c>
    </row>
    <row r="1409" spans="1:11" ht="15" thickBot="1" x14ac:dyDescent="0.4">
      <c r="A1409" s="12" t="s">
        <v>169</v>
      </c>
      <c r="B1409" s="13" t="s">
        <v>170</v>
      </c>
      <c r="C1409" s="21" t="s">
        <v>275</v>
      </c>
      <c r="D1409" s="14">
        <v>16</v>
      </c>
      <c r="E1409" s="14"/>
      <c r="F1409" s="13"/>
      <c r="G1409" s="15"/>
      <c r="H1409" s="15"/>
      <c r="I1409" s="15">
        <f t="shared" si="223"/>
        <v>0</v>
      </c>
      <c r="J1409" s="15">
        <f t="shared" si="222"/>
        <v>4392</v>
      </c>
      <c r="K1409" s="13"/>
    </row>
    <row r="1410" spans="1:11" x14ac:dyDescent="0.35">
      <c r="A1410" s="2" t="s">
        <v>207</v>
      </c>
      <c r="B1410" t="s">
        <v>208</v>
      </c>
      <c r="C1410" s="21" t="s">
        <v>275</v>
      </c>
      <c r="D1410" s="4">
        <v>1</v>
      </c>
      <c r="E1410" s="4"/>
      <c r="F1410" s="3">
        <v>45929</v>
      </c>
      <c r="G1410" s="1">
        <v>4265</v>
      </c>
      <c r="H1410" s="1">
        <v>3877</v>
      </c>
      <c r="I1410" s="1">
        <f t="shared" si="223"/>
        <v>388</v>
      </c>
      <c r="J1410" s="1">
        <f>I1410</f>
        <v>388</v>
      </c>
      <c r="K1410" s="9">
        <f t="shared" ref="K1410:K1424" si="224">I1410/H1410</f>
        <v>0.10007737941707506</v>
      </c>
    </row>
    <row r="1411" spans="1:11" x14ac:dyDescent="0.35">
      <c r="A1411" s="2" t="s">
        <v>207</v>
      </c>
      <c r="B1411" t="s">
        <v>208</v>
      </c>
      <c r="C1411" s="21" t="s">
        <v>275</v>
      </c>
      <c r="D1411" s="4">
        <v>2</v>
      </c>
      <c r="E1411" s="4"/>
      <c r="F1411" s="3">
        <v>45929</v>
      </c>
      <c r="G1411" s="1">
        <v>4265</v>
      </c>
      <c r="H1411" s="1">
        <v>3877</v>
      </c>
      <c r="I1411" s="1">
        <f t="shared" si="223"/>
        <v>388</v>
      </c>
      <c r="J1411" s="1">
        <f>J1410+I1411</f>
        <v>776</v>
      </c>
      <c r="K1411" s="9">
        <f t="shared" si="224"/>
        <v>0.10007737941707506</v>
      </c>
    </row>
    <row r="1412" spans="1:11" x14ac:dyDescent="0.35">
      <c r="A1412" s="2" t="s">
        <v>207</v>
      </c>
      <c r="B1412" t="s">
        <v>208</v>
      </c>
      <c r="C1412" s="21" t="s">
        <v>275</v>
      </c>
      <c r="D1412" s="4">
        <v>3</v>
      </c>
      <c r="E1412" s="4"/>
      <c r="F1412" s="3">
        <v>45940</v>
      </c>
      <c r="G1412" s="1">
        <v>4265</v>
      </c>
      <c r="H1412" s="1">
        <v>3874</v>
      </c>
      <c r="I1412" s="1">
        <f t="shared" si="223"/>
        <v>391</v>
      </c>
      <c r="J1412" s="1">
        <f t="shared" ref="J1412:J1425" si="225">J1411+I1412</f>
        <v>1167</v>
      </c>
      <c r="K1412" s="9">
        <f t="shared" si="224"/>
        <v>0.10092927207021167</v>
      </c>
    </row>
    <row r="1413" spans="1:11" x14ac:dyDescent="0.35">
      <c r="A1413" s="2" t="s">
        <v>207</v>
      </c>
      <c r="B1413" t="s">
        <v>208</v>
      </c>
      <c r="C1413" s="21" t="s">
        <v>275</v>
      </c>
      <c r="D1413" s="4">
        <v>4</v>
      </c>
      <c r="E1413" s="4"/>
      <c r="F1413" s="3">
        <v>45947</v>
      </c>
      <c r="G1413" s="1">
        <v>4265</v>
      </c>
      <c r="H1413" s="1">
        <v>3874</v>
      </c>
      <c r="I1413" s="1">
        <f t="shared" si="223"/>
        <v>391</v>
      </c>
      <c r="J1413" s="1">
        <f t="shared" si="225"/>
        <v>1558</v>
      </c>
      <c r="K1413" s="9">
        <f t="shared" si="224"/>
        <v>0.10092927207021167</v>
      </c>
    </row>
    <row r="1414" spans="1:11" x14ac:dyDescent="0.35">
      <c r="A1414" s="2" t="s">
        <v>207</v>
      </c>
      <c r="B1414" t="s">
        <v>208</v>
      </c>
      <c r="C1414" s="21" t="s">
        <v>275</v>
      </c>
      <c r="D1414" s="4">
        <v>5</v>
      </c>
      <c r="E1414" s="4"/>
      <c r="F1414" s="3">
        <v>45954</v>
      </c>
      <c r="G1414" s="1">
        <v>4265</v>
      </c>
      <c r="H1414" s="1">
        <v>3874</v>
      </c>
      <c r="I1414" s="1">
        <f t="shared" si="223"/>
        <v>391</v>
      </c>
      <c r="J1414" s="1">
        <f t="shared" si="225"/>
        <v>1949</v>
      </c>
      <c r="K1414" s="9">
        <f t="shared" si="224"/>
        <v>0.10092927207021167</v>
      </c>
    </row>
    <row r="1415" spans="1:11" x14ac:dyDescent="0.35">
      <c r="A1415" s="2" t="s">
        <v>207</v>
      </c>
      <c r="B1415" t="s">
        <v>208</v>
      </c>
      <c r="C1415" s="21" t="s">
        <v>275</v>
      </c>
      <c r="D1415" s="4">
        <v>6</v>
      </c>
      <c r="E1415" s="4"/>
      <c r="F1415" s="3">
        <v>45961</v>
      </c>
      <c r="G1415" s="1">
        <v>4265</v>
      </c>
      <c r="H1415" s="1">
        <v>3874</v>
      </c>
      <c r="I1415" s="1">
        <f t="shared" si="223"/>
        <v>391</v>
      </c>
      <c r="J1415" s="1">
        <f t="shared" si="225"/>
        <v>2340</v>
      </c>
      <c r="K1415" s="9">
        <f t="shared" si="224"/>
        <v>0.10092927207021167</v>
      </c>
    </row>
    <row r="1416" spans="1:11" x14ac:dyDescent="0.35">
      <c r="A1416" s="2" t="s">
        <v>207</v>
      </c>
      <c r="B1416" t="s">
        <v>208</v>
      </c>
      <c r="C1416" s="21" t="s">
        <v>275</v>
      </c>
      <c r="D1416" s="4">
        <v>7</v>
      </c>
      <c r="E1416" s="4"/>
      <c r="F1416" s="3">
        <v>45968</v>
      </c>
      <c r="G1416" s="34">
        <v>4265</v>
      </c>
      <c r="H1416" s="34">
        <v>3874</v>
      </c>
      <c r="I1416" s="1">
        <f t="shared" si="223"/>
        <v>391</v>
      </c>
      <c r="J1416" s="1">
        <f t="shared" si="225"/>
        <v>2731</v>
      </c>
      <c r="K1416" s="9">
        <f t="shared" si="224"/>
        <v>0.10092927207021167</v>
      </c>
    </row>
    <row r="1417" spans="1:11" x14ac:dyDescent="0.35">
      <c r="A1417" s="2" t="s">
        <v>207</v>
      </c>
      <c r="B1417" t="s">
        <v>208</v>
      </c>
      <c r="C1417" s="21" t="s">
        <v>275</v>
      </c>
      <c r="D1417" s="4">
        <v>8</v>
      </c>
      <c r="E1417" s="4"/>
      <c r="G1417" s="1"/>
      <c r="H1417" s="1"/>
      <c r="I1417" s="1">
        <f t="shared" si="223"/>
        <v>0</v>
      </c>
      <c r="J1417" s="1">
        <f t="shared" si="225"/>
        <v>2731</v>
      </c>
      <c r="K1417" s="9" t="e">
        <f t="shared" si="224"/>
        <v>#DIV/0!</v>
      </c>
    </row>
    <row r="1418" spans="1:11" x14ac:dyDescent="0.35">
      <c r="A1418" s="2" t="s">
        <v>207</v>
      </c>
      <c r="B1418" t="s">
        <v>208</v>
      </c>
      <c r="C1418" s="21" t="s">
        <v>275</v>
      </c>
      <c r="D1418" s="4">
        <v>9</v>
      </c>
      <c r="E1418" s="4"/>
      <c r="G1418" s="1"/>
      <c r="H1418" s="1"/>
      <c r="I1418" s="1">
        <f t="shared" si="223"/>
        <v>0</v>
      </c>
      <c r="J1418" s="1">
        <f t="shared" si="225"/>
        <v>2731</v>
      </c>
      <c r="K1418" s="9" t="e">
        <f t="shared" si="224"/>
        <v>#DIV/0!</v>
      </c>
    </row>
    <row r="1419" spans="1:11" x14ac:dyDescent="0.35">
      <c r="A1419" s="2" t="s">
        <v>207</v>
      </c>
      <c r="B1419" t="s">
        <v>208</v>
      </c>
      <c r="C1419" s="21" t="s">
        <v>275</v>
      </c>
      <c r="D1419" s="4">
        <v>10</v>
      </c>
      <c r="E1419" s="4"/>
      <c r="G1419" s="1"/>
      <c r="H1419" s="1"/>
      <c r="I1419" s="1">
        <f t="shared" si="223"/>
        <v>0</v>
      </c>
      <c r="J1419" s="1">
        <f t="shared" si="225"/>
        <v>2731</v>
      </c>
      <c r="K1419" s="9" t="e">
        <f t="shared" si="224"/>
        <v>#DIV/0!</v>
      </c>
    </row>
    <row r="1420" spans="1:11" x14ac:dyDescent="0.35">
      <c r="A1420" s="2" t="s">
        <v>207</v>
      </c>
      <c r="B1420" t="s">
        <v>208</v>
      </c>
      <c r="C1420" s="21" t="s">
        <v>275</v>
      </c>
      <c r="D1420" s="4">
        <v>11</v>
      </c>
      <c r="E1420" s="4"/>
      <c r="G1420" s="1"/>
      <c r="H1420" s="1"/>
      <c r="I1420" s="1">
        <f t="shared" si="223"/>
        <v>0</v>
      </c>
      <c r="J1420" s="1">
        <f t="shared" si="225"/>
        <v>2731</v>
      </c>
      <c r="K1420" s="9" t="e">
        <f t="shared" si="224"/>
        <v>#DIV/0!</v>
      </c>
    </row>
    <row r="1421" spans="1:11" x14ac:dyDescent="0.35">
      <c r="A1421" s="2" t="s">
        <v>207</v>
      </c>
      <c r="B1421" t="s">
        <v>208</v>
      </c>
      <c r="C1421" s="21" t="s">
        <v>275</v>
      </c>
      <c r="D1421" s="4">
        <v>12</v>
      </c>
      <c r="E1421" s="4"/>
      <c r="G1421" s="1"/>
      <c r="H1421" s="1"/>
      <c r="I1421" s="1">
        <f t="shared" si="223"/>
        <v>0</v>
      </c>
      <c r="J1421" s="1">
        <f t="shared" si="225"/>
        <v>2731</v>
      </c>
      <c r="K1421" s="9" t="e">
        <f t="shared" si="224"/>
        <v>#DIV/0!</v>
      </c>
    </row>
    <row r="1422" spans="1:11" x14ac:dyDescent="0.35">
      <c r="A1422" s="2" t="s">
        <v>207</v>
      </c>
      <c r="B1422" t="s">
        <v>208</v>
      </c>
      <c r="C1422" s="21" t="s">
        <v>275</v>
      </c>
      <c r="D1422" s="4">
        <v>13</v>
      </c>
      <c r="E1422" s="4"/>
      <c r="G1422" s="1"/>
      <c r="H1422" s="1"/>
      <c r="I1422" s="1">
        <f t="shared" si="223"/>
        <v>0</v>
      </c>
      <c r="J1422" s="1">
        <f t="shared" si="225"/>
        <v>2731</v>
      </c>
      <c r="K1422" s="9" t="e">
        <f t="shared" si="224"/>
        <v>#DIV/0!</v>
      </c>
    </row>
    <row r="1423" spans="1:11" x14ac:dyDescent="0.35">
      <c r="A1423" s="2" t="s">
        <v>207</v>
      </c>
      <c r="B1423" t="s">
        <v>208</v>
      </c>
      <c r="C1423" s="21" t="s">
        <v>275</v>
      </c>
      <c r="D1423" s="4">
        <v>14</v>
      </c>
      <c r="E1423" s="4"/>
      <c r="G1423" s="1"/>
      <c r="H1423" s="1"/>
      <c r="I1423" s="1">
        <f t="shared" si="223"/>
        <v>0</v>
      </c>
      <c r="J1423" s="1">
        <f t="shared" si="225"/>
        <v>2731</v>
      </c>
      <c r="K1423" s="9" t="e">
        <f t="shared" si="224"/>
        <v>#DIV/0!</v>
      </c>
    </row>
    <row r="1424" spans="1:11" x14ac:dyDescent="0.35">
      <c r="A1424" s="2" t="s">
        <v>207</v>
      </c>
      <c r="B1424" t="s">
        <v>208</v>
      </c>
      <c r="C1424" s="21" t="s">
        <v>275</v>
      </c>
      <c r="D1424" s="4">
        <v>15</v>
      </c>
      <c r="E1424" s="4"/>
      <c r="G1424" s="1"/>
      <c r="H1424" s="1"/>
      <c r="I1424" s="1">
        <f t="shared" si="223"/>
        <v>0</v>
      </c>
      <c r="J1424" s="1">
        <f t="shared" si="225"/>
        <v>2731</v>
      </c>
      <c r="K1424" s="9" t="e">
        <f t="shared" si="224"/>
        <v>#DIV/0!</v>
      </c>
    </row>
    <row r="1425" spans="1:11" ht="15" thickBot="1" x14ac:dyDescent="0.4">
      <c r="A1425" s="18" t="s">
        <v>207</v>
      </c>
      <c r="B1425" s="7" t="s">
        <v>208</v>
      </c>
      <c r="C1425" s="21" t="s">
        <v>275</v>
      </c>
      <c r="D1425" s="5">
        <v>16</v>
      </c>
      <c r="E1425" s="5"/>
      <c r="F1425" s="7"/>
      <c r="G1425" s="8"/>
      <c r="H1425" s="8"/>
      <c r="I1425" s="8">
        <f t="shared" si="223"/>
        <v>0</v>
      </c>
      <c r="J1425" s="8">
        <f t="shared" si="225"/>
        <v>2731</v>
      </c>
      <c r="K1425" s="7"/>
    </row>
    <row r="1426" spans="1:11" ht="15" thickTop="1" x14ac:dyDescent="0.35">
      <c r="A1426" s="2" t="s">
        <v>171</v>
      </c>
      <c r="B1426" t="s">
        <v>177</v>
      </c>
      <c r="C1426" s="21" t="s">
        <v>275</v>
      </c>
      <c r="D1426" s="4">
        <v>1</v>
      </c>
      <c r="E1426" s="4"/>
      <c r="F1426" s="3">
        <v>45929</v>
      </c>
      <c r="G1426" s="1">
        <v>5130</v>
      </c>
      <c r="H1426" s="1">
        <v>4789</v>
      </c>
      <c r="I1426" s="1">
        <f t="shared" si="223"/>
        <v>341</v>
      </c>
      <c r="J1426" s="1">
        <f>I1426</f>
        <v>341</v>
      </c>
      <c r="K1426" s="9">
        <f t="shared" ref="K1426:K1440" si="226">I1426/H1426</f>
        <v>7.1204844435163922E-2</v>
      </c>
    </row>
    <row r="1427" spans="1:11" x14ac:dyDescent="0.35">
      <c r="A1427" s="2" t="s">
        <v>171</v>
      </c>
      <c r="B1427" t="s">
        <v>177</v>
      </c>
      <c r="C1427" s="21" t="s">
        <v>275</v>
      </c>
      <c r="D1427" s="4">
        <v>2</v>
      </c>
      <c r="E1427" s="4"/>
      <c r="F1427" s="3">
        <v>45936</v>
      </c>
      <c r="G1427" s="1">
        <v>5140</v>
      </c>
      <c r="H1427" s="1">
        <v>4789</v>
      </c>
      <c r="I1427" s="1">
        <f t="shared" si="223"/>
        <v>351</v>
      </c>
      <c r="J1427" s="1">
        <f>J1426+I1427</f>
        <v>692</v>
      </c>
      <c r="K1427" s="9">
        <f t="shared" si="226"/>
        <v>7.3292963040300696E-2</v>
      </c>
    </row>
    <row r="1428" spans="1:11" x14ac:dyDescent="0.35">
      <c r="A1428" s="2" t="s">
        <v>171</v>
      </c>
      <c r="B1428" t="s">
        <v>177</v>
      </c>
      <c r="C1428" s="21" t="s">
        <v>275</v>
      </c>
      <c r="D1428" s="4">
        <v>3</v>
      </c>
      <c r="E1428" s="4"/>
      <c r="F1428" s="3">
        <v>45943</v>
      </c>
      <c r="G1428" s="1">
        <v>5140</v>
      </c>
      <c r="H1428" s="1">
        <v>4789</v>
      </c>
      <c r="I1428" s="1">
        <f t="shared" si="223"/>
        <v>351</v>
      </c>
      <c r="J1428" s="1">
        <f t="shared" ref="J1428:J1441" si="227">J1427+I1428</f>
        <v>1043</v>
      </c>
      <c r="K1428" s="9">
        <f t="shared" si="226"/>
        <v>7.3292963040300696E-2</v>
      </c>
    </row>
    <row r="1429" spans="1:11" x14ac:dyDescent="0.35">
      <c r="A1429" s="2" t="s">
        <v>171</v>
      </c>
      <c r="B1429" t="s">
        <v>177</v>
      </c>
      <c r="C1429" s="21" t="s">
        <v>275</v>
      </c>
      <c r="D1429" s="4">
        <v>4</v>
      </c>
      <c r="E1429" s="4"/>
      <c r="F1429" s="3">
        <v>45950</v>
      </c>
      <c r="G1429" s="1">
        <v>5140</v>
      </c>
      <c r="H1429" s="1">
        <v>4789</v>
      </c>
      <c r="I1429" s="1">
        <f t="shared" si="223"/>
        <v>351</v>
      </c>
      <c r="J1429" s="1">
        <f t="shared" si="227"/>
        <v>1394</v>
      </c>
      <c r="K1429" s="9">
        <f t="shared" si="226"/>
        <v>7.3292963040300696E-2</v>
      </c>
    </row>
    <row r="1430" spans="1:11" x14ac:dyDescent="0.35">
      <c r="A1430" s="2" t="s">
        <v>171</v>
      </c>
      <c r="B1430" t="s">
        <v>177</v>
      </c>
      <c r="C1430" s="21" t="s">
        <v>275</v>
      </c>
      <c r="D1430" s="4">
        <v>5</v>
      </c>
      <c r="E1430" s="4"/>
      <c r="F1430" s="3">
        <v>45957</v>
      </c>
      <c r="G1430" s="1">
        <v>5140</v>
      </c>
      <c r="H1430" s="1">
        <v>4789</v>
      </c>
      <c r="I1430" s="1">
        <f t="shared" si="223"/>
        <v>351</v>
      </c>
      <c r="J1430" s="1">
        <f t="shared" si="227"/>
        <v>1745</v>
      </c>
      <c r="K1430" s="9">
        <f t="shared" si="226"/>
        <v>7.3292963040300696E-2</v>
      </c>
    </row>
    <row r="1431" spans="1:11" x14ac:dyDescent="0.35">
      <c r="A1431" s="2" t="s">
        <v>171</v>
      </c>
      <c r="B1431" t="s">
        <v>177</v>
      </c>
      <c r="C1431" s="21" t="s">
        <v>275</v>
      </c>
      <c r="D1431" s="4">
        <v>6</v>
      </c>
      <c r="E1431" s="4"/>
      <c r="F1431" s="3">
        <v>45964</v>
      </c>
      <c r="G1431" s="1">
        <v>5140</v>
      </c>
      <c r="H1431" s="1">
        <v>4789</v>
      </c>
      <c r="I1431" s="1">
        <f t="shared" si="223"/>
        <v>351</v>
      </c>
      <c r="J1431" s="1">
        <f t="shared" si="227"/>
        <v>2096</v>
      </c>
      <c r="K1431" s="9">
        <f t="shared" si="226"/>
        <v>7.3292963040300696E-2</v>
      </c>
    </row>
    <row r="1432" spans="1:11" x14ac:dyDescent="0.35">
      <c r="A1432" s="2" t="s">
        <v>171</v>
      </c>
      <c r="B1432" t="s">
        <v>177</v>
      </c>
      <c r="C1432" s="21" t="s">
        <v>275</v>
      </c>
      <c r="D1432" s="4">
        <v>7</v>
      </c>
      <c r="E1432" s="4"/>
      <c r="G1432" s="1"/>
      <c r="H1432" s="1"/>
      <c r="I1432" s="1">
        <f t="shared" si="223"/>
        <v>0</v>
      </c>
      <c r="J1432" s="1">
        <f t="shared" si="227"/>
        <v>2096</v>
      </c>
      <c r="K1432" s="9" t="e">
        <f t="shared" si="226"/>
        <v>#DIV/0!</v>
      </c>
    </row>
    <row r="1433" spans="1:11" x14ac:dyDescent="0.35">
      <c r="A1433" s="2" t="s">
        <v>171</v>
      </c>
      <c r="B1433" t="s">
        <v>177</v>
      </c>
      <c r="C1433" s="21" t="s">
        <v>275</v>
      </c>
      <c r="D1433" s="4">
        <v>8</v>
      </c>
      <c r="E1433" s="4"/>
      <c r="G1433" s="1"/>
      <c r="H1433" s="1"/>
      <c r="I1433" s="1">
        <f t="shared" si="223"/>
        <v>0</v>
      </c>
      <c r="J1433" s="1">
        <f t="shared" si="227"/>
        <v>2096</v>
      </c>
      <c r="K1433" s="9" t="e">
        <f t="shared" si="226"/>
        <v>#DIV/0!</v>
      </c>
    </row>
    <row r="1434" spans="1:11" x14ac:dyDescent="0.35">
      <c r="A1434" s="2" t="s">
        <v>171</v>
      </c>
      <c r="B1434" t="s">
        <v>177</v>
      </c>
      <c r="C1434" s="21" t="s">
        <v>275</v>
      </c>
      <c r="D1434" s="4">
        <v>9</v>
      </c>
      <c r="E1434" s="4"/>
      <c r="G1434" s="1"/>
      <c r="H1434" s="1"/>
      <c r="I1434" s="1">
        <f t="shared" si="223"/>
        <v>0</v>
      </c>
      <c r="J1434" s="1">
        <f t="shared" si="227"/>
        <v>2096</v>
      </c>
      <c r="K1434" s="9" t="e">
        <f t="shared" si="226"/>
        <v>#DIV/0!</v>
      </c>
    </row>
    <row r="1435" spans="1:11" x14ac:dyDescent="0.35">
      <c r="A1435" s="2" t="s">
        <v>171</v>
      </c>
      <c r="B1435" t="s">
        <v>177</v>
      </c>
      <c r="C1435" s="21" t="s">
        <v>275</v>
      </c>
      <c r="D1435" s="4">
        <v>10</v>
      </c>
      <c r="E1435" s="4"/>
      <c r="G1435" s="1"/>
      <c r="H1435" s="1"/>
      <c r="I1435" s="1">
        <f t="shared" si="223"/>
        <v>0</v>
      </c>
      <c r="J1435" s="1">
        <f t="shared" si="227"/>
        <v>2096</v>
      </c>
      <c r="K1435" s="9" t="e">
        <f t="shared" si="226"/>
        <v>#DIV/0!</v>
      </c>
    </row>
    <row r="1436" spans="1:11" x14ac:dyDescent="0.35">
      <c r="A1436" s="2" t="s">
        <v>171</v>
      </c>
      <c r="B1436" t="s">
        <v>177</v>
      </c>
      <c r="C1436" s="21" t="s">
        <v>275</v>
      </c>
      <c r="D1436" s="4">
        <v>11</v>
      </c>
      <c r="E1436" s="4"/>
      <c r="G1436" s="1"/>
      <c r="H1436" s="1"/>
      <c r="I1436" s="1">
        <f t="shared" si="223"/>
        <v>0</v>
      </c>
      <c r="J1436" s="1">
        <f t="shared" si="227"/>
        <v>2096</v>
      </c>
      <c r="K1436" s="9" t="e">
        <f t="shared" si="226"/>
        <v>#DIV/0!</v>
      </c>
    </row>
    <row r="1437" spans="1:11" x14ac:dyDescent="0.35">
      <c r="A1437" s="2" t="s">
        <v>171</v>
      </c>
      <c r="B1437" t="s">
        <v>177</v>
      </c>
      <c r="C1437" s="21" t="s">
        <v>275</v>
      </c>
      <c r="D1437" s="4">
        <v>12</v>
      </c>
      <c r="E1437" s="4"/>
      <c r="G1437" s="1"/>
      <c r="H1437" s="1"/>
      <c r="I1437" s="1">
        <f t="shared" si="223"/>
        <v>0</v>
      </c>
      <c r="J1437" s="1">
        <f t="shared" si="227"/>
        <v>2096</v>
      </c>
      <c r="K1437" s="9" t="e">
        <f t="shared" si="226"/>
        <v>#DIV/0!</v>
      </c>
    </row>
    <row r="1438" spans="1:11" x14ac:dyDescent="0.35">
      <c r="A1438" s="2" t="s">
        <v>171</v>
      </c>
      <c r="B1438" t="s">
        <v>177</v>
      </c>
      <c r="C1438" s="21" t="s">
        <v>275</v>
      </c>
      <c r="D1438" s="4">
        <v>13</v>
      </c>
      <c r="E1438" s="4"/>
      <c r="G1438" s="1"/>
      <c r="H1438" s="1"/>
      <c r="I1438" s="1">
        <f t="shared" si="223"/>
        <v>0</v>
      </c>
      <c r="J1438" s="1">
        <f t="shared" si="227"/>
        <v>2096</v>
      </c>
      <c r="K1438" s="9" t="e">
        <f t="shared" si="226"/>
        <v>#DIV/0!</v>
      </c>
    </row>
    <row r="1439" spans="1:11" x14ac:dyDescent="0.35">
      <c r="A1439" s="2" t="s">
        <v>171</v>
      </c>
      <c r="B1439" t="s">
        <v>177</v>
      </c>
      <c r="C1439" s="21" t="s">
        <v>275</v>
      </c>
      <c r="D1439" s="4">
        <v>14</v>
      </c>
      <c r="E1439" s="4"/>
      <c r="G1439" s="1"/>
      <c r="H1439" s="1"/>
      <c r="I1439" s="1">
        <f t="shared" si="223"/>
        <v>0</v>
      </c>
      <c r="J1439" s="1">
        <f t="shared" si="227"/>
        <v>2096</v>
      </c>
      <c r="K1439" s="9" t="e">
        <f t="shared" si="226"/>
        <v>#DIV/0!</v>
      </c>
    </row>
    <row r="1440" spans="1:11" x14ac:dyDescent="0.35">
      <c r="A1440" s="2" t="s">
        <v>171</v>
      </c>
      <c r="B1440" t="s">
        <v>177</v>
      </c>
      <c r="C1440" s="21" t="s">
        <v>275</v>
      </c>
      <c r="D1440" s="4">
        <v>15</v>
      </c>
      <c r="E1440" s="4"/>
      <c r="G1440" s="1"/>
      <c r="H1440" s="1"/>
      <c r="I1440" s="1">
        <f t="shared" si="223"/>
        <v>0</v>
      </c>
      <c r="J1440" s="1">
        <f t="shared" si="227"/>
        <v>2096</v>
      </c>
      <c r="K1440" s="9" t="e">
        <f t="shared" si="226"/>
        <v>#DIV/0!</v>
      </c>
    </row>
    <row r="1441" spans="1:11" ht="15" thickBot="1" x14ac:dyDescent="0.4">
      <c r="A1441" s="12" t="s">
        <v>171</v>
      </c>
      <c r="B1441" s="13" t="s">
        <v>177</v>
      </c>
      <c r="C1441" s="21" t="s">
        <v>275</v>
      </c>
      <c r="D1441" s="14">
        <v>16</v>
      </c>
      <c r="E1441" s="14"/>
      <c r="F1441" s="13"/>
      <c r="G1441" s="15"/>
      <c r="H1441" s="15"/>
      <c r="I1441" s="15">
        <f t="shared" si="223"/>
        <v>0</v>
      </c>
      <c r="J1441" s="15">
        <f t="shared" si="227"/>
        <v>2096</v>
      </c>
      <c r="K1441" s="13"/>
    </row>
    <row r="1442" spans="1:11" x14ac:dyDescent="0.35">
      <c r="A1442" s="2" t="s">
        <v>172</v>
      </c>
      <c r="B1442" t="s">
        <v>178</v>
      </c>
      <c r="C1442" s="21" t="s">
        <v>275</v>
      </c>
      <c r="D1442" s="4">
        <v>1</v>
      </c>
      <c r="E1442" s="4"/>
      <c r="F1442" s="3">
        <v>45926</v>
      </c>
      <c r="G1442" s="1">
        <v>7199</v>
      </c>
      <c r="H1442" s="1">
        <v>6840</v>
      </c>
      <c r="I1442" s="1">
        <f t="shared" si="223"/>
        <v>359</v>
      </c>
      <c r="J1442" s="1">
        <f>I1442</f>
        <v>359</v>
      </c>
      <c r="K1442" s="9">
        <f t="shared" ref="K1442:K1456" si="228">I1442/H1442</f>
        <v>5.2485380116959066E-2</v>
      </c>
    </row>
    <row r="1443" spans="1:11" x14ac:dyDescent="0.35">
      <c r="A1443" s="2" t="s">
        <v>172</v>
      </c>
      <c r="B1443" t="s">
        <v>178</v>
      </c>
      <c r="C1443" s="21" t="s">
        <v>275</v>
      </c>
      <c r="D1443" s="4">
        <v>2</v>
      </c>
      <c r="E1443" s="4"/>
      <c r="F1443" s="3">
        <v>45930</v>
      </c>
      <c r="G1443" s="1">
        <v>7199</v>
      </c>
      <c r="H1443" s="1">
        <v>6840</v>
      </c>
      <c r="I1443" s="1">
        <f t="shared" si="223"/>
        <v>359</v>
      </c>
      <c r="J1443" s="1">
        <f>J1442+I1444</f>
        <v>718</v>
      </c>
      <c r="K1443" s="9">
        <f t="shared" si="228"/>
        <v>5.2485380116959066E-2</v>
      </c>
    </row>
    <row r="1444" spans="1:11" x14ac:dyDescent="0.35">
      <c r="A1444" s="2" t="s">
        <v>172</v>
      </c>
      <c r="B1444" t="s">
        <v>178</v>
      </c>
      <c r="C1444" s="21" t="s">
        <v>275</v>
      </c>
      <c r="D1444" s="4">
        <v>3</v>
      </c>
      <c r="E1444" s="4"/>
      <c r="F1444" s="3">
        <v>45941</v>
      </c>
      <c r="G1444" s="1">
        <v>7199</v>
      </c>
      <c r="H1444" s="1">
        <v>6840</v>
      </c>
      <c r="I1444" s="1">
        <f t="shared" si="223"/>
        <v>359</v>
      </c>
      <c r="J1444" s="1">
        <f t="shared" ref="J1444:J1457" si="229">J1443+I1445</f>
        <v>1077</v>
      </c>
      <c r="K1444" s="9">
        <f t="shared" si="228"/>
        <v>5.2485380116959066E-2</v>
      </c>
    </row>
    <row r="1445" spans="1:11" x14ac:dyDescent="0.35">
      <c r="A1445" s="2" t="s">
        <v>172</v>
      </c>
      <c r="B1445" t="s">
        <v>178</v>
      </c>
      <c r="C1445" s="21" t="s">
        <v>275</v>
      </c>
      <c r="D1445" s="4">
        <v>4</v>
      </c>
      <c r="E1445" s="4"/>
      <c r="F1445" s="3">
        <v>45949</v>
      </c>
      <c r="G1445" s="1">
        <v>7199</v>
      </c>
      <c r="H1445" s="1">
        <v>6840</v>
      </c>
      <c r="I1445" s="1">
        <f t="shared" si="223"/>
        <v>359</v>
      </c>
      <c r="J1445" s="1">
        <f t="shared" si="229"/>
        <v>1437</v>
      </c>
      <c r="K1445" s="9">
        <f t="shared" si="228"/>
        <v>5.2485380116959066E-2</v>
      </c>
    </row>
    <row r="1446" spans="1:11" x14ac:dyDescent="0.35">
      <c r="A1446" s="2" t="s">
        <v>172</v>
      </c>
      <c r="B1446" t="s">
        <v>178</v>
      </c>
      <c r="C1446" s="21" t="s">
        <v>275</v>
      </c>
      <c r="D1446" s="4">
        <v>5</v>
      </c>
      <c r="E1446" s="4"/>
      <c r="F1446" s="3">
        <v>45957</v>
      </c>
      <c r="G1446" s="1">
        <v>7200</v>
      </c>
      <c r="H1446" s="1">
        <v>6840</v>
      </c>
      <c r="I1446" s="1">
        <f t="shared" si="223"/>
        <v>360</v>
      </c>
      <c r="J1446" s="1">
        <f t="shared" si="229"/>
        <v>1796</v>
      </c>
      <c r="K1446" s="9">
        <f t="shared" si="228"/>
        <v>5.2631578947368418E-2</v>
      </c>
    </row>
    <row r="1447" spans="1:11" x14ac:dyDescent="0.35">
      <c r="A1447" s="2" t="s">
        <v>172</v>
      </c>
      <c r="B1447" t="s">
        <v>178</v>
      </c>
      <c r="C1447" s="21" t="s">
        <v>275</v>
      </c>
      <c r="D1447" s="4">
        <v>6</v>
      </c>
      <c r="E1447" s="4"/>
      <c r="F1447" s="3">
        <v>45964</v>
      </c>
      <c r="G1447" s="1">
        <v>7200</v>
      </c>
      <c r="H1447" s="1">
        <v>6841</v>
      </c>
      <c r="I1447" s="1">
        <f t="shared" si="223"/>
        <v>359</v>
      </c>
      <c r="J1447" s="1">
        <f t="shared" si="229"/>
        <v>1796</v>
      </c>
      <c r="K1447" s="9">
        <f t="shared" si="228"/>
        <v>5.2477707937436044E-2</v>
      </c>
    </row>
    <row r="1448" spans="1:11" x14ac:dyDescent="0.35">
      <c r="A1448" s="2" t="s">
        <v>172</v>
      </c>
      <c r="B1448" t="s">
        <v>178</v>
      </c>
      <c r="C1448" s="21" t="s">
        <v>275</v>
      </c>
      <c r="D1448" s="4">
        <v>7</v>
      </c>
      <c r="E1448" s="4"/>
      <c r="G1448" s="1"/>
      <c r="H1448" s="1"/>
      <c r="I1448" s="1">
        <f t="shared" si="223"/>
        <v>0</v>
      </c>
      <c r="J1448" s="1">
        <f t="shared" si="229"/>
        <v>1796</v>
      </c>
      <c r="K1448" s="9" t="e">
        <f t="shared" si="228"/>
        <v>#DIV/0!</v>
      </c>
    </row>
    <row r="1449" spans="1:11" x14ac:dyDescent="0.35">
      <c r="A1449" s="2" t="s">
        <v>172</v>
      </c>
      <c r="B1449" t="s">
        <v>178</v>
      </c>
      <c r="C1449" s="21" t="s">
        <v>275</v>
      </c>
      <c r="D1449" s="4">
        <v>8</v>
      </c>
      <c r="E1449" s="4"/>
      <c r="G1449" s="1"/>
      <c r="H1449" s="1"/>
      <c r="I1449" s="1">
        <f t="shared" si="223"/>
        <v>0</v>
      </c>
      <c r="J1449" s="1">
        <f t="shared" si="229"/>
        <v>1796</v>
      </c>
      <c r="K1449" s="9" t="e">
        <f t="shared" si="228"/>
        <v>#DIV/0!</v>
      </c>
    </row>
    <row r="1450" spans="1:11" x14ac:dyDescent="0.35">
      <c r="A1450" s="2" t="s">
        <v>172</v>
      </c>
      <c r="B1450" t="s">
        <v>178</v>
      </c>
      <c r="C1450" s="21" t="s">
        <v>275</v>
      </c>
      <c r="D1450" s="4">
        <v>9</v>
      </c>
      <c r="E1450" s="4"/>
      <c r="G1450" s="1"/>
      <c r="H1450" s="1"/>
      <c r="I1450" s="1">
        <f t="shared" si="223"/>
        <v>0</v>
      </c>
      <c r="J1450" s="1">
        <f t="shared" si="229"/>
        <v>1796</v>
      </c>
      <c r="K1450" s="9" t="e">
        <f t="shared" si="228"/>
        <v>#DIV/0!</v>
      </c>
    </row>
    <row r="1451" spans="1:11" x14ac:dyDescent="0.35">
      <c r="A1451" s="2" t="s">
        <v>172</v>
      </c>
      <c r="B1451" t="s">
        <v>178</v>
      </c>
      <c r="C1451" s="21" t="s">
        <v>275</v>
      </c>
      <c r="D1451" s="4">
        <v>10</v>
      </c>
      <c r="E1451" s="4"/>
      <c r="G1451" s="1"/>
      <c r="H1451" s="1"/>
      <c r="I1451" s="1">
        <f t="shared" si="223"/>
        <v>0</v>
      </c>
      <c r="J1451" s="1">
        <f t="shared" si="229"/>
        <v>1796</v>
      </c>
      <c r="K1451" s="9" t="e">
        <f t="shared" si="228"/>
        <v>#DIV/0!</v>
      </c>
    </row>
    <row r="1452" spans="1:11" x14ac:dyDescent="0.35">
      <c r="A1452" s="2" t="s">
        <v>172</v>
      </c>
      <c r="B1452" t="s">
        <v>178</v>
      </c>
      <c r="C1452" s="21" t="s">
        <v>275</v>
      </c>
      <c r="D1452" s="4">
        <v>11</v>
      </c>
      <c r="E1452" s="4"/>
      <c r="G1452" s="1"/>
      <c r="H1452" s="1"/>
      <c r="I1452" s="1">
        <f t="shared" si="223"/>
        <v>0</v>
      </c>
      <c r="J1452" s="1">
        <f t="shared" si="229"/>
        <v>1796</v>
      </c>
      <c r="K1452" s="9" t="e">
        <f t="shared" si="228"/>
        <v>#DIV/0!</v>
      </c>
    </row>
    <row r="1453" spans="1:11" x14ac:dyDescent="0.35">
      <c r="A1453" s="2" t="s">
        <v>172</v>
      </c>
      <c r="B1453" t="s">
        <v>178</v>
      </c>
      <c r="C1453" s="21" t="s">
        <v>275</v>
      </c>
      <c r="D1453" s="4">
        <v>12</v>
      </c>
      <c r="E1453" s="4"/>
      <c r="G1453" s="1"/>
      <c r="H1453" s="1"/>
      <c r="I1453" s="1">
        <f t="shared" si="223"/>
        <v>0</v>
      </c>
      <c r="J1453" s="1">
        <f t="shared" si="229"/>
        <v>1796</v>
      </c>
      <c r="K1453" s="9" t="e">
        <f t="shared" si="228"/>
        <v>#DIV/0!</v>
      </c>
    </row>
    <row r="1454" spans="1:11" x14ac:dyDescent="0.35">
      <c r="A1454" s="2" t="s">
        <v>172</v>
      </c>
      <c r="B1454" t="s">
        <v>178</v>
      </c>
      <c r="C1454" s="21" t="s">
        <v>275</v>
      </c>
      <c r="D1454" s="4">
        <v>13</v>
      </c>
      <c r="E1454" s="4"/>
      <c r="G1454" s="1"/>
      <c r="H1454" s="1"/>
      <c r="I1454" s="1">
        <f t="shared" si="223"/>
        <v>0</v>
      </c>
      <c r="J1454" s="1">
        <f t="shared" si="229"/>
        <v>1796</v>
      </c>
      <c r="K1454" s="9" t="e">
        <f t="shared" si="228"/>
        <v>#DIV/0!</v>
      </c>
    </row>
    <row r="1455" spans="1:11" x14ac:dyDescent="0.35">
      <c r="A1455" s="2" t="s">
        <v>172</v>
      </c>
      <c r="B1455" t="s">
        <v>178</v>
      </c>
      <c r="C1455" s="21" t="s">
        <v>275</v>
      </c>
      <c r="D1455" s="4">
        <v>14</v>
      </c>
      <c r="E1455" s="4"/>
      <c r="G1455" s="1"/>
      <c r="H1455" s="1"/>
      <c r="I1455" s="1">
        <f t="shared" si="223"/>
        <v>0</v>
      </c>
      <c r="J1455" s="1">
        <f t="shared" si="229"/>
        <v>1796</v>
      </c>
      <c r="K1455" s="9" t="e">
        <f t="shared" si="228"/>
        <v>#DIV/0!</v>
      </c>
    </row>
    <row r="1456" spans="1:11" x14ac:dyDescent="0.35">
      <c r="A1456" s="2" t="s">
        <v>172</v>
      </c>
      <c r="B1456" t="s">
        <v>178</v>
      </c>
      <c r="C1456" s="21" t="s">
        <v>275</v>
      </c>
      <c r="D1456" s="4">
        <v>15</v>
      </c>
      <c r="E1456" s="4"/>
      <c r="G1456" s="1"/>
      <c r="H1456" s="1"/>
      <c r="I1456" s="1">
        <f t="shared" si="223"/>
        <v>0</v>
      </c>
      <c r="J1456" s="1">
        <f t="shared" si="229"/>
        <v>1796</v>
      </c>
      <c r="K1456" s="9" t="e">
        <f t="shared" si="228"/>
        <v>#DIV/0!</v>
      </c>
    </row>
    <row r="1457" spans="1:11" ht="15" thickBot="1" x14ac:dyDescent="0.4">
      <c r="A1457" s="12" t="s">
        <v>172</v>
      </c>
      <c r="B1457" s="13" t="s">
        <v>178</v>
      </c>
      <c r="C1457" s="21" t="s">
        <v>275</v>
      </c>
      <c r="D1457" s="14">
        <v>16</v>
      </c>
      <c r="E1457" s="14"/>
      <c r="F1457" s="13"/>
      <c r="G1457" s="15"/>
      <c r="H1457" s="15"/>
      <c r="I1457" s="15">
        <f t="shared" si="223"/>
        <v>0</v>
      </c>
      <c r="J1457" s="15">
        <f t="shared" si="229"/>
        <v>2176.42</v>
      </c>
      <c r="K1457" s="13"/>
    </row>
    <row r="1458" spans="1:11" x14ac:dyDescent="0.35">
      <c r="A1458" s="2" t="s">
        <v>173</v>
      </c>
      <c r="B1458" t="s">
        <v>179</v>
      </c>
      <c r="C1458" s="21" t="s">
        <v>275</v>
      </c>
      <c r="D1458" s="4">
        <v>1</v>
      </c>
      <c r="E1458" s="4"/>
      <c r="F1458" s="3">
        <v>45928</v>
      </c>
      <c r="G1458" s="1">
        <v>9244.5</v>
      </c>
      <c r="H1458" s="1">
        <v>8864.08</v>
      </c>
      <c r="I1458" s="1">
        <f t="shared" si="223"/>
        <v>380.42000000000007</v>
      </c>
      <c r="J1458" s="1">
        <f>I1458</f>
        <v>380.42000000000007</v>
      </c>
      <c r="K1458" s="9">
        <f t="shared" ref="K1458:K1472" si="230">I1458/H1458</f>
        <v>4.2917031434734354E-2</v>
      </c>
    </row>
    <row r="1459" spans="1:11" x14ac:dyDescent="0.35">
      <c r="A1459" s="2" t="s">
        <v>173</v>
      </c>
      <c r="B1459" t="s">
        <v>179</v>
      </c>
      <c r="C1459" s="21" t="s">
        <v>275</v>
      </c>
      <c r="D1459" s="4">
        <v>2</v>
      </c>
      <c r="E1459" s="4"/>
      <c r="F1459" s="3">
        <v>45936</v>
      </c>
      <c r="G1459" s="1">
        <v>9244.5</v>
      </c>
      <c r="H1459" s="1">
        <v>8672.1</v>
      </c>
      <c r="I1459" s="1">
        <f t="shared" si="223"/>
        <v>572.39999999999964</v>
      </c>
      <c r="J1459" s="1">
        <f>J1458+I1459</f>
        <v>952.81999999999971</v>
      </c>
      <c r="K1459" s="9">
        <f t="shared" si="230"/>
        <v>6.6004773930189872E-2</v>
      </c>
    </row>
    <row r="1460" spans="1:11" x14ac:dyDescent="0.35">
      <c r="A1460" s="2" t="s">
        <v>173</v>
      </c>
      <c r="B1460" t="s">
        <v>179</v>
      </c>
      <c r="C1460" s="21" t="s">
        <v>275</v>
      </c>
      <c r="D1460" s="4">
        <v>3</v>
      </c>
      <c r="E1460" s="4"/>
      <c r="F1460" s="3">
        <v>45942</v>
      </c>
      <c r="G1460" s="1">
        <v>9244.5</v>
      </c>
      <c r="H1460" s="1">
        <v>8672.1</v>
      </c>
      <c r="I1460" s="1">
        <f t="shared" si="223"/>
        <v>572.39999999999964</v>
      </c>
      <c r="J1460" s="1">
        <f t="shared" ref="J1460:J1473" si="231">J1459+I1460</f>
        <v>1525.2199999999993</v>
      </c>
      <c r="K1460" s="9">
        <f t="shared" si="230"/>
        <v>6.6004773930189872E-2</v>
      </c>
    </row>
    <row r="1461" spans="1:11" x14ac:dyDescent="0.35">
      <c r="A1461" s="2" t="s">
        <v>173</v>
      </c>
      <c r="B1461" t="s">
        <v>179</v>
      </c>
      <c r="C1461" s="21" t="s">
        <v>275</v>
      </c>
      <c r="D1461" s="4">
        <v>4</v>
      </c>
      <c r="E1461" s="4"/>
      <c r="F1461" s="3">
        <v>45949</v>
      </c>
      <c r="G1461" s="1">
        <v>9181.01</v>
      </c>
      <c r="H1461" s="1">
        <v>8672.1</v>
      </c>
      <c r="I1461" s="1">
        <f t="shared" si="223"/>
        <v>508.90999999999985</v>
      </c>
      <c r="J1461" s="1">
        <f t="shared" si="231"/>
        <v>2034.1299999999992</v>
      </c>
      <c r="K1461" s="9">
        <f t="shared" si="230"/>
        <v>5.8683594515745875E-2</v>
      </c>
    </row>
    <row r="1462" spans="1:11" x14ac:dyDescent="0.35">
      <c r="A1462" s="2" t="s">
        <v>173</v>
      </c>
      <c r="B1462" t="s">
        <v>179</v>
      </c>
      <c r="C1462" s="21" t="s">
        <v>275</v>
      </c>
      <c r="D1462" s="4">
        <v>5</v>
      </c>
      <c r="E1462" s="4"/>
      <c r="F1462" s="3">
        <v>45956</v>
      </c>
      <c r="G1462" s="1">
        <v>9245</v>
      </c>
      <c r="H1462" s="1">
        <v>8672.1</v>
      </c>
      <c r="I1462" s="1">
        <f t="shared" si="223"/>
        <v>572.89999999999964</v>
      </c>
      <c r="J1462" s="1">
        <f t="shared" si="231"/>
        <v>2607.0299999999988</v>
      </c>
      <c r="K1462" s="9">
        <f t="shared" si="230"/>
        <v>6.6062430091903879E-2</v>
      </c>
    </row>
    <row r="1463" spans="1:11" x14ac:dyDescent="0.35">
      <c r="A1463" s="2" t="s">
        <v>173</v>
      </c>
      <c r="B1463" t="s">
        <v>179</v>
      </c>
      <c r="C1463" s="21" t="s">
        <v>275</v>
      </c>
      <c r="D1463" s="4">
        <v>6</v>
      </c>
      <c r="E1463" s="4"/>
      <c r="F1463" s="3">
        <v>45963</v>
      </c>
      <c r="G1463" s="1">
        <v>9245</v>
      </c>
      <c r="H1463" s="1">
        <v>8672.1</v>
      </c>
      <c r="I1463" s="1">
        <f t="shared" si="223"/>
        <v>572.89999999999964</v>
      </c>
      <c r="J1463" s="1">
        <f t="shared" si="231"/>
        <v>3179.9299999999985</v>
      </c>
      <c r="K1463" s="9">
        <f t="shared" si="230"/>
        <v>6.6062430091903879E-2</v>
      </c>
    </row>
    <row r="1464" spans="1:11" x14ac:dyDescent="0.35">
      <c r="A1464" s="2" t="s">
        <v>173</v>
      </c>
      <c r="B1464" t="s">
        <v>179</v>
      </c>
      <c r="C1464" s="21" t="s">
        <v>275</v>
      </c>
      <c r="D1464" s="4">
        <v>7</v>
      </c>
      <c r="E1464" s="4"/>
      <c r="G1464" s="1"/>
      <c r="H1464" s="1"/>
      <c r="I1464" s="1">
        <f t="shared" si="223"/>
        <v>0</v>
      </c>
      <c r="J1464" s="1">
        <f t="shared" si="231"/>
        <v>3179.9299999999985</v>
      </c>
      <c r="K1464" s="9" t="e">
        <f t="shared" si="230"/>
        <v>#DIV/0!</v>
      </c>
    </row>
    <row r="1465" spans="1:11" x14ac:dyDescent="0.35">
      <c r="A1465" s="2" t="s">
        <v>173</v>
      </c>
      <c r="B1465" t="s">
        <v>179</v>
      </c>
      <c r="C1465" s="21" t="s">
        <v>275</v>
      </c>
      <c r="D1465" s="4">
        <v>8</v>
      </c>
      <c r="E1465" s="4"/>
      <c r="G1465" s="1"/>
      <c r="H1465" s="1"/>
      <c r="I1465" s="1">
        <f t="shared" si="223"/>
        <v>0</v>
      </c>
      <c r="J1465" s="1">
        <f t="shared" si="231"/>
        <v>3179.9299999999985</v>
      </c>
      <c r="K1465" s="9" t="e">
        <f t="shared" si="230"/>
        <v>#DIV/0!</v>
      </c>
    </row>
    <row r="1466" spans="1:11" x14ac:dyDescent="0.35">
      <c r="A1466" s="2" t="s">
        <v>173</v>
      </c>
      <c r="B1466" t="s">
        <v>179</v>
      </c>
      <c r="C1466" s="21" t="s">
        <v>275</v>
      </c>
      <c r="D1466" s="4">
        <v>9</v>
      </c>
      <c r="E1466" s="4"/>
      <c r="G1466" s="1"/>
      <c r="H1466" s="1"/>
      <c r="I1466" s="1">
        <f t="shared" si="223"/>
        <v>0</v>
      </c>
      <c r="J1466" s="1">
        <f t="shared" si="231"/>
        <v>3179.9299999999985</v>
      </c>
      <c r="K1466" s="9" t="e">
        <f t="shared" si="230"/>
        <v>#DIV/0!</v>
      </c>
    </row>
    <row r="1467" spans="1:11" x14ac:dyDescent="0.35">
      <c r="A1467" s="2" t="s">
        <v>173</v>
      </c>
      <c r="B1467" t="s">
        <v>179</v>
      </c>
      <c r="C1467" s="21" t="s">
        <v>275</v>
      </c>
      <c r="D1467" s="4">
        <v>10</v>
      </c>
      <c r="E1467" s="4"/>
      <c r="G1467" s="1"/>
      <c r="H1467" s="1"/>
      <c r="I1467" s="1">
        <f t="shared" si="223"/>
        <v>0</v>
      </c>
      <c r="J1467" s="1">
        <f t="shared" si="231"/>
        <v>3179.9299999999985</v>
      </c>
      <c r="K1467" s="9" t="e">
        <f t="shared" si="230"/>
        <v>#DIV/0!</v>
      </c>
    </row>
    <row r="1468" spans="1:11" x14ac:dyDescent="0.35">
      <c r="A1468" s="2" t="s">
        <v>173</v>
      </c>
      <c r="B1468" t="s">
        <v>179</v>
      </c>
      <c r="C1468" s="21" t="s">
        <v>275</v>
      </c>
      <c r="D1468" s="4">
        <v>11</v>
      </c>
      <c r="E1468" s="4"/>
      <c r="G1468" s="1"/>
      <c r="H1468" s="1"/>
      <c r="I1468" s="1">
        <f t="shared" si="223"/>
        <v>0</v>
      </c>
      <c r="J1468" s="1">
        <f t="shared" si="231"/>
        <v>3179.9299999999985</v>
      </c>
      <c r="K1468" s="9" t="e">
        <f t="shared" si="230"/>
        <v>#DIV/0!</v>
      </c>
    </row>
    <row r="1469" spans="1:11" x14ac:dyDescent="0.35">
      <c r="A1469" s="2" t="s">
        <v>173</v>
      </c>
      <c r="B1469" t="s">
        <v>179</v>
      </c>
      <c r="C1469" s="21" t="s">
        <v>275</v>
      </c>
      <c r="D1469" s="4">
        <v>12</v>
      </c>
      <c r="E1469" s="4"/>
      <c r="G1469" s="1"/>
      <c r="H1469" s="1"/>
      <c r="I1469" s="1">
        <f t="shared" si="223"/>
        <v>0</v>
      </c>
      <c r="J1469" s="1">
        <f t="shared" si="231"/>
        <v>3179.9299999999985</v>
      </c>
      <c r="K1469" s="9" t="e">
        <f t="shared" si="230"/>
        <v>#DIV/0!</v>
      </c>
    </row>
    <row r="1470" spans="1:11" x14ac:dyDescent="0.35">
      <c r="A1470" s="2" t="s">
        <v>173</v>
      </c>
      <c r="B1470" t="s">
        <v>179</v>
      </c>
      <c r="C1470" s="21" t="s">
        <v>275</v>
      </c>
      <c r="D1470" s="4">
        <v>13</v>
      </c>
      <c r="E1470" s="4"/>
      <c r="G1470" s="1"/>
      <c r="H1470" s="1"/>
      <c r="I1470" s="1">
        <f t="shared" si="223"/>
        <v>0</v>
      </c>
      <c r="J1470" s="1">
        <f t="shared" si="231"/>
        <v>3179.9299999999985</v>
      </c>
      <c r="K1470" s="9" t="e">
        <f t="shared" si="230"/>
        <v>#DIV/0!</v>
      </c>
    </row>
    <row r="1471" spans="1:11" x14ac:dyDescent="0.35">
      <c r="A1471" s="2" t="s">
        <v>173</v>
      </c>
      <c r="B1471" t="s">
        <v>179</v>
      </c>
      <c r="C1471" s="21" t="s">
        <v>275</v>
      </c>
      <c r="D1471" s="4">
        <v>14</v>
      </c>
      <c r="E1471" s="4"/>
      <c r="G1471" s="1"/>
      <c r="H1471" s="1"/>
      <c r="I1471" s="1">
        <f t="shared" si="223"/>
        <v>0</v>
      </c>
      <c r="J1471" s="1">
        <f t="shared" si="231"/>
        <v>3179.9299999999985</v>
      </c>
      <c r="K1471" s="9" t="e">
        <f t="shared" si="230"/>
        <v>#DIV/0!</v>
      </c>
    </row>
    <row r="1472" spans="1:11" x14ac:dyDescent="0.35">
      <c r="A1472" s="2" t="s">
        <v>173</v>
      </c>
      <c r="B1472" t="s">
        <v>179</v>
      </c>
      <c r="C1472" s="21" t="s">
        <v>275</v>
      </c>
      <c r="D1472" s="4">
        <v>15</v>
      </c>
      <c r="E1472" s="4"/>
      <c r="G1472" s="1"/>
      <c r="H1472" s="1"/>
      <c r="I1472" s="1">
        <f t="shared" si="223"/>
        <v>0</v>
      </c>
      <c r="J1472" s="1">
        <f t="shared" si="231"/>
        <v>3179.9299999999985</v>
      </c>
      <c r="K1472" s="9" t="e">
        <f t="shared" si="230"/>
        <v>#DIV/0!</v>
      </c>
    </row>
    <row r="1473" spans="1:11" ht="15" thickBot="1" x14ac:dyDescent="0.4">
      <c r="A1473" s="12" t="s">
        <v>173</v>
      </c>
      <c r="B1473" s="13" t="s">
        <v>179</v>
      </c>
      <c r="C1473" s="21" t="s">
        <v>275</v>
      </c>
      <c r="D1473" s="14">
        <v>16</v>
      </c>
      <c r="E1473" s="14"/>
      <c r="F1473" s="13"/>
      <c r="G1473" s="15"/>
      <c r="H1473" s="15"/>
      <c r="I1473" s="15">
        <f t="shared" si="223"/>
        <v>0</v>
      </c>
      <c r="J1473" s="15">
        <f t="shared" si="231"/>
        <v>3179.9299999999985</v>
      </c>
      <c r="K1473" s="13"/>
    </row>
    <row r="1474" spans="1:11" x14ac:dyDescent="0.35">
      <c r="A1474" s="2" t="s">
        <v>174</v>
      </c>
      <c r="B1474" t="s">
        <v>180</v>
      </c>
      <c r="C1474" s="21" t="s">
        <v>275</v>
      </c>
      <c r="D1474" s="4">
        <v>1</v>
      </c>
      <c r="E1474" s="4"/>
      <c r="F1474" s="3">
        <v>45930</v>
      </c>
      <c r="G1474" s="1">
        <v>4263</v>
      </c>
      <c r="H1474" s="1">
        <v>3876.03</v>
      </c>
      <c r="I1474" s="1">
        <f t="shared" si="223"/>
        <v>386.9699999999998</v>
      </c>
      <c r="J1474" s="1">
        <f>J1473</f>
        <v>3179.9299999999985</v>
      </c>
      <c r="K1474" s="9">
        <f t="shared" ref="K1474:K1488" si="232">I1474/H1474</f>
        <v>9.9836688570521845E-2</v>
      </c>
    </row>
    <row r="1475" spans="1:11" x14ac:dyDescent="0.35">
      <c r="A1475" s="2" t="s">
        <v>174</v>
      </c>
      <c r="B1475" t="s">
        <v>180</v>
      </c>
      <c r="C1475" s="21" t="s">
        <v>275</v>
      </c>
      <c r="D1475" s="4">
        <v>2</v>
      </c>
      <c r="E1475" s="4"/>
      <c r="F1475" s="3">
        <v>45937</v>
      </c>
      <c r="G1475" s="1">
        <v>4263</v>
      </c>
      <c r="H1475" s="1">
        <v>3876.03</v>
      </c>
      <c r="I1475" s="1">
        <f t="shared" si="223"/>
        <v>386.9699999999998</v>
      </c>
      <c r="J1475" s="1">
        <f>J1474+I1475</f>
        <v>3566.8999999999983</v>
      </c>
      <c r="K1475" s="9">
        <f t="shared" si="232"/>
        <v>9.9836688570521845E-2</v>
      </c>
    </row>
    <row r="1476" spans="1:11" x14ac:dyDescent="0.35">
      <c r="A1476" s="2" t="s">
        <v>174</v>
      </c>
      <c r="B1476" t="s">
        <v>180</v>
      </c>
      <c r="C1476" s="21" t="s">
        <v>275</v>
      </c>
      <c r="D1476" s="4">
        <v>3</v>
      </c>
      <c r="E1476" s="4"/>
      <c r="F1476" s="3">
        <v>45944</v>
      </c>
      <c r="G1476" s="1">
        <v>4263</v>
      </c>
      <c r="H1476" s="1">
        <v>3876.03</v>
      </c>
      <c r="I1476" s="1">
        <f t="shared" si="223"/>
        <v>386.9699999999998</v>
      </c>
      <c r="J1476" s="1">
        <f t="shared" ref="J1476:J1489" si="233">J1475+I1476</f>
        <v>3953.8699999999981</v>
      </c>
      <c r="K1476" s="9">
        <f t="shared" si="232"/>
        <v>9.9836688570521845E-2</v>
      </c>
    </row>
    <row r="1477" spans="1:11" x14ac:dyDescent="0.35">
      <c r="A1477" s="2" t="s">
        <v>174</v>
      </c>
      <c r="B1477" t="s">
        <v>180</v>
      </c>
      <c r="C1477" s="21" t="s">
        <v>275</v>
      </c>
      <c r="D1477" s="4">
        <v>4</v>
      </c>
      <c r="E1477" s="4"/>
      <c r="F1477" s="3">
        <v>45951</v>
      </c>
      <c r="G1477" s="1">
        <v>4263</v>
      </c>
      <c r="H1477" s="1">
        <v>3876.03</v>
      </c>
      <c r="I1477" s="1">
        <f t="shared" si="223"/>
        <v>386.9699999999998</v>
      </c>
      <c r="J1477" s="1">
        <f t="shared" si="233"/>
        <v>4340.8399999999983</v>
      </c>
      <c r="K1477" s="9">
        <f t="shared" si="232"/>
        <v>9.9836688570521845E-2</v>
      </c>
    </row>
    <row r="1478" spans="1:11" x14ac:dyDescent="0.35">
      <c r="A1478" s="2" t="s">
        <v>174</v>
      </c>
      <c r="B1478" t="s">
        <v>180</v>
      </c>
      <c r="C1478" s="21" t="s">
        <v>275</v>
      </c>
      <c r="D1478" s="4">
        <v>5</v>
      </c>
      <c r="E1478" s="4"/>
      <c r="F1478" s="3">
        <v>45958</v>
      </c>
      <c r="G1478" s="1">
        <v>4263</v>
      </c>
      <c r="H1478" s="1">
        <v>3877</v>
      </c>
      <c r="I1478" s="1">
        <f t="shared" ref="I1478:I1541" si="234">G1478-H1478</f>
        <v>386</v>
      </c>
      <c r="J1478" s="1">
        <f t="shared" si="233"/>
        <v>4726.8399999999983</v>
      </c>
      <c r="K1478" s="9">
        <f t="shared" si="232"/>
        <v>9.9561516636574671E-2</v>
      </c>
    </row>
    <row r="1479" spans="1:11" x14ac:dyDescent="0.35">
      <c r="A1479" s="2" t="s">
        <v>174</v>
      </c>
      <c r="B1479" t="s">
        <v>180</v>
      </c>
      <c r="C1479" s="21" t="s">
        <v>275</v>
      </c>
      <c r="D1479" s="4">
        <v>6</v>
      </c>
      <c r="E1479" s="4"/>
      <c r="F1479" s="3">
        <v>45965</v>
      </c>
      <c r="G1479" s="1">
        <v>4263</v>
      </c>
      <c r="H1479" s="1">
        <v>3877</v>
      </c>
      <c r="I1479" s="1">
        <f t="shared" si="234"/>
        <v>386</v>
      </c>
      <c r="J1479" s="1">
        <f t="shared" si="233"/>
        <v>5112.8399999999983</v>
      </c>
      <c r="K1479" s="9">
        <f t="shared" si="232"/>
        <v>9.9561516636574671E-2</v>
      </c>
    </row>
    <row r="1480" spans="1:11" x14ac:dyDescent="0.35">
      <c r="A1480" s="2" t="s">
        <v>174</v>
      </c>
      <c r="B1480" t="s">
        <v>180</v>
      </c>
      <c r="C1480" s="21" t="s">
        <v>275</v>
      </c>
      <c r="D1480" s="4">
        <v>7</v>
      </c>
      <c r="E1480" s="4"/>
      <c r="G1480" s="1"/>
      <c r="H1480" s="1"/>
      <c r="I1480" s="1">
        <f t="shared" si="234"/>
        <v>0</v>
      </c>
      <c r="J1480" s="1">
        <f t="shared" si="233"/>
        <v>5112.8399999999983</v>
      </c>
      <c r="K1480" s="9" t="e">
        <f t="shared" si="232"/>
        <v>#DIV/0!</v>
      </c>
    </row>
    <row r="1481" spans="1:11" x14ac:dyDescent="0.35">
      <c r="A1481" s="2" t="s">
        <v>174</v>
      </c>
      <c r="B1481" t="s">
        <v>180</v>
      </c>
      <c r="C1481" s="21" t="s">
        <v>275</v>
      </c>
      <c r="D1481" s="4">
        <v>8</v>
      </c>
      <c r="E1481" s="4"/>
      <c r="G1481" s="1"/>
      <c r="H1481" s="1"/>
      <c r="I1481" s="1">
        <f t="shared" si="234"/>
        <v>0</v>
      </c>
      <c r="J1481" s="1">
        <f t="shared" si="233"/>
        <v>5112.8399999999983</v>
      </c>
      <c r="K1481" s="9" t="e">
        <f t="shared" si="232"/>
        <v>#DIV/0!</v>
      </c>
    </row>
    <row r="1482" spans="1:11" x14ac:dyDescent="0.35">
      <c r="A1482" s="2" t="s">
        <v>174</v>
      </c>
      <c r="B1482" t="s">
        <v>180</v>
      </c>
      <c r="C1482" s="21" t="s">
        <v>275</v>
      </c>
      <c r="D1482" s="4">
        <v>9</v>
      </c>
      <c r="E1482" s="4"/>
      <c r="G1482" s="1"/>
      <c r="H1482" s="1"/>
      <c r="I1482" s="1">
        <f t="shared" si="234"/>
        <v>0</v>
      </c>
      <c r="J1482" s="1">
        <f t="shared" si="233"/>
        <v>5112.8399999999983</v>
      </c>
      <c r="K1482" s="9" t="e">
        <f t="shared" si="232"/>
        <v>#DIV/0!</v>
      </c>
    </row>
    <row r="1483" spans="1:11" x14ac:dyDescent="0.35">
      <c r="A1483" s="2" t="s">
        <v>174</v>
      </c>
      <c r="B1483" t="s">
        <v>180</v>
      </c>
      <c r="C1483" s="21" t="s">
        <v>275</v>
      </c>
      <c r="D1483" s="4">
        <v>10</v>
      </c>
      <c r="E1483" s="4"/>
      <c r="G1483" s="1"/>
      <c r="H1483" s="1"/>
      <c r="I1483" s="1">
        <f t="shared" si="234"/>
        <v>0</v>
      </c>
      <c r="J1483" s="1">
        <f t="shared" si="233"/>
        <v>5112.8399999999983</v>
      </c>
      <c r="K1483" s="9" t="e">
        <f t="shared" si="232"/>
        <v>#DIV/0!</v>
      </c>
    </row>
    <row r="1484" spans="1:11" x14ac:dyDescent="0.35">
      <c r="A1484" s="2" t="s">
        <v>174</v>
      </c>
      <c r="B1484" t="s">
        <v>180</v>
      </c>
      <c r="C1484" s="21" t="s">
        <v>275</v>
      </c>
      <c r="D1484" s="4">
        <v>11</v>
      </c>
      <c r="E1484" s="4"/>
      <c r="G1484" s="1"/>
      <c r="H1484" s="1"/>
      <c r="I1484" s="1">
        <f t="shared" si="234"/>
        <v>0</v>
      </c>
      <c r="J1484" s="1">
        <f t="shared" si="233"/>
        <v>5112.8399999999983</v>
      </c>
      <c r="K1484" s="9" t="e">
        <f t="shared" si="232"/>
        <v>#DIV/0!</v>
      </c>
    </row>
    <row r="1485" spans="1:11" x14ac:dyDescent="0.35">
      <c r="A1485" s="2" t="s">
        <v>174</v>
      </c>
      <c r="B1485" t="s">
        <v>180</v>
      </c>
      <c r="C1485" s="21" t="s">
        <v>275</v>
      </c>
      <c r="D1485" s="4">
        <v>12</v>
      </c>
      <c r="E1485" s="4"/>
      <c r="G1485" s="1"/>
      <c r="H1485" s="1"/>
      <c r="I1485" s="1">
        <f t="shared" si="234"/>
        <v>0</v>
      </c>
      <c r="J1485" s="1">
        <f t="shared" si="233"/>
        <v>5112.8399999999983</v>
      </c>
      <c r="K1485" s="9" t="e">
        <f t="shared" si="232"/>
        <v>#DIV/0!</v>
      </c>
    </row>
    <row r="1486" spans="1:11" x14ac:dyDescent="0.35">
      <c r="A1486" s="2" t="s">
        <v>174</v>
      </c>
      <c r="B1486" t="s">
        <v>180</v>
      </c>
      <c r="C1486" s="21" t="s">
        <v>275</v>
      </c>
      <c r="D1486" s="4">
        <v>13</v>
      </c>
      <c r="E1486" s="4"/>
      <c r="G1486" s="1"/>
      <c r="H1486" s="1"/>
      <c r="I1486" s="1">
        <f t="shared" si="234"/>
        <v>0</v>
      </c>
      <c r="J1486" s="1">
        <f t="shared" si="233"/>
        <v>5112.8399999999983</v>
      </c>
      <c r="K1486" s="9" t="e">
        <f t="shared" si="232"/>
        <v>#DIV/0!</v>
      </c>
    </row>
    <row r="1487" spans="1:11" x14ac:dyDescent="0.35">
      <c r="A1487" s="2" t="s">
        <v>174</v>
      </c>
      <c r="B1487" t="s">
        <v>180</v>
      </c>
      <c r="C1487" s="21" t="s">
        <v>275</v>
      </c>
      <c r="D1487" s="4">
        <v>14</v>
      </c>
      <c r="E1487" s="4"/>
      <c r="G1487" s="1"/>
      <c r="H1487" s="1"/>
      <c r="I1487" s="1">
        <f t="shared" si="234"/>
        <v>0</v>
      </c>
      <c r="J1487" s="1">
        <f t="shared" si="233"/>
        <v>5112.8399999999983</v>
      </c>
      <c r="K1487" s="9" t="e">
        <f t="shared" si="232"/>
        <v>#DIV/0!</v>
      </c>
    </row>
    <row r="1488" spans="1:11" x14ac:dyDescent="0.35">
      <c r="A1488" s="2" t="s">
        <v>174</v>
      </c>
      <c r="B1488" t="s">
        <v>180</v>
      </c>
      <c r="C1488" s="21" t="s">
        <v>275</v>
      </c>
      <c r="D1488" s="4">
        <v>15</v>
      </c>
      <c r="E1488" s="4"/>
      <c r="G1488" s="1"/>
      <c r="H1488" s="1"/>
      <c r="I1488" s="1">
        <f t="shared" si="234"/>
        <v>0</v>
      </c>
      <c r="J1488" s="1">
        <f t="shared" si="233"/>
        <v>5112.8399999999983</v>
      </c>
      <c r="K1488" s="9" t="e">
        <f t="shared" si="232"/>
        <v>#DIV/0!</v>
      </c>
    </row>
    <row r="1489" spans="1:11" ht="15" thickBot="1" x14ac:dyDescent="0.4">
      <c r="A1489" s="12" t="s">
        <v>174</v>
      </c>
      <c r="B1489" s="13" t="s">
        <v>180</v>
      </c>
      <c r="C1489" s="21" t="s">
        <v>275</v>
      </c>
      <c r="D1489" s="14">
        <v>16</v>
      </c>
      <c r="E1489" s="14"/>
      <c r="F1489" s="13"/>
      <c r="G1489" s="15"/>
      <c r="H1489" s="15"/>
      <c r="I1489" s="15">
        <f t="shared" si="234"/>
        <v>0</v>
      </c>
      <c r="J1489" s="15">
        <f t="shared" si="233"/>
        <v>5112.8399999999983</v>
      </c>
      <c r="K1489" s="13"/>
    </row>
    <row r="1490" spans="1:11" x14ac:dyDescent="0.35">
      <c r="A1490" s="2" t="s">
        <v>175</v>
      </c>
      <c r="B1490" t="s">
        <v>181</v>
      </c>
      <c r="C1490" s="21" t="s">
        <v>275</v>
      </c>
      <c r="D1490" s="4">
        <v>1</v>
      </c>
      <c r="E1490" s="4"/>
      <c r="F1490" s="3">
        <v>45930</v>
      </c>
      <c r="G1490" s="1">
        <v>4948</v>
      </c>
      <c r="H1490" s="1">
        <v>4718</v>
      </c>
      <c r="I1490" s="1">
        <f t="shared" si="234"/>
        <v>230</v>
      </c>
      <c r="J1490" s="1">
        <f>I1490</f>
        <v>230</v>
      </c>
      <c r="K1490" s="9">
        <f t="shared" ref="K1490:K1504" si="235">I1490/H1490</f>
        <v>4.8749470114455275E-2</v>
      </c>
    </row>
    <row r="1491" spans="1:11" x14ac:dyDescent="0.35">
      <c r="A1491" s="2" t="s">
        <v>175</v>
      </c>
      <c r="B1491" t="s">
        <v>181</v>
      </c>
      <c r="C1491" s="21" t="s">
        <v>275</v>
      </c>
      <c r="D1491" s="4">
        <v>2</v>
      </c>
      <c r="E1491" s="4"/>
      <c r="F1491" s="3">
        <v>45937</v>
      </c>
      <c r="G1491" s="1">
        <v>4963</v>
      </c>
      <c r="H1491" s="1">
        <v>4718</v>
      </c>
      <c r="I1491" s="1">
        <f t="shared" si="234"/>
        <v>245</v>
      </c>
      <c r="J1491" s="1">
        <f>J1490+I1491</f>
        <v>475</v>
      </c>
      <c r="K1491" s="9">
        <f t="shared" si="235"/>
        <v>5.192878338278932E-2</v>
      </c>
    </row>
    <row r="1492" spans="1:11" x14ac:dyDescent="0.35">
      <c r="A1492" s="2" t="s">
        <v>175</v>
      </c>
      <c r="B1492" t="s">
        <v>181</v>
      </c>
      <c r="C1492" s="21" t="s">
        <v>275</v>
      </c>
      <c r="D1492" s="4">
        <v>3</v>
      </c>
      <c r="E1492" s="4"/>
      <c r="F1492" s="3">
        <v>45944</v>
      </c>
      <c r="G1492" s="1">
        <v>4963</v>
      </c>
      <c r="H1492" s="1">
        <v>4718</v>
      </c>
      <c r="I1492" s="1">
        <f t="shared" si="234"/>
        <v>245</v>
      </c>
      <c r="J1492" s="1">
        <f t="shared" ref="J1492:J1505" si="236">J1491+I1492</f>
        <v>720</v>
      </c>
      <c r="K1492" s="9">
        <f t="shared" si="235"/>
        <v>5.192878338278932E-2</v>
      </c>
    </row>
    <row r="1493" spans="1:11" x14ac:dyDescent="0.35">
      <c r="A1493" s="2" t="s">
        <v>175</v>
      </c>
      <c r="B1493" t="s">
        <v>181</v>
      </c>
      <c r="C1493" s="21" t="s">
        <v>275</v>
      </c>
      <c r="D1493" s="4">
        <v>4</v>
      </c>
      <c r="E1493" s="4"/>
      <c r="F1493" s="3">
        <v>45951</v>
      </c>
      <c r="G1493" s="1">
        <v>4963</v>
      </c>
      <c r="H1493" s="1">
        <v>4718</v>
      </c>
      <c r="I1493" s="1">
        <f t="shared" si="234"/>
        <v>245</v>
      </c>
      <c r="J1493" s="1">
        <f t="shared" si="236"/>
        <v>965</v>
      </c>
      <c r="K1493" s="9">
        <f t="shared" si="235"/>
        <v>5.192878338278932E-2</v>
      </c>
    </row>
    <row r="1494" spans="1:11" x14ac:dyDescent="0.35">
      <c r="A1494" s="2" t="s">
        <v>175</v>
      </c>
      <c r="B1494" t="s">
        <v>181</v>
      </c>
      <c r="C1494" s="21" t="s">
        <v>275</v>
      </c>
      <c r="D1494" s="4">
        <v>5</v>
      </c>
      <c r="E1494" s="4"/>
      <c r="F1494" s="3">
        <v>45958</v>
      </c>
      <c r="G1494" s="1">
        <v>4963</v>
      </c>
      <c r="H1494" s="1">
        <v>4718</v>
      </c>
      <c r="I1494" s="1">
        <f t="shared" si="234"/>
        <v>245</v>
      </c>
      <c r="J1494" s="1">
        <f t="shared" si="236"/>
        <v>1210</v>
      </c>
      <c r="K1494" s="9">
        <f t="shared" si="235"/>
        <v>5.192878338278932E-2</v>
      </c>
    </row>
    <row r="1495" spans="1:11" x14ac:dyDescent="0.35">
      <c r="A1495" s="2" t="s">
        <v>175</v>
      </c>
      <c r="B1495" t="s">
        <v>181</v>
      </c>
      <c r="C1495" s="21" t="s">
        <v>275</v>
      </c>
      <c r="D1495" s="4">
        <v>6</v>
      </c>
      <c r="E1495" s="4"/>
      <c r="F1495" s="3">
        <v>45965</v>
      </c>
      <c r="G1495" s="1">
        <v>4963</v>
      </c>
      <c r="H1495" s="1">
        <v>4718</v>
      </c>
      <c r="I1495" s="1">
        <f t="shared" si="234"/>
        <v>245</v>
      </c>
      <c r="J1495" s="1">
        <f t="shared" si="236"/>
        <v>1455</v>
      </c>
      <c r="K1495" s="9">
        <f t="shared" si="235"/>
        <v>5.192878338278932E-2</v>
      </c>
    </row>
    <row r="1496" spans="1:11" x14ac:dyDescent="0.35">
      <c r="A1496" s="2" t="s">
        <v>175</v>
      </c>
      <c r="B1496" t="s">
        <v>181</v>
      </c>
      <c r="C1496" s="21" t="s">
        <v>275</v>
      </c>
      <c r="D1496" s="4">
        <v>7</v>
      </c>
      <c r="E1496" s="4"/>
      <c r="G1496" s="1"/>
      <c r="H1496" s="1"/>
      <c r="I1496" s="1">
        <f t="shared" si="234"/>
        <v>0</v>
      </c>
      <c r="J1496" s="1">
        <f t="shared" si="236"/>
        <v>1455</v>
      </c>
      <c r="K1496" s="9" t="e">
        <f t="shared" si="235"/>
        <v>#DIV/0!</v>
      </c>
    </row>
    <row r="1497" spans="1:11" x14ac:dyDescent="0.35">
      <c r="A1497" s="2" t="s">
        <v>175</v>
      </c>
      <c r="B1497" t="s">
        <v>181</v>
      </c>
      <c r="C1497" s="21" t="s">
        <v>275</v>
      </c>
      <c r="D1497" s="4">
        <v>8</v>
      </c>
      <c r="E1497" s="4"/>
      <c r="G1497" s="1"/>
      <c r="H1497" s="1"/>
      <c r="I1497" s="1">
        <f t="shared" si="234"/>
        <v>0</v>
      </c>
      <c r="J1497" s="1">
        <f t="shared" si="236"/>
        <v>1455</v>
      </c>
      <c r="K1497" s="9" t="e">
        <f t="shared" si="235"/>
        <v>#DIV/0!</v>
      </c>
    </row>
    <row r="1498" spans="1:11" x14ac:dyDescent="0.35">
      <c r="A1498" s="2" t="s">
        <v>175</v>
      </c>
      <c r="B1498" t="s">
        <v>181</v>
      </c>
      <c r="C1498" s="21" t="s">
        <v>275</v>
      </c>
      <c r="D1498" s="4">
        <v>9</v>
      </c>
      <c r="E1498" s="4"/>
      <c r="G1498" s="1"/>
      <c r="H1498" s="1"/>
      <c r="I1498" s="1">
        <f t="shared" si="234"/>
        <v>0</v>
      </c>
      <c r="J1498" s="1">
        <f t="shared" si="236"/>
        <v>1455</v>
      </c>
      <c r="K1498" s="9" t="e">
        <f t="shared" si="235"/>
        <v>#DIV/0!</v>
      </c>
    </row>
    <row r="1499" spans="1:11" x14ac:dyDescent="0.35">
      <c r="A1499" s="2" t="s">
        <v>175</v>
      </c>
      <c r="B1499" t="s">
        <v>181</v>
      </c>
      <c r="C1499" s="21" t="s">
        <v>275</v>
      </c>
      <c r="D1499" s="4">
        <v>10</v>
      </c>
      <c r="E1499" s="4"/>
      <c r="G1499" s="1"/>
      <c r="H1499" s="1"/>
      <c r="I1499" s="1">
        <f t="shared" si="234"/>
        <v>0</v>
      </c>
      <c r="J1499" s="1">
        <f t="shared" si="236"/>
        <v>1455</v>
      </c>
      <c r="K1499" s="9" t="e">
        <f t="shared" si="235"/>
        <v>#DIV/0!</v>
      </c>
    </row>
    <row r="1500" spans="1:11" x14ac:dyDescent="0.35">
      <c r="A1500" s="2" t="s">
        <v>175</v>
      </c>
      <c r="B1500" t="s">
        <v>181</v>
      </c>
      <c r="C1500" s="21" t="s">
        <v>275</v>
      </c>
      <c r="D1500" s="4">
        <v>11</v>
      </c>
      <c r="E1500" s="4"/>
      <c r="G1500" s="1"/>
      <c r="H1500" s="1"/>
      <c r="I1500" s="1">
        <f t="shared" si="234"/>
        <v>0</v>
      </c>
      <c r="J1500" s="1">
        <f t="shared" si="236"/>
        <v>1455</v>
      </c>
      <c r="K1500" s="9" t="e">
        <f t="shared" si="235"/>
        <v>#DIV/0!</v>
      </c>
    </row>
    <row r="1501" spans="1:11" x14ac:dyDescent="0.35">
      <c r="A1501" s="2" t="s">
        <v>175</v>
      </c>
      <c r="B1501" t="s">
        <v>181</v>
      </c>
      <c r="C1501" s="21" t="s">
        <v>275</v>
      </c>
      <c r="D1501" s="4">
        <v>12</v>
      </c>
      <c r="E1501" s="4"/>
      <c r="G1501" s="1"/>
      <c r="H1501" s="1"/>
      <c r="I1501" s="1">
        <f t="shared" si="234"/>
        <v>0</v>
      </c>
      <c r="J1501" s="1">
        <f t="shared" si="236"/>
        <v>1455</v>
      </c>
      <c r="K1501" s="9" t="e">
        <f t="shared" si="235"/>
        <v>#DIV/0!</v>
      </c>
    </row>
    <row r="1502" spans="1:11" x14ac:dyDescent="0.35">
      <c r="A1502" s="2" t="s">
        <v>175</v>
      </c>
      <c r="B1502" t="s">
        <v>181</v>
      </c>
      <c r="C1502" s="21" t="s">
        <v>275</v>
      </c>
      <c r="D1502" s="4">
        <v>13</v>
      </c>
      <c r="E1502" s="4"/>
      <c r="G1502" s="1"/>
      <c r="H1502" s="1"/>
      <c r="I1502" s="1">
        <f t="shared" si="234"/>
        <v>0</v>
      </c>
      <c r="J1502" s="1">
        <f t="shared" si="236"/>
        <v>1455</v>
      </c>
      <c r="K1502" s="9" t="e">
        <f t="shared" si="235"/>
        <v>#DIV/0!</v>
      </c>
    </row>
    <row r="1503" spans="1:11" x14ac:dyDescent="0.35">
      <c r="A1503" s="2" t="s">
        <v>175</v>
      </c>
      <c r="B1503" t="s">
        <v>181</v>
      </c>
      <c r="C1503" s="21" t="s">
        <v>275</v>
      </c>
      <c r="D1503" s="4">
        <v>14</v>
      </c>
      <c r="E1503" s="4"/>
      <c r="G1503" s="1"/>
      <c r="H1503" s="1"/>
      <c r="I1503" s="1">
        <f t="shared" si="234"/>
        <v>0</v>
      </c>
      <c r="J1503" s="1">
        <f t="shared" si="236"/>
        <v>1455</v>
      </c>
      <c r="K1503" s="9" t="e">
        <f t="shared" si="235"/>
        <v>#DIV/0!</v>
      </c>
    </row>
    <row r="1504" spans="1:11" x14ac:dyDescent="0.35">
      <c r="A1504" s="2" t="s">
        <v>175</v>
      </c>
      <c r="B1504" t="s">
        <v>181</v>
      </c>
      <c r="C1504" s="21" t="s">
        <v>275</v>
      </c>
      <c r="D1504" s="4">
        <v>15</v>
      </c>
      <c r="E1504" s="4"/>
      <c r="G1504" s="1"/>
      <c r="H1504" s="1"/>
      <c r="I1504" s="1">
        <f t="shared" si="234"/>
        <v>0</v>
      </c>
      <c r="J1504" s="1">
        <f t="shared" si="236"/>
        <v>1455</v>
      </c>
      <c r="K1504" s="9" t="e">
        <f t="shared" si="235"/>
        <v>#DIV/0!</v>
      </c>
    </row>
    <row r="1505" spans="1:11" ht="15" thickBot="1" x14ac:dyDescent="0.4">
      <c r="A1505" s="12" t="s">
        <v>175</v>
      </c>
      <c r="B1505" s="13" t="s">
        <v>181</v>
      </c>
      <c r="C1505" s="21" t="s">
        <v>275</v>
      </c>
      <c r="D1505" s="14">
        <v>16</v>
      </c>
      <c r="E1505" s="14"/>
      <c r="F1505" s="13"/>
      <c r="G1505" s="15"/>
      <c r="H1505" s="15"/>
      <c r="I1505" s="15">
        <f t="shared" si="234"/>
        <v>0</v>
      </c>
      <c r="J1505" s="15">
        <f t="shared" si="236"/>
        <v>1455</v>
      </c>
      <c r="K1505" s="13"/>
    </row>
    <row r="1506" spans="1:11" x14ac:dyDescent="0.35">
      <c r="A1506" s="2" t="s">
        <v>176</v>
      </c>
      <c r="B1506" t="s">
        <v>182</v>
      </c>
      <c r="C1506" s="21" t="s">
        <v>275</v>
      </c>
      <c r="D1506" s="4">
        <v>1</v>
      </c>
      <c r="E1506" s="4"/>
      <c r="F1506" s="3">
        <v>45929</v>
      </c>
      <c r="G1506" s="1">
        <v>8527</v>
      </c>
      <c r="H1506" s="1">
        <v>7762</v>
      </c>
      <c r="I1506" s="1">
        <f t="shared" si="234"/>
        <v>765</v>
      </c>
      <c r="J1506" s="1">
        <f>I1506</f>
        <v>765</v>
      </c>
      <c r="K1506" s="9">
        <f t="shared" ref="K1506:K1520" si="237">I1506/H1506</f>
        <v>9.8557072919350688E-2</v>
      </c>
    </row>
    <row r="1507" spans="1:11" x14ac:dyDescent="0.35">
      <c r="A1507" s="2" t="s">
        <v>176</v>
      </c>
      <c r="B1507" t="s">
        <v>182</v>
      </c>
      <c r="C1507" s="21" t="s">
        <v>275</v>
      </c>
      <c r="D1507" s="4">
        <v>2</v>
      </c>
      <c r="E1507" s="4"/>
      <c r="F1507" s="3">
        <v>45937</v>
      </c>
      <c r="G1507" s="1">
        <v>8225</v>
      </c>
      <c r="H1507" s="1">
        <v>7752</v>
      </c>
      <c r="I1507" s="1">
        <f t="shared" si="234"/>
        <v>473</v>
      </c>
      <c r="J1507" s="1">
        <f>J1506+I1507</f>
        <v>1238</v>
      </c>
      <c r="K1507" s="9">
        <f t="shared" si="237"/>
        <v>6.1016511867905056E-2</v>
      </c>
    </row>
    <row r="1508" spans="1:11" x14ac:dyDescent="0.35">
      <c r="A1508" s="2" t="s">
        <v>176</v>
      </c>
      <c r="B1508" t="s">
        <v>182</v>
      </c>
      <c r="C1508" s="21" t="s">
        <v>275</v>
      </c>
      <c r="D1508" s="4">
        <v>3</v>
      </c>
      <c r="E1508" s="4"/>
      <c r="F1508" s="3">
        <v>45944</v>
      </c>
      <c r="G1508" s="1">
        <v>8225</v>
      </c>
      <c r="H1508" s="1">
        <v>7752</v>
      </c>
      <c r="I1508" s="1">
        <f t="shared" si="234"/>
        <v>473</v>
      </c>
      <c r="J1508" s="1">
        <f t="shared" ref="J1508:J1521" si="238">J1507+I1508</f>
        <v>1711</v>
      </c>
      <c r="K1508" s="9">
        <f t="shared" si="237"/>
        <v>6.1016511867905056E-2</v>
      </c>
    </row>
    <row r="1509" spans="1:11" x14ac:dyDescent="0.35">
      <c r="A1509" s="2" t="s">
        <v>176</v>
      </c>
      <c r="B1509" t="s">
        <v>182</v>
      </c>
      <c r="C1509" s="21" t="s">
        <v>275</v>
      </c>
      <c r="D1509" s="4">
        <v>4</v>
      </c>
      <c r="E1509" s="4"/>
      <c r="F1509" s="3">
        <v>45951</v>
      </c>
      <c r="G1509" s="1">
        <v>8225</v>
      </c>
      <c r="H1509" s="1">
        <v>7752</v>
      </c>
      <c r="I1509" s="1">
        <f t="shared" si="234"/>
        <v>473</v>
      </c>
      <c r="J1509" s="1">
        <f t="shared" si="238"/>
        <v>2184</v>
      </c>
      <c r="K1509" s="9">
        <f t="shared" si="237"/>
        <v>6.1016511867905056E-2</v>
      </c>
    </row>
    <row r="1510" spans="1:11" x14ac:dyDescent="0.35">
      <c r="A1510" s="2" t="s">
        <v>176</v>
      </c>
      <c r="B1510" t="s">
        <v>182</v>
      </c>
      <c r="C1510" s="21" t="s">
        <v>275</v>
      </c>
      <c r="D1510" s="4">
        <v>5</v>
      </c>
      <c r="E1510" s="4"/>
      <c r="F1510" s="3">
        <v>45958</v>
      </c>
      <c r="G1510" s="1">
        <v>8238</v>
      </c>
      <c r="H1510" s="1">
        <v>7752</v>
      </c>
      <c r="I1510" s="1">
        <f t="shared" si="234"/>
        <v>486</v>
      </c>
      <c r="J1510" s="1">
        <f t="shared" si="238"/>
        <v>2670</v>
      </c>
      <c r="K1510" s="9">
        <f t="shared" si="237"/>
        <v>6.2693498452012386E-2</v>
      </c>
    </row>
    <row r="1511" spans="1:11" x14ac:dyDescent="0.35">
      <c r="A1511" s="2" t="s">
        <v>176</v>
      </c>
      <c r="B1511" t="s">
        <v>182</v>
      </c>
      <c r="C1511" s="21" t="s">
        <v>275</v>
      </c>
      <c r="D1511" s="4">
        <v>6</v>
      </c>
      <c r="E1511" s="4"/>
      <c r="F1511" s="3">
        <v>45965</v>
      </c>
      <c r="G1511" s="1">
        <v>8238</v>
      </c>
      <c r="H1511" s="1">
        <v>7752</v>
      </c>
      <c r="I1511" s="1">
        <f t="shared" si="234"/>
        <v>486</v>
      </c>
      <c r="J1511" s="1">
        <f t="shared" si="238"/>
        <v>3156</v>
      </c>
      <c r="K1511" s="9">
        <f t="shared" si="237"/>
        <v>6.2693498452012386E-2</v>
      </c>
    </row>
    <row r="1512" spans="1:11" x14ac:dyDescent="0.35">
      <c r="A1512" s="2" t="s">
        <v>176</v>
      </c>
      <c r="B1512" t="s">
        <v>182</v>
      </c>
      <c r="C1512" s="21" t="s">
        <v>275</v>
      </c>
      <c r="D1512" s="4">
        <v>7</v>
      </c>
      <c r="E1512" s="4"/>
      <c r="G1512" s="1"/>
      <c r="H1512" s="1"/>
      <c r="I1512" s="1">
        <f t="shared" si="234"/>
        <v>0</v>
      </c>
      <c r="J1512" s="1">
        <f t="shared" si="238"/>
        <v>3156</v>
      </c>
      <c r="K1512" s="9" t="e">
        <f t="shared" si="237"/>
        <v>#DIV/0!</v>
      </c>
    </row>
    <row r="1513" spans="1:11" x14ac:dyDescent="0.35">
      <c r="A1513" s="2" t="s">
        <v>176</v>
      </c>
      <c r="B1513" t="s">
        <v>182</v>
      </c>
      <c r="C1513" s="21" t="s">
        <v>275</v>
      </c>
      <c r="D1513" s="4">
        <v>8</v>
      </c>
      <c r="E1513" s="4"/>
      <c r="G1513" s="1"/>
      <c r="H1513" s="1"/>
      <c r="I1513" s="1">
        <f t="shared" si="234"/>
        <v>0</v>
      </c>
      <c r="J1513" s="1">
        <f t="shared" si="238"/>
        <v>3156</v>
      </c>
      <c r="K1513" s="9" t="e">
        <f t="shared" si="237"/>
        <v>#DIV/0!</v>
      </c>
    </row>
    <row r="1514" spans="1:11" x14ac:dyDescent="0.35">
      <c r="A1514" s="2" t="s">
        <v>176</v>
      </c>
      <c r="B1514" t="s">
        <v>182</v>
      </c>
      <c r="C1514" s="21" t="s">
        <v>275</v>
      </c>
      <c r="D1514" s="4">
        <v>9</v>
      </c>
      <c r="E1514" s="4"/>
      <c r="G1514" s="1"/>
      <c r="H1514" s="1"/>
      <c r="I1514" s="1">
        <f t="shared" si="234"/>
        <v>0</v>
      </c>
      <c r="J1514" s="1">
        <f t="shared" si="238"/>
        <v>3156</v>
      </c>
      <c r="K1514" s="9" t="e">
        <f t="shared" si="237"/>
        <v>#DIV/0!</v>
      </c>
    </row>
    <row r="1515" spans="1:11" x14ac:dyDescent="0.35">
      <c r="A1515" s="2" t="s">
        <v>176</v>
      </c>
      <c r="B1515" t="s">
        <v>182</v>
      </c>
      <c r="C1515" s="21" t="s">
        <v>275</v>
      </c>
      <c r="D1515" s="4">
        <v>10</v>
      </c>
      <c r="E1515" s="4"/>
      <c r="G1515" s="1"/>
      <c r="H1515" s="1"/>
      <c r="I1515" s="1">
        <f t="shared" si="234"/>
        <v>0</v>
      </c>
      <c r="J1515" s="1">
        <f t="shared" si="238"/>
        <v>3156</v>
      </c>
      <c r="K1515" s="9" t="e">
        <f t="shared" si="237"/>
        <v>#DIV/0!</v>
      </c>
    </row>
    <row r="1516" spans="1:11" x14ac:dyDescent="0.35">
      <c r="A1516" s="2" t="s">
        <v>176</v>
      </c>
      <c r="B1516" t="s">
        <v>182</v>
      </c>
      <c r="C1516" s="21" t="s">
        <v>275</v>
      </c>
      <c r="D1516" s="4">
        <v>11</v>
      </c>
      <c r="E1516" s="4"/>
      <c r="G1516" s="1"/>
      <c r="H1516" s="1"/>
      <c r="I1516" s="1">
        <f t="shared" si="234"/>
        <v>0</v>
      </c>
      <c r="J1516" s="1">
        <f t="shared" si="238"/>
        <v>3156</v>
      </c>
      <c r="K1516" s="9" t="e">
        <f t="shared" si="237"/>
        <v>#DIV/0!</v>
      </c>
    </row>
    <row r="1517" spans="1:11" x14ac:dyDescent="0.35">
      <c r="A1517" s="2" t="s">
        <v>176</v>
      </c>
      <c r="B1517" t="s">
        <v>182</v>
      </c>
      <c r="C1517" s="21" t="s">
        <v>275</v>
      </c>
      <c r="D1517" s="4">
        <v>12</v>
      </c>
      <c r="E1517" s="4"/>
      <c r="G1517" s="1"/>
      <c r="H1517" s="1"/>
      <c r="I1517" s="1">
        <f t="shared" si="234"/>
        <v>0</v>
      </c>
      <c r="J1517" s="1">
        <f t="shared" si="238"/>
        <v>3156</v>
      </c>
      <c r="K1517" s="9" t="e">
        <f t="shared" si="237"/>
        <v>#DIV/0!</v>
      </c>
    </row>
    <row r="1518" spans="1:11" x14ac:dyDescent="0.35">
      <c r="A1518" s="2" t="s">
        <v>176</v>
      </c>
      <c r="B1518" t="s">
        <v>182</v>
      </c>
      <c r="C1518" s="21" t="s">
        <v>275</v>
      </c>
      <c r="D1518" s="4">
        <v>13</v>
      </c>
      <c r="E1518" s="4"/>
      <c r="G1518" s="1"/>
      <c r="H1518" s="1"/>
      <c r="I1518" s="1">
        <f t="shared" si="234"/>
        <v>0</v>
      </c>
      <c r="J1518" s="1">
        <f t="shared" si="238"/>
        <v>3156</v>
      </c>
      <c r="K1518" s="9" t="e">
        <f t="shared" si="237"/>
        <v>#DIV/0!</v>
      </c>
    </row>
    <row r="1519" spans="1:11" x14ac:dyDescent="0.35">
      <c r="A1519" s="2" t="s">
        <v>176</v>
      </c>
      <c r="B1519" t="s">
        <v>182</v>
      </c>
      <c r="C1519" s="21" t="s">
        <v>275</v>
      </c>
      <c r="D1519" s="4">
        <v>14</v>
      </c>
      <c r="E1519" s="4"/>
      <c r="G1519" s="1"/>
      <c r="H1519" s="1"/>
      <c r="I1519" s="1">
        <f t="shared" si="234"/>
        <v>0</v>
      </c>
      <c r="J1519" s="1">
        <f t="shared" si="238"/>
        <v>3156</v>
      </c>
      <c r="K1519" s="9" t="e">
        <f t="shared" si="237"/>
        <v>#DIV/0!</v>
      </c>
    </row>
    <row r="1520" spans="1:11" x14ac:dyDescent="0.35">
      <c r="A1520" s="2" t="s">
        <v>176</v>
      </c>
      <c r="B1520" t="s">
        <v>182</v>
      </c>
      <c r="C1520" s="21" t="s">
        <v>275</v>
      </c>
      <c r="D1520" s="4">
        <v>15</v>
      </c>
      <c r="E1520" s="4"/>
      <c r="G1520" s="1"/>
      <c r="H1520" s="1"/>
      <c r="I1520" s="1">
        <f t="shared" si="234"/>
        <v>0</v>
      </c>
      <c r="J1520" s="1">
        <f t="shared" si="238"/>
        <v>3156</v>
      </c>
      <c r="K1520" s="9" t="e">
        <f t="shared" si="237"/>
        <v>#DIV/0!</v>
      </c>
    </row>
    <row r="1521" spans="1:11" ht="15" thickBot="1" x14ac:dyDescent="0.4">
      <c r="A1521" s="12" t="s">
        <v>176</v>
      </c>
      <c r="B1521" s="13" t="s">
        <v>182</v>
      </c>
      <c r="C1521" s="21" t="s">
        <v>275</v>
      </c>
      <c r="D1521" s="14">
        <v>16</v>
      </c>
      <c r="E1521" s="14"/>
      <c r="F1521" s="13"/>
      <c r="G1521" s="15"/>
      <c r="H1521" s="15"/>
      <c r="I1521" s="15">
        <f t="shared" si="234"/>
        <v>0</v>
      </c>
      <c r="J1521" s="15">
        <f t="shared" si="238"/>
        <v>3156</v>
      </c>
      <c r="K1521" s="13"/>
    </row>
    <row r="1522" spans="1:11" x14ac:dyDescent="0.35">
      <c r="A1522" s="2" t="s">
        <v>184</v>
      </c>
      <c r="B1522" t="s">
        <v>183</v>
      </c>
      <c r="C1522" s="21" t="s">
        <v>275</v>
      </c>
      <c r="D1522" s="4">
        <v>1</v>
      </c>
      <c r="E1522" s="4"/>
      <c r="F1522" s="3">
        <v>45931</v>
      </c>
      <c r="G1522" s="1">
        <v>6524</v>
      </c>
      <c r="H1522" s="1">
        <v>6080.05</v>
      </c>
      <c r="I1522" s="1">
        <f t="shared" si="234"/>
        <v>443.94999999999982</v>
      </c>
      <c r="J1522" s="1">
        <f>I1522</f>
        <v>443.94999999999982</v>
      </c>
      <c r="K1522" s="9">
        <f t="shared" ref="K1522:K1536" si="239">I1522/H1522</f>
        <v>7.3017491632470094E-2</v>
      </c>
    </row>
    <row r="1523" spans="1:11" x14ac:dyDescent="0.35">
      <c r="A1523" s="2" t="s">
        <v>184</v>
      </c>
      <c r="B1523" t="s">
        <v>183</v>
      </c>
      <c r="C1523" s="21" t="s">
        <v>275</v>
      </c>
      <c r="D1523" s="4">
        <v>2</v>
      </c>
      <c r="E1523" s="4"/>
      <c r="F1523" s="3">
        <v>45938</v>
      </c>
      <c r="G1523" s="1">
        <v>6524</v>
      </c>
      <c r="H1523" s="1">
        <v>6080.05</v>
      </c>
      <c r="I1523" s="1">
        <f t="shared" si="234"/>
        <v>443.94999999999982</v>
      </c>
      <c r="J1523" s="1">
        <f>J1522+I1523</f>
        <v>887.89999999999964</v>
      </c>
      <c r="K1523" s="9">
        <f t="shared" si="239"/>
        <v>7.3017491632470094E-2</v>
      </c>
    </row>
    <row r="1524" spans="1:11" x14ac:dyDescent="0.35">
      <c r="A1524" s="2" t="s">
        <v>184</v>
      </c>
      <c r="B1524" t="s">
        <v>183</v>
      </c>
      <c r="C1524" s="21" t="s">
        <v>275</v>
      </c>
      <c r="D1524" s="4">
        <v>3</v>
      </c>
      <c r="E1524" s="4"/>
      <c r="F1524" s="3">
        <v>45945</v>
      </c>
      <c r="G1524" s="1">
        <v>6524</v>
      </c>
      <c r="H1524" s="1">
        <v>6080.05</v>
      </c>
      <c r="I1524" s="1">
        <f t="shared" si="234"/>
        <v>443.94999999999982</v>
      </c>
      <c r="J1524" s="1">
        <f t="shared" ref="J1524:J1537" si="240">J1523+I1524</f>
        <v>1331.8499999999995</v>
      </c>
      <c r="K1524" s="9">
        <f t="shared" si="239"/>
        <v>7.3017491632470094E-2</v>
      </c>
    </row>
    <row r="1525" spans="1:11" x14ac:dyDescent="0.35">
      <c r="A1525" s="2" t="s">
        <v>184</v>
      </c>
      <c r="B1525" t="s">
        <v>183</v>
      </c>
      <c r="C1525" s="21" t="s">
        <v>275</v>
      </c>
      <c r="D1525" s="4">
        <v>4</v>
      </c>
      <c r="E1525" s="4"/>
      <c r="F1525" s="3">
        <v>45952</v>
      </c>
      <c r="G1525" s="1">
        <v>6524</v>
      </c>
      <c r="H1525" s="1">
        <v>6080.05</v>
      </c>
      <c r="I1525" s="1">
        <f t="shared" si="234"/>
        <v>443.94999999999982</v>
      </c>
      <c r="J1525" s="1">
        <f t="shared" si="240"/>
        <v>1775.7999999999993</v>
      </c>
      <c r="K1525" s="9">
        <f t="shared" si="239"/>
        <v>7.3017491632470094E-2</v>
      </c>
    </row>
    <row r="1526" spans="1:11" x14ac:dyDescent="0.35">
      <c r="A1526" s="2" t="s">
        <v>184</v>
      </c>
      <c r="B1526" t="s">
        <v>183</v>
      </c>
      <c r="C1526" s="21" t="s">
        <v>275</v>
      </c>
      <c r="D1526" s="4">
        <v>5</v>
      </c>
      <c r="E1526" s="4"/>
      <c r="F1526" s="3">
        <v>45959</v>
      </c>
      <c r="G1526" s="1">
        <v>6524</v>
      </c>
      <c r="H1526" s="1">
        <v>6080.05</v>
      </c>
      <c r="I1526" s="1">
        <f t="shared" si="234"/>
        <v>443.94999999999982</v>
      </c>
      <c r="J1526" s="1">
        <f t="shared" si="240"/>
        <v>2219.7499999999991</v>
      </c>
      <c r="K1526" s="9">
        <f t="shared" si="239"/>
        <v>7.3017491632470094E-2</v>
      </c>
    </row>
    <row r="1527" spans="1:11" x14ac:dyDescent="0.35">
      <c r="A1527" s="2" t="s">
        <v>184</v>
      </c>
      <c r="B1527" t="s">
        <v>183</v>
      </c>
      <c r="C1527" s="21" t="s">
        <v>275</v>
      </c>
      <c r="D1527" s="4">
        <v>6</v>
      </c>
      <c r="E1527" s="4"/>
      <c r="F1527" s="3">
        <v>45966</v>
      </c>
      <c r="G1527" s="1">
        <v>6524</v>
      </c>
      <c r="H1527" s="1">
        <v>6080.05</v>
      </c>
      <c r="I1527" s="1">
        <f t="shared" si="234"/>
        <v>443.94999999999982</v>
      </c>
      <c r="J1527" s="1">
        <f t="shared" si="240"/>
        <v>2663.6999999999989</v>
      </c>
      <c r="K1527" s="9">
        <f t="shared" si="239"/>
        <v>7.3017491632470094E-2</v>
      </c>
    </row>
    <row r="1528" spans="1:11" x14ac:dyDescent="0.35">
      <c r="A1528" s="2" t="s">
        <v>184</v>
      </c>
      <c r="B1528" t="s">
        <v>183</v>
      </c>
      <c r="C1528" s="21" t="s">
        <v>275</v>
      </c>
      <c r="D1528" s="4">
        <v>7</v>
      </c>
      <c r="E1528" s="4"/>
      <c r="G1528" s="1"/>
      <c r="H1528" s="1"/>
      <c r="I1528" s="1">
        <f t="shared" si="234"/>
        <v>0</v>
      </c>
      <c r="J1528" s="1">
        <f t="shared" si="240"/>
        <v>2663.6999999999989</v>
      </c>
      <c r="K1528" s="9" t="e">
        <f t="shared" si="239"/>
        <v>#DIV/0!</v>
      </c>
    </row>
    <row r="1529" spans="1:11" x14ac:dyDescent="0.35">
      <c r="A1529" s="2" t="s">
        <v>184</v>
      </c>
      <c r="B1529" t="s">
        <v>183</v>
      </c>
      <c r="C1529" s="21" t="s">
        <v>275</v>
      </c>
      <c r="D1529" s="4">
        <v>8</v>
      </c>
      <c r="E1529" s="4"/>
      <c r="G1529" s="1"/>
      <c r="H1529" s="1"/>
      <c r="I1529" s="1">
        <f t="shared" si="234"/>
        <v>0</v>
      </c>
      <c r="J1529" s="1">
        <f t="shared" si="240"/>
        <v>2663.6999999999989</v>
      </c>
      <c r="K1529" s="9" t="e">
        <f t="shared" si="239"/>
        <v>#DIV/0!</v>
      </c>
    </row>
    <row r="1530" spans="1:11" x14ac:dyDescent="0.35">
      <c r="A1530" s="2" t="s">
        <v>184</v>
      </c>
      <c r="B1530" t="s">
        <v>183</v>
      </c>
      <c r="C1530" s="21" t="s">
        <v>275</v>
      </c>
      <c r="D1530" s="4">
        <v>9</v>
      </c>
      <c r="E1530" s="4"/>
      <c r="G1530" s="1"/>
      <c r="H1530" s="1"/>
      <c r="I1530" s="1">
        <f t="shared" si="234"/>
        <v>0</v>
      </c>
      <c r="J1530" s="1">
        <f t="shared" si="240"/>
        <v>2663.6999999999989</v>
      </c>
      <c r="K1530" s="9" t="e">
        <f t="shared" si="239"/>
        <v>#DIV/0!</v>
      </c>
    </row>
    <row r="1531" spans="1:11" x14ac:dyDescent="0.35">
      <c r="A1531" s="2" t="s">
        <v>184</v>
      </c>
      <c r="B1531" t="s">
        <v>183</v>
      </c>
      <c r="C1531" s="21" t="s">
        <v>275</v>
      </c>
      <c r="D1531" s="4">
        <v>10</v>
      </c>
      <c r="E1531" s="4"/>
      <c r="G1531" s="1"/>
      <c r="H1531" s="1"/>
      <c r="I1531" s="1">
        <f t="shared" si="234"/>
        <v>0</v>
      </c>
      <c r="J1531" s="1">
        <f t="shared" si="240"/>
        <v>2663.6999999999989</v>
      </c>
      <c r="K1531" s="9" t="e">
        <f t="shared" si="239"/>
        <v>#DIV/0!</v>
      </c>
    </row>
    <row r="1532" spans="1:11" x14ac:dyDescent="0.35">
      <c r="A1532" s="2" t="s">
        <v>184</v>
      </c>
      <c r="B1532" t="s">
        <v>183</v>
      </c>
      <c r="C1532" s="21" t="s">
        <v>275</v>
      </c>
      <c r="D1532" s="4">
        <v>11</v>
      </c>
      <c r="E1532" s="4"/>
      <c r="G1532" s="1"/>
      <c r="H1532" s="1"/>
      <c r="I1532" s="1">
        <f t="shared" si="234"/>
        <v>0</v>
      </c>
      <c r="J1532" s="1">
        <f t="shared" si="240"/>
        <v>2663.6999999999989</v>
      </c>
      <c r="K1532" s="9" t="e">
        <f t="shared" si="239"/>
        <v>#DIV/0!</v>
      </c>
    </row>
    <row r="1533" spans="1:11" x14ac:dyDescent="0.35">
      <c r="A1533" s="2" t="s">
        <v>184</v>
      </c>
      <c r="B1533" t="s">
        <v>183</v>
      </c>
      <c r="C1533" s="21" t="s">
        <v>275</v>
      </c>
      <c r="D1533" s="4">
        <v>12</v>
      </c>
      <c r="E1533" s="4"/>
      <c r="G1533" s="1"/>
      <c r="H1533" s="1"/>
      <c r="I1533" s="1">
        <f t="shared" si="234"/>
        <v>0</v>
      </c>
      <c r="J1533" s="1">
        <f t="shared" si="240"/>
        <v>2663.6999999999989</v>
      </c>
      <c r="K1533" s="9" t="e">
        <f t="shared" si="239"/>
        <v>#DIV/0!</v>
      </c>
    </row>
    <row r="1534" spans="1:11" x14ac:dyDescent="0.35">
      <c r="A1534" s="2" t="s">
        <v>184</v>
      </c>
      <c r="B1534" t="s">
        <v>183</v>
      </c>
      <c r="C1534" s="21" t="s">
        <v>275</v>
      </c>
      <c r="D1534" s="4">
        <v>13</v>
      </c>
      <c r="E1534" s="4"/>
      <c r="G1534" s="1"/>
      <c r="H1534" s="1"/>
      <c r="I1534" s="1">
        <f t="shared" si="234"/>
        <v>0</v>
      </c>
      <c r="J1534" s="1">
        <f t="shared" si="240"/>
        <v>2663.6999999999989</v>
      </c>
      <c r="K1534" s="9" t="e">
        <f t="shared" si="239"/>
        <v>#DIV/0!</v>
      </c>
    </row>
    <row r="1535" spans="1:11" x14ac:dyDescent="0.35">
      <c r="A1535" s="2" t="s">
        <v>184</v>
      </c>
      <c r="B1535" t="s">
        <v>183</v>
      </c>
      <c r="C1535" s="21" t="s">
        <v>275</v>
      </c>
      <c r="D1535" s="4">
        <v>14</v>
      </c>
      <c r="E1535" s="4"/>
      <c r="G1535" s="1"/>
      <c r="H1535" s="1"/>
      <c r="I1535" s="1">
        <f t="shared" si="234"/>
        <v>0</v>
      </c>
      <c r="J1535" s="1">
        <f t="shared" si="240"/>
        <v>2663.6999999999989</v>
      </c>
      <c r="K1535" s="9" t="e">
        <f t="shared" si="239"/>
        <v>#DIV/0!</v>
      </c>
    </row>
    <row r="1536" spans="1:11" x14ac:dyDescent="0.35">
      <c r="A1536" s="2" t="s">
        <v>184</v>
      </c>
      <c r="B1536" t="s">
        <v>183</v>
      </c>
      <c r="C1536" s="21" t="s">
        <v>275</v>
      </c>
      <c r="D1536" s="4">
        <v>15</v>
      </c>
      <c r="E1536" s="4"/>
      <c r="G1536" s="1"/>
      <c r="H1536" s="1"/>
      <c r="I1536" s="1">
        <f t="shared" si="234"/>
        <v>0</v>
      </c>
      <c r="J1536" s="1">
        <f t="shared" si="240"/>
        <v>2663.6999999999989</v>
      </c>
      <c r="K1536" s="9" t="e">
        <f t="shared" si="239"/>
        <v>#DIV/0!</v>
      </c>
    </row>
    <row r="1537" spans="1:11" ht="15" thickBot="1" x14ac:dyDescent="0.4">
      <c r="A1537" s="12" t="s">
        <v>184</v>
      </c>
      <c r="B1537" s="13" t="s">
        <v>183</v>
      </c>
      <c r="C1537" s="21" t="s">
        <v>275</v>
      </c>
      <c r="D1537" s="14">
        <v>16</v>
      </c>
      <c r="E1537" s="14"/>
      <c r="F1537" s="13"/>
      <c r="G1537" s="15"/>
      <c r="H1537" s="15"/>
      <c r="I1537" s="15">
        <f t="shared" si="234"/>
        <v>0</v>
      </c>
      <c r="J1537" s="15">
        <f t="shared" si="240"/>
        <v>2663.6999999999989</v>
      </c>
      <c r="K1537" s="13"/>
    </row>
    <row r="1538" spans="1:11" x14ac:dyDescent="0.35">
      <c r="A1538" s="2" t="s">
        <v>185</v>
      </c>
      <c r="B1538" t="s">
        <v>191</v>
      </c>
      <c r="C1538" s="21" t="s">
        <v>275</v>
      </c>
      <c r="D1538" s="4">
        <v>1</v>
      </c>
      <c r="E1538" s="4"/>
      <c r="F1538" s="3">
        <v>45931</v>
      </c>
      <c r="G1538" s="1">
        <v>10593</v>
      </c>
      <c r="H1538" s="1">
        <v>9880.09</v>
      </c>
      <c r="I1538" s="1">
        <f t="shared" si="234"/>
        <v>712.90999999999985</v>
      </c>
      <c r="J1538" s="1">
        <f>I1538</f>
        <v>712.90999999999985</v>
      </c>
      <c r="K1538" s="9">
        <f t="shared" ref="K1538:K1552" si="241">I1538/H1538</f>
        <v>7.2156225297542814E-2</v>
      </c>
    </row>
    <row r="1539" spans="1:11" x14ac:dyDescent="0.35">
      <c r="A1539" s="2" t="s">
        <v>185</v>
      </c>
      <c r="B1539" t="s">
        <v>191</v>
      </c>
      <c r="C1539" s="21" t="s">
        <v>275</v>
      </c>
      <c r="D1539" s="4">
        <v>2</v>
      </c>
      <c r="E1539" s="4"/>
      <c r="F1539" s="3">
        <v>45938</v>
      </c>
      <c r="G1539" s="1">
        <v>10593</v>
      </c>
      <c r="H1539" s="1">
        <v>9880.09</v>
      </c>
      <c r="I1539" s="1">
        <f t="shared" si="234"/>
        <v>712.90999999999985</v>
      </c>
      <c r="J1539" s="1">
        <f>J1538+I1539</f>
        <v>1425.8199999999997</v>
      </c>
      <c r="K1539" s="9">
        <f t="shared" si="241"/>
        <v>7.2156225297542814E-2</v>
      </c>
    </row>
    <row r="1540" spans="1:11" x14ac:dyDescent="0.35">
      <c r="A1540" s="2" t="s">
        <v>185</v>
      </c>
      <c r="B1540" t="s">
        <v>191</v>
      </c>
      <c r="C1540" s="21" t="s">
        <v>275</v>
      </c>
      <c r="D1540" s="4">
        <v>3</v>
      </c>
      <c r="E1540" s="4"/>
      <c r="F1540" s="3">
        <v>45945</v>
      </c>
      <c r="G1540" s="1">
        <v>10593</v>
      </c>
      <c r="H1540" s="1">
        <v>9880.09</v>
      </c>
      <c r="I1540" s="1">
        <f t="shared" si="234"/>
        <v>712.90999999999985</v>
      </c>
      <c r="J1540" s="1">
        <f t="shared" ref="J1540:J1553" si="242">J1539+I1540</f>
        <v>2138.7299999999996</v>
      </c>
      <c r="K1540" s="9">
        <f t="shared" si="241"/>
        <v>7.2156225297542814E-2</v>
      </c>
    </row>
    <row r="1541" spans="1:11" x14ac:dyDescent="0.35">
      <c r="A1541" s="2" t="s">
        <v>185</v>
      </c>
      <c r="B1541" t="s">
        <v>191</v>
      </c>
      <c r="C1541" s="21" t="s">
        <v>275</v>
      </c>
      <c r="D1541" s="4">
        <v>4</v>
      </c>
      <c r="E1541" s="4"/>
      <c r="F1541" s="3">
        <v>45952</v>
      </c>
      <c r="G1541" s="1">
        <v>10593</v>
      </c>
      <c r="H1541" s="1">
        <v>9880.09</v>
      </c>
      <c r="I1541" s="1">
        <f t="shared" si="234"/>
        <v>712.90999999999985</v>
      </c>
      <c r="J1541" s="1">
        <f t="shared" si="242"/>
        <v>2851.6399999999994</v>
      </c>
      <c r="K1541" s="9">
        <f t="shared" si="241"/>
        <v>7.2156225297542814E-2</v>
      </c>
    </row>
    <row r="1542" spans="1:11" x14ac:dyDescent="0.35">
      <c r="A1542" s="2" t="s">
        <v>185</v>
      </c>
      <c r="B1542" t="s">
        <v>191</v>
      </c>
      <c r="C1542" s="21" t="s">
        <v>275</v>
      </c>
      <c r="D1542" s="4">
        <v>5</v>
      </c>
      <c r="E1542" s="4"/>
      <c r="F1542" s="3">
        <v>45959</v>
      </c>
      <c r="G1542" s="1">
        <v>10593</v>
      </c>
      <c r="H1542" s="1">
        <v>9880.09</v>
      </c>
      <c r="I1542" s="1">
        <f t="shared" ref="I1542:I1605" si="243">G1542-H1542</f>
        <v>712.90999999999985</v>
      </c>
      <c r="J1542" s="1">
        <f t="shared" si="242"/>
        <v>3564.5499999999993</v>
      </c>
      <c r="K1542" s="9">
        <f t="shared" si="241"/>
        <v>7.2156225297542814E-2</v>
      </c>
    </row>
    <row r="1543" spans="1:11" x14ac:dyDescent="0.35">
      <c r="A1543" s="2" t="s">
        <v>185</v>
      </c>
      <c r="B1543" t="s">
        <v>191</v>
      </c>
      <c r="C1543" s="21" t="s">
        <v>275</v>
      </c>
      <c r="D1543" s="4">
        <v>6</v>
      </c>
      <c r="E1543" s="4"/>
      <c r="F1543" s="3">
        <v>45966</v>
      </c>
      <c r="G1543" s="1">
        <v>10593</v>
      </c>
      <c r="H1543" s="1">
        <v>9880.09</v>
      </c>
      <c r="I1543" s="1">
        <f t="shared" si="243"/>
        <v>712.90999999999985</v>
      </c>
      <c r="J1543" s="1">
        <f t="shared" si="242"/>
        <v>4277.4599999999991</v>
      </c>
      <c r="K1543" s="9">
        <f t="shared" si="241"/>
        <v>7.2156225297542814E-2</v>
      </c>
    </row>
    <row r="1544" spans="1:11" x14ac:dyDescent="0.35">
      <c r="A1544" s="2" t="s">
        <v>185</v>
      </c>
      <c r="B1544" t="s">
        <v>191</v>
      </c>
      <c r="C1544" s="21" t="s">
        <v>275</v>
      </c>
      <c r="D1544" s="4">
        <v>7</v>
      </c>
      <c r="E1544" s="4"/>
      <c r="G1544" s="1"/>
      <c r="H1544" s="1"/>
      <c r="I1544" s="1">
        <f t="shared" si="243"/>
        <v>0</v>
      </c>
      <c r="J1544" s="1">
        <f t="shared" si="242"/>
        <v>4277.4599999999991</v>
      </c>
      <c r="K1544" s="9" t="e">
        <f t="shared" si="241"/>
        <v>#DIV/0!</v>
      </c>
    </row>
    <row r="1545" spans="1:11" x14ac:dyDescent="0.35">
      <c r="A1545" s="2" t="s">
        <v>185</v>
      </c>
      <c r="B1545" t="s">
        <v>191</v>
      </c>
      <c r="C1545" s="21" t="s">
        <v>275</v>
      </c>
      <c r="D1545" s="4">
        <v>8</v>
      </c>
      <c r="E1545" s="4"/>
      <c r="G1545" s="1"/>
      <c r="H1545" s="1"/>
      <c r="I1545" s="1">
        <f t="shared" si="243"/>
        <v>0</v>
      </c>
      <c r="J1545" s="1">
        <f t="shared" si="242"/>
        <v>4277.4599999999991</v>
      </c>
      <c r="K1545" s="9" t="e">
        <f t="shared" si="241"/>
        <v>#DIV/0!</v>
      </c>
    </row>
    <row r="1546" spans="1:11" x14ac:dyDescent="0.35">
      <c r="A1546" s="2" t="s">
        <v>185</v>
      </c>
      <c r="B1546" t="s">
        <v>191</v>
      </c>
      <c r="C1546" s="21" t="s">
        <v>275</v>
      </c>
      <c r="D1546" s="4">
        <v>9</v>
      </c>
      <c r="E1546" s="4"/>
      <c r="G1546" s="1"/>
      <c r="H1546" s="1"/>
      <c r="I1546" s="1">
        <f t="shared" si="243"/>
        <v>0</v>
      </c>
      <c r="J1546" s="1">
        <f t="shared" si="242"/>
        <v>4277.4599999999991</v>
      </c>
      <c r="K1546" s="9" t="e">
        <f t="shared" si="241"/>
        <v>#DIV/0!</v>
      </c>
    </row>
    <row r="1547" spans="1:11" x14ac:dyDescent="0.35">
      <c r="A1547" s="2" t="s">
        <v>185</v>
      </c>
      <c r="B1547" t="s">
        <v>191</v>
      </c>
      <c r="C1547" s="21" t="s">
        <v>275</v>
      </c>
      <c r="D1547" s="4">
        <v>10</v>
      </c>
      <c r="E1547" s="4"/>
      <c r="G1547" s="1"/>
      <c r="H1547" s="1"/>
      <c r="I1547" s="1">
        <f t="shared" si="243"/>
        <v>0</v>
      </c>
      <c r="J1547" s="1">
        <f t="shared" si="242"/>
        <v>4277.4599999999991</v>
      </c>
      <c r="K1547" s="9" t="e">
        <f t="shared" si="241"/>
        <v>#DIV/0!</v>
      </c>
    </row>
    <row r="1548" spans="1:11" x14ac:dyDescent="0.35">
      <c r="A1548" s="2" t="s">
        <v>185</v>
      </c>
      <c r="B1548" t="s">
        <v>191</v>
      </c>
      <c r="C1548" s="21" t="s">
        <v>275</v>
      </c>
      <c r="D1548" s="4">
        <v>11</v>
      </c>
      <c r="E1548" s="4"/>
      <c r="G1548" s="1"/>
      <c r="H1548" s="1"/>
      <c r="I1548" s="1">
        <f t="shared" si="243"/>
        <v>0</v>
      </c>
      <c r="J1548" s="1">
        <f t="shared" si="242"/>
        <v>4277.4599999999991</v>
      </c>
      <c r="K1548" s="9" t="e">
        <f t="shared" si="241"/>
        <v>#DIV/0!</v>
      </c>
    </row>
    <row r="1549" spans="1:11" x14ac:dyDescent="0.35">
      <c r="A1549" s="2" t="s">
        <v>185</v>
      </c>
      <c r="B1549" t="s">
        <v>191</v>
      </c>
      <c r="C1549" s="21" t="s">
        <v>275</v>
      </c>
      <c r="D1549" s="4">
        <v>12</v>
      </c>
      <c r="E1549" s="4"/>
      <c r="G1549" s="1"/>
      <c r="H1549" s="1"/>
      <c r="I1549" s="1">
        <f t="shared" si="243"/>
        <v>0</v>
      </c>
      <c r="J1549" s="1">
        <f t="shared" si="242"/>
        <v>4277.4599999999991</v>
      </c>
      <c r="K1549" s="9" t="e">
        <f t="shared" si="241"/>
        <v>#DIV/0!</v>
      </c>
    </row>
    <row r="1550" spans="1:11" x14ac:dyDescent="0.35">
      <c r="A1550" s="2" t="s">
        <v>185</v>
      </c>
      <c r="B1550" t="s">
        <v>191</v>
      </c>
      <c r="C1550" s="21" t="s">
        <v>275</v>
      </c>
      <c r="D1550" s="4">
        <v>13</v>
      </c>
      <c r="E1550" s="4"/>
      <c r="G1550" s="1"/>
      <c r="H1550" s="1"/>
      <c r="I1550" s="1">
        <f t="shared" si="243"/>
        <v>0</v>
      </c>
      <c r="J1550" s="1">
        <f t="shared" si="242"/>
        <v>4277.4599999999991</v>
      </c>
      <c r="K1550" s="9" t="e">
        <f t="shared" si="241"/>
        <v>#DIV/0!</v>
      </c>
    </row>
    <row r="1551" spans="1:11" x14ac:dyDescent="0.35">
      <c r="A1551" s="2" t="s">
        <v>185</v>
      </c>
      <c r="B1551" t="s">
        <v>191</v>
      </c>
      <c r="C1551" s="21" t="s">
        <v>275</v>
      </c>
      <c r="D1551" s="4">
        <v>14</v>
      </c>
      <c r="E1551" s="4"/>
      <c r="G1551" s="1"/>
      <c r="H1551" s="1"/>
      <c r="I1551" s="1">
        <f t="shared" si="243"/>
        <v>0</v>
      </c>
      <c r="J1551" s="1">
        <f t="shared" si="242"/>
        <v>4277.4599999999991</v>
      </c>
      <c r="K1551" s="9" t="e">
        <f t="shared" si="241"/>
        <v>#DIV/0!</v>
      </c>
    </row>
    <row r="1552" spans="1:11" x14ac:dyDescent="0.35">
      <c r="A1552" s="2" t="s">
        <v>185</v>
      </c>
      <c r="B1552" t="s">
        <v>191</v>
      </c>
      <c r="C1552" s="21" t="s">
        <v>275</v>
      </c>
      <c r="D1552" s="4">
        <v>15</v>
      </c>
      <c r="E1552" s="4"/>
      <c r="G1552" s="1"/>
      <c r="H1552" s="1"/>
      <c r="I1552" s="1">
        <f t="shared" si="243"/>
        <v>0</v>
      </c>
      <c r="J1552" s="1">
        <f t="shared" si="242"/>
        <v>4277.4599999999991</v>
      </c>
      <c r="K1552" s="9" t="e">
        <f t="shared" si="241"/>
        <v>#DIV/0!</v>
      </c>
    </row>
    <row r="1553" spans="1:11" ht="15" thickBot="1" x14ac:dyDescent="0.4">
      <c r="A1553" s="12" t="s">
        <v>185</v>
      </c>
      <c r="B1553" s="13" t="s">
        <v>191</v>
      </c>
      <c r="C1553" s="21" t="s">
        <v>275</v>
      </c>
      <c r="D1553" s="14">
        <v>16</v>
      </c>
      <c r="E1553" s="14"/>
      <c r="F1553" s="13"/>
      <c r="G1553" s="15"/>
      <c r="H1553" s="15"/>
      <c r="I1553" s="15">
        <f t="shared" si="243"/>
        <v>0</v>
      </c>
      <c r="J1553" s="15">
        <f t="shared" si="242"/>
        <v>4277.4599999999991</v>
      </c>
      <c r="K1553" s="13"/>
    </row>
    <row r="1554" spans="1:11" x14ac:dyDescent="0.35">
      <c r="A1554" s="2" t="s">
        <v>186</v>
      </c>
      <c r="B1554" t="s">
        <v>192</v>
      </c>
      <c r="C1554" s="21" t="s">
        <v>275</v>
      </c>
      <c r="D1554" s="4">
        <v>1</v>
      </c>
      <c r="E1554" s="4"/>
      <c r="F1554" s="3">
        <v>45931</v>
      </c>
      <c r="G1554" s="1">
        <v>11200</v>
      </c>
      <c r="H1554" s="1">
        <v>10640</v>
      </c>
      <c r="I1554" s="1">
        <f t="shared" si="243"/>
        <v>560</v>
      </c>
      <c r="J1554" s="1">
        <f>I1554</f>
        <v>560</v>
      </c>
      <c r="K1554" s="9">
        <f t="shared" ref="K1554:K1568" si="244">I1554/H1554</f>
        <v>5.2631578947368418E-2</v>
      </c>
    </row>
    <row r="1555" spans="1:11" x14ac:dyDescent="0.35">
      <c r="A1555" s="2" t="s">
        <v>186</v>
      </c>
      <c r="B1555" t="s">
        <v>192</v>
      </c>
      <c r="C1555" s="21" t="s">
        <v>275</v>
      </c>
      <c r="D1555" s="4">
        <v>2</v>
      </c>
      <c r="E1555" s="4"/>
      <c r="F1555" s="3">
        <v>45938</v>
      </c>
      <c r="G1555" s="1">
        <v>11300</v>
      </c>
      <c r="H1555" s="1">
        <v>10640</v>
      </c>
      <c r="I1555" s="1">
        <f t="shared" si="243"/>
        <v>660</v>
      </c>
      <c r="J1555" s="1">
        <f>J1554+I1555</f>
        <v>1220</v>
      </c>
      <c r="K1555" s="9">
        <f t="shared" si="244"/>
        <v>6.2030075187969921E-2</v>
      </c>
    </row>
    <row r="1556" spans="1:11" x14ac:dyDescent="0.35">
      <c r="A1556" s="2" t="s">
        <v>186</v>
      </c>
      <c r="B1556" t="s">
        <v>192</v>
      </c>
      <c r="C1556" s="21" t="s">
        <v>275</v>
      </c>
      <c r="D1556" s="4">
        <v>3</v>
      </c>
      <c r="E1556" s="4"/>
      <c r="F1556" s="3">
        <v>45945</v>
      </c>
      <c r="G1556" s="1">
        <v>11150</v>
      </c>
      <c r="H1556" s="1">
        <v>10640</v>
      </c>
      <c r="I1556" s="1">
        <f t="shared" si="243"/>
        <v>510</v>
      </c>
      <c r="J1556" s="1">
        <f t="shared" ref="J1556:J1569" si="245">J1555+I1556</f>
        <v>1730</v>
      </c>
      <c r="K1556" s="9">
        <f t="shared" si="244"/>
        <v>4.7932330827067667E-2</v>
      </c>
    </row>
    <row r="1557" spans="1:11" x14ac:dyDescent="0.35">
      <c r="A1557" s="2" t="s">
        <v>186</v>
      </c>
      <c r="B1557" t="s">
        <v>192</v>
      </c>
      <c r="C1557" s="21" t="s">
        <v>275</v>
      </c>
      <c r="D1557" s="4">
        <v>4</v>
      </c>
      <c r="E1557" s="4"/>
      <c r="F1557" s="3">
        <v>45952</v>
      </c>
      <c r="G1557" s="1">
        <v>11200</v>
      </c>
      <c r="H1557" s="1">
        <v>10640</v>
      </c>
      <c r="I1557" s="1">
        <f t="shared" si="243"/>
        <v>560</v>
      </c>
      <c r="J1557" s="1">
        <f t="shared" si="245"/>
        <v>2290</v>
      </c>
      <c r="K1557" s="9">
        <f t="shared" si="244"/>
        <v>5.2631578947368418E-2</v>
      </c>
    </row>
    <row r="1558" spans="1:11" x14ac:dyDescent="0.35">
      <c r="A1558" s="2" t="s">
        <v>186</v>
      </c>
      <c r="B1558" t="s">
        <v>192</v>
      </c>
      <c r="C1558" s="21" t="s">
        <v>275</v>
      </c>
      <c r="D1558" s="4">
        <v>5</v>
      </c>
      <c r="E1558" s="4"/>
      <c r="F1558" s="3">
        <v>45959</v>
      </c>
      <c r="G1558" s="1">
        <v>11265</v>
      </c>
      <c r="H1558" s="1">
        <v>10643</v>
      </c>
      <c r="I1558" s="1">
        <f t="shared" si="243"/>
        <v>622</v>
      </c>
      <c r="J1558" s="1">
        <f t="shared" si="245"/>
        <v>2912</v>
      </c>
      <c r="K1558" s="9">
        <f t="shared" si="244"/>
        <v>5.8442168561495818E-2</v>
      </c>
    </row>
    <row r="1559" spans="1:11" x14ac:dyDescent="0.35">
      <c r="A1559" s="2" t="s">
        <v>186</v>
      </c>
      <c r="B1559" t="s">
        <v>192</v>
      </c>
      <c r="C1559" s="21" t="s">
        <v>275</v>
      </c>
      <c r="D1559" s="4">
        <v>6</v>
      </c>
      <c r="E1559" s="4"/>
      <c r="F1559" s="3">
        <v>45966</v>
      </c>
      <c r="G1559" s="1">
        <v>11200</v>
      </c>
      <c r="H1559" s="1">
        <v>10643</v>
      </c>
      <c r="I1559" s="1">
        <f t="shared" si="243"/>
        <v>557</v>
      </c>
      <c r="J1559" s="1">
        <f t="shared" si="245"/>
        <v>3469</v>
      </c>
      <c r="K1559" s="9">
        <f t="shared" si="244"/>
        <v>5.2334867988349153E-2</v>
      </c>
    </row>
    <row r="1560" spans="1:11" x14ac:dyDescent="0.35">
      <c r="A1560" s="2" t="s">
        <v>186</v>
      </c>
      <c r="B1560" t="s">
        <v>192</v>
      </c>
      <c r="C1560" s="21" t="s">
        <v>275</v>
      </c>
      <c r="D1560" s="4">
        <v>7</v>
      </c>
      <c r="E1560" s="4"/>
      <c r="G1560" s="1"/>
      <c r="H1560" s="1"/>
      <c r="I1560" s="1">
        <f t="shared" si="243"/>
        <v>0</v>
      </c>
      <c r="J1560" s="1">
        <f t="shared" si="245"/>
        <v>3469</v>
      </c>
      <c r="K1560" s="9" t="e">
        <f t="shared" si="244"/>
        <v>#DIV/0!</v>
      </c>
    </row>
    <row r="1561" spans="1:11" x14ac:dyDescent="0.35">
      <c r="A1561" s="2" t="s">
        <v>186</v>
      </c>
      <c r="B1561" t="s">
        <v>192</v>
      </c>
      <c r="C1561" s="21" t="s">
        <v>275</v>
      </c>
      <c r="D1561" s="4">
        <v>8</v>
      </c>
      <c r="E1561" s="4"/>
      <c r="G1561" s="1"/>
      <c r="H1561" s="1"/>
      <c r="I1561" s="1">
        <f t="shared" si="243"/>
        <v>0</v>
      </c>
      <c r="J1561" s="1">
        <f t="shared" si="245"/>
        <v>3469</v>
      </c>
      <c r="K1561" s="9" t="e">
        <f t="shared" si="244"/>
        <v>#DIV/0!</v>
      </c>
    </row>
    <row r="1562" spans="1:11" x14ac:dyDescent="0.35">
      <c r="A1562" s="2" t="s">
        <v>186</v>
      </c>
      <c r="B1562" t="s">
        <v>192</v>
      </c>
      <c r="C1562" s="21" t="s">
        <v>275</v>
      </c>
      <c r="D1562" s="4">
        <v>9</v>
      </c>
      <c r="E1562" s="4"/>
      <c r="G1562" s="1"/>
      <c r="H1562" s="1"/>
      <c r="I1562" s="1">
        <f t="shared" si="243"/>
        <v>0</v>
      </c>
      <c r="J1562" s="1">
        <f t="shared" si="245"/>
        <v>3469</v>
      </c>
      <c r="K1562" s="9" t="e">
        <f t="shared" si="244"/>
        <v>#DIV/0!</v>
      </c>
    </row>
    <row r="1563" spans="1:11" x14ac:dyDescent="0.35">
      <c r="A1563" s="2" t="s">
        <v>186</v>
      </c>
      <c r="B1563" t="s">
        <v>192</v>
      </c>
      <c r="C1563" s="21" t="s">
        <v>275</v>
      </c>
      <c r="D1563" s="4">
        <v>10</v>
      </c>
      <c r="E1563" s="4"/>
      <c r="G1563" s="1"/>
      <c r="H1563" s="1"/>
      <c r="I1563" s="1">
        <f t="shared" si="243"/>
        <v>0</v>
      </c>
      <c r="J1563" s="1">
        <f t="shared" si="245"/>
        <v>3469</v>
      </c>
      <c r="K1563" s="9" t="e">
        <f t="shared" si="244"/>
        <v>#DIV/0!</v>
      </c>
    </row>
    <row r="1564" spans="1:11" x14ac:dyDescent="0.35">
      <c r="A1564" s="2" t="s">
        <v>186</v>
      </c>
      <c r="B1564" t="s">
        <v>192</v>
      </c>
      <c r="C1564" s="21" t="s">
        <v>275</v>
      </c>
      <c r="D1564" s="4">
        <v>11</v>
      </c>
      <c r="E1564" s="4"/>
      <c r="G1564" s="1"/>
      <c r="H1564" s="1"/>
      <c r="I1564" s="1">
        <f t="shared" si="243"/>
        <v>0</v>
      </c>
      <c r="J1564" s="1">
        <f t="shared" si="245"/>
        <v>3469</v>
      </c>
      <c r="K1564" s="9" t="e">
        <f t="shared" si="244"/>
        <v>#DIV/0!</v>
      </c>
    </row>
    <row r="1565" spans="1:11" x14ac:dyDescent="0.35">
      <c r="A1565" s="2" t="s">
        <v>186</v>
      </c>
      <c r="B1565" t="s">
        <v>192</v>
      </c>
      <c r="C1565" s="21" t="s">
        <v>275</v>
      </c>
      <c r="D1565" s="4">
        <v>12</v>
      </c>
      <c r="E1565" s="4"/>
      <c r="G1565" s="1"/>
      <c r="H1565" s="1"/>
      <c r="I1565" s="1">
        <f t="shared" si="243"/>
        <v>0</v>
      </c>
      <c r="J1565" s="1">
        <f t="shared" si="245"/>
        <v>3469</v>
      </c>
      <c r="K1565" s="9" t="e">
        <f t="shared" si="244"/>
        <v>#DIV/0!</v>
      </c>
    </row>
    <row r="1566" spans="1:11" x14ac:dyDescent="0.35">
      <c r="A1566" s="2" t="s">
        <v>186</v>
      </c>
      <c r="B1566" t="s">
        <v>192</v>
      </c>
      <c r="C1566" s="21" t="s">
        <v>275</v>
      </c>
      <c r="D1566" s="4">
        <v>13</v>
      </c>
      <c r="E1566" s="4"/>
      <c r="G1566" s="1"/>
      <c r="H1566" s="1"/>
      <c r="I1566" s="1">
        <f t="shared" si="243"/>
        <v>0</v>
      </c>
      <c r="J1566" s="1">
        <f t="shared" si="245"/>
        <v>3469</v>
      </c>
      <c r="K1566" s="9" t="e">
        <f t="shared" si="244"/>
        <v>#DIV/0!</v>
      </c>
    </row>
    <row r="1567" spans="1:11" x14ac:dyDescent="0.35">
      <c r="A1567" s="2" t="s">
        <v>186</v>
      </c>
      <c r="B1567" t="s">
        <v>192</v>
      </c>
      <c r="C1567" s="21" t="s">
        <v>275</v>
      </c>
      <c r="D1567" s="4">
        <v>14</v>
      </c>
      <c r="E1567" s="4"/>
      <c r="G1567" s="1"/>
      <c r="H1567" s="1"/>
      <c r="I1567" s="1">
        <f t="shared" si="243"/>
        <v>0</v>
      </c>
      <c r="J1567" s="1">
        <f t="shared" si="245"/>
        <v>3469</v>
      </c>
      <c r="K1567" s="9" t="e">
        <f t="shared" si="244"/>
        <v>#DIV/0!</v>
      </c>
    </row>
    <row r="1568" spans="1:11" x14ac:dyDescent="0.35">
      <c r="A1568" s="2" t="s">
        <v>186</v>
      </c>
      <c r="B1568" t="s">
        <v>192</v>
      </c>
      <c r="C1568" s="21" t="s">
        <v>275</v>
      </c>
      <c r="D1568" s="4">
        <v>15</v>
      </c>
      <c r="E1568" s="4"/>
      <c r="G1568" s="1"/>
      <c r="H1568" s="1"/>
      <c r="I1568" s="1">
        <f t="shared" si="243"/>
        <v>0</v>
      </c>
      <c r="J1568" s="1">
        <f t="shared" si="245"/>
        <v>3469</v>
      </c>
      <c r="K1568" s="9" t="e">
        <f t="shared" si="244"/>
        <v>#DIV/0!</v>
      </c>
    </row>
    <row r="1569" spans="1:11" ht="15" thickBot="1" x14ac:dyDescent="0.4">
      <c r="A1569" s="12" t="s">
        <v>186</v>
      </c>
      <c r="B1569" s="13" t="s">
        <v>192</v>
      </c>
      <c r="C1569" s="21" t="s">
        <v>275</v>
      </c>
      <c r="D1569" s="14">
        <v>16</v>
      </c>
      <c r="E1569" s="14"/>
      <c r="F1569" s="13"/>
      <c r="G1569" s="15"/>
      <c r="H1569" s="15"/>
      <c r="I1569" s="15">
        <f t="shared" si="243"/>
        <v>0</v>
      </c>
      <c r="J1569" s="15">
        <f t="shared" si="245"/>
        <v>3469</v>
      </c>
      <c r="K1569" s="13"/>
    </row>
    <row r="1570" spans="1:11" x14ac:dyDescent="0.35">
      <c r="A1570" s="2" t="s">
        <v>187</v>
      </c>
      <c r="B1570" t="s">
        <v>193</v>
      </c>
      <c r="C1570" s="21" t="s">
        <v>275</v>
      </c>
      <c r="D1570" s="4">
        <v>1</v>
      </c>
      <c r="E1570" s="4"/>
      <c r="F1570" s="3">
        <v>45930</v>
      </c>
      <c r="G1570" s="1">
        <v>9065.07</v>
      </c>
      <c r="H1570" s="1">
        <v>8208.07</v>
      </c>
      <c r="I1570" s="1">
        <f t="shared" si="243"/>
        <v>857</v>
      </c>
      <c r="J1570" s="1">
        <f>I1570</f>
        <v>857</v>
      </c>
      <c r="K1570" s="9">
        <f t="shared" ref="K1570:K1584" si="246">I1570/H1570</f>
        <v>0.10440944095262346</v>
      </c>
    </row>
    <row r="1571" spans="1:11" x14ac:dyDescent="0.35">
      <c r="A1571" s="2" t="s">
        <v>187</v>
      </c>
      <c r="B1571" t="s">
        <v>193</v>
      </c>
      <c r="C1571" s="21" t="s">
        <v>275</v>
      </c>
      <c r="D1571" s="4">
        <v>2</v>
      </c>
      <c r="E1571" s="4"/>
      <c r="F1571" s="3">
        <v>45937</v>
      </c>
      <c r="G1571" s="1">
        <v>9065</v>
      </c>
      <c r="H1571" s="1">
        <v>8208.07</v>
      </c>
      <c r="I1571" s="1">
        <f t="shared" si="243"/>
        <v>856.93000000000029</v>
      </c>
      <c r="J1571" s="1">
        <f>J1570+I1571</f>
        <v>1713.9300000000003</v>
      </c>
      <c r="K1571" s="9">
        <f t="shared" si="246"/>
        <v>0.10440091276024696</v>
      </c>
    </row>
    <row r="1572" spans="1:11" x14ac:dyDescent="0.35">
      <c r="A1572" s="2" t="s">
        <v>187</v>
      </c>
      <c r="B1572" t="s">
        <v>193</v>
      </c>
      <c r="C1572" s="21" t="s">
        <v>275</v>
      </c>
      <c r="D1572" s="4">
        <v>3</v>
      </c>
      <c r="E1572" s="4"/>
      <c r="F1572" s="3">
        <v>45944</v>
      </c>
      <c r="G1572" s="1">
        <v>9065.07</v>
      </c>
      <c r="H1572" s="1">
        <v>8208</v>
      </c>
      <c r="I1572" s="1">
        <f t="shared" si="243"/>
        <v>857.06999999999971</v>
      </c>
      <c r="J1572" s="1">
        <f t="shared" ref="J1572:J1585" si="247">J1571+I1572</f>
        <v>2571</v>
      </c>
      <c r="K1572" s="9">
        <f t="shared" si="246"/>
        <v>0.10441885964912277</v>
      </c>
    </row>
    <row r="1573" spans="1:11" x14ac:dyDescent="0.35">
      <c r="A1573" s="2" t="s">
        <v>187</v>
      </c>
      <c r="B1573" t="s">
        <v>193</v>
      </c>
      <c r="C1573" s="21" t="s">
        <v>275</v>
      </c>
      <c r="D1573" s="4">
        <v>4</v>
      </c>
      <c r="E1573" s="4"/>
      <c r="F1573" s="3">
        <v>45951</v>
      </c>
      <c r="G1573" s="1">
        <v>9065.07</v>
      </c>
      <c r="H1573" s="1">
        <v>8208</v>
      </c>
      <c r="I1573" s="1">
        <f t="shared" si="243"/>
        <v>857.06999999999971</v>
      </c>
      <c r="J1573" s="1">
        <f t="shared" si="247"/>
        <v>3428.0699999999997</v>
      </c>
      <c r="K1573" s="9">
        <f t="shared" si="246"/>
        <v>0.10441885964912277</v>
      </c>
    </row>
    <row r="1574" spans="1:11" x14ac:dyDescent="0.35">
      <c r="A1574" s="2" t="s">
        <v>187</v>
      </c>
      <c r="B1574" t="s">
        <v>193</v>
      </c>
      <c r="C1574" s="21" t="s">
        <v>275</v>
      </c>
      <c r="D1574" s="4">
        <v>5</v>
      </c>
      <c r="E1574" s="4"/>
      <c r="F1574" s="3">
        <v>45958</v>
      </c>
      <c r="G1574" s="1">
        <v>9065.07</v>
      </c>
      <c r="H1574" s="1">
        <v>8208</v>
      </c>
      <c r="I1574" s="1">
        <f t="shared" si="243"/>
        <v>857.06999999999971</v>
      </c>
      <c r="J1574" s="1">
        <f t="shared" si="247"/>
        <v>4285.1399999999994</v>
      </c>
      <c r="K1574" s="9">
        <f t="shared" si="246"/>
        <v>0.10441885964912277</v>
      </c>
    </row>
    <row r="1575" spans="1:11" x14ac:dyDescent="0.35">
      <c r="A1575" s="2" t="s">
        <v>187</v>
      </c>
      <c r="B1575" t="s">
        <v>193</v>
      </c>
      <c r="C1575" s="21" t="s">
        <v>275</v>
      </c>
      <c r="D1575" s="4">
        <v>6</v>
      </c>
      <c r="E1575" s="4"/>
      <c r="F1575" s="3">
        <v>45965</v>
      </c>
      <c r="G1575" s="1">
        <f>857+8208.07</f>
        <v>9065.07</v>
      </c>
      <c r="H1575" s="1">
        <v>8208</v>
      </c>
      <c r="I1575" s="1">
        <f t="shared" si="243"/>
        <v>857.06999999999971</v>
      </c>
      <c r="J1575" s="1">
        <f t="shared" si="247"/>
        <v>5142.2099999999991</v>
      </c>
      <c r="K1575" s="9">
        <f t="shared" si="246"/>
        <v>0.10441885964912277</v>
      </c>
    </row>
    <row r="1576" spans="1:11" x14ac:dyDescent="0.35">
      <c r="A1576" s="2" t="s">
        <v>187</v>
      </c>
      <c r="B1576" t="s">
        <v>193</v>
      </c>
      <c r="C1576" s="21" t="s">
        <v>275</v>
      </c>
      <c r="D1576" s="4">
        <v>7</v>
      </c>
      <c r="E1576" s="4"/>
      <c r="G1576" s="1"/>
      <c r="H1576" s="1"/>
      <c r="I1576" s="1">
        <f t="shared" si="243"/>
        <v>0</v>
      </c>
      <c r="J1576" s="1">
        <f t="shared" si="247"/>
        <v>5142.2099999999991</v>
      </c>
      <c r="K1576" s="9" t="e">
        <f t="shared" si="246"/>
        <v>#DIV/0!</v>
      </c>
    </row>
    <row r="1577" spans="1:11" x14ac:dyDescent="0.35">
      <c r="A1577" s="2" t="s">
        <v>187</v>
      </c>
      <c r="B1577" t="s">
        <v>193</v>
      </c>
      <c r="C1577" s="21" t="s">
        <v>275</v>
      </c>
      <c r="D1577" s="4">
        <v>8</v>
      </c>
      <c r="E1577" s="4"/>
      <c r="G1577" s="1"/>
      <c r="H1577" s="1"/>
      <c r="I1577" s="1">
        <f t="shared" si="243"/>
        <v>0</v>
      </c>
      <c r="J1577" s="1">
        <f t="shared" si="247"/>
        <v>5142.2099999999991</v>
      </c>
      <c r="K1577" s="9" t="e">
        <f t="shared" si="246"/>
        <v>#DIV/0!</v>
      </c>
    </row>
    <row r="1578" spans="1:11" x14ac:dyDescent="0.35">
      <c r="A1578" s="2" t="s">
        <v>187</v>
      </c>
      <c r="B1578" t="s">
        <v>193</v>
      </c>
      <c r="C1578" s="21" t="s">
        <v>275</v>
      </c>
      <c r="D1578" s="4">
        <v>9</v>
      </c>
      <c r="E1578" s="4"/>
      <c r="G1578" s="1"/>
      <c r="H1578" s="1"/>
      <c r="I1578" s="1">
        <f t="shared" si="243"/>
        <v>0</v>
      </c>
      <c r="J1578" s="1">
        <f t="shared" si="247"/>
        <v>5142.2099999999991</v>
      </c>
      <c r="K1578" s="9" t="e">
        <f t="shared" si="246"/>
        <v>#DIV/0!</v>
      </c>
    </row>
    <row r="1579" spans="1:11" x14ac:dyDescent="0.35">
      <c r="A1579" s="2" t="s">
        <v>187</v>
      </c>
      <c r="B1579" t="s">
        <v>193</v>
      </c>
      <c r="C1579" s="21" t="s">
        <v>275</v>
      </c>
      <c r="D1579" s="4">
        <v>10</v>
      </c>
      <c r="E1579" s="4"/>
      <c r="G1579" s="1"/>
      <c r="H1579" s="1"/>
      <c r="I1579" s="1">
        <f t="shared" si="243"/>
        <v>0</v>
      </c>
      <c r="J1579" s="1">
        <f t="shared" si="247"/>
        <v>5142.2099999999991</v>
      </c>
      <c r="K1579" s="9" t="e">
        <f t="shared" si="246"/>
        <v>#DIV/0!</v>
      </c>
    </row>
    <row r="1580" spans="1:11" x14ac:dyDescent="0.35">
      <c r="A1580" s="2" t="s">
        <v>187</v>
      </c>
      <c r="B1580" t="s">
        <v>193</v>
      </c>
      <c r="C1580" s="21" t="s">
        <v>275</v>
      </c>
      <c r="D1580" s="4">
        <v>11</v>
      </c>
      <c r="E1580" s="4"/>
      <c r="G1580" s="1"/>
      <c r="H1580" s="1"/>
      <c r="I1580" s="1">
        <f t="shared" si="243"/>
        <v>0</v>
      </c>
      <c r="J1580" s="1">
        <f t="shared" si="247"/>
        <v>5142.2099999999991</v>
      </c>
      <c r="K1580" s="9" t="e">
        <f t="shared" si="246"/>
        <v>#DIV/0!</v>
      </c>
    </row>
    <row r="1581" spans="1:11" x14ac:dyDescent="0.35">
      <c r="A1581" s="2" t="s">
        <v>187</v>
      </c>
      <c r="B1581" t="s">
        <v>193</v>
      </c>
      <c r="C1581" s="21" t="s">
        <v>275</v>
      </c>
      <c r="D1581" s="4">
        <v>12</v>
      </c>
      <c r="E1581" s="4"/>
      <c r="G1581" s="1"/>
      <c r="H1581" s="1"/>
      <c r="I1581" s="1">
        <f t="shared" si="243"/>
        <v>0</v>
      </c>
      <c r="J1581" s="1">
        <f t="shared" si="247"/>
        <v>5142.2099999999991</v>
      </c>
      <c r="K1581" s="9" t="e">
        <f t="shared" si="246"/>
        <v>#DIV/0!</v>
      </c>
    </row>
    <row r="1582" spans="1:11" x14ac:dyDescent="0.35">
      <c r="A1582" s="2" t="s">
        <v>187</v>
      </c>
      <c r="B1582" t="s">
        <v>193</v>
      </c>
      <c r="C1582" s="21" t="s">
        <v>275</v>
      </c>
      <c r="D1582" s="4">
        <v>13</v>
      </c>
      <c r="E1582" s="4"/>
      <c r="G1582" s="1"/>
      <c r="H1582" s="1"/>
      <c r="I1582" s="1">
        <f t="shared" si="243"/>
        <v>0</v>
      </c>
      <c r="J1582" s="1">
        <f t="shared" si="247"/>
        <v>5142.2099999999991</v>
      </c>
      <c r="K1582" s="9" t="e">
        <f t="shared" si="246"/>
        <v>#DIV/0!</v>
      </c>
    </row>
    <row r="1583" spans="1:11" x14ac:dyDescent="0.35">
      <c r="A1583" s="2" t="s">
        <v>187</v>
      </c>
      <c r="B1583" t="s">
        <v>193</v>
      </c>
      <c r="C1583" s="21" t="s">
        <v>275</v>
      </c>
      <c r="D1583" s="4">
        <v>14</v>
      </c>
      <c r="E1583" s="4"/>
      <c r="G1583" s="1"/>
      <c r="H1583" s="1"/>
      <c r="I1583" s="1">
        <f t="shared" si="243"/>
        <v>0</v>
      </c>
      <c r="J1583" s="1">
        <f t="shared" si="247"/>
        <v>5142.2099999999991</v>
      </c>
      <c r="K1583" s="9" t="e">
        <f t="shared" si="246"/>
        <v>#DIV/0!</v>
      </c>
    </row>
    <row r="1584" spans="1:11" x14ac:dyDescent="0.35">
      <c r="A1584" s="2" t="s">
        <v>187</v>
      </c>
      <c r="B1584" t="s">
        <v>193</v>
      </c>
      <c r="C1584" s="21" t="s">
        <v>275</v>
      </c>
      <c r="D1584" s="4">
        <v>15</v>
      </c>
      <c r="E1584" s="4"/>
      <c r="G1584" s="1"/>
      <c r="H1584" s="1"/>
      <c r="I1584" s="1">
        <f t="shared" si="243"/>
        <v>0</v>
      </c>
      <c r="J1584" s="1">
        <f t="shared" si="247"/>
        <v>5142.2099999999991</v>
      </c>
      <c r="K1584" s="9" t="e">
        <f t="shared" si="246"/>
        <v>#DIV/0!</v>
      </c>
    </row>
    <row r="1585" spans="1:11" ht="15" thickBot="1" x14ac:dyDescent="0.4">
      <c r="A1585" s="12" t="s">
        <v>187</v>
      </c>
      <c r="B1585" s="13" t="s">
        <v>193</v>
      </c>
      <c r="C1585" s="21" t="s">
        <v>275</v>
      </c>
      <c r="D1585" s="14">
        <v>16</v>
      </c>
      <c r="E1585" s="14"/>
      <c r="F1585" s="13"/>
      <c r="G1585" s="15"/>
      <c r="H1585" s="15"/>
      <c r="I1585" s="15">
        <f t="shared" si="243"/>
        <v>0</v>
      </c>
      <c r="J1585" s="15">
        <f t="shared" si="247"/>
        <v>5142.2099999999991</v>
      </c>
      <c r="K1585" s="13"/>
    </row>
    <row r="1586" spans="1:11" x14ac:dyDescent="0.35">
      <c r="A1586" s="2" t="s">
        <v>188</v>
      </c>
      <c r="B1586" t="s">
        <v>194</v>
      </c>
      <c r="C1586" s="21" t="s">
        <v>275</v>
      </c>
      <c r="D1586" s="4">
        <v>1</v>
      </c>
      <c r="E1586" s="4"/>
      <c r="F1586" s="3">
        <v>45930</v>
      </c>
      <c r="G1586" s="1">
        <v>10048</v>
      </c>
      <c r="H1586" s="1">
        <v>9501</v>
      </c>
      <c r="I1586" s="1">
        <f t="shared" si="243"/>
        <v>547</v>
      </c>
      <c r="J1586" s="1">
        <f>I1586</f>
        <v>547</v>
      </c>
      <c r="K1586" s="9">
        <f t="shared" ref="K1586:K1596" si="248">I1586/H1586</f>
        <v>5.7572887064519525E-2</v>
      </c>
    </row>
    <row r="1587" spans="1:11" x14ac:dyDescent="0.35">
      <c r="A1587" s="2" t="s">
        <v>188</v>
      </c>
      <c r="B1587" t="s">
        <v>194</v>
      </c>
      <c r="C1587" s="21" t="s">
        <v>275</v>
      </c>
      <c r="D1587" s="4">
        <v>2</v>
      </c>
      <c r="E1587" s="4"/>
      <c r="F1587" s="3">
        <v>45937</v>
      </c>
      <c r="G1587" s="1">
        <v>10033</v>
      </c>
      <c r="H1587" s="1">
        <v>9501</v>
      </c>
      <c r="I1587" s="1">
        <f t="shared" si="243"/>
        <v>532</v>
      </c>
      <c r="J1587" s="1">
        <f>J1586+I1587</f>
        <v>1079</v>
      </c>
      <c r="K1587" s="9">
        <f t="shared" si="248"/>
        <v>5.5994105883591203E-2</v>
      </c>
    </row>
    <row r="1588" spans="1:11" x14ac:dyDescent="0.35">
      <c r="A1588" s="2" t="s">
        <v>188</v>
      </c>
      <c r="B1588" t="s">
        <v>194</v>
      </c>
      <c r="C1588" s="21" t="s">
        <v>275</v>
      </c>
      <c r="D1588" s="4">
        <v>3</v>
      </c>
      <c r="E1588" s="4"/>
      <c r="F1588" s="3">
        <v>45944</v>
      </c>
      <c r="G1588" s="1">
        <v>9985</v>
      </c>
      <c r="H1588" s="1">
        <v>9508</v>
      </c>
      <c r="I1588" s="1">
        <f t="shared" si="243"/>
        <v>477</v>
      </c>
      <c r="J1588" s="1">
        <f t="shared" ref="J1588:J1601" si="249">J1587+I1588</f>
        <v>1556</v>
      </c>
      <c r="K1588" s="9">
        <f t="shared" si="248"/>
        <v>5.0168279343710556E-2</v>
      </c>
    </row>
    <row r="1589" spans="1:11" x14ac:dyDescent="0.35">
      <c r="A1589" s="2" t="s">
        <v>188</v>
      </c>
      <c r="B1589" t="s">
        <v>194</v>
      </c>
      <c r="C1589" s="21" t="s">
        <v>275</v>
      </c>
      <c r="D1589" s="4">
        <v>4</v>
      </c>
      <c r="E1589" s="4"/>
      <c r="F1589" s="3">
        <v>45951</v>
      </c>
      <c r="G1589" s="1">
        <v>9988</v>
      </c>
      <c r="H1589" s="1">
        <v>9508</v>
      </c>
      <c r="I1589" s="1">
        <f t="shared" si="243"/>
        <v>480</v>
      </c>
      <c r="J1589" s="1">
        <f t="shared" si="249"/>
        <v>2036</v>
      </c>
      <c r="K1589" s="9">
        <f t="shared" si="248"/>
        <v>5.0483803113167858E-2</v>
      </c>
    </row>
    <row r="1590" spans="1:11" x14ac:dyDescent="0.35">
      <c r="A1590" s="2" t="s">
        <v>188</v>
      </c>
      <c r="B1590" t="s">
        <v>194</v>
      </c>
      <c r="C1590" s="21" t="s">
        <v>275</v>
      </c>
      <c r="D1590" s="4">
        <v>5</v>
      </c>
      <c r="E1590" s="4"/>
      <c r="F1590" s="3">
        <v>45958</v>
      </c>
      <c r="G1590" s="1">
        <v>9983</v>
      </c>
      <c r="H1590" s="1">
        <v>9508</v>
      </c>
      <c r="I1590" s="1">
        <f t="shared" si="243"/>
        <v>475</v>
      </c>
      <c r="J1590" s="1">
        <f t="shared" si="249"/>
        <v>2511</v>
      </c>
      <c r="K1590" s="9">
        <f t="shared" si="248"/>
        <v>4.9957930164072357E-2</v>
      </c>
    </row>
    <row r="1591" spans="1:11" x14ac:dyDescent="0.35">
      <c r="A1591" s="2" t="s">
        <v>188</v>
      </c>
      <c r="B1591" t="s">
        <v>194</v>
      </c>
      <c r="C1591" s="21" t="s">
        <v>275</v>
      </c>
      <c r="D1591" s="4">
        <v>6</v>
      </c>
      <c r="E1591" s="4"/>
      <c r="F1591" s="3">
        <v>45965</v>
      </c>
      <c r="G1591" s="1">
        <v>9983</v>
      </c>
      <c r="H1591" s="1">
        <v>9508</v>
      </c>
      <c r="I1591" s="1">
        <f t="shared" si="243"/>
        <v>475</v>
      </c>
      <c r="J1591" s="1">
        <f t="shared" si="249"/>
        <v>2986</v>
      </c>
      <c r="K1591" s="9">
        <f t="shared" si="248"/>
        <v>4.9957930164072357E-2</v>
      </c>
    </row>
    <row r="1592" spans="1:11" x14ac:dyDescent="0.35">
      <c r="A1592" s="2" t="s">
        <v>188</v>
      </c>
      <c r="B1592" t="s">
        <v>194</v>
      </c>
      <c r="C1592" s="21" t="s">
        <v>275</v>
      </c>
      <c r="D1592" s="4">
        <v>7</v>
      </c>
      <c r="E1592" s="4"/>
      <c r="G1592" s="1"/>
      <c r="H1592" s="1"/>
      <c r="I1592" s="1">
        <f t="shared" si="243"/>
        <v>0</v>
      </c>
      <c r="J1592" s="1">
        <f t="shared" si="249"/>
        <v>2986</v>
      </c>
      <c r="K1592" s="9" t="e">
        <f t="shared" si="248"/>
        <v>#DIV/0!</v>
      </c>
    </row>
    <row r="1593" spans="1:11" x14ac:dyDescent="0.35">
      <c r="A1593" s="2" t="s">
        <v>188</v>
      </c>
      <c r="B1593" t="s">
        <v>194</v>
      </c>
      <c r="C1593" s="21" t="s">
        <v>275</v>
      </c>
      <c r="D1593" s="4">
        <v>8</v>
      </c>
      <c r="E1593" s="4"/>
      <c r="G1593" s="1"/>
      <c r="H1593" s="1"/>
      <c r="I1593" s="1">
        <f t="shared" si="243"/>
        <v>0</v>
      </c>
      <c r="J1593" s="1">
        <f t="shared" si="249"/>
        <v>2986</v>
      </c>
      <c r="K1593" s="9" t="e">
        <f t="shared" si="248"/>
        <v>#DIV/0!</v>
      </c>
    </row>
    <row r="1594" spans="1:11" x14ac:dyDescent="0.35">
      <c r="A1594" s="2" t="s">
        <v>188</v>
      </c>
      <c r="B1594" t="s">
        <v>194</v>
      </c>
      <c r="C1594" s="21" t="s">
        <v>275</v>
      </c>
      <c r="D1594" s="4">
        <v>9</v>
      </c>
      <c r="E1594" s="4"/>
      <c r="G1594" s="1"/>
      <c r="H1594" s="1"/>
      <c r="I1594" s="1">
        <f t="shared" si="243"/>
        <v>0</v>
      </c>
      <c r="J1594" s="1">
        <f t="shared" si="249"/>
        <v>2986</v>
      </c>
      <c r="K1594" s="9" t="e">
        <f t="shared" si="248"/>
        <v>#DIV/0!</v>
      </c>
    </row>
    <row r="1595" spans="1:11" x14ac:dyDescent="0.35">
      <c r="A1595" s="2" t="s">
        <v>188</v>
      </c>
      <c r="B1595" t="s">
        <v>194</v>
      </c>
      <c r="C1595" s="21" t="s">
        <v>275</v>
      </c>
      <c r="D1595" s="4">
        <v>10</v>
      </c>
      <c r="E1595" s="4"/>
      <c r="G1595" s="1"/>
      <c r="H1595" s="1"/>
      <c r="I1595" s="1">
        <f t="shared" si="243"/>
        <v>0</v>
      </c>
      <c r="J1595" s="1">
        <f t="shared" si="249"/>
        <v>2986</v>
      </c>
      <c r="K1595" s="9" t="e">
        <f t="shared" si="248"/>
        <v>#DIV/0!</v>
      </c>
    </row>
    <row r="1596" spans="1:11" x14ac:dyDescent="0.35">
      <c r="A1596" s="2" t="s">
        <v>188</v>
      </c>
      <c r="B1596" t="s">
        <v>194</v>
      </c>
      <c r="C1596" s="21" t="s">
        <v>275</v>
      </c>
      <c r="D1596" s="4">
        <v>11</v>
      </c>
      <c r="E1596" s="4"/>
      <c r="G1596" s="1"/>
      <c r="H1596" s="1"/>
      <c r="I1596" s="1">
        <f t="shared" si="243"/>
        <v>0</v>
      </c>
      <c r="J1596" s="1">
        <f t="shared" si="249"/>
        <v>2986</v>
      </c>
      <c r="K1596" s="9" t="e">
        <f t="shared" si="248"/>
        <v>#DIV/0!</v>
      </c>
    </row>
    <row r="1597" spans="1:11" x14ac:dyDescent="0.35">
      <c r="A1597" s="2" t="s">
        <v>188</v>
      </c>
      <c r="B1597" t="s">
        <v>194</v>
      </c>
      <c r="C1597" s="21" t="s">
        <v>275</v>
      </c>
      <c r="D1597" s="4">
        <v>12</v>
      </c>
      <c r="E1597" s="4"/>
      <c r="G1597" s="1"/>
      <c r="H1597" s="1"/>
      <c r="I1597" s="1">
        <f t="shared" si="243"/>
        <v>0</v>
      </c>
      <c r="J1597" s="1">
        <f t="shared" si="249"/>
        <v>2986</v>
      </c>
    </row>
    <row r="1598" spans="1:11" x14ac:dyDescent="0.35">
      <c r="A1598" s="2" t="s">
        <v>188</v>
      </c>
      <c r="B1598" t="s">
        <v>194</v>
      </c>
      <c r="C1598" s="21" t="s">
        <v>275</v>
      </c>
      <c r="D1598" s="4">
        <v>13</v>
      </c>
      <c r="E1598" s="4"/>
      <c r="G1598" s="1"/>
      <c r="H1598" s="1"/>
      <c r="I1598" s="1">
        <f t="shared" si="243"/>
        <v>0</v>
      </c>
      <c r="J1598" s="1">
        <f t="shared" si="249"/>
        <v>2986</v>
      </c>
    </row>
    <row r="1599" spans="1:11" x14ac:dyDescent="0.35">
      <c r="A1599" s="2" t="s">
        <v>188</v>
      </c>
      <c r="B1599" t="s">
        <v>194</v>
      </c>
      <c r="C1599" s="21" t="s">
        <v>275</v>
      </c>
      <c r="D1599" s="4">
        <v>14</v>
      </c>
      <c r="E1599" s="4"/>
      <c r="G1599" s="1"/>
      <c r="H1599" s="1"/>
      <c r="I1599" s="1">
        <f t="shared" si="243"/>
        <v>0</v>
      </c>
      <c r="J1599" s="1">
        <f t="shared" si="249"/>
        <v>2986</v>
      </c>
    </row>
    <row r="1600" spans="1:11" x14ac:dyDescent="0.35">
      <c r="A1600" s="2" t="s">
        <v>188</v>
      </c>
      <c r="B1600" t="s">
        <v>194</v>
      </c>
      <c r="C1600" s="21" t="s">
        <v>275</v>
      </c>
      <c r="D1600" s="4">
        <v>15</v>
      </c>
      <c r="E1600" s="4"/>
      <c r="G1600" s="1"/>
      <c r="H1600" s="1"/>
      <c r="I1600" s="1">
        <f t="shared" si="243"/>
        <v>0</v>
      </c>
      <c r="J1600" s="1">
        <f t="shared" si="249"/>
        <v>2986</v>
      </c>
    </row>
    <row r="1601" spans="1:11" ht="15" thickBot="1" x14ac:dyDescent="0.4">
      <c r="A1601" s="12" t="s">
        <v>188</v>
      </c>
      <c r="B1601" s="13" t="s">
        <v>194</v>
      </c>
      <c r="C1601" s="21" t="s">
        <v>275</v>
      </c>
      <c r="D1601" s="14">
        <v>16</v>
      </c>
      <c r="E1601" s="14"/>
      <c r="F1601" s="13"/>
      <c r="G1601" s="15"/>
      <c r="H1601" s="15"/>
      <c r="I1601" s="15">
        <f t="shared" si="243"/>
        <v>0</v>
      </c>
      <c r="J1601" s="15">
        <f t="shared" si="249"/>
        <v>2986</v>
      </c>
      <c r="K1601" s="13"/>
    </row>
    <row r="1602" spans="1:11" x14ac:dyDescent="0.35">
      <c r="A1602" s="2" t="s">
        <v>189</v>
      </c>
      <c r="B1602" t="s">
        <v>195</v>
      </c>
      <c r="C1602" s="21" t="s">
        <v>275</v>
      </c>
      <c r="D1602" s="4">
        <v>1</v>
      </c>
      <c r="E1602" s="4"/>
      <c r="F1602" s="3">
        <v>45931</v>
      </c>
      <c r="G1602" s="1">
        <v>5518</v>
      </c>
      <c r="H1602" s="1">
        <v>5016</v>
      </c>
      <c r="I1602" s="1">
        <f t="shared" si="243"/>
        <v>502</v>
      </c>
      <c r="J1602" s="1">
        <f>I1602</f>
        <v>502</v>
      </c>
      <c r="K1602" s="9">
        <f t="shared" ref="K1602:K1612" si="250">I1602/H1602</f>
        <v>0.10007974481658692</v>
      </c>
    </row>
    <row r="1603" spans="1:11" x14ac:dyDescent="0.35">
      <c r="A1603" s="2" t="s">
        <v>189</v>
      </c>
      <c r="B1603" t="s">
        <v>195</v>
      </c>
      <c r="C1603" s="21" t="s">
        <v>275</v>
      </c>
      <c r="D1603" s="4">
        <v>2</v>
      </c>
      <c r="E1603" s="4"/>
      <c r="F1603" s="3">
        <v>45938</v>
      </c>
      <c r="G1603" s="1">
        <v>5618</v>
      </c>
      <c r="H1603" s="1">
        <v>5016</v>
      </c>
      <c r="I1603" s="1">
        <f t="shared" si="243"/>
        <v>602</v>
      </c>
      <c r="J1603" s="1">
        <f>J1602+I1603</f>
        <v>1104</v>
      </c>
      <c r="K1603" s="9">
        <f t="shared" si="250"/>
        <v>0.12001594896331738</v>
      </c>
    </row>
    <row r="1604" spans="1:11" x14ac:dyDescent="0.35">
      <c r="A1604" s="2" t="s">
        <v>189</v>
      </c>
      <c r="B1604" t="s">
        <v>195</v>
      </c>
      <c r="C1604" s="21" t="s">
        <v>275</v>
      </c>
      <c r="D1604" s="4">
        <v>3</v>
      </c>
      <c r="E1604" s="4"/>
      <c r="F1604" s="3">
        <v>45945</v>
      </c>
      <c r="G1604" s="1">
        <v>5518</v>
      </c>
      <c r="H1604" s="1">
        <v>5016</v>
      </c>
      <c r="I1604" s="1">
        <f t="shared" si="243"/>
        <v>502</v>
      </c>
      <c r="J1604" s="1">
        <f t="shared" ref="J1604:J1617" si="251">J1603+I1604</f>
        <v>1606</v>
      </c>
      <c r="K1604" s="9">
        <f t="shared" si="250"/>
        <v>0.10007974481658692</v>
      </c>
    </row>
    <row r="1605" spans="1:11" x14ac:dyDescent="0.35">
      <c r="A1605" s="2" t="s">
        <v>189</v>
      </c>
      <c r="B1605" t="s">
        <v>195</v>
      </c>
      <c r="C1605" s="21" t="s">
        <v>275</v>
      </c>
      <c r="D1605" s="4">
        <v>4</v>
      </c>
      <c r="E1605" s="4"/>
      <c r="F1605" s="3">
        <v>45952</v>
      </c>
      <c r="G1605" s="1">
        <v>5518</v>
      </c>
      <c r="H1605" s="1">
        <v>5016</v>
      </c>
      <c r="I1605" s="1">
        <f t="shared" si="243"/>
        <v>502</v>
      </c>
      <c r="J1605" s="1">
        <f t="shared" si="251"/>
        <v>2108</v>
      </c>
      <c r="K1605" s="9">
        <f t="shared" si="250"/>
        <v>0.10007974481658692</v>
      </c>
    </row>
    <row r="1606" spans="1:11" x14ac:dyDescent="0.35">
      <c r="A1606" s="2" t="s">
        <v>189</v>
      </c>
      <c r="B1606" t="s">
        <v>195</v>
      </c>
      <c r="C1606" s="21" t="s">
        <v>275</v>
      </c>
      <c r="D1606" s="4">
        <v>5</v>
      </c>
      <c r="E1606" s="4"/>
      <c r="F1606" s="3">
        <v>45959</v>
      </c>
      <c r="G1606" s="1">
        <v>5538</v>
      </c>
      <c r="H1606" s="1">
        <v>5016</v>
      </c>
      <c r="I1606" s="1">
        <f t="shared" ref="I1606:I1746" si="252">G1606-H1606</f>
        <v>522</v>
      </c>
      <c r="J1606" s="1">
        <f t="shared" si="251"/>
        <v>2630</v>
      </c>
      <c r="K1606" s="9">
        <f t="shared" si="250"/>
        <v>0.10406698564593302</v>
      </c>
    </row>
    <row r="1607" spans="1:11" x14ac:dyDescent="0.35">
      <c r="A1607" s="2" t="s">
        <v>189</v>
      </c>
      <c r="B1607" t="s">
        <v>195</v>
      </c>
      <c r="C1607" s="21" t="s">
        <v>275</v>
      </c>
      <c r="D1607" s="4">
        <v>6</v>
      </c>
      <c r="E1607" s="4"/>
      <c r="F1607" s="3">
        <v>45966</v>
      </c>
      <c r="G1607" s="1">
        <v>5518</v>
      </c>
      <c r="H1607" s="1">
        <v>5016</v>
      </c>
      <c r="I1607" s="1">
        <f t="shared" si="252"/>
        <v>502</v>
      </c>
      <c r="J1607" s="1">
        <f t="shared" si="251"/>
        <v>3132</v>
      </c>
      <c r="K1607" s="9">
        <f t="shared" si="250"/>
        <v>0.10007974481658692</v>
      </c>
    </row>
    <row r="1608" spans="1:11" x14ac:dyDescent="0.35">
      <c r="A1608" s="2" t="s">
        <v>189</v>
      </c>
      <c r="B1608" t="s">
        <v>195</v>
      </c>
      <c r="C1608" s="21" t="s">
        <v>275</v>
      </c>
      <c r="D1608" s="4">
        <v>7</v>
      </c>
      <c r="E1608" s="4"/>
      <c r="G1608" s="1"/>
      <c r="H1608" s="1"/>
      <c r="I1608" s="1">
        <f t="shared" si="252"/>
        <v>0</v>
      </c>
      <c r="J1608" s="1">
        <f t="shared" si="251"/>
        <v>3132</v>
      </c>
      <c r="K1608" s="9" t="e">
        <f t="shared" si="250"/>
        <v>#DIV/0!</v>
      </c>
    </row>
    <row r="1609" spans="1:11" x14ac:dyDescent="0.35">
      <c r="A1609" s="2" t="s">
        <v>189</v>
      </c>
      <c r="B1609" t="s">
        <v>195</v>
      </c>
      <c r="C1609" s="21" t="s">
        <v>275</v>
      </c>
      <c r="D1609" s="4">
        <v>8</v>
      </c>
      <c r="E1609" s="4"/>
      <c r="G1609" s="1"/>
      <c r="H1609" s="1"/>
      <c r="I1609" s="1">
        <f t="shared" si="252"/>
        <v>0</v>
      </c>
      <c r="J1609" s="1">
        <f t="shared" si="251"/>
        <v>3132</v>
      </c>
      <c r="K1609" s="9" t="e">
        <f t="shared" si="250"/>
        <v>#DIV/0!</v>
      </c>
    </row>
    <row r="1610" spans="1:11" x14ac:dyDescent="0.35">
      <c r="A1610" s="2" t="s">
        <v>189</v>
      </c>
      <c r="B1610" t="s">
        <v>195</v>
      </c>
      <c r="C1610" s="21" t="s">
        <v>275</v>
      </c>
      <c r="D1610" s="4">
        <v>9</v>
      </c>
      <c r="E1610" s="4"/>
      <c r="G1610" s="1"/>
      <c r="H1610" s="1"/>
      <c r="I1610" s="1">
        <f t="shared" si="252"/>
        <v>0</v>
      </c>
      <c r="J1610" s="1">
        <f t="shared" si="251"/>
        <v>3132</v>
      </c>
      <c r="K1610" s="9" t="e">
        <f t="shared" si="250"/>
        <v>#DIV/0!</v>
      </c>
    </row>
    <row r="1611" spans="1:11" x14ac:dyDescent="0.35">
      <c r="A1611" s="2" t="s">
        <v>189</v>
      </c>
      <c r="B1611" t="s">
        <v>195</v>
      </c>
      <c r="C1611" s="21" t="s">
        <v>275</v>
      </c>
      <c r="D1611" s="4">
        <v>10</v>
      </c>
      <c r="E1611" s="4"/>
      <c r="G1611" s="1"/>
      <c r="H1611" s="1"/>
      <c r="I1611" s="1">
        <f t="shared" si="252"/>
        <v>0</v>
      </c>
      <c r="J1611" s="1">
        <f t="shared" si="251"/>
        <v>3132</v>
      </c>
      <c r="K1611" s="9" t="e">
        <f t="shared" si="250"/>
        <v>#DIV/0!</v>
      </c>
    </row>
    <row r="1612" spans="1:11" x14ac:dyDescent="0.35">
      <c r="A1612" s="2" t="s">
        <v>189</v>
      </c>
      <c r="B1612" t="s">
        <v>195</v>
      </c>
      <c r="C1612" s="21" t="s">
        <v>275</v>
      </c>
      <c r="D1612" s="4">
        <v>11</v>
      </c>
      <c r="E1612" s="4"/>
      <c r="G1612" s="1"/>
      <c r="H1612" s="1"/>
      <c r="I1612" s="1">
        <f t="shared" si="252"/>
        <v>0</v>
      </c>
      <c r="J1612" s="1">
        <f t="shared" si="251"/>
        <v>3132</v>
      </c>
      <c r="K1612" s="9" t="e">
        <f t="shared" si="250"/>
        <v>#DIV/0!</v>
      </c>
    </row>
    <row r="1613" spans="1:11" x14ac:dyDescent="0.35">
      <c r="A1613" s="2" t="s">
        <v>189</v>
      </c>
      <c r="B1613" t="s">
        <v>195</v>
      </c>
      <c r="C1613" s="21" t="s">
        <v>275</v>
      </c>
      <c r="D1613" s="4">
        <v>12</v>
      </c>
      <c r="E1613" s="4"/>
      <c r="G1613" s="1"/>
      <c r="H1613" s="1"/>
      <c r="I1613" s="1">
        <f t="shared" si="252"/>
        <v>0</v>
      </c>
      <c r="J1613" s="1">
        <f t="shared" si="251"/>
        <v>3132</v>
      </c>
    </row>
    <row r="1614" spans="1:11" x14ac:dyDescent="0.35">
      <c r="A1614" s="2" t="s">
        <v>189</v>
      </c>
      <c r="B1614" t="s">
        <v>195</v>
      </c>
      <c r="C1614" s="21" t="s">
        <v>275</v>
      </c>
      <c r="D1614" s="4">
        <v>13</v>
      </c>
      <c r="E1614" s="4"/>
      <c r="G1614" s="1"/>
      <c r="H1614" s="1"/>
      <c r="I1614" s="1">
        <f t="shared" si="252"/>
        <v>0</v>
      </c>
      <c r="J1614" s="1">
        <f t="shared" si="251"/>
        <v>3132</v>
      </c>
    </row>
    <row r="1615" spans="1:11" x14ac:dyDescent="0.35">
      <c r="A1615" s="2" t="s">
        <v>189</v>
      </c>
      <c r="B1615" t="s">
        <v>195</v>
      </c>
      <c r="C1615" s="21" t="s">
        <v>275</v>
      </c>
      <c r="D1615" s="4">
        <v>14</v>
      </c>
      <c r="E1615" s="4"/>
      <c r="G1615" s="1"/>
      <c r="H1615" s="1"/>
      <c r="I1615" s="1">
        <f t="shared" si="252"/>
        <v>0</v>
      </c>
      <c r="J1615" s="1">
        <f t="shared" si="251"/>
        <v>3132</v>
      </c>
    </row>
    <row r="1616" spans="1:11" x14ac:dyDescent="0.35">
      <c r="A1616" s="2" t="s">
        <v>189</v>
      </c>
      <c r="B1616" t="s">
        <v>195</v>
      </c>
      <c r="C1616" s="21" t="s">
        <v>275</v>
      </c>
      <c r="D1616" s="4">
        <v>15</v>
      </c>
      <c r="E1616" s="4"/>
      <c r="G1616" s="1"/>
      <c r="H1616" s="1"/>
      <c r="I1616" s="1">
        <f t="shared" si="252"/>
        <v>0</v>
      </c>
      <c r="J1616" s="1">
        <f t="shared" si="251"/>
        <v>3132</v>
      </c>
    </row>
    <row r="1617" spans="1:11" ht="15" thickBot="1" x14ac:dyDescent="0.4">
      <c r="A1617" s="12" t="s">
        <v>189</v>
      </c>
      <c r="B1617" s="13" t="s">
        <v>195</v>
      </c>
      <c r="C1617" s="21" t="s">
        <v>275</v>
      </c>
      <c r="D1617" s="14">
        <v>16</v>
      </c>
      <c r="E1617" s="14"/>
      <c r="F1617" s="13"/>
      <c r="G1617" s="15"/>
      <c r="H1617" s="15"/>
      <c r="I1617" s="15">
        <f t="shared" si="252"/>
        <v>0</v>
      </c>
      <c r="J1617" s="15">
        <f t="shared" si="251"/>
        <v>3132</v>
      </c>
      <c r="K1617" s="13"/>
    </row>
    <row r="1618" spans="1:11" x14ac:dyDescent="0.35">
      <c r="A1618" s="2" t="s">
        <v>190</v>
      </c>
      <c r="B1618" t="s">
        <v>196</v>
      </c>
      <c r="C1618" s="21" t="s">
        <v>275</v>
      </c>
      <c r="D1618" s="4">
        <v>1</v>
      </c>
      <c r="E1618" s="4"/>
      <c r="F1618" s="3">
        <v>45932</v>
      </c>
      <c r="G1618" s="1">
        <v>3455</v>
      </c>
      <c r="H1618" s="1">
        <v>3268</v>
      </c>
      <c r="I1618" s="1">
        <f t="shared" si="252"/>
        <v>187</v>
      </c>
      <c r="J1618" s="1">
        <f>I1618</f>
        <v>187</v>
      </c>
      <c r="K1618" s="9">
        <f t="shared" ref="K1618:K1632" si="253">I1618/H1618</f>
        <v>5.7221542227662181E-2</v>
      </c>
    </row>
    <row r="1619" spans="1:11" x14ac:dyDescent="0.35">
      <c r="A1619" s="2" t="s">
        <v>190</v>
      </c>
      <c r="B1619" t="s">
        <v>196</v>
      </c>
      <c r="C1619" s="21" t="s">
        <v>275</v>
      </c>
      <c r="D1619" s="4">
        <v>2</v>
      </c>
      <c r="E1619" s="4"/>
      <c r="F1619" s="3">
        <v>45939</v>
      </c>
      <c r="G1619" s="1">
        <v>3448</v>
      </c>
      <c r="H1619" s="1">
        <v>3268</v>
      </c>
      <c r="I1619" s="1">
        <f t="shared" si="252"/>
        <v>180</v>
      </c>
      <c r="J1619" s="1">
        <f>J1618+I1619</f>
        <v>367</v>
      </c>
      <c r="K1619" s="9">
        <f t="shared" si="253"/>
        <v>5.5079559363525092E-2</v>
      </c>
    </row>
    <row r="1620" spans="1:11" x14ac:dyDescent="0.35">
      <c r="A1620" s="2" t="s">
        <v>190</v>
      </c>
      <c r="B1620" t="s">
        <v>196</v>
      </c>
      <c r="C1620" s="21" t="s">
        <v>275</v>
      </c>
      <c r="D1620" s="4">
        <v>3</v>
      </c>
      <c r="E1620" s="4"/>
      <c r="F1620" s="3">
        <v>45946</v>
      </c>
      <c r="G1620" s="1">
        <v>3450</v>
      </c>
      <c r="H1620" s="1">
        <v>3268</v>
      </c>
      <c r="I1620" s="1">
        <f t="shared" si="252"/>
        <v>182</v>
      </c>
      <c r="J1620" s="1">
        <f t="shared" ref="J1620:J1633" si="254">J1619+I1620</f>
        <v>549</v>
      </c>
      <c r="K1620" s="9">
        <f t="shared" si="253"/>
        <v>5.5691554467564262E-2</v>
      </c>
    </row>
    <row r="1621" spans="1:11" x14ac:dyDescent="0.35">
      <c r="A1621" s="2" t="s">
        <v>190</v>
      </c>
      <c r="B1621" t="s">
        <v>196</v>
      </c>
      <c r="C1621" s="21" t="s">
        <v>275</v>
      </c>
      <c r="D1621" s="4">
        <v>4</v>
      </c>
      <c r="E1621" s="4"/>
      <c r="F1621" s="3">
        <v>45953</v>
      </c>
      <c r="G1621" s="1">
        <v>3450</v>
      </c>
      <c r="H1621" s="1">
        <v>3268</v>
      </c>
      <c r="I1621" s="1">
        <f t="shared" si="252"/>
        <v>182</v>
      </c>
      <c r="J1621" s="1">
        <f t="shared" si="254"/>
        <v>731</v>
      </c>
      <c r="K1621" s="9">
        <f t="shared" si="253"/>
        <v>5.5691554467564262E-2</v>
      </c>
    </row>
    <row r="1622" spans="1:11" x14ac:dyDescent="0.35">
      <c r="A1622" s="2" t="s">
        <v>190</v>
      </c>
      <c r="B1622" t="s">
        <v>196</v>
      </c>
      <c r="C1622" s="21" t="s">
        <v>275</v>
      </c>
      <c r="D1622" s="4">
        <v>5</v>
      </c>
      <c r="E1622" s="4"/>
      <c r="F1622" s="3">
        <v>45960</v>
      </c>
      <c r="G1622" s="1">
        <v>3440</v>
      </c>
      <c r="H1622" s="1">
        <v>3269</v>
      </c>
      <c r="I1622" s="1">
        <f t="shared" si="252"/>
        <v>171</v>
      </c>
      <c r="J1622" s="1">
        <f t="shared" si="254"/>
        <v>902</v>
      </c>
      <c r="K1622" s="9">
        <f t="shared" si="253"/>
        <v>5.2309574793514835E-2</v>
      </c>
    </row>
    <row r="1623" spans="1:11" x14ac:dyDescent="0.35">
      <c r="A1623" s="2" t="s">
        <v>190</v>
      </c>
      <c r="B1623" t="s">
        <v>196</v>
      </c>
      <c r="C1623" s="21" t="s">
        <v>275</v>
      </c>
      <c r="D1623" s="4">
        <v>6</v>
      </c>
      <c r="E1623" s="4"/>
      <c r="F1623" s="3">
        <v>45967</v>
      </c>
      <c r="G1623" s="1">
        <v>3455</v>
      </c>
      <c r="H1623" s="1">
        <v>3268</v>
      </c>
      <c r="I1623" s="1">
        <f t="shared" si="252"/>
        <v>187</v>
      </c>
      <c r="J1623" s="1">
        <f t="shared" si="254"/>
        <v>1089</v>
      </c>
      <c r="K1623" s="9">
        <f t="shared" si="253"/>
        <v>5.7221542227662181E-2</v>
      </c>
    </row>
    <row r="1624" spans="1:11" x14ac:dyDescent="0.35">
      <c r="A1624" s="2" t="s">
        <v>190</v>
      </c>
      <c r="B1624" t="s">
        <v>196</v>
      </c>
      <c r="C1624" s="21" t="s">
        <v>275</v>
      </c>
      <c r="D1624" s="4">
        <v>7</v>
      </c>
      <c r="E1624" s="4"/>
      <c r="G1624" s="1"/>
      <c r="H1624" s="1"/>
      <c r="I1624" s="1">
        <f t="shared" si="252"/>
        <v>0</v>
      </c>
      <c r="J1624" s="1">
        <f t="shared" si="254"/>
        <v>1089</v>
      </c>
      <c r="K1624" s="9" t="e">
        <f t="shared" si="253"/>
        <v>#DIV/0!</v>
      </c>
    </row>
    <row r="1625" spans="1:11" x14ac:dyDescent="0.35">
      <c r="A1625" s="2" t="s">
        <v>190</v>
      </c>
      <c r="B1625" t="s">
        <v>196</v>
      </c>
      <c r="C1625" s="21" t="s">
        <v>275</v>
      </c>
      <c r="D1625" s="4">
        <v>8</v>
      </c>
      <c r="E1625" s="4"/>
      <c r="G1625" s="1"/>
      <c r="H1625" s="1"/>
      <c r="I1625" s="1">
        <f t="shared" si="252"/>
        <v>0</v>
      </c>
      <c r="J1625" s="1">
        <f t="shared" si="254"/>
        <v>1089</v>
      </c>
      <c r="K1625" s="9" t="e">
        <f t="shared" si="253"/>
        <v>#DIV/0!</v>
      </c>
    </row>
    <row r="1626" spans="1:11" x14ac:dyDescent="0.35">
      <c r="A1626" s="2" t="s">
        <v>190</v>
      </c>
      <c r="B1626" t="s">
        <v>196</v>
      </c>
      <c r="C1626" s="21" t="s">
        <v>275</v>
      </c>
      <c r="D1626" s="4">
        <v>9</v>
      </c>
      <c r="E1626" s="4"/>
      <c r="G1626" s="1"/>
      <c r="H1626" s="1"/>
      <c r="I1626" s="1">
        <f t="shared" si="252"/>
        <v>0</v>
      </c>
      <c r="J1626" s="1">
        <f t="shared" si="254"/>
        <v>1089</v>
      </c>
      <c r="K1626" s="9" t="e">
        <f t="shared" si="253"/>
        <v>#DIV/0!</v>
      </c>
    </row>
    <row r="1627" spans="1:11" x14ac:dyDescent="0.35">
      <c r="A1627" s="2" t="s">
        <v>190</v>
      </c>
      <c r="B1627" t="s">
        <v>196</v>
      </c>
      <c r="C1627" s="21" t="s">
        <v>275</v>
      </c>
      <c r="D1627" s="4">
        <v>10</v>
      </c>
      <c r="E1627" s="4"/>
      <c r="G1627" s="1"/>
      <c r="H1627" s="1"/>
      <c r="I1627" s="1">
        <f t="shared" si="252"/>
        <v>0</v>
      </c>
      <c r="J1627" s="1">
        <f t="shared" si="254"/>
        <v>1089</v>
      </c>
      <c r="K1627" s="9" t="e">
        <f t="shared" si="253"/>
        <v>#DIV/0!</v>
      </c>
    </row>
    <row r="1628" spans="1:11" x14ac:dyDescent="0.35">
      <c r="A1628" s="2" t="s">
        <v>190</v>
      </c>
      <c r="B1628" t="s">
        <v>196</v>
      </c>
      <c r="C1628" s="21" t="s">
        <v>275</v>
      </c>
      <c r="D1628" s="4">
        <v>11</v>
      </c>
      <c r="E1628" s="4"/>
      <c r="G1628" s="1"/>
      <c r="H1628" s="1"/>
      <c r="I1628" s="1">
        <f t="shared" si="252"/>
        <v>0</v>
      </c>
      <c r="J1628" s="1">
        <f t="shared" si="254"/>
        <v>1089</v>
      </c>
      <c r="K1628" s="9" t="e">
        <f t="shared" si="253"/>
        <v>#DIV/0!</v>
      </c>
    </row>
    <row r="1629" spans="1:11" x14ac:dyDescent="0.35">
      <c r="A1629" s="2" t="s">
        <v>190</v>
      </c>
      <c r="B1629" t="s">
        <v>196</v>
      </c>
      <c r="C1629" s="21" t="s">
        <v>275</v>
      </c>
      <c r="D1629" s="4">
        <v>12</v>
      </c>
      <c r="E1629" s="4"/>
      <c r="G1629" s="1"/>
      <c r="H1629" s="1"/>
      <c r="I1629" s="1">
        <f t="shared" si="252"/>
        <v>0</v>
      </c>
      <c r="J1629" s="1">
        <f t="shared" si="254"/>
        <v>1089</v>
      </c>
      <c r="K1629" s="9" t="e">
        <f t="shared" si="253"/>
        <v>#DIV/0!</v>
      </c>
    </row>
    <row r="1630" spans="1:11" x14ac:dyDescent="0.35">
      <c r="A1630" s="2" t="s">
        <v>190</v>
      </c>
      <c r="B1630" t="s">
        <v>196</v>
      </c>
      <c r="C1630" s="21" t="s">
        <v>275</v>
      </c>
      <c r="D1630" s="4">
        <v>13</v>
      </c>
      <c r="E1630" s="4"/>
      <c r="G1630" s="1"/>
      <c r="H1630" s="1"/>
      <c r="I1630" s="1">
        <f t="shared" si="252"/>
        <v>0</v>
      </c>
      <c r="J1630" s="1">
        <f t="shared" si="254"/>
        <v>1089</v>
      </c>
      <c r="K1630" s="9" t="e">
        <f t="shared" si="253"/>
        <v>#DIV/0!</v>
      </c>
    </row>
    <row r="1631" spans="1:11" x14ac:dyDescent="0.35">
      <c r="A1631" s="2" t="s">
        <v>190</v>
      </c>
      <c r="B1631" t="s">
        <v>196</v>
      </c>
      <c r="C1631" s="21" t="s">
        <v>275</v>
      </c>
      <c r="D1631" s="4">
        <v>14</v>
      </c>
      <c r="E1631" s="4"/>
      <c r="G1631" s="1"/>
      <c r="H1631" s="1"/>
      <c r="I1631" s="1">
        <f t="shared" si="252"/>
        <v>0</v>
      </c>
      <c r="J1631" s="1">
        <f t="shared" si="254"/>
        <v>1089</v>
      </c>
      <c r="K1631" s="9" t="e">
        <f t="shared" si="253"/>
        <v>#DIV/0!</v>
      </c>
    </row>
    <row r="1632" spans="1:11" x14ac:dyDescent="0.35">
      <c r="A1632" s="2" t="s">
        <v>190</v>
      </c>
      <c r="B1632" t="s">
        <v>196</v>
      </c>
      <c r="C1632" s="21" t="s">
        <v>275</v>
      </c>
      <c r="D1632" s="4">
        <v>15</v>
      </c>
      <c r="E1632" s="4"/>
      <c r="G1632" s="1"/>
      <c r="H1632" s="1"/>
      <c r="I1632" s="1">
        <f t="shared" si="252"/>
        <v>0</v>
      </c>
      <c r="J1632" s="1">
        <f t="shared" si="254"/>
        <v>1089</v>
      </c>
      <c r="K1632" s="9" t="e">
        <f t="shared" si="253"/>
        <v>#DIV/0!</v>
      </c>
    </row>
    <row r="1633" spans="1:11" ht="15" thickBot="1" x14ac:dyDescent="0.4">
      <c r="A1633" s="12" t="s">
        <v>190</v>
      </c>
      <c r="B1633" s="13" t="s">
        <v>196</v>
      </c>
      <c r="C1633" s="21" t="s">
        <v>275</v>
      </c>
      <c r="D1633" s="14">
        <v>16</v>
      </c>
      <c r="E1633" s="14"/>
      <c r="F1633" s="13"/>
      <c r="G1633" s="15"/>
      <c r="H1633" s="15"/>
      <c r="I1633" s="15">
        <f t="shared" si="252"/>
        <v>0</v>
      </c>
      <c r="J1633" s="15">
        <f t="shared" si="254"/>
        <v>1089</v>
      </c>
      <c r="K1633" s="13"/>
    </row>
    <row r="1634" spans="1:11" x14ac:dyDescent="0.35">
      <c r="A1634" s="2" t="s">
        <v>226</v>
      </c>
      <c r="B1634" t="s">
        <v>227</v>
      </c>
      <c r="C1634" s="21" t="s">
        <v>275</v>
      </c>
      <c r="D1634" s="4">
        <v>1</v>
      </c>
      <c r="E1634" s="4"/>
      <c r="F1634" s="3">
        <v>45936</v>
      </c>
      <c r="G1634" s="1">
        <v>4405</v>
      </c>
      <c r="H1634" s="1">
        <v>4181</v>
      </c>
      <c r="I1634" s="1">
        <f t="shared" si="252"/>
        <v>224</v>
      </c>
      <c r="J1634" s="1">
        <f>I1634</f>
        <v>224</v>
      </c>
      <c r="K1634" s="9">
        <f t="shared" ref="K1634:K1648" si="255">I1634/H1634</f>
        <v>5.357569959339871E-2</v>
      </c>
    </row>
    <row r="1635" spans="1:11" x14ac:dyDescent="0.35">
      <c r="A1635" s="2" t="s">
        <v>226</v>
      </c>
      <c r="B1635" t="s">
        <v>227</v>
      </c>
      <c r="C1635" s="21" t="s">
        <v>275</v>
      </c>
      <c r="D1635" s="4">
        <v>2</v>
      </c>
      <c r="E1635" s="4"/>
      <c r="F1635" s="3">
        <v>45943</v>
      </c>
      <c r="G1635" s="1">
        <v>4400</v>
      </c>
      <c r="H1635" s="1">
        <v>4180</v>
      </c>
      <c r="I1635" s="1">
        <f t="shared" si="252"/>
        <v>220</v>
      </c>
      <c r="J1635" s="1">
        <f>J1634+I1635</f>
        <v>444</v>
      </c>
      <c r="K1635" s="9">
        <f t="shared" si="255"/>
        <v>5.2631578947368418E-2</v>
      </c>
    </row>
    <row r="1636" spans="1:11" x14ac:dyDescent="0.35">
      <c r="A1636" s="2" t="s">
        <v>226</v>
      </c>
      <c r="B1636" t="s">
        <v>227</v>
      </c>
      <c r="C1636" s="21" t="s">
        <v>275</v>
      </c>
      <c r="D1636" s="4">
        <v>3</v>
      </c>
      <c r="E1636" s="4"/>
      <c r="F1636" s="3">
        <v>45950</v>
      </c>
      <c r="G1636" s="1">
        <v>4353</v>
      </c>
      <c r="H1636" s="1">
        <v>4180</v>
      </c>
      <c r="I1636" s="1">
        <f t="shared" si="252"/>
        <v>173</v>
      </c>
      <c r="J1636" s="1">
        <f t="shared" ref="J1636:J1649" si="256">J1635+I1636</f>
        <v>617</v>
      </c>
      <c r="K1636" s="9">
        <f t="shared" si="255"/>
        <v>4.1387559808612438E-2</v>
      </c>
    </row>
    <row r="1637" spans="1:11" x14ac:dyDescent="0.35">
      <c r="A1637" s="2" t="s">
        <v>226</v>
      </c>
      <c r="B1637" t="s">
        <v>227</v>
      </c>
      <c r="C1637" s="21" t="s">
        <v>275</v>
      </c>
      <c r="D1637" s="4">
        <v>4</v>
      </c>
      <c r="E1637" s="4"/>
      <c r="F1637" s="3">
        <v>45961</v>
      </c>
      <c r="G1637" s="1">
        <v>4360</v>
      </c>
      <c r="H1637" s="1">
        <v>4181</v>
      </c>
      <c r="I1637" s="1">
        <f t="shared" si="252"/>
        <v>179</v>
      </c>
      <c r="J1637" s="1">
        <f t="shared" si="256"/>
        <v>796</v>
      </c>
      <c r="K1637" s="9">
        <f t="shared" si="255"/>
        <v>4.2812724228653433E-2</v>
      </c>
    </row>
    <row r="1638" spans="1:11" x14ac:dyDescent="0.35">
      <c r="A1638" s="2" t="s">
        <v>226</v>
      </c>
      <c r="B1638" t="s">
        <v>227</v>
      </c>
      <c r="C1638" s="21" t="s">
        <v>275</v>
      </c>
      <c r="D1638" s="4">
        <v>5</v>
      </c>
      <c r="E1638" s="4"/>
      <c r="F1638" s="3">
        <v>45964</v>
      </c>
      <c r="G1638" s="1">
        <v>4250</v>
      </c>
      <c r="H1638" s="1">
        <v>4180</v>
      </c>
      <c r="I1638" s="1">
        <f t="shared" si="252"/>
        <v>70</v>
      </c>
      <c r="J1638" s="1">
        <f t="shared" si="256"/>
        <v>866</v>
      </c>
      <c r="K1638" s="9">
        <f t="shared" si="255"/>
        <v>1.6746411483253589E-2</v>
      </c>
    </row>
    <row r="1639" spans="1:11" x14ac:dyDescent="0.35">
      <c r="A1639" s="2" t="s">
        <v>226</v>
      </c>
      <c r="B1639" t="s">
        <v>227</v>
      </c>
      <c r="C1639" s="21" t="s">
        <v>275</v>
      </c>
      <c r="D1639" s="4">
        <v>6</v>
      </c>
      <c r="E1639" s="4"/>
      <c r="G1639" s="1"/>
      <c r="H1639" s="1"/>
      <c r="I1639" s="1">
        <f t="shared" si="252"/>
        <v>0</v>
      </c>
      <c r="J1639" s="1">
        <f t="shared" si="256"/>
        <v>866</v>
      </c>
      <c r="K1639" s="9" t="e">
        <f t="shared" si="255"/>
        <v>#DIV/0!</v>
      </c>
    </row>
    <row r="1640" spans="1:11" x14ac:dyDescent="0.35">
      <c r="A1640" s="2" t="s">
        <v>226</v>
      </c>
      <c r="B1640" t="s">
        <v>227</v>
      </c>
      <c r="C1640" s="21" t="s">
        <v>275</v>
      </c>
      <c r="D1640" s="4">
        <v>7</v>
      </c>
      <c r="E1640" s="4"/>
      <c r="G1640" s="1"/>
      <c r="H1640" s="1"/>
      <c r="I1640" s="1">
        <f t="shared" si="252"/>
        <v>0</v>
      </c>
      <c r="J1640" s="1">
        <f t="shared" si="256"/>
        <v>866</v>
      </c>
      <c r="K1640" s="9" t="e">
        <f t="shared" si="255"/>
        <v>#DIV/0!</v>
      </c>
    </row>
    <row r="1641" spans="1:11" x14ac:dyDescent="0.35">
      <c r="A1641" s="2" t="s">
        <v>226</v>
      </c>
      <c r="B1641" t="s">
        <v>227</v>
      </c>
      <c r="C1641" s="21" t="s">
        <v>275</v>
      </c>
      <c r="D1641" s="4">
        <v>8</v>
      </c>
      <c r="E1641" s="4"/>
      <c r="G1641" s="1"/>
      <c r="H1641" s="1"/>
      <c r="I1641" s="1">
        <f t="shared" si="252"/>
        <v>0</v>
      </c>
      <c r="J1641" s="1">
        <f t="shared" si="256"/>
        <v>866</v>
      </c>
      <c r="K1641" s="9" t="e">
        <f t="shared" si="255"/>
        <v>#DIV/0!</v>
      </c>
    </row>
    <row r="1642" spans="1:11" x14ac:dyDescent="0.35">
      <c r="A1642" s="2" t="s">
        <v>226</v>
      </c>
      <c r="B1642" t="s">
        <v>227</v>
      </c>
      <c r="C1642" s="21" t="s">
        <v>275</v>
      </c>
      <c r="D1642" s="4">
        <v>9</v>
      </c>
      <c r="E1642" s="4"/>
      <c r="G1642" s="1"/>
      <c r="H1642" s="1"/>
      <c r="I1642" s="1">
        <f t="shared" si="252"/>
        <v>0</v>
      </c>
      <c r="J1642" s="1">
        <f t="shared" si="256"/>
        <v>866</v>
      </c>
      <c r="K1642" s="9" t="e">
        <f t="shared" si="255"/>
        <v>#DIV/0!</v>
      </c>
    </row>
    <row r="1643" spans="1:11" x14ac:dyDescent="0.35">
      <c r="A1643" s="2" t="s">
        <v>226</v>
      </c>
      <c r="B1643" t="s">
        <v>227</v>
      </c>
      <c r="C1643" s="21" t="s">
        <v>275</v>
      </c>
      <c r="D1643" s="4">
        <v>10</v>
      </c>
      <c r="E1643" s="4"/>
      <c r="G1643" s="1"/>
      <c r="H1643" s="1"/>
      <c r="I1643" s="1">
        <f t="shared" si="252"/>
        <v>0</v>
      </c>
      <c r="J1643" s="1">
        <f t="shared" si="256"/>
        <v>866</v>
      </c>
      <c r="K1643" s="9" t="e">
        <f t="shared" si="255"/>
        <v>#DIV/0!</v>
      </c>
    </row>
    <row r="1644" spans="1:11" x14ac:dyDescent="0.35">
      <c r="A1644" s="2" t="s">
        <v>226</v>
      </c>
      <c r="B1644" t="s">
        <v>227</v>
      </c>
      <c r="C1644" s="21" t="s">
        <v>275</v>
      </c>
      <c r="D1644" s="4">
        <v>11</v>
      </c>
      <c r="E1644" s="4"/>
      <c r="G1644" s="1"/>
      <c r="H1644" s="1"/>
      <c r="I1644" s="1">
        <f t="shared" si="252"/>
        <v>0</v>
      </c>
      <c r="J1644" s="1">
        <f t="shared" si="256"/>
        <v>866</v>
      </c>
      <c r="K1644" s="9" t="e">
        <f t="shared" si="255"/>
        <v>#DIV/0!</v>
      </c>
    </row>
    <row r="1645" spans="1:11" x14ac:dyDescent="0.35">
      <c r="A1645" s="2" t="s">
        <v>226</v>
      </c>
      <c r="B1645" t="s">
        <v>227</v>
      </c>
      <c r="C1645" s="21" t="s">
        <v>275</v>
      </c>
      <c r="D1645" s="4">
        <v>12</v>
      </c>
      <c r="E1645" s="4"/>
      <c r="G1645" s="1"/>
      <c r="H1645" s="1"/>
      <c r="I1645" s="1">
        <f t="shared" si="252"/>
        <v>0</v>
      </c>
      <c r="J1645" s="1">
        <f t="shared" si="256"/>
        <v>866</v>
      </c>
      <c r="K1645" s="9" t="e">
        <f t="shared" si="255"/>
        <v>#DIV/0!</v>
      </c>
    </row>
    <row r="1646" spans="1:11" x14ac:dyDescent="0.35">
      <c r="A1646" s="2" t="s">
        <v>226</v>
      </c>
      <c r="B1646" t="s">
        <v>227</v>
      </c>
      <c r="C1646" s="21" t="s">
        <v>275</v>
      </c>
      <c r="D1646" s="4">
        <v>13</v>
      </c>
      <c r="E1646" s="4"/>
      <c r="G1646" s="1"/>
      <c r="H1646" s="1"/>
      <c r="I1646" s="1">
        <f t="shared" si="252"/>
        <v>0</v>
      </c>
      <c r="J1646" s="1">
        <f t="shared" si="256"/>
        <v>866</v>
      </c>
      <c r="K1646" s="9" t="e">
        <f t="shared" si="255"/>
        <v>#DIV/0!</v>
      </c>
    </row>
    <row r="1647" spans="1:11" x14ac:dyDescent="0.35">
      <c r="A1647" s="2" t="s">
        <v>226</v>
      </c>
      <c r="B1647" t="s">
        <v>227</v>
      </c>
      <c r="C1647" s="21" t="s">
        <v>275</v>
      </c>
      <c r="D1647" s="4">
        <v>14</v>
      </c>
      <c r="E1647" s="4"/>
      <c r="G1647" s="1"/>
      <c r="H1647" s="1"/>
      <c r="I1647" s="1">
        <f t="shared" si="252"/>
        <v>0</v>
      </c>
      <c r="J1647" s="1">
        <f t="shared" si="256"/>
        <v>866</v>
      </c>
      <c r="K1647" s="9" t="e">
        <f t="shared" si="255"/>
        <v>#DIV/0!</v>
      </c>
    </row>
    <row r="1648" spans="1:11" x14ac:dyDescent="0.35">
      <c r="A1648" s="2" t="s">
        <v>226</v>
      </c>
      <c r="B1648" t="s">
        <v>227</v>
      </c>
      <c r="C1648" s="21" t="s">
        <v>275</v>
      </c>
      <c r="D1648" s="4">
        <v>15</v>
      </c>
      <c r="E1648" s="4"/>
      <c r="G1648" s="1"/>
      <c r="H1648" s="1"/>
      <c r="I1648" s="1">
        <f t="shared" si="252"/>
        <v>0</v>
      </c>
      <c r="J1648" s="1">
        <f t="shared" si="256"/>
        <v>866</v>
      </c>
      <c r="K1648" s="9" t="e">
        <f t="shared" si="255"/>
        <v>#DIV/0!</v>
      </c>
    </row>
    <row r="1649" spans="1:11" ht="15" thickBot="1" x14ac:dyDescent="0.4">
      <c r="A1649" s="12" t="s">
        <v>226</v>
      </c>
      <c r="B1649" s="13" t="s">
        <v>227</v>
      </c>
      <c r="C1649" s="21" t="s">
        <v>275</v>
      </c>
      <c r="D1649" s="14">
        <v>16</v>
      </c>
      <c r="E1649" s="14"/>
      <c r="F1649" s="13"/>
      <c r="G1649" s="15"/>
      <c r="H1649" s="15"/>
      <c r="I1649" s="15">
        <f t="shared" si="252"/>
        <v>0</v>
      </c>
      <c r="J1649" s="15">
        <f t="shared" si="256"/>
        <v>866</v>
      </c>
      <c r="K1649" s="13"/>
    </row>
    <row r="1650" spans="1:11" x14ac:dyDescent="0.35">
      <c r="A1650" s="2" t="s">
        <v>199</v>
      </c>
      <c r="B1650" t="s">
        <v>200</v>
      </c>
      <c r="C1650" s="21" t="s">
        <v>275</v>
      </c>
      <c r="D1650" s="4">
        <v>1</v>
      </c>
      <c r="E1650" s="4"/>
      <c r="F1650" s="3">
        <v>45931</v>
      </c>
      <c r="G1650" s="1">
        <v>5016</v>
      </c>
      <c r="H1650" s="1">
        <v>4560.04</v>
      </c>
      <c r="I1650" s="1">
        <f t="shared" si="252"/>
        <v>455.96000000000004</v>
      </c>
      <c r="J1650" s="1">
        <f>I1650</f>
        <v>455.96000000000004</v>
      </c>
      <c r="K1650" s="9">
        <f t="shared" ref="K1650:K1664" si="257">I1650/H1650</f>
        <v>9.9990350961833674E-2</v>
      </c>
    </row>
    <row r="1651" spans="1:11" x14ac:dyDescent="0.35">
      <c r="A1651" s="2" t="s">
        <v>199</v>
      </c>
      <c r="B1651" t="s">
        <v>200</v>
      </c>
      <c r="C1651" s="21" t="s">
        <v>275</v>
      </c>
      <c r="D1651" s="4">
        <v>2</v>
      </c>
      <c r="E1651" s="4"/>
      <c r="F1651" s="3">
        <v>45938</v>
      </c>
      <c r="G1651" s="1">
        <v>5016</v>
      </c>
      <c r="H1651" s="1">
        <v>4560</v>
      </c>
      <c r="I1651" s="1">
        <f t="shared" si="252"/>
        <v>456</v>
      </c>
      <c r="J1651" s="1">
        <f>J1650+I1651</f>
        <v>911.96</v>
      </c>
      <c r="K1651" s="9">
        <f t="shared" si="257"/>
        <v>0.1</v>
      </c>
    </row>
    <row r="1652" spans="1:11" x14ac:dyDescent="0.35">
      <c r="A1652" s="2" t="s">
        <v>199</v>
      </c>
      <c r="B1652" t="s">
        <v>200</v>
      </c>
      <c r="C1652" s="21" t="s">
        <v>275</v>
      </c>
      <c r="D1652" s="4">
        <v>3</v>
      </c>
      <c r="E1652" s="4"/>
      <c r="F1652" s="3">
        <v>45945</v>
      </c>
      <c r="G1652" s="1">
        <v>5016</v>
      </c>
      <c r="H1652" s="1">
        <v>4560</v>
      </c>
      <c r="I1652" s="1">
        <f t="shared" si="252"/>
        <v>456</v>
      </c>
      <c r="J1652" s="1">
        <f t="shared" ref="J1652:J1665" si="258">J1651+I1652</f>
        <v>1367.96</v>
      </c>
      <c r="K1652" s="9">
        <f t="shared" si="257"/>
        <v>0.1</v>
      </c>
    </row>
    <row r="1653" spans="1:11" x14ac:dyDescent="0.35">
      <c r="A1653" s="2" t="s">
        <v>199</v>
      </c>
      <c r="B1653" t="s">
        <v>200</v>
      </c>
      <c r="C1653" s="21" t="s">
        <v>275</v>
      </c>
      <c r="D1653" s="4">
        <v>4</v>
      </c>
      <c r="E1653" s="4"/>
      <c r="F1653" s="3">
        <v>45952</v>
      </c>
      <c r="G1653" s="1">
        <v>5016</v>
      </c>
      <c r="H1653" s="1">
        <v>4560</v>
      </c>
      <c r="I1653" s="1">
        <f t="shared" si="252"/>
        <v>456</v>
      </c>
      <c r="J1653" s="1">
        <f t="shared" si="258"/>
        <v>1823.96</v>
      </c>
      <c r="K1653" s="9">
        <f t="shared" si="257"/>
        <v>0.1</v>
      </c>
    </row>
    <row r="1654" spans="1:11" x14ac:dyDescent="0.35">
      <c r="A1654" s="2" t="s">
        <v>199</v>
      </c>
      <c r="B1654" t="s">
        <v>200</v>
      </c>
      <c r="C1654" s="21" t="s">
        <v>275</v>
      </c>
      <c r="D1654" s="4">
        <v>5</v>
      </c>
      <c r="E1654" s="4"/>
      <c r="F1654" s="3">
        <v>45959</v>
      </c>
      <c r="G1654" s="1">
        <v>5017</v>
      </c>
      <c r="H1654" s="1">
        <v>4560</v>
      </c>
      <c r="I1654" s="1">
        <f t="shared" si="252"/>
        <v>457</v>
      </c>
      <c r="J1654" s="1">
        <f t="shared" si="258"/>
        <v>2280.96</v>
      </c>
      <c r="K1654" s="9">
        <f t="shared" si="257"/>
        <v>0.10021929824561404</v>
      </c>
    </row>
    <row r="1655" spans="1:11" x14ac:dyDescent="0.35">
      <c r="A1655" s="2" t="s">
        <v>199</v>
      </c>
      <c r="B1655" t="s">
        <v>200</v>
      </c>
      <c r="C1655" s="21" t="s">
        <v>275</v>
      </c>
      <c r="D1655" s="4">
        <v>6</v>
      </c>
      <c r="E1655" s="4"/>
      <c r="F1655" s="3">
        <v>45966</v>
      </c>
      <c r="G1655" s="1">
        <v>5017</v>
      </c>
      <c r="H1655" s="1">
        <v>4560</v>
      </c>
      <c r="I1655" s="1">
        <f t="shared" si="252"/>
        <v>457</v>
      </c>
      <c r="J1655" s="1">
        <f t="shared" si="258"/>
        <v>2737.96</v>
      </c>
      <c r="K1655" s="9">
        <f t="shared" si="257"/>
        <v>0.10021929824561404</v>
      </c>
    </row>
    <row r="1656" spans="1:11" x14ac:dyDescent="0.35">
      <c r="A1656" s="2" t="s">
        <v>199</v>
      </c>
      <c r="B1656" t="s">
        <v>200</v>
      </c>
      <c r="C1656" s="21" t="s">
        <v>275</v>
      </c>
      <c r="D1656" s="4">
        <v>7</v>
      </c>
      <c r="E1656" s="4"/>
      <c r="G1656" s="1"/>
      <c r="H1656" s="1"/>
      <c r="I1656" s="1">
        <f t="shared" si="252"/>
        <v>0</v>
      </c>
      <c r="J1656" s="1">
        <f t="shared" si="258"/>
        <v>2737.96</v>
      </c>
      <c r="K1656" s="9" t="e">
        <f t="shared" si="257"/>
        <v>#DIV/0!</v>
      </c>
    </row>
    <row r="1657" spans="1:11" x14ac:dyDescent="0.35">
      <c r="A1657" s="2" t="s">
        <v>199</v>
      </c>
      <c r="B1657" t="s">
        <v>200</v>
      </c>
      <c r="C1657" s="21" t="s">
        <v>275</v>
      </c>
      <c r="D1657" s="4">
        <v>8</v>
      </c>
      <c r="E1657" s="4"/>
      <c r="G1657" s="1"/>
      <c r="H1657" s="1"/>
      <c r="I1657" s="1">
        <f t="shared" si="252"/>
        <v>0</v>
      </c>
      <c r="J1657" s="1">
        <f t="shared" si="258"/>
        <v>2737.96</v>
      </c>
      <c r="K1657" s="9" t="e">
        <f t="shared" si="257"/>
        <v>#DIV/0!</v>
      </c>
    </row>
    <row r="1658" spans="1:11" x14ac:dyDescent="0.35">
      <c r="A1658" s="2" t="s">
        <v>199</v>
      </c>
      <c r="B1658" t="s">
        <v>200</v>
      </c>
      <c r="C1658" s="21" t="s">
        <v>275</v>
      </c>
      <c r="D1658" s="4">
        <v>9</v>
      </c>
      <c r="E1658" s="4"/>
      <c r="G1658" s="1"/>
      <c r="H1658" s="1"/>
      <c r="I1658" s="1">
        <f t="shared" si="252"/>
        <v>0</v>
      </c>
      <c r="J1658" s="1">
        <f t="shared" si="258"/>
        <v>2737.96</v>
      </c>
      <c r="K1658" s="9" t="e">
        <f t="shared" si="257"/>
        <v>#DIV/0!</v>
      </c>
    </row>
    <row r="1659" spans="1:11" x14ac:dyDescent="0.35">
      <c r="A1659" s="2" t="s">
        <v>199</v>
      </c>
      <c r="B1659" t="s">
        <v>200</v>
      </c>
      <c r="C1659" s="21" t="s">
        <v>275</v>
      </c>
      <c r="D1659" s="4">
        <v>10</v>
      </c>
      <c r="E1659" s="4"/>
      <c r="G1659" s="1"/>
      <c r="H1659" s="1"/>
      <c r="I1659" s="1">
        <f t="shared" si="252"/>
        <v>0</v>
      </c>
      <c r="J1659" s="1">
        <f t="shared" si="258"/>
        <v>2737.96</v>
      </c>
      <c r="K1659" s="9" t="e">
        <f t="shared" si="257"/>
        <v>#DIV/0!</v>
      </c>
    </row>
    <row r="1660" spans="1:11" x14ac:dyDescent="0.35">
      <c r="A1660" s="2" t="s">
        <v>199</v>
      </c>
      <c r="B1660" t="s">
        <v>200</v>
      </c>
      <c r="C1660" s="21" t="s">
        <v>275</v>
      </c>
      <c r="D1660" s="4">
        <v>11</v>
      </c>
      <c r="E1660" s="4"/>
      <c r="G1660" s="1"/>
      <c r="H1660" s="1"/>
      <c r="I1660" s="1">
        <f t="shared" si="252"/>
        <v>0</v>
      </c>
      <c r="J1660" s="1">
        <f t="shared" si="258"/>
        <v>2737.96</v>
      </c>
      <c r="K1660" s="9" t="e">
        <f t="shared" si="257"/>
        <v>#DIV/0!</v>
      </c>
    </row>
    <row r="1661" spans="1:11" x14ac:dyDescent="0.35">
      <c r="A1661" s="2" t="s">
        <v>199</v>
      </c>
      <c r="B1661" t="s">
        <v>200</v>
      </c>
      <c r="C1661" s="21" t="s">
        <v>275</v>
      </c>
      <c r="D1661" s="4">
        <v>12</v>
      </c>
      <c r="E1661" s="4"/>
      <c r="G1661" s="1"/>
      <c r="H1661" s="1"/>
      <c r="I1661" s="1">
        <f t="shared" si="252"/>
        <v>0</v>
      </c>
      <c r="J1661" s="1">
        <f t="shared" si="258"/>
        <v>2737.96</v>
      </c>
      <c r="K1661" s="9" t="e">
        <f t="shared" si="257"/>
        <v>#DIV/0!</v>
      </c>
    </row>
    <row r="1662" spans="1:11" x14ac:dyDescent="0.35">
      <c r="A1662" s="2" t="s">
        <v>199</v>
      </c>
      <c r="B1662" t="s">
        <v>200</v>
      </c>
      <c r="C1662" s="21" t="s">
        <v>275</v>
      </c>
      <c r="D1662" s="4">
        <v>13</v>
      </c>
      <c r="E1662" s="4"/>
      <c r="G1662" s="1"/>
      <c r="H1662" s="1"/>
      <c r="I1662" s="1">
        <f t="shared" si="252"/>
        <v>0</v>
      </c>
      <c r="J1662" s="1">
        <f t="shared" si="258"/>
        <v>2737.96</v>
      </c>
      <c r="K1662" s="9" t="e">
        <f t="shared" si="257"/>
        <v>#DIV/0!</v>
      </c>
    </row>
    <row r="1663" spans="1:11" x14ac:dyDescent="0.35">
      <c r="A1663" s="2" t="s">
        <v>199</v>
      </c>
      <c r="B1663" t="s">
        <v>200</v>
      </c>
      <c r="C1663" s="21" t="s">
        <v>275</v>
      </c>
      <c r="D1663" s="4">
        <v>14</v>
      </c>
      <c r="E1663" s="4"/>
      <c r="G1663" s="1"/>
      <c r="H1663" s="1"/>
      <c r="I1663" s="1">
        <f t="shared" si="252"/>
        <v>0</v>
      </c>
      <c r="J1663" s="1">
        <f t="shared" si="258"/>
        <v>2737.96</v>
      </c>
      <c r="K1663" s="9" t="e">
        <f t="shared" si="257"/>
        <v>#DIV/0!</v>
      </c>
    </row>
    <row r="1664" spans="1:11" x14ac:dyDescent="0.35">
      <c r="A1664" s="2" t="s">
        <v>199</v>
      </c>
      <c r="B1664" t="s">
        <v>200</v>
      </c>
      <c r="C1664" s="21" t="s">
        <v>275</v>
      </c>
      <c r="D1664" s="4">
        <v>15</v>
      </c>
      <c r="E1664" s="4"/>
      <c r="G1664" s="1"/>
      <c r="H1664" s="1"/>
      <c r="I1664" s="1">
        <f t="shared" si="252"/>
        <v>0</v>
      </c>
      <c r="J1664" s="1">
        <f t="shared" si="258"/>
        <v>2737.96</v>
      </c>
      <c r="K1664" s="9" t="e">
        <f t="shared" si="257"/>
        <v>#DIV/0!</v>
      </c>
    </row>
    <row r="1665" spans="1:11" ht="15" thickBot="1" x14ac:dyDescent="0.4">
      <c r="A1665" s="12" t="s">
        <v>199</v>
      </c>
      <c r="B1665" s="13" t="s">
        <v>200</v>
      </c>
      <c r="C1665" s="21" t="s">
        <v>275</v>
      </c>
      <c r="D1665" s="14">
        <v>16</v>
      </c>
      <c r="E1665" s="14"/>
      <c r="F1665" s="13"/>
      <c r="G1665" s="15"/>
      <c r="H1665" s="15"/>
      <c r="I1665" s="15">
        <f t="shared" si="252"/>
        <v>0</v>
      </c>
      <c r="J1665" s="15">
        <f t="shared" si="258"/>
        <v>2737.96</v>
      </c>
      <c r="K1665" s="13"/>
    </row>
    <row r="1666" spans="1:11" x14ac:dyDescent="0.35">
      <c r="A1666" s="2" t="s">
        <v>204</v>
      </c>
      <c r="B1666" t="s">
        <v>205</v>
      </c>
      <c r="C1666" s="21" t="s">
        <v>275</v>
      </c>
      <c r="D1666" s="4">
        <v>1</v>
      </c>
      <c r="E1666" s="4"/>
      <c r="F1666" s="3">
        <v>45932</v>
      </c>
      <c r="G1666" s="1">
        <v>4485</v>
      </c>
      <c r="H1666" s="1">
        <v>4180.04</v>
      </c>
      <c r="I1666" s="1">
        <f t="shared" si="252"/>
        <v>304.96000000000004</v>
      </c>
      <c r="J1666" s="1">
        <f>I1666</f>
        <v>304.96000000000004</v>
      </c>
      <c r="K1666" s="9">
        <f t="shared" ref="K1666:K1680" si="259">I1666/H1666</f>
        <v>7.2956239653209076E-2</v>
      </c>
    </row>
    <row r="1667" spans="1:11" x14ac:dyDescent="0.35">
      <c r="A1667" s="2" t="s">
        <v>204</v>
      </c>
      <c r="B1667" t="s">
        <v>205</v>
      </c>
      <c r="C1667" s="21" t="s">
        <v>275</v>
      </c>
      <c r="D1667" s="4">
        <v>2</v>
      </c>
      <c r="E1667" s="4"/>
      <c r="F1667" s="3">
        <v>45939</v>
      </c>
      <c r="G1667" s="1">
        <v>4485</v>
      </c>
      <c r="H1667" s="1">
        <v>4180.04</v>
      </c>
      <c r="I1667" s="1">
        <f t="shared" si="252"/>
        <v>304.96000000000004</v>
      </c>
      <c r="J1667" s="1">
        <f>J1666+I1667</f>
        <v>609.92000000000007</v>
      </c>
      <c r="K1667" s="9">
        <f t="shared" si="259"/>
        <v>7.2956239653209076E-2</v>
      </c>
    </row>
    <row r="1668" spans="1:11" x14ac:dyDescent="0.35">
      <c r="A1668" s="2" t="s">
        <v>204</v>
      </c>
      <c r="B1668" t="s">
        <v>205</v>
      </c>
      <c r="C1668" s="21" t="s">
        <v>275</v>
      </c>
      <c r="D1668" s="4">
        <v>3</v>
      </c>
      <c r="E1668" s="4"/>
      <c r="F1668" s="3">
        <v>45946</v>
      </c>
      <c r="G1668" s="1">
        <v>4485</v>
      </c>
      <c r="H1668" s="1">
        <v>4180.04</v>
      </c>
      <c r="I1668" s="1">
        <f t="shared" si="252"/>
        <v>304.96000000000004</v>
      </c>
      <c r="J1668" s="1">
        <f t="shared" ref="J1668:J1681" si="260">J1667+I1668</f>
        <v>914.88000000000011</v>
      </c>
      <c r="K1668" s="9">
        <f t="shared" si="259"/>
        <v>7.2956239653209076E-2</v>
      </c>
    </row>
    <row r="1669" spans="1:11" x14ac:dyDescent="0.35">
      <c r="A1669" s="2" t="s">
        <v>204</v>
      </c>
      <c r="B1669" t="s">
        <v>205</v>
      </c>
      <c r="C1669" s="21" t="s">
        <v>275</v>
      </c>
      <c r="D1669" s="4">
        <v>4</v>
      </c>
      <c r="E1669" s="4"/>
      <c r="F1669" s="3">
        <v>45953</v>
      </c>
      <c r="G1669" s="1">
        <v>4485</v>
      </c>
      <c r="H1669" s="1">
        <v>4180.04</v>
      </c>
      <c r="I1669" s="1">
        <f t="shared" si="252"/>
        <v>304.96000000000004</v>
      </c>
      <c r="J1669" s="1">
        <f t="shared" si="260"/>
        <v>1219.8400000000001</v>
      </c>
      <c r="K1669" s="9">
        <f t="shared" si="259"/>
        <v>7.2956239653209076E-2</v>
      </c>
    </row>
    <row r="1670" spans="1:11" x14ac:dyDescent="0.35">
      <c r="A1670" s="2" t="s">
        <v>204</v>
      </c>
      <c r="B1670" t="s">
        <v>205</v>
      </c>
      <c r="C1670" s="21" t="s">
        <v>275</v>
      </c>
      <c r="D1670" s="4">
        <v>5</v>
      </c>
      <c r="E1670" s="4"/>
      <c r="F1670" s="3">
        <v>45960</v>
      </c>
      <c r="G1670" s="1">
        <v>4485</v>
      </c>
      <c r="H1670" s="1">
        <v>4180.04</v>
      </c>
      <c r="I1670" s="1">
        <f t="shared" si="252"/>
        <v>304.96000000000004</v>
      </c>
      <c r="J1670" s="1">
        <f t="shared" si="260"/>
        <v>1524.8000000000002</v>
      </c>
      <c r="K1670" s="9">
        <f t="shared" si="259"/>
        <v>7.2956239653209076E-2</v>
      </c>
    </row>
    <row r="1671" spans="1:11" x14ac:dyDescent="0.35">
      <c r="A1671" s="2" t="s">
        <v>204</v>
      </c>
      <c r="B1671" t="s">
        <v>205</v>
      </c>
      <c r="C1671" s="21" t="s">
        <v>275</v>
      </c>
      <c r="D1671" s="4">
        <v>6</v>
      </c>
      <c r="E1671" s="4"/>
      <c r="F1671" s="3">
        <v>45967</v>
      </c>
      <c r="G1671" s="34">
        <v>4485</v>
      </c>
      <c r="H1671" s="34">
        <v>4180.04</v>
      </c>
      <c r="I1671" s="1">
        <f t="shared" si="252"/>
        <v>304.96000000000004</v>
      </c>
      <c r="J1671" s="1">
        <f t="shared" si="260"/>
        <v>1829.7600000000002</v>
      </c>
      <c r="K1671" s="9">
        <f t="shared" si="259"/>
        <v>7.2956239653209076E-2</v>
      </c>
    </row>
    <row r="1672" spans="1:11" x14ac:dyDescent="0.35">
      <c r="A1672" s="2" t="s">
        <v>204</v>
      </c>
      <c r="B1672" t="s">
        <v>205</v>
      </c>
      <c r="C1672" s="21" t="s">
        <v>275</v>
      </c>
      <c r="D1672" s="4">
        <v>7</v>
      </c>
      <c r="E1672" s="4"/>
      <c r="G1672" s="1"/>
      <c r="H1672" s="1"/>
      <c r="I1672" s="1">
        <f t="shared" si="252"/>
        <v>0</v>
      </c>
      <c r="J1672" s="1">
        <f t="shared" si="260"/>
        <v>1829.7600000000002</v>
      </c>
      <c r="K1672" s="9" t="e">
        <f t="shared" si="259"/>
        <v>#DIV/0!</v>
      </c>
    </row>
    <row r="1673" spans="1:11" x14ac:dyDescent="0.35">
      <c r="A1673" s="2" t="s">
        <v>204</v>
      </c>
      <c r="B1673" t="s">
        <v>205</v>
      </c>
      <c r="C1673" s="21" t="s">
        <v>275</v>
      </c>
      <c r="D1673" s="4">
        <v>8</v>
      </c>
      <c r="E1673" s="4"/>
      <c r="G1673" s="1"/>
      <c r="H1673" s="1"/>
      <c r="I1673" s="1">
        <f t="shared" si="252"/>
        <v>0</v>
      </c>
      <c r="J1673" s="1">
        <f t="shared" si="260"/>
        <v>1829.7600000000002</v>
      </c>
      <c r="K1673" s="9" t="e">
        <f t="shared" si="259"/>
        <v>#DIV/0!</v>
      </c>
    </row>
    <row r="1674" spans="1:11" x14ac:dyDescent="0.35">
      <c r="A1674" s="2" t="s">
        <v>204</v>
      </c>
      <c r="B1674" t="s">
        <v>205</v>
      </c>
      <c r="C1674" s="21" t="s">
        <v>275</v>
      </c>
      <c r="D1674" s="4">
        <v>9</v>
      </c>
      <c r="E1674" s="4"/>
      <c r="G1674" s="1"/>
      <c r="H1674" s="1"/>
      <c r="I1674" s="1">
        <f t="shared" si="252"/>
        <v>0</v>
      </c>
      <c r="J1674" s="1">
        <f t="shared" si="260"/>
        <v>1829.7600000000002</v>
      </c>
      <c r="K1674" s="9" t="e">
        <f t="shared" si="259"/>
        <v>#DIV/0!</v>
      </c>
    </row>
    <row r="1675" spans="1:11" x14ac:dyDescent="0.35">
      <c r="A1675" s="2" t="s">
        <v>204</v>
      </c>
      <c r="B1675" t="s">
        <v>205</v>
      </c>
      <c r="C1675" s="21" t="s">
        <v>275</v>
      </c>
      <c r="D1675" s="4">
        <v>10</v>
      </c>
      <c r="E1675" s="4"/>
      <c r="G1675" s="1"/>
      <c r="H1675" s="1"/>
      <c r="I1675" s="1">
        <f t="shared" si="252"/>
        <v>0</v>
      </c>
      <c r="J1675" s="1">
        <f t="shared" si="260"/>
        <v>1829.7600000000002</v>
      </c>
      <c r="K1675" s="9" t="e">
        <f t="shared" si="259"/>
        <v>#DIV/0!</v>
      </c>
    </row>
    <row r="1676" spans="1:11" x14ac:dyDescent="0.35">
      <c r="A1676" s="2" t="s">
        <v>204</v>
      </c>
      <c r="B1676" t="s">
        <v>205</v>
      </c>
      <c r="C1676" s="21" t="s">
        <v>275</v>
      </c>
      <c r="D1676" s="4">
        <v>11</v>
      </c>
      <c r="E1676" s="4"/>
      <c r="G1676" s="1"/>
      <c r="H1676" s="1"/>
      <c r="I1676" s="1">
        <f t="shared" si="252"/>
        <v>0</v>
      </c>
      <c r="J1676" s="1">
        <f t="shared" si="260"/>
        <v>1829.7600000000002</v>
      </c>
      <c r="K1676" s="9" t="e">
        <f t="shared" si="259"/>
        <v>#DIV/0!</v>
      </c>
    </row>
    <row r="1677" spans="1:11" x14ac:dyDescent="0.35">
      <c r="A1677" s="2" t="s">
        <v>204</v>
      </c>
      <c r="B1677" t="s">
        <v>205</v>
      </c>
      <c r="C1677" s="21" t="s">
        <v>275</v>
      </c>
      <c r="D1677" s="4">
        <v>12</v>
      </c>
      <c r="E1677" s="4"/>
      <c r="G1677" s="1"/>
      <c r="H1677" s="1"/>
      <c r="I1677" s="1">
        <f t="shared" si="252"/>
        <v>0</v>
      </c>
      <c r="J1677" s="1">
        <f t="shared" si="260"/>
        <v>1829.7600000000002</v>
      </c>
      <c r="K1677" s="9" t="e">
        <f t="shared" si="259"/>
        <v>#DIV/0!</v>
      </c>
    </row>
    <row r="1678" spans="1:11" x14ac:dyDescent="0.35">
      <c r="A1678" s="2" t="s">
        <v>204</v>
      </c>
      <c r="B1678" t="s">
        <v>205</v>
      </c>
      <c r="C1678" s="21" t="s">
        <v>275</v>
      </c>
      <c r="D1678" s="4">
        <v>13</v>
      </c>
      <c r="E1678" s="4"/>
      <c r="G1678" s="1"/>
      <c r="H1678" s="1"/>
      <c r="I1678" s="1">
        <f t="shared" si="252"/>
        <v>0</v>
      </c>
      <c r="J1678" s="1">
        <f t="shared" si="260"/>
        <v>1829.7600000000002</v>
      </c>
      <c r="K1678" s="9" t="e">
        <f t="shared" si="259"/>
        <v>#DIV/0!</v>
      </c>
    </row>
    <row r="1679" spans="1:11" x14ac:dyDescent="0.35">
      <c r="A1679" s="2" t="s">
        <v>204</v>
      </c>
      <c r="B1679" t="s">
        <v>205</v>
      </c>
      <c r="C1679" s="21" t="s">
        <v>275</v>
      </c>
      <c r="D1679" s="4">
        <v>14</v>
      </c>
      <c r="E1679" s="4"/>
      <c r="G1679" s="1"/>
      <c r="H1679" s="1"/>
      <c r="I1679" s="1">
        <f t="shared" si="252"/>
        <v>0</v>
      </c>
      <c r="J1679" s="1">
        <f t="shared" si="260"/>
        <v>1829.7600000000002</v>
      </c>
      <c r="K1679" s="9" t="e">
        <f t="shared" si="259"/>
        <v>#DIV/0!</v>
      </c>
    </row>
    <row r="1680" spans="1:11" x14ac:dyDescent="0.35">
      <c r="A1680" s="2" t="s">
        <v>204</v>
      </c>
      <c r="B1680" t="s">
        <v>205</v>
      </c>
      <c r="C1680" s="21" t="s">
        <v>275</v>
      </c>
      <c r="D1680" s="4">
        <v>15</v>
      </c>
      <c r="E1680" s="4"/>
      <c r="G1680" s="1"/>
      <c r="H1680" s="1"/>
      <c r="I1680" s="1">
        <f t="shared" si="252"/>
        <v>0</v>
      </c>
      <c r="J1680" s="1">
        <f t="shared" si="260"/>
        <v>1829.7600000000002</v>
      </c>
      <c r="K1680" s="9" t="e">
        <f t="shared" si="259"/>
        <v>#DIV/0!</v>
      </c>
    </row>
    <row r="1681" spans="1:11" ht="15" thickBot="1" x14ac:dyDescent="0.4">
      <c r="A1681" s="12" t="s">
        <v>204</v>
      </c>
      <c r="B1681" s="13" t="s">
        <v>205</v>
      </c>
      <c r="C1681" s="21" t="s">
        <v>275</v>
      </c>
      <c r="D1681" s="14">
        <v>16</v>
      </c>
      <c r="E1681" s="14"/>
      <c r="F1681" s="13"/>
      <c r="G1681" s="15"/>
      <c r="H1681" s="15"/>
      <c r="I1681" s="15">
        <f t="shared" si="252"/>
        <v>0</v>
      </c>
      <c r="J1681" s="15">
        <f t="shared" si="260"/>
        <v>1829.7600000000002</v>
      </c>
      <c r="K1681" s="13"/>
    </row>
    <row r="1682" spans="1:11" x14ac:dyDescent="0.35">
      <c r="A1682" s="2" t="s">
        <v>201</v>
      </c>
      <c r="B1682" t="s">
        <v>202</v>
      </c>
      <c r="C1682" s="21" t="s">
        <v>275</v>
      </c>
      <c r="D1682" s="4">
        <v>1</v>
      </c>
      <c r="E1682" s="4"/>
      <c r="F1682" s="3">
        <v>45932</v>
      </c>
      <c r="G1682" s="1">
        <v>9144</v>
      </c>
      <c r="H1682" s="1">
        <v>8512</v>
      </c>
      <c r="I1682" s="1">
        <f t="shared" si="252"/>
        <v>632</v>
      </c>
      <c r="J1682" s="1">
        <f>I1682</f>
        <v>632</v>
      </c>
      <c r="K1682" s="9">
        <f t="shared" ref="K1682:K1696" si="261">I1682/H1682</f>
        <v>7.4248120300751883E-2</v>
      </c>
    </row>
    <row r="1683" spans="1:11" x14ac:dyDescent="0.35">
      <c r="A1683" s="2" t="s">
        <v>201</v>
      </c>
      <c r="B1683" t="s">
        <v>202</v>
      </c>
      <c r="C1683" s="21" t="s">
        <v>275</v>
      </c>
      <c r="D1683" s="4">
        <v>2</v>
      </c>
      <c r="E1683" s="4"/>
      <c r="F1683" s="3">
        <v>45939</v>
      </c>
      <c r="G1683" s="1">
        <v>9154</v>
      </c>
      <c r="H1683" s="1">
        <v>8512</v>
      </c>
      <c r="I1683" s="1">
        <f t="shared" si="252"/>
        <v>642</v>
      </c>
      <c r="J1683" s="1">
        <f>J1682+I1683</f>
        <v>1274</v>
      </c>
      <c r="K1683" s="9">
        <f t="shared" si="261"/>
        <v>7.5422932330827072E-2</v>
      </c>
    </row>
    <row r="1684" spans="1:11" x14ac:dyDescent="0.35">
      <c r="A1684" s="2" t="s">
        <v>201</v>
      </c>
      <c r="B1684" t="s">
        <v>202</v>
      </c>
      <c r="C1684" s="21" t="s">
        <v>275</v>
      </c>
      <c r="D1684" s="4">
        <v>3</v>
      </c>
      <c r="E1684" s="4"/>
      <c r="F1684" s="3">
        <v>45946</v>
      </c>
      <c r="G1684" s="1">
        <v>9178</v>
      </c>
      <c r="H1684" s="1">
        <v>8512</v>
      </c>
      <c r="I1684" s="1">
        <f t="shared" si="252"/>
        <v>666</v>
      </c>
      <c r="J1684" s="1">
        <f t="shared" ref="J1684:J1697" si="262">J1683+I1684</f>
        <v>1940</v>
      </c>
      <c r="K1684" s="9">
        <f t="shared" si="261"/>
        <v>7.8242481203007516E-2</v>
      </c>
    </row>
    <row r="1685" spans="1:11" x14ac:dyDescent="0.35">
      <c r="A1685" s="2" t="s">
        <v>201</v>
      </c>
      <c r="B1685" t="s">
        <v>202</v>
      </c>
      <c r="C1685" s="21" t="s">
        <v>275</v>
      </c>
      <c r="D1685" s="4">
        <v>4</v>
      </c>
      <c r="E1685" s="4"/>
      <c r="F1685" s="3">
        <v>45953</v>
      </c>
      <c r="G1685" s="1">
        <v>9178</v>
      </c>
      <c r="H1685" s="1">
        <v>8512</v>
      </c>
      <c r="I1685" s="1">
        <f t="shared" si="252"/>
        <v>666</v>
      </c>
      <c r="J1685" s="1">
        <f t="shared" si="262"/>
        <v>2606</v>
      </c>
      <c r="K1685" s="9">
        <f t="shared" si="261"/>
        <v>7.8242481203007516E-2</v>
      </c>
    </row>
    <row r="1686" spans="1:11" x14ac:dyDescent="0.35">
      <c r="A1686" s="2" t="s">
        <v>201</v>
      </c>
      <c r="B1686" t="s">
        <v>202</v>
      </c>
      <c r="C1686" s="21" t="s">
        <v>275</v>
      </c>
      <c r="D1686" s="4">
        <v>5</v>
      </c>
      <c r="E1686" s="4"/>
      <c r="F1686" s="3">
        <v>45960</v>
      </c>
      <c r="G1686" s="1">
        <v>9178</v>
      </c>
      <c r="H1686" s="1">
        <v>8512</v>
      </c>
      <c r="I1686" s="1">
        <f t="shared" si="252"/>
        <v>666</v>
      </c>
      <c r="J1686" s="1">
        <f t="shared" si="262"/>
        <v>3272</v>
      </c>
      <c r="K1686" s="9">
        <f t="shared" si="261"/>
        <v>7.8242481203007516E-2</v>
      </c>
    </row>
    <row r="1687" spans="1:11" x14ac:dyDescent="0.35">
      <c r="A1687" s="2" t="s">
        <v>201</v>
      </c>
      <c r="B1687" t="s">
        <v>202</v>
      </c>
      <c r="C1687" s="21" t="s">
        <v>275</v>
      </c>
      <c r="D1687" s="4">
        <v>6</v>
      </c>
      <c r="E1687" s="4"/>
      <c r="F1687" s="3">
        <v>45967</v>
      </c>
      <c r="G1687" s="1">
        <v>9178</v>
      </c>
      <c r="H1687" s="1">
        <v>8512</v>
      </c>
      <c r="I1687" s="1">
        <f t="shared" si="252"/>
        <v>666</v>
      </c>
      <c r="J1687" s="1">
        <f t="shared" si="262"/>
        <v>3938</v>
      </c>
      <c r="K1687" s="9">
        <f t="shared" si="261"/>
        <v>7.8242481203007516E-2</v>
      </c>
    </row>
    <row r="1688" spans="1:11" x14ac:dyDescent="0.35">
      <c r="A1688" s="2" t="s">
        <v>201</v>
      </c>
      <c r="B1688" t="s">
        <v>202</v>
      </c>
      <c r="C1688" s="21" t="s">
        <v>275</v>
      </c>
      <c r="D1688" s="4">
        <v>7</v>
      </c>
      <c r="E1688" s="4"/>
      <c r="G1688" s="1"/>
      <c r="H1688" s="1"/>
      <c r="I1688" s="1">
        <f t="shared" si="252"/>
        <v>0</v>
      </c>
      <c r="J1688" s="1">
        <f t="shared" si="262"/>
        <v>3938</v>
      </c>
      <c r="K1688" s="9" t="e">
        <f t="shared" si="261"/>
        <v>#DIV/0!</v>
      </c>
    </row>
    <row r="1689" spans="1:11" x14ac:dyDescent="0.35">
      <c r="A1689" s="2" t="s">
        <v>201</v>
      </c>
      <c r="B1689" t="s">
        <v>202</v>
      </c>
      <c r="C1689" s="21" t="s">
        <v>275</v>
      </c>
      <c r="D1689" s="4">
        <v>8</v>
      </c>
      <c r="E1689" s="4"/>
      <c r="G1689" s="1"/>
      <c r="H1689" s="1"/>
      <c r="I1689" s="1">
        <f t="shared" si="252"/>
        <v>0</v>
      </c>
      <c r="J1689" s="1">
        <f t="shared" si="262"/>
        <v>3938</v>
      </c>
      <c r="K1689" s="9" t="e">
        <f t="shared" si="261"/>
        <v>#DIV/0!</v>
      </c>
    </row>
    <row r="1690" spans="1:11" x14ac:dyDescent="0.35">
      <c r="A1690" s="2" t="s">
        <v>201</v>
      </c>
      <c r="B1690" t="s">
        <v>202</v>
      </c>
      <c r="C1690" s="21" t="s">
        <v>275</v>
      </c>
      <c r="D1690" s="4">
        <v>9</v>
      </c>
      <c r="E1690" s="4"/>
      <c r="G1690" s="1"/>
      <c r="H1690" s="1"/>
      <c r="I1690" s="1">
        <f t="shared" si="252"/>
        <v>0</v>
      </c>
      <c r="J1690" s="1">
        <f t="shared" si="262"/>
        <v>3938</v>
      </c>
      <c r="K1690" s="9" t="e">
        <f t="shared" si="261"/>
        <v>#DIV/0!</v>
      </c>
    </row>
    <row r="1691" spans="1:11" x14ac:dyDescent="0.35">
      <c r="A1691" s="2" t="s">
        <v>201</v>
      </c>
      <c r="B1691" t="s">
        <v>202</v>
      </c>
      <c r="C1691" s="21" t="s">
        <v>275</v>
      </c>
      <c r="D1691" s="4">
        <v>10</v>
      </c>
      <c r="E1691" s="4"/>
      <c r="G1691" s="1"/>
      <c r="H1691" s="1"/>
      <c r="I1691" s="1">
        <f t="shared" si="252"/>
        <v>0</v>
      </c>
      <c r="J1691" s="1">
        <f t="shared" si="262"/>
        <v>3938</v>
      </c>
      <c r="K1691" s="9" t="e">
        <f t="shared" si="261"/>
        <v>#DIV/0!</v>
      </c>
    </row>
    <row r="1692" spans="1:11" x14ac:dyDescent="0.35">
      <c r="A1692" s="2" t="s">
        <v>201</v>
      </c>
      <c r="B1692" t="s">
        <v>202</v>
      </c>
      <c r="C1692" s="21" t="s">
        <v>275</v>
      </c>
      <c r="D1692" s="4">
        <v>11</v>
      </c>
      <c r="E1692" s="4"/>
      <c r="G1692" s="1"/>
      <c r="H1692" s="1"/>
      <c r="I1692" s="1">
        <f t="shared" si="252"/>
        <v>0</v>
      </c>
      <c r="J1692" s="1">
        <f t="shared" si="262"/>
        <v>3938</v>
      </c>
      <c r="K1692" s="9" t="e">
        <f t="shared" si="261"/>
        <v>#DIV/0!</v>
      </c>
    </row>
    <row r="1693" spans="1:11" x14ac:dyDescent="0.35">
      <c r="A1693" s="2" t="s">
        <v>201</v>
      </c>
      <c r="B1693" t="s">
        <v>202</v>
      </c>
      <c r="C1693" s="21" t="s">
        <v>275</v>
      </c>
      <c r="D1693" s="4">
        <v>12</v>
      </c>
      <c r="E1693" s="4"/>
      <c r="G1693" s="1"/>
      <c r="H1693" s="1"/>
      <c r="I1693" s="1">
        <f t="shared" si="252"/>
        <v>0</v>
      </c>
      <c r="J1693" s="1">
        <f t="shared" si="262"/>
        <v>3938</v>
      </c>
      <c r="K1693" s="9" t="e">
        <f t="shared" si="261"/>
        <v>#DIV/0!</v>
      </c>
    </row>
    <row r="1694" spans="1:11" x14ac:dyDescent="0.35">
      <c r="A1694" s="2" t="s">
        <v>201</v>
      </c>
      <c r="B1694" t="s">
        <v>202</v>
      </c>
      <c r="C1694" s="21" t="s">
        <v>275</v>
      </c>
      <c r="D1694" s="4">
        <v>13</v>
      </c>
      <c r="E1694" s="4"/>
      <c r="G1694" s="1"/>
      <c r="H1694" s="1"/>
      <c r="I1694" s="1">
        <f t="shared" si="252"/>
        <v>0</v>
      </c>
      <c r="J1694" s="1">
        <f t="shared" si="262"/>
        <v>3938</v>
      </c>
      <c r="K1694" s="9" t="e">
        <f t="shared" si="261"/>
        <v>#DIV/0!</v>
      </c>
    </row>
    <row r="1695" spans="1:11" x14ac:dyDescent="0.35">
      <c r="A1695" s="2" t="s">
        <v>201</v>
      </c>
      <c r="B1695" t="s">
        <v>202</v>
      </c>
      <c r="C1695" s="21" t="s">
        <v>275</v>
      </c>
      <c r="D1695" s="4">
        <v>14</v>
      </c>
      <c r="E1695" s="4"/>
      <c r="G1695" s="1"/>
      <c r="H1695" s="1"/>
      <c r="I1695" s="1">
        <f t="shared" si="252"/>
        <v>0</v>
      </c>
      <c r="J1695" s="1">
        <f t="shared" si="262"/>
        <v>3938</v>
      </c>
      <c r="K1695" s="9" t="e">
        <f t="shared" si="261"/>
        <v>#DIV/0!</v>
      </c>
    </row>
    <row r="1696" spans="1:11" x14ac:dyDescent="0.35">
      <c r="A1696" s="2" t="s">
        <v>201</v>
      </c>
      <c r="B1696" t="s">
        <v>202</v>
      </c>
      <c r="C1696" s="21" t="s">
        <v>275</v>
      </c>
      <c r="D1696" s="4">
        <v>15</v>
      </c>
      <c r="E1696" s="4"/>
      <c r="G1696" s="1"/>
      <c r="H1696" s="1"/>
      <c r="I1696" s="1">
        <f t="shared" si="252"/>
        <v>0</v>
      </c>
      <c r="J1696" s="1">
        <f t="shared" si="262"/>
        <v>3938</v>
      </c>
      <c r="K1696" s="9" t="e">
        <f t="shared" si="261"/>
        <v>#DIV/0!</v>
      </c>
    </row>
    <row r="1697" spans="1:11" ht="15" thickBot="1" x14ac:dyDescent="0.4">
      <c r="A1697" s="12" t="s">
        <v>201</v>
      </c>
      <c r="B1697" s="13" t="s">
        <v>202</v>
      </c>
      <c r="C1697" s="21" t="s">
        <v>275</v>
      </c>
      <c r="D1697" s="14">
        <v>16</v>
      </c>
      <c r="E1697" s="14"/>
      <c r="F1697" s="13"/>
      <c r="G1697" s="15"/>
      <c r="H1697" s="15"/>
      <c r="I1697" s="15">
        <f t="shared" si="252"/>
        <v>0</v>
      </c>
      <c r="J1697" s="15">
        <f t="shared" si="262"/>
        <v>3938</v>
      </c>
      <c r="K1697" s="13"/>
    </row>
    <row r="1698" spans="1:11" x14ac:dyDescent="0.35">
      <c r="A1698" s="2" t="s">
        <v>228</v>
      </c>
      <c r="B1698" t="s">
        <v>229</v>
      </c>
      <c r="C1698" s="21" t="s">
        <v>275</v>
      </c>
      <c r="D1698" s="4">
        <v>1</v>
      </c>
      <c r="E1698" s="4"/>
      <c r="F1698" s="3">
        <v>45936</v>
      </c>
      <c r="G1698" s="1">
        <v>9530</v>
      </c>
      <c r="H1698" s="1">
        <v>8664</v>
      </c>
      <c r="I1698" s="1">
        <f t="shared" si="252"/>
        <v>866</v>
      </c>
      <c r="J1698" s="1">
        <f>I1698</f>
        <v>866</v>
      </c>
      <c r="K1698" s="9">
        <f t="shared" ref="K1698:K1712" si="263">I1698/H1698</f>
        <v>9.9953831948291785E-2</v>
      </c>
    </row>
    <row r="1699" spans="1:11" x14ac:dyDescent="0.35">
      <c r="A1699" s="2" t="s">
        <v>228</v>
      </c>
      <c r="B1699" t="s">
        <v>229</v>
      </c>
      <c r="C1699" s="21" t="s">
        <v>275</v>
      </c>
      <c r="D1699" s="4">
        <v>2</v>
      </c>
      <c r="E1699" s="4"/>
      <c r="F1699" s="3">
        <v>45943</v>
      </c>
      <c r="G1699" s="1">
        <v>9530</v>
      </c>
      <c r="H1699" s="1">
        <v>8644</v>
      </c>
      <c r="I1699" s="1">
        <f t="shared" si="252"/>
        <v>886</v>
      </c>
      <c r="J1699" s="1">
        <f>J1698+I1699</f>
        <v>1752</v>
      </c>
      <c r="K1699" s="9">
        <f t="shared" si="263"/>
        <v>0.1024988431281814</v>
      </c>
    </row>
    <row r="1700" spans="1:11" x14ac:dyDescent="0.35">
      <c r="A1700" s="2" t="s">
        <v>228</v>
      </c>
      <c r="B1700" t="s">
        <v>229</v>
      </c>
      <c r="C1700" s="21" t="s">
        <v>275</v>
      </c>
      <c r="D1700" s="4">
        <v>3</v>
      </c>
      <c r="E1700" s="4"/>
      <c r="F1700" s="3">
        <v>45950</v>
      </c>
      <c r="G1700" s="1">
        <v>9530</v>
      </c>
      <c r="H1700" s="1">
        <v>8664</v>
      </c>
      <c r="I1700" s="1">
        <f t="shared" si="252"/>
        <v>866</v>
      </c>
      <c r="J1700" s="1">
        <f t="shared" ref="J1700:J1713" si="264">J1699+I1700</f>
        <v>2618</v>
      </c>
      <c r="K1700" s="9">
        <f t="shared" si="263"/>
        <v>9.9953831948291785E-2</v>
      </c>
    </row>
    <row r="1701" spans="1:11" x14ac:dyDescent="0.35">
      <c r="A1701" s="2" t="s">
        <v>228</v>
      </c>
      <c r="B1701" t="s">
        <v>229</v>
      </c>
      <c r="C1701" s="21" t="s">
        <v>275</v>
      </c>
      <c r="D1701" s="4">
        <v>4</v>
      </c>
      <c r="E1701" s="4"/>
      <c r="F1701" s="3">
        <v>45953</v>
      </c>
      <c r="G1701" s="1">
        <v>9530</v>
      </c>
      <c r="H1701" s="1">
        <v>8664</v>
      </c>
      <c r="I1701" s="1">
        <f t="shared" si="252"/>
        <v>866</v>
      </c>
      <c r="J1701" s="1">
        <f t="shared" si="264"/>
        <v>3484</v>
      </c>
      <c r="K1701" s="9">
        <f t="shared" si="263"/>
        <v>9.9953831948291785E-2</v>
      </c>
    </row>
    <row r="1702" spans="1:11" x14ac:dyDescent="0.35">
      <c r="A1702" s="2" t="s">
        <v>228</v>
      </c>
      <c r="B1702" t="s">
        <v>229</v>
      </c>
      <c r="C1702" s="21" t="s">
        <v>275</v>
      </c>
      <c r="D1702" s="4">
        <v>5</v>
      </c>
      <c r="E1702" s="4"/>
      <c r="F1702" s="3">
        <v>45964</v>
      </c>
      <c r="G1702" s="1">
        <v>9530</v>
      </c>
      <c r="H1702" s="1">
        <v>8664</v>
      </c>
      <c r="I1702" s="1">
        <f t="shared" si="252"/>
        <v>866</v>
      </c>
      <c r="J1702" s="1">
        <f t="shared" si="264"/>
        <v>4350</v>
      </c>
      <c r="K1702" s="9">
        <f t="shared" si="263"/>
        <v>9.9953831948291785E-2</v>
      </c>
    </row>
    <row r="1703" spans="1:11" x14ac:dyDescent="0.35">
      <c r="A1703" s="2" t="s">
        <v>228</v>
      </c>
      <c r="B1703" t="s">
        <v>229</v>
      </c>
      <c r="C1703" s="21" t="s">
        <v>275</v>
      </c>
      <c r="D1703" s="4">
        <v>6</v>
      </c>
      <c r="E1703" s="4"/>
      <c r="G1703" s="1"/>
      <c r="H1703" s="1"/>
      <c r="I1703" s="1">
        <f t="shared" si="252"/>
        <v>0</v>
      </c>
      <c r="J1703" s="1">
        <f t="shared" si="264"/>
        <v>4350</v>
      </c>
      <c r="K1703" s="9" t="e">
        <f t="shared" si="263"/>
        <v>#DIV/0!</v>
      </c>
    </row>
    <row r="1704" spans="1:11" x14ac:dyDescent="0.35">
      <c r="A1704" s="2" t="s">
        <v>228</v>
      </c>
      <c r="B1704" t="s">
        <v>229</v>
      </c>
      <c r="C1704" s="21" t="s">
        <v>275</v>
      </c>
      <c r="D1704" s="4">
        <v>7</v>
      </c>
      <c r="E1704" s="4"/>
      <c r="G1704" s="1"/>
      <c r="H1704" s="1"/>
      <c r="I1704" s="1">
        <f t="shared" si="252"/>
        <v>0</v>
      </c>
      <c r="J1704" s="1">
        <f t="shared" si="264"/>
        <v>4350</v>
      </c>
      <c r="K1704" s="9" t="e">
        <f t="shared" si="263"/>
        <v>#DIV/0!</v>
      </c>
    </row>
    <row r="1705" spans="1:11" x14ac:dyDescent="0.35">
      <c r="A1705" s="2" t="s">
        <v>228</v>
      </c>
      <c r="B1705" t="s">
        <v>229</v>
      </c>
      <c r="C1705" s="21" t="s">
        <v>275</v>
      </c>
      <c r="D1705" s="4">
        <v>8</v>
      </c>
      <c r="E1705" s="4"/>
      <c r="G1705" s="1"/>
      <c r="H1705" s="1"/>
      <c r="I1705" s="1">
        <f t="shared" si="252"/>
        <v>0</v>
      </c>
      <c r="J1705" s="1">
        <f t="shared" si="264"/>
        <v>4350</v>
      </c>
      <c r="K1705" s="9" t="e">
        <f t="shared" si="263"/>
        <v>#DIV/0!</v>
      </c>
    </row>
    <row r="1706" spans="1:11" x14ac:dyDescent="0.35">
      <c r="A1706" s="2" t="s">
        <v>228</v>
      </c>
      <c r="B1706" t="s">
        <v>229</v>
      </c>
      <c r="C1706" s="21" t="s">
        <v>275</v>
      </c>
      <c r="D1706" s="4">
        <v>9</v>
      </c>
      <c r="E1706" s="4"/>
      <c r="G1706" s="1"/>
      <c r="H1706" s="1"/>
      <c r="I1706" s="1">
        <f t="shared" si="252"/>
        <v>0</v>
      </c>
      <c r="J1706" s="1">
        <f t="shared" si="264"/>
        <v>4350</v>
      </c>
      <c r="K1706" s="9" t="e">
        <f t="shared" si="263"/>
        <v>#DIV/0!</v>
      </c>
    </row>
    <row r="1707" spans="1:11" x14ac:dyDescent="0.35">
      <c r="A1707" s="2" t="s">
        <v>228</v>
      </c>
      <c r="B1707" t="s">
        <v>229</v>
      </c>
      <c r="C1707" s="21" t="s">
        <v>275</v>
      </c>
      <c r="D1707" s="4">
        <v>10</v>
      </c>
      <c r="E1707" s="4"/>
      <c r="G1707" s="1"/>
      <c r="H1707" s="1"/>
      <c r="I1707" s="1">
        <f t="shared" si="252"/>
        <v>0</v>
      </c>
      <c r="J1707" s="1">
        <f t="shared" si="264"/>
        <v>4350</v>
      </c>
      <c r="K1707" s="9" t="e">
        <f t="shared" si="263"/>
        <v>#DIV/0!</v>
      </c>
    </row>
    <row r="1708" spans="1:11" x14ac:dyDescent="0.35">
      <c r="A1708" s="2" t="s">
        <v>228</v>
      </c>
      <c r="B1708" t="s">
        <v>229</v>
      </c>
      <c r="C1708" s="21" t="s">
        <v>275</v>
      </c>
      <c r="D1708" s="4">
        <v>11</v>
      </c>
      <c r="E1708" s="4"/>
      <c r="G1708" s="1"/>
      <c r="H1708" s="1"/>
      <c r="I1708" s="1">
        <f t="shared" si="252"/>
        <v>0</v>
      </c>
      <c r="J1708" s="1">
        <f t="shared" si="264"/>
        <v>4350</v>
      </c>
      <c r="K1708" s="9" t="e">
        <f t="shared" si="263"/>
        <v>#DIV/0!</v>
      </c>
    </row>
    <row r="1709" spans="1:11" x14ac:dyDescent="0.35">
      <c r="A1709" s="2" t="s">
        <v>228</v>
      </c>
      <c r="B1709" t="s">
        <v>229</v>
      </c>
      <c r="C1709" s="21" t="s">
        <v>275</v>
      </c>
      <c r="D1709" s="4">
        <v>12</v>
      </c>
      <c r="E1709" s="4"/>
      <c r="G1709" s="1"/>
      <c r="H1709" s="1"/>
      <c r="I1709" s="1">
        <f t="shared" si="252"/>
        <v>0</v>
      </c>
      <c r="J1709" s="1">
        <f t="shared" si="264"/>
        <v>4350</v>
      </c>
      <c r="K1709" s="9" t="e">
        <f t="shared" si="263"/>
        <v>#DIV/0!</v>
      </c>
    </row>
    <row r="1710" spans="1:11" x14ac:dyDescent="0.35">
      <c r="A1710" s="2" t="s">
        <v>228</v>
      </c>
      <c r="B1710" t="s">
        <v>229</v>
      </c>
      <c r="C1710" s="21" t="s">
        <v>275</v>
      </c>
      <c r="D1710" s="4">
        <v>13</v>
      </c>
      <c r="E1710" s="4"/>
      <c r="G1710" s="1"/>
      <c r="H1710" s="1"/>
      <c r="I1710" s="1">
        <f t="shared" si="252"/>
        <v>0</v>
      </c>
      <c r="J1710" s="1">
        <f t="shared" si="264"/>
        <v>4350</v>
      </c>
      <c r="K1710" s="9" t="e">
        <f t="shared" si="263"/>
        <v>#DIV/0!</v>
      </c>
    </row>
    <row r="1711" spans="1:11" x14ac:dyDescent="0.35">
      <c r="A1711" s="2" t="s">
        <v>228</v>
      </c>
      <c r="B1711" t="s">
        <v>229</v>
      </c>
      <c r="C1711" s="21" t="s">
        <v>275</v>
      </c>
      <c r="D1711" s="4">
        <v>14</v>
      </c>
      <c r="E1711" s="4"/>
      <c r="G1711" s="1"/>
      <c r="H1711" s="1"/>
      <c r="I1711" s="1">
        <f t="shared" si="252"/>
        <v>0</v>
      </c>
      <c r="J1711" s="1">
        <f t="shared" si="264"/>
        <v>4350</v>
      </c>
      <c r="K1711" s="9" t="e">
        <f t="shared" si="263"/>
        <v>#DIV/0!</v>
      </c>
    </row>
    <row r="1712" spans="1:11" x14ac:dyDescent="0.35">
      <c r="A1712" s="2" t="s">
        <v>228</v>
      </c>
      <c r="B1712" t="s">
        <v>229</v>
      </c>
      <c r="C1712" s="21" t="s">
        <v>275</v>
      </c>
      <c r="D1712" s="4">
        <v>15</v>
      </c>
      <c r="E1712" s="4"/>
      <c r="G1712" s="1"/>
      <c r="H1712" s="1"/>
      <c r="I1712" s="1">
        <f t="shared" si="252"/>
        <v>0</v>
      </c>
      <c r="J1712" s="1">
        <f t="shared" si="264"/>
        <v>4350</v>
      </c>
      <c r="K1712" s="9" t="e">
        <f t="shared" si="263"/>
        <v>#DIV/0!</v>
      </c>
    </row>
    <row r="1713" spans="1:11" ht="15" thickBot="1" x14ac:dyDescent="0.4">
      <c r="A1713" s="12" t="s">
        <v>228</v>
      </c>
      <c r="B1713" s="13" t="s">
        <v>229</v>
      </c>
      <c r="C1713" s="21" t="s">
        <v>275</v>
      </c>
      <c r="D1713" s="14">
        <v>16</v>
      </c>
      <c r="E1713" s="14"/>
      <c r="F1713" s="13"/>
      <c r="G1713" s="15"/>
      <c r="H1713" s="15"/>
      <c r="I1713" s="15">
        <f t="shared" si="252"/>
        <v>0</v>
      </c>
      <c r="J1713" s="15">
        <f t="shared" si="264"/>
        <v>4350</v>
      </c>
      <c r="K1713" s="13"/>
    </row>
    <row r="1714" spans="1:11" x14ac:dyDescent="0.35">
      <c r="A1714" s="2" t="s">
        <v>258</v>
      </c>
      <c r="B1714" t="s">
        <v>259</v>
      </c>
      <c r="C1714" s="21" t="s">
        <v>275</v>
      </c>
      <c r="D1714" s="4">
        <v>1</v>
      </c>
      <c r="E1714" s="4"/>
      <c r="F1714" s="3">
        <v>45947</v>
      </c>
      <c r="G1714" s="1">
        <v>4309</v>
      </c>
      <c r="H1714" s="1">
        <v>4104</v>
      </c>
      <c r="I1714" s="1">
        <f t="shared" si="252"/>
        <v>205</v>
      </c>
      <c r="J1714" s="1">
        <f>I1714</f>
        <v>205</v>
      </c>
      <c r="K1714" s="9">
        <f t="shared" ref="K1714:K1729" si="265">I1714/H1714</f>
        <v>4.9951267056530212E-2</v>
      </c>
    </row>
    <row r="1715" spans="1:11" x14ac:dyDescent="0.35">
      <c r="A1715" s="2" t="s">
        <v>258</v>
      </c>
      <c r="B1715" t="s">
        <v>259</v>
      </c>
      <c r="C1715" s="21" t="s">
        <v>275</v>
      </c>
      <c r="D1715" s="4">
        <v>2</v>
      </c>
      <c r="E1715" s="4"/>
      <c r="F1715" s="3">
        <v>45954</v>
      </c>
      <c r="G1715" s="1">
        <v>4309</v>
      </c>
      <c r="H1715" s="1">
        <v>4104</v>
      </c>
      <c r="I1715" s="1">
        <f t="shared" si="252"/>
        <v>205</v>
      </c>
      <c r="J1715" s="1">
        <f>J1714+I1715</f>
        <v>410</v>
      </c>
      <c r="K1715" s="9">
        <f t="shared" si="265"/>
        <v>4.9951267056530212E-2</v>
      </c>
    </row>
    <row r="1716" spans="1:11" x14ac:dyDescent="0.35">
      <c r="A1716" s="2" t="s">
        <v>258</v>
      </c>
      <c r="B1716" t="s">
        <v>259</v>
      </c>
      <c r="C1716" s="21" t="s">
        <v>275</v>
      </c>
      <c r="D1716" s="4">
        <v>3</v>
      </c>
      <c r="E1716" s="4"/>
      <c r="F1716" s="3">
        <v>45961</v>
      </c>
      <c r="G1716" s="1">
        <v>4309</v>
      </c>
      <c r="H1716" s="1">
        <v>4104</v>
      </c>
      <c r="I1716" s="1">
        <f t="shared" si="252"/>
        <v>205</v>
      </c>
      <c r="J1716" s="1">
        <f t="shared" ref="J1716:J1729" si="266">J1715+I1716</f>
        <v>615</v>
      </c>
      <c r="K1716" s="9">
        <f t="shared" si="265"/>
        <v>4.9951267056530212E-2</v>
      </c>
    </row>
    <row r="1717" spans="1:11" x14ac:dyDescent="0.35">
      <c r="A1717" s="2" t="s">
        <v>258</v>
      </c>
      <c r="B1717" t="s">
        <v>259</v>
      </c>
      <c r="C1717" s="21" t="s">
        <v>275</v>
      </c>
      <c r="D1717" s="4">
        <v>4</v>
      </c>
      <c r="E1717" s="4"/>
      <c r="F1717" s="3">
        <v>45968</v>
      </c>
      <c r="G1717" s="34">
        <v>4309</v>
      </c>
      <c r="H1717" s="34">
        <v>4104</v>
      </c>
      <c r="I1717" s="1">
        <f t="shared" si="252"/>
        <v>205</v>
      </c>
      <c r="J1717" s="1">
        <f t="shared" si="266"/>
        <v>820</v>
      </c>
      <c r="K1717" s="9">
        <f t="shared" si="265"/>
        <v>4.9951267056530212E-2</v>
      </c>
    </row>
    <row r="1718" spans="1:11" x14ac:dyDescent="0.35">
      <c r="A1718" s="2" t="s">
        <v>258</v>
      </c>
      <c r="B1718" t="s">
        <v>259</v>
      </c>
      <c r="C1718" s="21" t="s">
        <v>275</v>
      </c>
      <c r="D1718" s="4">
        <v>5</v>
      </c>
      <c r="E1718" s="4"/>
      <c r="G1718" s="1"/>
      <c r="H1718" s="1"/>
      <c r="I1718" s="1">
        <f t="shared" si="252"/>
        <v>0</v>
      </c>
      <c r="J1718" s="1">
        <f t="shared" si="266"/>
        <v>820</v>
      </c>
      <c r="K1718" s="9" t="e">
        <f t="shared" si="265"/>
        <v>#DIV/0!</v>
      </c>
    </row>
    <row r="1719" spans="1:11" x14ac:dyDescent="0.35">
      <c r="A1719" s="2" t="s">
        <v>258</v>
      </c>
      <c r="B1719" t="s">
        <v>259</v>
      </c>
      <c r="C1719" s="21" t="s">
        <v>275</v>
      </c>
      <c r="D1719" s="4">
        <v>6</v>
      </c>
      <c r="E1719" s="4"/>
      <c r="G1719" s="1"/>
      <c r="H1719" s="1"/>
      <c r="I1719" s="1">
        <f t="shared" si="252"/>
        <v>0</v>
      </c>
      <c r="J1719" s="1">
        <f t="shared" si="266"/>
        <v>820</v>
      </c>
      <c r="K1719" s="9" t="e">
        <f t="shared" si="265"/>
        <v>#DIV/0!</v>
      </c>
    </row>
    <row r="1720" spans="1:11" x14ac:dyDescent="0.35">
      <c r="A1720" s="2" t="s">
        <v>258</v>
      </c>
      <c r="B1720" t="s">
        <v>259</v>
      </c>
      <c r="C1720" s="21" t="s">
        <v>275</v>
      </c>
      <c r="D1720" s="4">
        <v>7</v>
      </c>
      <c r="E1720" s="4"/>
      <c r="G1720" s="1"/>
      <c r="H1720" s="1"/>
      <c r="I1720" s="1">
        <f t="shared" si="252"/>
        <v>0</v>
      </c>
      <c r="J1720" s="1">
        <f t="shared" si="266"/>
        <v>820</v>
      </c>
      <c r="K1720" s="9" t="e">
        <f t="shared" si="265"/>
        <v>#DIV/0!</v>
      </c>
    </row>
    <row r="1721" spans="1:11" x14ac:dyDescent="0.35">
      <c r="A1721" s="2" t="s">
        <v>258</v>
      </c>
      <c r="B1721" t="s">
        <v>259</v>
      </c>
      <c r="C1721" s="21" t="s">
        <v>275</v>
      </c>
      <c r="D1721" s="4">
        <v>8</v>
      </c>
      <c r="E1721" s="4"/>
      <c r="G1721" s="1"/>
      <c r="H1721" s="1"/>
      <c r="I1721" s="1">
        <f t="shared" si="252"/>
        <v>0</v>
      </c>
      <c r="J1721" s="1">
        <f t="shared" si="266"/>
        <v>820</v>
      </c>
      <c r="K1721" s="9" t="e">
        <f t="shared" si="265"/>
        <v>#DIV/0!</v>
      </c>
    </row>
    <row r="1722" spans="1:11" x14ac:dyDescent="0.35">
      <c r="A1722" s="2" t="s">
        <v>258</v>
      </c>
      <c r="B1722" t="s">
        <v>259</v>
      </c>
      <c r="C1722" s="21" t="s">
        <v>275</v>
      </c>
      <c r="D1722" s="4">
        <v>9</v>
      </c>
      <c r="E1722" s="4"/>
      <c r="G1722" s="1"/>
      <c r="H1722" s="1"/>
      <c r="I1722" s="1">
        <f t="shared" si="252"/>
        <v>0</v>
      </c>
      <c r="J1722" s="1">
        <f t="shared" si="266"/>
        <v>820</v>
      </c>
      <c r="K1722" s="9" t="e">
        <f t="shared" si="265"/>
        <v>#DIV/0!</v>
      </c>
    </row>
    <row r="1723" spans="1:11" x14ac:dyDescent="0.35">
      <c r="A1723" s="2" t="s">
        <v>258</v>
      </c>
      <c r="B1723" t="s">
        <v>259</v>
      </c>
      <c r="C1723" s="21" t="s">
        <v>275</v>
      </c>
      <c r="D1723" s="4">
        <v>10</v>
      </c>
      <c r="E1723" s="4"/>
      <c r="G1723" s="1"/>
      <c r="H1723" s="1"/>
      <c r="I1723" s="1">
        <f t="shared" si="252"/>
        <v>0</v>
      </c>
      <c r="J1723" s="1">
        <f t="shared" si="266"/>
        <v>820</v>
      </c>
      <c r="K1723" s="9" t="e">
        <f t="shared" si="265"/>
        <v>#DIV/0!</v>
      </c>
    </row>
    <row r="1724" spans="1:11" x14ac:dyDescent="0.35">
      <c r="A1724" s="2" t="s">
        <v>258</v>
      </c>
      <c r="B1724" t="s">
        <v>259</v>
      </c>
      <c r="C1724" s="21" t="s">
        <v>275</v>
      </c>
      <c r="D1724" s="4">
        <v>11</v>
      </c>
      <c r="E1724" s="4"/>
      <c r="G1724" s="1"/>
      <c r="H1724" s="1"/>
      <c r="I1724" s="1">
        <f t="shared" si="252"/>
        <v>0</v>
      </c>
      <c r="J1724" s="1">
        <f t="shared" si="266"/>
        <v>820</v>
      </c>
      <c r="K1724" s="9" t="e">
        <f t="shared" si="265"/>
        <v>#DIV/0!</v>
      </c>
    </row>
    <row r="1725" spans="1:11" x14ac:dyDescent="0.35">
      <c r="A1725" s="2" t="s">
        <v>258</v>
      </c>
      <c r="B1725" t="s">
        <v>259</v>
      </c>
      <c r="C1725" s="21" t="s">
        <v>275</v>
      </c>
      <c r="D1725" s="4">
        <v>12</v>
      </c>
      <c r="E1725" s="4"/>
      <c r="G1725" s="1"/>
      <c r="H1725" s="1"/>
      <c r="I1725" s="1">
        <f t="shared" si="252"/>
        <v>0</v>
      </c>
      <c r="J1725" s="1">
        <f t="shared" si="266"/>
        <v>820</v>
      </c>
      <c r="K1725" s="9" t="e">
        <f t="shared" si="265"/>
        <v>#DIV/0!</v>
      </c>
    </row>
    <row r="1726" spans="1:11" x14ac:dyDescent="0.35">
      <c r="A1726" s="2" t="s">
        <v>258</v>
      </c>
      <c r="B1726" t="s">
        <v>259</v>
      </c>
      <c r="C1726" s="21" t="s">
        <v>275</v>
      </c>
      <c r="D1726" s="4">
        <v>13</v>
      </c>
      <c r="E1726" s="4"/>
      <c r="G1726" s="1"/>
      <c r="H1726" s="1"/>
      <c r="I1726" s="1">
        <f t="shared" si="252"/>
        <v>0</v>
      </c>
      <c r="J1726" s="1">
        <f t="shared" si="266"/>
        <v>820</v>
      </c>
      <c r="K1726" s="9" t="e">
        <f t="shared" si="265"/>
        <v>#DIV/0!</v>
      </c>
    </row>
    <row r="1727" spans="1:11" x14ac:dyDescent="0.35">
      <c r="A1727" s="2" t="s">
        <v>258</v>
      </c>
      <c r="B1727" t="s">
        <v>259</v>
      </c>
      <c r="C1727" s="21" t="s">
        <v>275</v>
      </c>
      <c r="D1727" s="4">
        <v>14</v>
      </c>
      <c r="E1727" s="4"/>
      <c r="G1727" s="1"/>
      <c r="H1727" s="1"/>
      <c r="I1727" s="1">
        <f t="shared" si="252"/>
        <v>0</v>
      </c>
      <c r="J1727" s="1">
        <f t="shared" si="266"/>
        <v>820</v>
      </c>
      <c r="K1727" s="9" t="e">
        <f t="shared" si="265"/>
        <v>#DIV/0!</v>
      </c>
    </row>
    <row r="1728" spans="1:11" x14ac:dyDescent="0.35">
      <c r="A1728" s="2" t="s">
        <v>258</v>
      </c>
      <c r="B1728" t="s">
        <v>259</v>
      </c>
      <c r="C1728" s="21" t="s">
        <v>275</v>
      </c>
      <c r="D1728" s="4">
        <v>15</v>
      </c>
      <c r="E1728" s="4"/>
      <c r="G1728" s="1"/>
      <c r="H1728" s="1"/>
      <c r="I1728" s="1">
        <f t="shared" si="252"/>
        <v>0</v>
      </c>
      <c r="J1728" s="1">
        <f t="shared" si="266"/>
        <v>820</v>
      </c>
      <c r="K1728" s="9" t="e">
        <f t="shared" si="265"/>
        <v>#DIV/0!</v>
      </c>
    </row>
    <row r="1729" spans="1:11" ht="15" thickBot="1" x14ac:dyDescent="0.4">
      <c r="A1729" s="12" t="s">
        <v>258</v>
      </c>
      <c r="B1729" s="13" t="s">
        <v>259</v>
      </c>
      <c r="C1729" s="21" t="s">
        <v>275</v>
      </c>
      <c r="D1729" s="14">
        <v>16</v>
      </c>
      <c r="E1729" s="14"/>
      <c r="F1729" s="13"/>
      <c r="G1729" s="15"/>
      <c r="H1729" s="15"/>
      <c r="I1729" s="15">
        <f t="shared" si="252"/>
        <v>0</v>
      </c>
      <c r="J1729" s="15">
        <f t="shared" si="266"/>
        <v>820</v>
      </c>
      <c r="K1729" s="16" t="e">
        <f t="shared" si="265"/>
        <v>#DIV/0!</v>
      </c>
    </row>
    <row r="1730" spans="1:11" x14ac:dyDescent="0.35">
      <c r="A1730" s="2" t="s">
        <v>222</v>
      </c>
      <c r="B1730" t="s">
        <v>223</v>
      </c>
      <c r="C1730" s="21" t="s">
        <v>275</v>
      </c>
      <c r="D1730" s="4">
        <v>1</v>
      </c>
      <c r="E1730" s="4"/>
      <c r="F1730" s="3">
        <v>45936</v>
      </c>
      <c r="G1730" s="1">
        <v>6079.05</v>
      </c>
      <c r="H1730" s="1">
        <v>5782.05</v>
      </c>
      <c r="I1730" s="1">
        <f t="shared" si="252"/>
        <v>297</v>
      </c>
      <c r="J1730" s="1">
        <f>I1730</f>
        <v>297</v>
      </c>
      <c r="K1730" s="9">
        <f t="shared" ref="K1730:K1744" si="267">I1730/H1730</f>
        <v>5.1365865047863647E-2</v>
      </c>
    </row>
    <row r="1731" spans="1:11" x14ac:dyDescent="0.35">
      <c r="A1731" s="2" t="s">
        <v>222</v>
      </c>
      <c r="B1731" t="s">
        <v>223</v>
      </c>
      <c r="C1731" s="21" t="s">
        <v>275</v>
      </c>
      <c r="D1731" s="4">
        <v>2</v>
      </c>
      <c r="E1731" s="4"/>
      <c r="F1731" s="3">
        <v>45943</v>
      </c>
      <c r="G1731" s="1">
        <v>6075</v>
      </c>
      <c r="H1731" s="1">
        <v>5782</v>
      </c>
      <c r="I1731" s="1">
        <f t="shared" si="252"/>
        <v>293</v>
      </c>
      <c r="J1731" s="1">
        <f>J1730+I1731</f>
        <v>590</v>
      </c>
      <c r="K1731" s="9">
        <f t="shared" si="267"/>
        <v>5.0674507090971981E-2</v>
      </c>
    </row>
    <row r="1732" spans="1:11" x14ac:dyDescent="0.35">
      <c r="A1732" s="2" t="s">
        <v>222</v>
      </c>
      <c r="B1732" t="s">
        <v>223</v>
      </c>
      <c r="C1732" s="21" t="s">
        <v>275</v>
      </c>
      <c r="D1732" s="4">
        <v>3</v>
      </c>
      <c r="E1732" s="4"/>
      <c r="F1732" s="3">
        <v>45950</v>
      </c>
      <c r="G1732" s="1">
        <v>6071</v>
      </c>
      <c r="H1732" s="1">
        <v>5782</v>
      </c>
      <c r="I1732" s="1">
        <f t="shared" si="252"/>
        <v>289</v>
      </c>
      <c r="J1732" s="1">
        <f t="shared" ref="J1732:J1745" si="268">J1731+I1732</f>
        <v>879</v>
      </c>
      <c r="K1732" s="9">
        <f t="shared" si="267"/>
        <v>4.9982704946385334E-2</v>
      </c>
    </row>
    <row r="1733" spans="1:11" x14ac:dyDescent="0.35">
      <c r="A1733" s="2" t="s">
        <v>222</v>
      </c>
      <c r="B1733" t="s">
        <v>223</v>
      </c>
      <c r="C1733" s="21" t="s">
        <v>275</v>
      </c>
      <c r="D1733" s="4">
        <v>4</v>
      </c>
      <c r="E1733" s="4"/>
      <c r="F1733" s="3">
        <v>45957</v>
      </c>
      <c r="G1733" s="1">
        <v>6071</v>
      </c>
      <c r="H1733" s="1">
        <v>5782</v>
      </c>
      <c r="I1733" s="1">
        <f t="shared" si="252"/>
        <v>289</v>
      </c>
      <c r="J1733" s="1">
        <f t="shared" si="268"/>
        <v>1168</v>
      </c>
      <c r="K1733" s="9">
        <f t="shared" si="267"/>
        <v>4.9982704946385334E-2</v>
      </c>
    </row>
    <row r="1734" spans="1:11" x14ac:dyDescent="0.35">
      <c r="A1734" s="2" t="s">
        <v>222</v>
      </c>
      <c r="B1734" t="s">
        <v>223</v>
      </c>
      <c r="C1734" s="21" t="s">
        <v>275</v>
      </c>
      <c r="D1734" s="4">
        <v>5</v>
      </c>
      <c r="E1734" s="4"/>
      <c r="F1734" s="3">
        <v>45964</v>
      </c>
      <c r="G1734" s="1">
        <v>6071</v>
      </c>
      <c r="H1734" s="1">
        <v>5782</v>
      </c>
      <c r="I1734" s="1">
        <f t="shared" si="252"/>
        <v>289</v>
      </c>
      <c r="J1734" s="1">
        <f t="shared" si="268"/>
        <v>1457</v>
      </c>
      <c r="K1734" s="9">
        <f t="shared" si="267"/>
        <v>4.9982704946385334E-2</v>
      </c>
    </row>
    <row r="1735" spans="1:11" x14ac:dyDescent="0.35">
      <c r="A1735" s="2" t="s">
        <v>222</v>
      </c>
      <c r="B1735" t="s">
        <v>223</v>
      </c>
      <c r="C1735" s="21" t="s">
        <v>275</v>
      </c>
      <c r="D1735" s="4">
        <v>6</v>
      </c>
      <c r="E1735" s="4"/>
      <c r="G1735" s="1"/>
      <c r="H1735" s="1"/>
      <c r="I1735" s="1">
        <f t="shared" si="252"/>
        <v>0</v>
      </c>
      <c r="J1735" s="1">
        <f t="shared" si="268"/>
        <v>1457</v>
      </c>
      <c r="K1735" s="9" t="e">
        <f t="shared" si="267"/>
        <v>#DIV/0!</v>
      </c>
    </row>
    <row r="1736" spans="1:11" x14ac:dyDescent="0.35">
      <c r="A1736" s="2" t="s">
        <v>222</v>
      </c>
      <c r="B1736" t="s">
        <v>223</v>
      </c>
      <c r="C1736" s="21" t="s">
        <v>275</v>
      </c>
      <c r="D1736" s="4">
        <v>7</v>
      </c>
      <c r="E1736" s="4"/>
      <c r="G1736" s="1"/>
      <c r="H1736" s="1"/>
      <c r="I1736" s="1">
        <f t="shared" si="252"/>
        <v>0</v>
      </c>
      <c r="J1736" s="1">
        <f t="shared" si="268"/>
        <v>1457</v>
      </c>
      <c r="K1736" s="9" t="e">
        <f t="shared" si="267"/>
        <v>#DIV/0!</v>
      </c>
    </row>
    <row r="1737" spans="1:11" x14ac:dyDescent="0.35">
      <c r="A1737" s="2" t="s">
        <v>222</v>
      </c>
      <c r="B1737" t="s">
        <v>223</v>
      </c>
      <c r="C1737" s="21" t="s">
        <v>275</v>
      </c>
      <c r="D1737" s="4">
        <v>8</v>
      </c>
      <c r="E1737" s="4"/>
      <c r="G1737" s="1"/>
      <c r="H1737" s="1"/>
      <c r="I1737" s="1">
        <f t="shared" si="252"/>
        <v>0</v>
      </c>
      <c r="J1737" s="1">
        <f t="shared" si="268"/>
        <v>1457</v>
      </c>
      <c r="K1737" s="9" t="e">
        <f t="shared" si="267"/>
        <v>#DIV/0!</v>
      </c>
    </row>
    <row r="1738" spans="1:11" x14ac:dyDescent="0.35">
      <c r="A1738" s="2" t="s">
        <v>222</v>
      </c>
      <c r="B1738" t="s">
        <v>223</v>
      </c>
      <c r="C1738" s="21" t="s">
        <v>275</v>
      </c>
      <c r="D1738" s="4">
        <v>9</v>
      </c>
      <c r="E1738" s="4"/>
      <c r="G1738" s="1"/>
      <c r="H1738" s="1"/>
      <c r="I1738" s="1">
        <f t="shared" si="252"/>
        <v>0</v>
      </c>
      <c r="J1738" s="1">
        <f t="shared" si="268"/>
        <v>1457</v>
      </c>
      <c r="K1738" s="9" t="e">
        <f t="shared" si="267"/>
        <v>#DIV/0!</v>
      </c>
    </row>
    <row r="1739" spans="1:11" x14ac:dyDescent="0.35">
      <c r="A1739" s="2" t="s">
        <v>222</v>
      </c>
      <c r="B1739" t="s">
        <v>223</v>
      </c>
      <c r="C1739" s="21" t="s">
        <v>275</v>
      </c>
      <c r="D1739" s="4">
        <v>10</v>
      </c>
      <c r="E1739" s="4"/>
      <c r="G1739" s="1"/>
      <c r="H1739" s="1"/>
      <c r="I1739" s="1">
        <f t="shared" si="252"/>
        <v>0</v>
      </c>
      <c r="J1739" s="1">
        <f t="shared" si="268"/>
        <v>1457</v>
      </c>
      <c r="K1739" s="9" t="e">
        <f t="shared" si="267"/>
        <v>#DIV/0!</v>
      </c>
    </row>
    <row r="1740" spans="1:11" x14ac:dyDescent="0.35">
      <c r="A1740" s="2" t="s">
        <v>222</v>
      </c>
      <c r="B1740" t="s">
        <v>223</v>
      </c>
      <c r="C1740" s="21" t="s">
        <v>275</v>
      </c>
      <c r="D1740" s="4">
        <v>11</v>
      </c>
      <c r="E1740" s="4"/>
      <c r="G1740" s="1"/>
      <c r="H1740" s="1"/>
      <c r="I1740" s="1">
        <f t="shared" si="252"/>
        <v>0</v>
      </c>
      <c r="J1740" s="1">
        <f t="shared" si="268"/>
        <v>1457</v>
      </c>
      <c r="K1740" s="9" t="e">
        <f t="shared" si="267"/>
        <v>#DIV/0!</v>
      </c>
    </row>
    <row r="1741" spans="1:11" x14ac:dyDescent="0.35">
      <c r="A1741" s="2" t="s">
        <v>222</v>
      </c>
      <c r="B1741" t="s">
        <v>223</v>
      </c>
      <c r="C1741" s="21" t="s">
        <v>275</v>
      </c>
      <c r="D1741" s="4">
        <v>12</v>
      </c>
      <c r="E1741" s="4"/>
      <c r="G1741" s="1"/>
      <c r="H1741" s="1"/>
      <c r="I1741" s="1">
        <f t="shared" si="252"/>
        <v>0</v>
      </c>
      <c r="J1741" s="1">
        <f t="shared" si="268"/>
        <v>1457</v>
      </c>
      <c r="K1741" s="9" t="e">
        <f t="shared" si="267"/>
        <v>#DIV/0!</v>
      </c>
    </row>
    <row r="1742" spans="1:11" x14ac:dyDescent="0.35">
      <c r="A1742" s="2" t="s">
        <v>222</v>
      </c>
      <c r="B1742" t="s">
        <v>223</v>
      </c>
      <c r="C1742" s="21" t="s">
        <v>275</v>
      </c>
      <c r="D1742" s="4">
        <v>13</v>
      </c>
      <c r="E1742" s="4"/>
      <c r="G1742" s="1"/>
      <c r="H1742" s="1"/>
      <c r="I1742" s="1">
        <f t="shared" si="252"/>
        <v>0</v>
      </c>
      <c r="J1742" s="1">
        <f t="shared" si="268"/>
        <v>1457</v>
      </c>
      <c r="K1742" s="9" t="e">
        <f t="shared" si="267"/>
        <v>#DIV/0!</v>
      </c>
    </row>
    <row r="1743" spans="1:11" x14ac:dyDescent="0.35">
      <c r="A1743" s="2" t="s">
        <v>222</v>
      </c>
      <c r="B1743" t="s">
        <v>223</v>
      </c>
      <c r="C1743" s="21" t="s">
        <v>275</v>
      </c>
      <c r="D1743" s="4">
        <v>14</v>
      </c>
      <c r="E1743" s="4"/>
      <c r="G1743" s="1"/>
      <c r="H1743" s="1"/>
      <c r="I1743" s="1">
        <f t="shared" si="252"/>
        <v>0</v>
      </c>
      <c r="J1743" s="1">
        <f t="shared" si="268"/>
        <v>1457</v>
      </c>
      <c r="K1743" s="9" t="e">
        <f t="shared" si="267"/>
        <v>#DIV/0!</v>
      </c>
    </row>
    <row r="1744" spans="1:11" x14ac:dyDescent="0.35">
      <c r="A1744" s="2" t="s">
        <v>222</v>
      </c>
      <c r="B1744" t="s">
        <v>223</v>
      </c>
      <c r="C1744" s="21" t="s">
        <v>275</v>
      </c>
      <c r="D1744" s="4">
        <v>15</v>
      </c>
      <c r="E1744" s="4"/>
      <c r="G1744" s="1"/>
      <c r="H1744" s="1"/>
      <c r="I1744" s="1">
        <f t="shared" si="252"/>
        <v>0</v>
      </c>
      <c r="J1744" s="1">
        <f t="shared" si="268"/>
        <v>1457</v>
      </c>
      <c r="K1744" s="9" t="e">
        <f t="shared" si="267"/>
        <v>#DIV/0!</v>
      </c>
    </row>
    <row r="1745" spans="1:11" ht="15" thickBot="1" x14ac:dyDescent="0.4">
      <c r="A1745" s="12" t="s">
        <v>222</v>
      </c>
      <c r="B1745" s="13" t="s">
        <v>223</v>
      </c>
      <c r="C1745" s="21" t="s">
        <v>275</v>
      </c>
      <c r="D1745" s="14">
        <v>16</v>
      </c>
      <c r="E1745" s="14"/>
      <c r="F1745" s="13"/>
      <c r="G1745" s="15"/>
      <c r="H1745" s="15"/>
      <c r="I1745" s="15">
        <f t="shared" si="252"/>
        <v>0</v>
      </c>
      <c r="J1745" s="15">
        <f t="shared" si="268"/>
        <v>1457</v>
      </c>
      <c r="K1745" s="13"/>
    </row>
    <row r="1746" spans="1:11" x14ac:dyDescent="0.35">
      <c r="A1746" s="2" t="s">
        <v>203</v>
      </c>
      <c r="B1746" t="s">
        <v>206</v>
      </c>
      <c r="C1746" s="21" t="s">
        <v>275</v>
      </c>
      <c r="D1746" s="4">
        <v>1</v>
      </c>
      <c r="E1746" s="4"/>
      <c r="F1746" s="3">
        <v>45933</v>
      </c>
      <c r="G1746" s="1">
        <v>12800</v>
      </c>
      <c r="H1746" s="1">
        <v>12160</v>
      </c>
      <c r="I1746" s="1">
        <f t="shared" si="252"/>
        <v>640</v>
      </c>
      <c r="J1746" s="1">
        <f>I1746</f>
        <v>640</v>
      </c>
      <c r="K1746" s="9">
        <f t="shared" ref="K1746:K1760" si="269">I1746/H1746</f>
        <v>5.2631578947368418E-2</v>
      </c>
    </row>
    <row r="1747" spans="1:11" x14ac:dyDescent="0.35">
      <c r="A1747" s="2" t="s">
        <v>203</v>
      </c>
      <c r="B1747" t="s">
        <v>206</v>
      </c>
      <c r="C1747" s="21" t="s">
        <v>275</v>
      </c>
      <c r="D1747" s="4">
        <v>2</v>
      </c>
      <c r="E1747" s="4"/>
      <c r="F1747" s="3">
        <v>45940</v>
      </c>
      <c r="G1747" s="1">
        <v>12800</v>
      </c>
      <c r="H1747" s="1">
        <v>12160</v>
      </c>
      <c r="I1747" s="1">
        <f t="shared" ref="I1747:I1826" si="270">G1747-H1747</f>
        <v>640</v>
      </c>
      <c r="J1747" s="1">
        <f>J1746+I1747</f>
        <v>1280</v>
      </c>
      <c r="K1747" s="9">
        <f t="shared" si="269"/>
        <v>5.2631578947368418E-2</v>
      </c>
    </row>
    <row r="1748" spans="1:11" x14ac:dyDescent="0.35">
      <c r="A1748" s="2" t="s">
        <v>203</v>
      </c>
      <c r="B1748" t="s">
        <v>206</v>
      </c>
      <c r="C1748" s="21" t="s">
        <v>275</v>
      </c>
      <c r="D1748" s="4">
        <v>3</v>
      </c>
      <c r="E1748" s="4"/>
      <c r="F1748" s="3">
        <v>45947</v>
      </c>
      <c r="G1748" s="1">
        <v>12800</v>
      </c>
      <c r="H1748" s="1">
        <v>12160</v>
      </c>
      <c r="I1748" s="1">
        <f t="shared" si="270"/>
        <v>640</v>
      </c>
      <c r="J1748" s="1">
        <f t="shared" ref="J1748:J1761" si="271">J1747+I1748</f>
        <v>1920</v>
      </c>
      <c r="K1748" s="9">
        <f t="shared" si="269"/>
        <v>5.2631578947368418E-2</v>
      </c>
    </row>
    <row r="1749" spans="1:11" x14ac:dyDescent="0.35">
      <c r="A1749" s="2" t="s">
        <v>203</v>
      </c>
      <c r="B1749" t="s">
        <v>206</v>
      </c>
      <c r="C1749" s="21" t="s">
        <v>275</v>
      </c>
      <c r="D1749" s="4">
        <v>4</v>
      </c>
      <c r="E1749" s="4"/>
      <c r="F1749" s="3">
        <v>45954</v>
      </c>
      <c r="G1749" s="1">
        <v>12800</v>
      </c>
      <c r="H1749" s="1">
        <v>12160</v>
      </c>
      <c r="I1749" s="1">
        <f t="shared" si="270"/>
        <v>640</v>
      </c>
      <c r="J1749" s="1">
        <f t="shared" si="271"/>
        <v>2560</v>
      </c>
      <c r="K1749" s="9">
        <f t="shared" si="269"/>
        <v>5.2631578947368418E-2</v>
      </c>
    </row>
    <row r="1750" spans="1:11" x14ac:dyDescent="0.35">
      <c r="A1750" s="2" t="s">
        <v>203</v>
      </c>
      <c r="B1750" t="s">
        <v>206</v>
      </c>
      <c r="C1750" s="21" t="s">
        <v>275</v>
      </c>
      <c r="D1750" s="4">
        <v>5</v>
      </c>
      <c r="E1750" s="4"/>
      <c r="F1750" s="3">
        <v>45961</v>
      </c>
      <c r="G1750" s="1">
        <v>12800</v>
      </c>
      <c r="H1750" s="1">
        <v>12161</v>
      </c>
      <c r="I1750" s="1">
        <f t="shared" si="270"/>
        <v>639</v>
      </c>
      <c r="J1750" s="1">
        <f t="shared" si="271"/>
        <v>3199</v>
      </c>
      <c r="K1750" s="9">
        <f t="shared" si="269"/>
        <v>5.2545020968670336E-2</v>
      </c>
    </row>
    <row r="1751" spans="1:11" x14ac:dyDescent="0.35">
      <c r="A1751" s="2" t="s">
        <v>203</v>
      </c>
      <c r="B1751" t="s">
        <v>206</v>
      </c>
      <c r="C1751" s="21" t="s">
        <v>275</v>
      </c>
      <c r="D1751" s="4">
        <v>6</v>
      </c>
      <c r="E1751" s="4"/>
      <c r="F1751" s="3">
        <v>45968</v>
      </c>
      <c r="G1751" s="34">
        <v>12800</v>
      </c>
      <c r="H1751" s="34">
        <v>12161</v>
      </c>
      <c r="I1751" s="1">
        <f t="shared" si="270"/>
        <v>639</v>
      </c>
      <c r="J1751" s="1">
        <f t="shared" si="271"/>
        <v>3838</v>
      </c>
      <c r="K1751" s="9">
        <f t="shared" si="269"/>
        <v>5.2545020968670336E-2</v>
      </c>
    </row>
    <row r="1752" spans="1:11" x14ac:dyDescent="0.35">
      <c r="A1752" s="2" t="s">
        <v>203</v>
      </c>
      <c r="B1752" t="s">
        <v>206</v>
      </c>
      <c r="C1752" s="21" t="s">
        <v>275</v>
      </c>
      <c r="D1752" s="4">
        <v>7</v>
      </c>
      <c r="E1752" s="4"/>
      <c r="G1752" s="1"/>
      <c r="H1752" s="1"/>
      <c r="I1752" s="1">
        <f t="shared" si="270"/>
        <v>0</v>
      </c>
      <c r="J1752" s="1">
        <f t="shared" si="271"/>
        <v>3838</v>
      </c>
      <c r="K1752" s="9" t="e">
        <f t="shared" si="269"/>
        <v>#DIV/0!</v>
      </c>
    </row>
    <row r="1753" spans="1:11" x14ac:dyDescent="0.35">
      <c r="A1753" s="2" t="s">
        <v>203</v>
      </c>
      <c r="B1753" t="s">
        <v>206</v>
      </c>
      <c r="C1753" s="21" t="s">
        <v>275</v>
      </c>
      <c r="D1753" s="4">
        <v>8</v>
      </c>
      <c r="E1753" s="4"/>
      <c r="G1753" s="1"/>
      <c r="H1753" s="1"/>
      <c r="I1753" s="1">
        <f t="shared" si="270"/>
        <v>0</v>
      </c>
      <c r="J1753" s="1">
        <f t="shared" si="271"/>
        <v>3838</v>
      </c>
      <c r="K1753" s="9" t="e">
        <f t="shared" si="269"/>
        <v>#DIV/0!</v>
      </c>
    </row>
    <row r="1754" spans="1:11" x14ac:dyDescent="0.35">
      <c r="A1754" s="2" t="s">
        <v>203</v>
      </c>
      <c r="B1754" t="s">
        <v>206</v>
      </c>
      <c r="C1754" s="21" t="s">
        <v>275</v>
      </c>
      <c r="D1754" s="4">
        <v>9</v>
      </c>
      <c r="E1754" s="4"/>
      <c r="G1754" s="1"/>
      <c r="H1754" s="1"/>
      <c r="I1754" s="1">
        <f t="shared" si="270"/>
        <v>0</v>
      </c>
      <c r="J1754" s="1">
        <f t="shared" si="271"/>
        <v>3838</v>
      </c>
      <c r="K1754" s="9" t="e">
        <f t="shared" si="269"/>
        <v>#DIV/0!</v>
      </c>
    </row>
    <row r="1755" spans="1:11" x14ac:dyDescent="0.35">
      <c r="A1755" s="2" t="s">
        <v>203</v>
      </c>
      <c r="B1755" t="s">
        <v>206</v>
      </c>
      <c r="C1755" s="21" t="s">
        <v>275</v>
      </c>
      <c r="D1755" s="4">
        <v>10</v>
      </c>
      <c r="E1755" s="4"/>
      <c r="G1755" s="1"/>
      <c r="H1755" s="1"/>
      <c r="I1755" s="1">
        <f t="shared" si="270"/>
        <v>0</v>
      </c>
      <c r="J1755" s="1">
        <f t="shared" si="271"/>
        <v>3838</v>
      </c>
      <c r="K1755" s="9" t="e">
        <f t="shared" si="269"/>
        <v>#DIV/0!</v>
      </c>
    </row>
    <row r="1756" spans="1:11" x14ac:dyDescent="0.35">
      <c r="A1756" s="2" t="s">
        <v>203</v>
      </c>
      <c r="B1756" t="s">
        <v>206</v>
      </c>
      <c r="C1756" s="21" t="s">
        <v>275</v>
      </c>
      <c r="D1756" s="4">
        <v>11</v>
      </c>
      <c r="E1756" s="4"/>
      <c r="G1756" s="1"/>
      <c r="H1756" s="1"/>
      <c r="I1756" s="1">
        <f t="shared" si="270"/>
        <v>0</v>
      </c>
      <c r="J1756" s="1">
        <f t="shared" si="271"/>
        <v>3838</v>
      </c>
      <c r="K1756" s="9" t="e">
        <f t="shared" si="269"/>
        <v>#DIV/0!</v>
      </c>
    </row>
    <row r="1757" spans="1:11" x14ac:dyDescent="0.35">
      <c r="A1757" s="2" t="s">
        <v>203</v>
      </c>
      <c r="B1757" t="s">
        <v>206</v>
      </c>
      <c r="C1757" s="21" t="s">
        <v>275</v>
      </c>
      <c r="D1757" s="4">
        <v>12</v>
      </c>
      <c r="E1757" s="4"/>
      <c r="G1757" s="1"/>
      <c r="H1757" s="1"/>
      <c r="I1757" s="1">
        <f t="shared" si="270"/>
        <v>0</v>
      </c>
      <c r="J1757" s="1">
        <f t="shared" si="271"/>
        <v>3838</v>
      </c>
      <c r="K1757" s="9" t="e">
        <f t="shared" si="269"/>
        <v>#DIV/0!</v>
      </c>
    </row>
    <row r="1758" spans="1:11" x14ac:dyDescent="0.35">
      <c r="A1758" s="2" t="s">
        <v>203</v>
      </c>
      <c r="B1758" t="s">
        <v>206</v>
      </c>
      <c r="C1758" s="21" t="s">
        <v>275</v>
      </c>
      <c r="D1758" s="4">
        <v>13</v>
      </c>
      <c r="E1758" s="4"/>
      <c r="G1758" s="1"/>
      <c r="H1758" s="1"/>
      <c r="I1758" s="1">
        <f t="shared" si="270"/>
        <v>0</v>
      </c>
      <c r="J1758" s="1">
        <f t="shared" si="271"/>
        <v>3838</v>
      </c>
      <c r="K1758" s="9" t="e">
        <f t="shared" si="269"/>
        <v>#DIV/0!</v>
      </c>
    </row>
    <row r="1759" spans="1:11" x14ac:dyDescent="0.35">
      <c r="A1759" s="2" t="s">
        <v>203</v>
      </c>
      <c r="B1759" t="s">
        <v>206</v>
      </c>
      <c r="C1759" s="21" t="s">
        <v>275</v>
      </c>
      <c r="D1759" s="4">
        <v>14</v>
      </c>
      <c r="E1759" s="4"/>
      <c r="G1759" s="1"/>
      <c r="H1759" s="1"/>
      <c r="I1759" s="1">
        <f t="shared" si="270"/>
        <v>0</v>
      </c>
      <c r="J1759" s="1">
        <f t="shared" si="271"/>
        <v>3838</v>
      </c>
      <c r="K1759" s="9" t="e">
        <f t="shared" si="269"/>
        <v>#DIV/0!</v>
      </c>
    </row>
    <row r="1760" spans="1:11" x14ac:dyDescent="0.35">
      <c r="A1760" s="2" t="s">
        <v>203</v>
      </c>
      <c r="B1760" t="s">
        <v>206</v>
      </c>
      <c r="C1760" s="21" t="s">
        <v>275</v>
      </c>
      <c r="D1760" s="4">
        <v>15</v>
      </c>
      <c r="E1760" s="4"/>
      <c r="G1760" s="1"/>
      <c r="H1760" s="1"/>
      <c r="I1760" s="1">
        <f t="shared" si="270"/>
        <v>0</v>
      </c>
      <c r="J1760" s="1">
        <f t="shared" si="271"/>
        <v>3838</v>
      </c>
      <c r="K1760" s="9" t="e">
        <f t="shared" si="269"/>
        <v>#DIV/0!</v>
      </c>
    </row>
    <row r="1761" spans="1:11" ht="15" thickBot="1" x14ac:dyDescent="0.4">
      <c r="A1761" s="12" t="s">
        <v>203</v>
      </c>
      <c r="B1761" s="13" t="s">
        <v>206</v>
      </c>
      <c r="C1761" s="21" t="s">
        <v>275</v>
      </c>
      <c r="D1761" s="14">
        <v>16</v>
      </c>
      <c r="E1761" s="14"/>
      <c r="F1761" s="13"/>
      <c r="G1761" s="15"/>
      <c r="H1761" s="15"/>
      <c r="I1761" s="15">
        <f t="shared" si="270"/>
        <v>0</v>
      </c>
      <c r="J1761" s="15">
        <f t="shared" si="271"/>
        <v>3838</v>
      </c>
      <c r="K1761" s="13"/>
    </row>
    <row r="1762" spans="1:11" x14ac:dyDescent="0.35">
      <c r="A1762" s="2" t="s">
        <v>224</v>
      </c>
      <c r="B1762" t="s">
        <v>18</v>
      </c>
      <c r="C1762" s="21" t="s">
        <v>275</v>
      </c>
      <c r="D1762" s="4">
        <v>1</v>
      </c>
      <c r="E1762" s="4"/>
      <c r="F1762" s="3">
        <v>45936</v>
      </c>
      <c r="G1762" s="1">
        <v>4665</v>
      </c>
      <c r="H1762" s="1">
        <v>4332.04</v>
      </c>
      <c r="I1762" s="1">
        <f t="shared" si="270"/>
        <v>332.96000000000004</v>
      </c>
      <c r="J1762" s="1">
        <f>I1762</f>
        <v>332.96000000000004</v>
      </c>
      <c r="K1762" s="9">
        <f t="shared" ref="K1762:K1776" si="272">I1762/H1762</f>
        <v>7.6859862789817282E-2</v>
      </c>
    </row>
    <row r="1763" spans="1:11" x14ac:dyDescent="0.35">
      <c r="A1763" s="2" t="s">
        <v>224</v>
      </c>
      <c r="B1763" t="s">
        <v>18</v>
      </c>
      <c r="C1763" s="21" t="s">
        <v>275</v>
      </c>
      <c r="D1763" s="4">
        <v>2</v>
      </c>
      <c r="E1763" s="4"/>
      <c r="F1763" s="3">
        <v>45943</v>
      </c>
      <c r="G1763" s="1">
        <v>4332</v>
      </c>
      <c r="H1763" s="1">
        <v>4332</v>
      </c>
      <c r="I1763" s="1">
        <f t="shared" si="270"/>
        <v>0</v>
      </c>
      <c r="J1763" s="1">
        <f>J1762+I1763</f>
        <v>332.96000000000004</v>
      </c>
      <c r="K1763" s="9">
        <f t="shared" si="272"/>
        <v>0</v>
      </c>
    </row>
    <row r="1764" spans="1:11" x14ac:dyDescent="0.35">
      <c r="A1764" s="2" t="s">
        <v>224</v>
      </c>
      <c r="B1764" t="s">
        <v>18</v>
      </c>
      <c r="C1764" s="21" t="s">
        <v>275</v>
      </c>
      <c r="D1764" s="4">
        <v>3</v>
      </c>
      <c r="E1764" s="4"/>
      <c r="F1764" s="3">
        <v>45950</v>
      </c>
      <c r="G1764" s="1">
        <v>4765</v>
      </c>
      <c r="H1764" s="1">
        <v>4333</v>
      </c>
      <c r="I1764" s="1">
        <f t="shared" si="270"/>
        <v>432</v>
      </c>
      <c r="J1764" s="1">
        <f t="shared" ref="J1764:J1777" si="273">J1763+I1764</f>
        <v>764.96</v>
      </c>
      <c r="K1764" s="9">
        <f t="shared" si="272"/>
        <v>9.9699976921301642E-2</v>
      </c>
    </row>
    <row r="1765" spans="1:11" x14ac:dyDescent="0.35">
      <c r="A1765" s="2" t="s">
        <v>224</v>
      </c>
      <c r="B1765" t="s">
        <v>18</v>
      </c>
      <c r="C1765" s="21" t="s">
        <v>275</v>
      </c>
      <c r="D1765" s="4">
        <v>4</v>
      </c>
      <c r="E1765" s="4"/>
      <c r="F1765" s="3">
        <v>45957</v>
      </c>
      <c r="G1765" s="1">
        <v>4765</v>
      </c>
      <c r="H1765" s="1">
        <v>4333</v>
      </c>
      <c r="I1765" s="1">
        <f t="shared" si="270"/>
        <v>432</v>
      </c>
      <c r="J1765" s="1">
        <f t="shared" si="273"/>
        <v>1196.96</v>
      </c>
      <c r="K1765" s="9">
        <f t="shared" si="272"/>
        <v>9.9699976921301642E-2</v>
      </c>
    </row>
    <row r="1766" spans="1:11" x14ac:dyDescent="0.35">
      <c r="A1766" s="2" t="s">
        <v>224</v>
      </c>
      <c r="B1766" t="s">
        <v>18</v>
      </c>
      <c r="C1766" s="21" t="s">
        <v>275</v>
      </c>
      <c r="D1766" s="4">
        <v>5</v>
      </c>
      <c r="E1766" s="4"/>
      <c r="F1766" s="3">
        <v>45964</v>
      </c>
      <c r="G1766" s="1">
        <v>4765</v>
      </c>
      <c r="H1766" s="1">
        <v>4333</v>
      </c>
      <c r="I1766" s="1">
        <f t="shared" si="270"/>
        <v>432</v>
      </c>
      <c r="J1766" s="1">
        <f t="shared" si="273"/>
        <v>1628.96</v>
      </c>
      <c r="K1766" s="9">
        <f t="shared" si="272"/>
        <v>9.9699976921301642E-2</v>
      </c>
    </row>
    <row r="1767" spans="1:11" x14ac:dyDescent="0.35">
      <c r="A1767" s="2" t="s">
        <v>224</v>
      </c>
      <c r="B1767" t="s">
        <v>18</v>
      </c>
      <c r="C1767" s="21" t="s">
        <v>275</v>
      </c>
      <c r="D1767" s="4">
        <v>6</v>
      </c>
      <c r="E1767" s="4"/>
      <c r="G1767" s="1"/>
      <c r="H1767" s="1"/>
      <c r="I1767" s="1">
        <f t="shared" si="270"/>
        <v>0</v>
      </c>
      <c r="J1767" s="1">
        <f t="shared" si="273"/>
        <v>1628.96</v>
      </c>
      <c r="K1767" s="9" t="e">
        <f t="shared" si="272"/>
        <v>#DIV/0!</v>
      </c>
    </row>
    <row r="1768" spans="1:11" x14ac:dyDescent="0.35">
      <c r="A1768" s="2" t="s">
        <v>224</v>
      </c>
      <c r="B1768" t="s">
        <v>18</v>
      </c>
      <c r="C1768" s="21" t="s">
        <v>275</v>
      </c>
      <c r="D1768" s="4">
        <v>7</v>
      </c>
      <c r="E1768" s="4"/>
      <c r="G1768" s="1"/>
      <c r="H1768" s="1"/>
      <c r="I1768" s="1">
        <f t="shared" si="270"/>
        <v>0</v>
      </c>
      <c r="J1768" s="1">
        <f t="shared" si="273"/>
        <v>1628.96</v>
      </c>
      <c r="K1768" s="9" t="e">
        <f t="shared" si="272"/>
        <v>#DIV/0!</v>
      </c>
    </row>
    <row r="1769" spans="1:11" x14ac:dyDescent="0.35">
      <c r="A1769" s="2" t="s">
        <v>224</v>
      </c>
      <c r="B1769" t="s">
        <v>18</v>
      </c>
      <c r="C1769" s="21" t="s">
        <v>275</v>
      </c>
      <c r="D1769" s="4">
        <v>8</v>
      </c>
      <c r="E1769" s="4"/>
      <c r="G1769" s="1"/>
      <c r="H1769" s="1"/>
      <c r="I1769" s="1">
        <f t="shared" si="270"/>
        <v>0</v>
      </c>
      <c r="J1769" s="1">
        <f t="shared" si="273"/>
        <v>1628.96</v>
      </c>
      <c r="K1769" s="9" t="e">
        <f t="shared" si="272"/>
        <v>#DIV/0!</v>
      </c>
    </row>
    <row r="1770" spans="1:11" x14ac:dyDescent="0.35">
      <c r="A1770" s="2" t="s">
        <v>224</v>
      </c>
      <c r="B1770" t="s">
        <v>18</v>
      </c>
      <c r="C1770" s="21" t="s">
        <v>275</v>
      </c>
      <c r="D1770" s="4">
        <v>9</v>
      </c>
      <c r="E1770" s="4"/>
      <c r="G1770" s="1"/>
      <c r="H1770" s="1"/>
      <c r="I1770" s="1">
        <f t="shared" si="270"/>
        <v>0</v>
      </c>
      <c r="J1770" s="1">
        <f t="shared" si="273"/>
        <v>1628.96</v>
      </c>
      <c r="K1770" s="9" t="e">
        <f t="shared" si="272"/>
        <v>#DIV/0!</v>
      </c>
    </row>
    <row r="1771" spans="1:11" x14ac:dyDescent="0.35">
      <c r="A1771" s="2" t="s">
        <v>224</v>
      </c>
      <c r="B1771" t="s">
        <v>18</v>
      </c>
      <c r="C1771" s="21" t="s">
        <v>275</v>
      </c>
      <c r="D1771" s="4">
        <v>10</v>
      </c>
      <c r="E1771" s="4"/>
      <c r="G1771" s="1"/>
      <c r="H1771" s="1"/>
      <c r="I1771" s="1">
        <f t="shared" si="270"/>
        <v>0</v>
      </c>
      <c r="J1771" s="1">
        <f t="shared" si="273"/>
        <v>1628.96</v>
      </c>
      <c r="K1771" s="9" t="e">
        <f t="shared" si="272"/>
        <v>#DIV/0!</v>
      </c>
    </row>
    <row r="1772" spans="1:11" x14ac:dyDescent="0.35">
      <c r="A1772" s="2" t="s">
        <v>224</v>
      </c>
      <c r="B1772" t="s">
        <v>18</v>
      </c>
      <c r="C1772" s="21" t="s">
        <v>275</v>
      </c>
      <c r="D1772" s="4">
        <v>11</v>
      </c>
      <c r="E1772" s="4"/>
      <c r="G1772" s="1"/>
      <c r="H1772" s="1"/>
      <c r="I1772" s="1">
        <f t="shared" si="270"/>
        <v>0</v>
      </c>
      <c r="J1772" s="1">
        <f t="shared" si="273"/>
        <v>1628.96</v>
      </c>
      <c r="K1772" s="9" t="e">
        <f t="shared" si="272"/>
        <v>#DIV/0!</v>
      </c>
    </row>
    <row r="1773" spans="1:11" x14ac:dyDescent="0.35">
      <c r="A1773" s="2" t="s">
        <v>224</v>
      </c>
      <c r="B1773" t="s">
        <v>18</v>
      </c>
      <c r="C1773" s="21" t="s">
        <v>275</v>
      </c>
      <c r="D1773" s="4">
        <v>12</v>
      </c>
      <c r="E1773" s="4"/>
      <c r="G1773" s="1"/>
      <c r="H1773" s="1"/>
      <c r="I1773" s="1">
        <f t="shared" si="270"/>
        <v>0</v>
      </c>
      <c r="J1773" s="1">
        <f t="shared" si="273"/>
        <v>1628.96</v>
      </c>
      <c r="K1773" s="9" t="e">
        <f t="shared" si="272"/>
        <v>#DIV/0!</v>
      </c>
    </row>
    <row r="1774" spans="1:11" x14ac:dyDescent="0.35">
      <c r="A1774" s="2" t="s">
        <v>224</v>
      </c>
      <c r="B1774" t="s">
        <v>18</v>
      </c>
      <c r="C1774" s="21" t="s">
        <v>275</v>
      </c>
      <c r="D1774" s="4">
        <v>13</v>
      </c>
      <c r="E1774" s="4"/>
      <c r="G1774" s="1"/>
      <c r="H1774" s="1"/>
      <c r="I1774" s="1">
        <f t="shared" si="270"/>
        <v>0</v>
      </c>
      <c r="J1774" s="1">
        <f t="shared" si="273"/>
        <v>1628.96</v>
      </c>
      <c r="K1774" s="9" t="e">
        <f t="shared" si="272"/>
        <v>#DIV/0!</v>
      </c>
    </row>
    <row r="1775" spans="1:11" x14ac:dyDescent="0.35">
      <c r="A1775" s="2" t="s">
        <v>224</v>
      </c>
      <c r="B1775" t="s">
        <v>18</v>
      </c>
      <c r="C1775" s="21" t="s">
        <v>275</v>
      </c>
      <c r="D1775" s="4">
        <v>14</v>
      </c>
      <c r="E1775" s="4"/>
      <c r="G1775" s="1"/>
      <c r="H1775" s="1"/>
      <c r="I1775" s="1">
        <f t="shared" si="270"/>
        <v>0</v>
      </c>
      <c r="J1775" s="1">
        <f t="shared" si="273"/>
        <v>1628.96</v>
      </c>
      <c r="K1775" s="9" t="e">
        <f t="shared" si="272"/>
        <v>#DIV/0!</v>
      </c>
    </row>
    <row r="1776" spans="1:11" x14ac:dyDescent="0.35">
      <c r="A1776" s="2" t="s">
        <v>224</v>
      </c>
      <c r="B1776" t="s">
        <v>18</v>
      </c>
      <c r="C1776" s="21" t="s">
        <v>275</v>
      </c>
      <c r="D1776" s="4">
        <v>15</v>
      </c>
      <c r="E1776" s="4"/>
      <c r="G1776" s="1"/>
      <c r="H1776" s="1"/>
      <c r="I1776" s="1">
        <f t="shared" si="270"/>
        <v>0</v>
      </c>
      <c r="J1776" s="1">
        <f t="shared" si="273"/>
        <v>1628.96</v>
      </c>
      <c r="K1776" s="9" t="e">
        <f t="shared" si="272"/>
        <v>#DIV/0!</v>
      </c>
    </row>
    <row r="1777" spans="1:12" ht="15" thickBot="1" x14ac:dyDescent="0.4">
      <c r="A1777" s="12" t="s">
        <v>224</v>
      </c>
      <c r="B1777" s="13" t="s">
        <v>18</v>
      </c>
      <c r="C1777" s="21" t="s">
        <v>275</v>
      </c>
      <c r="D1777" s="14">
        <v>16</v>
      </c>
      <c r="E1777" s="14"/>
      <c r="F1777" s="13"/>
      <c r="G1777" s="15"/>
      <c r="H1777" s="15"/>
      <c r="I1777" s="15">
        <f t="shared" si="270"/>
        <v>0</v>
      </c>
      <c r="J1777" s="15">
        <f t="shared" si="273"/>
        <v>1628.96</v>
      </c>
      <c r="K1777" s="13"/>
    </row>
    <row r="1778" spans="1:12" x14ac:dyDescent="0.35">
      <c r="A1778" s="2" t="s">
        <v>225</v>
      </c>
      <c r="B1778" t="s">
        <v>230</v>
      </c>
      <c r="C1778" s="21" t="s">
        <v>275</v>
      </c>
      <c r="D1778" s="4">
        <v>1</v>
      </c>
      <c r="E1778" s="4">
        <v>4940.04</v>
      </c>
      <c r="F1778" s="3">
        <v>45937</v>
      </c>
      <c r="G1778" s="1">
        <v>5298</v>
      </c>
      <c r="H1778" s="1">
        <v>4940.04</v>
      </c>
      <c r="I1778" s="1">
        <f t="shared" si="270"/>
        <v>357.96000000000004</v>
      </c>
      <c r="J1778" s="1">
        <f>I1778</f>
        <v>357.96000000000004</v>
      </c>
      <c r="K1778" s="9">
        <f t="shared" ref="K1778:K1792" si="274">I1778/H1778</f>
        <v>7.2460951733184356E-2</v>
      </c>
      <c r="L1778" s="19">
        <f>E1778-H1778</f>
        <v>0</v>
      </c>
    </row>
    <row r="1779" spans="1:12" x14ac:dyDescent="0.35">
      <c r="A1779" s="2" t="s">
        <v>225</v>
      </c>
      <c r="B1779" t="s">
        <v>230</v>
      </c>
      <c r="C1779" s="21" t="s">
        <v>275</v>
      </c>
      <c r="D1779" s="4">
        <v>2</v>
      </c>
      <c r="E1779" s="4">
        <v>4940.04</v>
      </c>
      <c r="F1779" s="3">
        <v>45946</v>
      </c>
      <c r="G1779" s="1">
        <v>4995</v>
      </c>
      <c r="H1779" s="1">
        <v>4995</v>
      </c>
      <c r="I1779" s="1">
        <f t="shared" si="270"/>
        <v>0</v>
      </c>
      <c r="J1779" s="1">
        <f>J1778+I1779</f>
        <v>357.96000000000004</v>
      </c>
      <c r="K1779" s="9">
        <f t="shared" si="274"/>
        <v>0</v>
      </c>
      <c r="L1779" s="19">
        <f t="shared" ref="L1779:L1792" si="275">E1779-H1779</f>
        <v>-54.960000000000036</v>
      </c>
    </row>
    <row r="1780" spans="1:12" x14ac:dyDescent="0.35">
      <c r="A1780" s="2" t="s">
        <v>225</v>
      </c>
      <c r="B1780" t="s">
        <v>230</v>
      </c>
      <c r="C1780" s="21" t="s">
        <v>275</v>
      </c>
      <c r="D1780" s="4">
        <v>3</v>
      </c>
      <c r="E1780" s="4">
        <v>4940.04</v>
      </c>
      <c r="F1780" s="3">
        <v>45951</v>
      </c>
      <c r="G1780" s="1">
        <v>5513</v>
      </c>
      <c r="H1780" s="1">
        <v>4940</v>
      </c>
      <c r="I1780" s="1">
        <f t="shared" si="270"/>
        <v>573</v>
      </c>
      <c r="J1780" s="1">
        <f t="shared" ref="J1780:J1793" si="276">J1779+I1780</f>
        <v>930.96</v>
      </c>
      <c r="K1780" s="9">
        <f t="shared" si="274"/>
        <v>0.11599190283400809</v>
      </c>
      <c r="L1780" s="19">
        <f t="shared" si="275"/>
        <v>3.999999999996362E-2</v>
      </c>
    </row>
    <row r="1781" spans="1:12" x14ac:dyDescent="0.35">
      <c r="A1781" s="2" t="s">
        <v>225</v>
      </c>
      <c r="B1781" t="s">
        <v>230</v>
      </c>
      <c r="C1781" s="21" t="s">
        <v>275</v>
      </c>
      <c r="D1781" s="4">
        <v>4</v>
      </c>
      <c r="E1781" s="4">
        <v>4940.04</v>
      </c>
      <c r="F1781" s="3">
        <v>45964</v>
      </c>
      <c r="G1781" s="1">
        <f>1305+2604+1305</f>
        <v>5214</v>
      </c>
      <c r="H1781" s="1">
        <f>1305+2604+1031.04</f>
        <v>4940.04</v>
      </c>
      <c r="I1781" s="1">
        <f t="shared" si="270"/>
        <v>273.96000000000004</v>
      </c>
      <c r="J1781" s="1">
        <f t="shared" si="276"/>
        <v>1204.92</v>
      </c>
      <c r="K1781" s="9">
        <f t="shared" si="274"/>
        <v>5.5457040833677466E-2</v>
      </c>
      <c r="L1781" s="19">
        <f t="shared" si="275"/>
        <v>0</v>
      </c>
    </row>
    <row r="1782" spans="1:12" x14ac:dyDescent="0.35">
      <c r="A1782" s="2" t="s">
        <v>225</v>
      </c>
      <c r="B1782" t="s">
        <v>230</v>
      </c>
      <c r="C1782" s="21" t="s">
        <v>275</v>
      </c>
      <c r="D1782" s="4">
        <v>5</v>
      </c>
      <c r="E1782" s="4">
        <v>4940.04</v>
      </c>
      <c r="F1782" s="3">
        <v>45964</v>
      </c>
      <c r="G1782" s="1">
        <v>1794</v>
      </c>
      <c r="H1782" s="1">
        <v>1794</v>
      </c>
      <c r="I1782" s="1">
        <f t="shared" si="270"/>
        <v>0</v>
      </c>
      <c r="J1782" s="1">
        <f t="shared" si="276"/>
        <v>1204.92</v>
      </c>
      <c r="K1782" s="9">
        <f t="shared" si="274"/>
        <v>0</v>
      </c>
      <c r="L1782" s="19">
        <f t="shared" si="275"/>
        <v>3146.04</v>
      </c>
    </row>
    <row r="1783" spans="1:12" x14ac:dyDescent="0.35">
      <c r="A1783" s="2" t="s">
        <v>225</v>
      </c>
      <c r="B1783" t="s">
        <v>230</v>
      </c>
      <c r="C1783" s="21" t="s">
        <v>275</v>
      </c>
      <c r="D1783" s="4">
        <v>6</v>
      </c>
      <c r="E1783" s="4">
        <v>4940.04</v>
      </c>
      <c r="F1783" s="3"/>
      <c r="G1783" s="1"/>
      <c r="H1783" s="1"/>
      <c r="I1783" s="1">
        <f t="shared" si="270"/>
        <v>0</v>
      </c>
      <c r="J1783" s="1">
        <f t="shared" si="276"/>
        <v>1204.92</v>
      </c>
      <c r="K1783" s="9" t="e">
        <f t="shared" si="274"/>
        <v>#DIV/0!</v>
      </c>
      <c r="L1783" s="19">
        <f t="shared" si="275"/>
        <v>4940.04</v>
      </c>
    </row>
    <row r="1784" spans="1:12" x14ac:dyDescent="0.35">
      <c r="A1784" s="2" t="s">
        <v>225</v>
      </c>
      <c r="B1784" t="s">
        <v>230</v>
      </c>
      <c r="C1784" s="21" t="s">
        <v>275</v>
      </c>
      <c r="D1784" s="4">
        <v>7</v>
      </c>
      <c r="E1784" s="4">
        <v>4940.04</v>
      </c>
      <c r="G1784" s="1"/>
      <c r="H1784" s="1"/>
      <c r="I1784" s="1">
        <f t="shared" si="270"/>
        <v>0</v>
      </c>
      <c r="J1784" s="1">
        <f t="shared" si="276"/>
        <v>1204.92</v>
      </c>
      <c r="K1784" s="9" t="e">
        <f t="shared" si="274"/>
        <v>#DIV/0!</v>
      </c>
      <c r="L1784" s="19">
        <f t="shared" si="275"/>
        <v>4940.04</v>
      </c>
    </row>
    <row r="1785" spans="1:12" x14ac:dyDescent="0.35">
      <c r="A1785" s="2" t="s">
        <v>225</v>
      </c>
      <c r="B1785" t="s">
        <v>230</v>
      </c>
      <c r="C1785" s="21" t="s">
        <v>275</v>
      </c>
      <c r="D1785" s="4">
        <v>8</v>
      </c>
      <c r="E1785" s="4">
        <v>4940.04</v>
      </c>
      <c r="G1785" s="1"/>
      <c r="H1785" s="1"/>
      <c r="I1785" s="1">
        <f t="shared" si="270"/>
        <v>0</v>
      </c>
      <c r="J1785" s="1">
        <f t="shared" si="276"/>
        <v>1204.92</v>
      </c>
      <c r="K1785" s="9" t="e">
        <f t="shared" si="274"/>
        <v>#DIV/0!</v>
      </c>
      <c r="L1785" s="19">
        <f t="shared" si="275"/>
        <v>4940.04</v>
      </c>
    </row>
    <row r="1786" spans="1:12" x14ac:dyDescent="0.35">
      <c r="A1786" s="2" t="s">
        <v>225</v>
      </c>
      <c r="B1786" t="s">
        <v>230</v>
      </c>
      <c r="C1786" s="21" t="s">
        <v>275</v>
      </c>
      <c r="D1786" s="4">
        <v>9</v>
      </c>
      <c r="E1786" s="4">
        <v>4940.04</v>
      </c>
      <c r="G1786" s="1"/>
      <c r="H1786" s="1"/>
      <c r="I1786" s="1">
        <f t="shared" si="270"/>
        <v>0</v>
      </c>
      <c r="J1786" s="1">
        <f t="shared" si="276"/>
        <v>1204.92</v>
      </c>
      <c r="K1786" s="9" t="e">
        <f t="shared" si="274"/>
        <v>#DIV/0!</v>
      </c>
      <c r="L1786" s="19">
        <f t="shared" si="275"/>
        <v>4940.04</v>
      </c>
    </row>
    <row r="1787" spans="1:12" x14ac:dyDescent="0.35">
      <c r="A1787" s="2" t="s">
        <v>225</v>
      </c>
      <c r="B1787" t="s">
        <v>230</v>
      </c>
      <c r="C1787" s="21" t="s">
        <v>275</v>
      </c>
      <c r="D1787" s="4">
        <v>10</v>
      </c>
      <c r="E1787" s="4">
        <v>4940.04</v>
      </c>
      <c r="G1787" s="1"/>
      <c r="H1787" s="1"/>
      <c r="I1787" s="1">
        <f t="shared" si="270"/>
        <v>0</v>
      </c>
      <c r="J1787" s="1">
        <f t="shared" si="276"/>
        <v>1204.92</v>
      </c>
      <c r="K1787" s="9" t="e">
        <f t="shared" si="274"/>
        <v>#DIV/0!</v>
      </c>
      <c r="L1787" s="19">
        <f t="shared" si="275"/>
        <v>4940.04</v>
      </c>
    </row>
    <row r="1788" spans="1:12" x14ac:dyDescent="0.35">
      <c r="A1788" s="2" t="s">
        <v>225</v>
      </c>
      <c r="B1788" t="s">
        <v>230</v>
      </c>
      <c r="C1788" s="21" t="s">
        <v>275</v>
      </c>
      <c r="D1788" s="4">
        <v>11</v>
      </c>
      <c r="E1788" s="4">
        <v>4940.04</v>
      </c>
      <c r="G1788" s="1"/>
      <c r="H1788" s="1"/>
      <c r="I1788" s="1">
        <f t="shared" si="270"/>
        <v>0</v>
      </c>
      <c r="J1788" s="1">
        <f t="shared" si="276"/>
        <v>1204.92</v>
      </c>
      <c r="K1788" s="9" t="e">
        <f t="shared" si="274"/>
        <v>#DIV/0!</v>
      </c>
      <c r="L1788" s="19">
        <f t="shared" si="275"/>
        <v>4940.04</v>
      </c>
    </row>
    <row r="1789" spans="1:12" x14ac:dyDescent="0.35">
      <c r="A1789" s="2" t="s">
        <v>225</v>
      </c>
      <c r="B1789" t="s">
        <v>230</v>
      </c>
      <c r="C1789" s="21" t="s">
        <v>275</v>
      </c>
      <c r="D1789" s="4">
        <v>12</v>
      </c>
      <c r="E1789" s="4">
        <v>4940.04</v>
      </c>
      <c r="G1789" s="1"/>
      <c r="H1789" s="1"/>
      <c r="I1789" s="1">
        <f t="shared" si="270"/>
        <v>0</v>
      </c>
      <c r="J1789" s="1">
        <f t="shared" si="276"/>
        <v>1204.92</v>
      </c>
      <c r="K1789" s="9" t="e">
        <f t="shared" si="274"/>
        <v>#DIV/0!</v>
      </c>
      <c r="L1789" s="19">
        <f t="shared" si="275"/>
        <v>4940.04</v>
      </c>
    </row>
    <row r="1790" spans="1:12" x14ac:dyDescent="0.35">
      <c r="A1790" s="2" t="s">
        <v>225</v>
      </c>
      <c r="B1790" t="s">
        <v>230</v>
      </c>
      <c r="C1790" s="21" t="s">
        <v>275</v>
      </c>
      <c r="D1790" s="4">
        <v>13</v>
      </c>
      <c r="E1790" s="4">
        <v>4940.04</v>
      </c>
      <c r="G1790" s="1"/>
      <c r="H1790" s="1"/>
      <c r="I1790" s="1">
        <f t="shared" si="270"/>
        <v>0</v>
      </c>
      <c r="J1790" s="1">
        <f t="shared" si="276"/>
        <v>1204.92</v>
      </c>
      <c r="K1790" s="9" t="e">
        <f t="shared" si="274"/>
        <v>#DIV/0!</v>
      </c>
      <c r="L1790" s="19">
        <f t="shared" si="275"/>
        <v>4940.04</v>
      </c>
    </row>
    <row r="1791" spans="1:12" x14ac:dyDescent="0.35">
      <c r="A1791" s="2" t="s">
        <v>225</v>
      </c>
      <c r="B1791" t="s">
        <v>230</v>
      </c>
      <c r="C1791" s="21" t="s">
        <v>275</v>
      </c>
      <c r="D1791" s="4">
        <v>14</v>
      </c>
      <c r="E1791" s="4">
        <v>4940.04</v>
      </c>
      <c r="G1791" s="1"/>
      <c r="H1791" s="1"/>
      <c r="I1791" s="1">
        <f t="shared" si="270"/>
        <v>0</v>
      </c>
      <c r="J1791" s="1">
        <f t="shared" si="276"/>
        <v>1204.92</v>
      </c>
      <c r="K1791" s="9" t="e">
        <f t="shared" si="274"/>
        <v>#DIV/0!</v>
      </c>
      <c r="L1791" s="19">
        <f t="shared" si="275"/>
        <v>4940.04</v>
      </c>
    </row>
    <row r="1792" spans="1:12" x14ac:dyDescent="0.35">
      <c r="A1792" s="2" t="s">
        <v>225</v>
      </c>
      <c r="B1792" t="s">
        <v>230</v>
      </c>
      <c r="C1792" s="21" t="s">
        <v>275</v>
      </c>
      <c r="D1792" s="4">
        <v>15</v>
      </c>
      <c r="E1792" s="4">
        <v>4940.04</v>
      </c>
      <c r="G1792" s="1"/>
      <c r="H1792" s="1"/>
      <c r="I1792" s="1">
        <f t="shared" si="270"/>
        <v>0</v>
      </c>
      <c r="J1792" s="1">
        <f t="shared" si="276"/>
        <v>1204.92</v>
      </c>
      <c r="K1792" s="9" t="e">
        <f t="shared" si="274"/>
        <v>#DIV/0!</v>
      </c>
      <c r="L1792" s="19">
        <f t="shared" si="275"/>
        <v>4940.04</v>
      </c>
    </row>
    <row r="1793" spans="1:11" ht="15" thickBot="1" x14ac:dyDescent="0.4">
      <c r="A1793" s="12" t="s">
        <v>225</v>
      </c>
      <c r="B1793" s="13" t="s">
        <v>230</v>
      </c>
      <c r="C1793" s="21" t="s">
        <v>275</v>
      </c>
      <c r="D1793" s="14">
        <v>16</v>
      </c>
      <c r="E1793" s="4">
        <v>4940.04</v>
      </c>
      <c r="F1793" s="13"/>
      <c r="G1793" s="15"/>
      <c r="H1793" s="15"/>
      <c r="I1793" s="15">
        <f t="shared" si="270"/>
        <v>0</v>
      </c>
      <c r="J1793" s="15">
        <f t="shared" si="276"/>
        <v>1204.92</v>
      </c>
      <c r="K1793" s="13"/>
    </row>
    <row r="1794" spans="1:11" x14ac:dyDescent="0.35">
      <c r="A1794" s="2" t="s">
        <v>220</v>
      </c>
      <c r="B1794" t="s">
        <v>221</v>
      </c>
      <c r="C1794" s="21" t="s">
        <v>275</v>
      </c>
      <c r="D1794" s="4">
        <v>1</v>
      </c>
      <c r="E1794" s="4"/>
      <c r="F1794" s="3">
        <v>45936</v>
      </c>
      <c r="G1794" s="1">
        <v>7090</v>
      </c>
      <c r="H1794" s="1">
        <v>6786</v>
      </c>
      <c r="I1794" s="1">
        <f t="shared" si="270"/>
        <v>304</v>
      </c>
      <c r="J1794" s="1">
        <f>I1794</f>
        <v>304</v>
      </c>
      <c r="K1794" s="9">
        <f t="shared" ref="K1794:K1808" si="277">I1794/H1794</f>
        <v>4.4798113763631006E-2</v>
      </c>
    </row>
    <row r="1795" spans="1:11" x14ac:dyDescent="0.35">
      <c r="A1795" s="2" t="s">
        <v>220</v>
      </c>
      <c r="B1795" t="s">
        <v>221</v>
      </c>
      <c r="C1795" s="21" t="s">
        <v>275</v>
      </c>
      <c r="D1795" s="4">
        <v>2</v>
      </c>
      <c r="E1795" s="4"/>
      <c r="F1795" s="3">
        <v>45943</v>
      </c>
      <c r="G1795" s="1">
        <v>5250</v>
      </c>
      <c r="H1795" s="1">
        <v>4946</v>
      </c>
      <c r="I1795" s="1">
        <f t="shared" si="270"/>
        <v>304</v>
      </c>
      <c r="J1795" s="1">
        <f>J1794+I1795</f>
        <v>608</v>
      </c>
      <c r="K1795" s="9">
        <f t="shared" si="277"/>
        <v>6.1463809138697936E-2</v>
      </c>
    </row>
    <row r="1796" spans="1:11" x14ac:dyDescent="0.35">
      <c r="A1796" s="2" t="s">
        <v>220</v>
      </c>
      <c r="B1796" t="s">
        <v>221</v>
      </c>
      <c r="C1796" s="21" t="s">
        <v>275</v>
      </c>
      <c r="D1796" s="4">
        <v>3</v>
      </c>
      <c r="E1796" s="4"/>
      <c r="F1796" s="3">
        <v>45950</v>
      </c>
      <c r="G1796" s="1">
        <v>5250</v>
      </c>
      <c r="H1796" s="1">
        <v>4946</v>
      </c>
      <c r="I1796" s="1">
        <f t="shared" si="270"/>
        <v>304</v>
      </c>
      <c r="J1796" s="1">
        <f t="shared" ref="J1796:J1809" si="278">J1795+I1796</f>
        <v>912</v>
      </c>
      <c r="K1796" s="9">
        <f t="shared" si="277"/>
        <v>6.1463809138697936E-2</v>
      </c>
    </row>
    <row r="1797" spans="1:11" x14ac:dyDescent="0.35">
      <c r="A1797" s="2" t="s">
        <v>220</v>
      </c>
      <c r="B1797" t="s">
        <v>221</v>
      </c>
      <c r="C1797" s="21" t="s">
        <v>275</v>
      </c>
      <c r="D1797" s="4">
        <v>4</v>
      </c>
      <c r="E1797" s="4"/>
      <c r="F1797" s="3">
        <v>45957</v>
      </c>
      <c r="G1797" s="1">
        <v>5250</v>
      </c>
      <c r="H1797" s="1">
        <v>4946</v>
      </c>
      <c r="I1797" s="1">
        <f t="shared" si="270"/>
        <v>304</v>
      </c>
      <c r="J1797" s="1">
        <f t="shared" si="278"/>
        <v>1216</v>
      </c>
      <c r="K1797" s="9">
        <f t="shared" si="277"/>
        <v>6.1463809138697936E-2</v>
      </c>
    </row>
    <row r="1798" spans="1:11" x14ac:dyDescent="0.35">
      <c r="A1798" s="2" t="s">
        <v>220</v>
      </c>
      <c r="B1798" t="s">
        <v>221</v>
      </c>
      <c r="C1798" s="21" t="s">
        <v>275</v>
      </c>
      <c r="D1798" s="4">
        <v>5</v>
      </c>
      <c r="E1798" s="4"/>
      <c r="F1798" s="3">
        <v>45964</v>
      </c>
      <c r="G1798" s="1">
        <v>5250</v>
      </c>
      <c r="H1798" s="1">
        <v>4946</v>
      </c>
      <c r="I1798" s="1">
        <f t="shared" si="270"/>
        <v>304</v>
      </c>
      <c r="J1798" s="1">
        <f t="shared" si="278"/>
        <v>1520</v>
      </c>
      <c r="K1798" s="9">
        <f t="shared" si="277"/>
        <v>6.1463809138697936E-2</v>
      </c>
    </row>
    <row r="1799" spans="1:11" x14ac:dyDescent="0.35">
      <c r="A1799" s="2" t="s">
        <v>220</v>
      </c>
      <c r="B1799" t="s">
        <v>221</v>
      </c>
      <c r="C1799" s="21" t="s">
        <v>275</v>
      </c>
      <c r="D1799" s="4">
        <v>6</v>
      </c>
      <c r="E1799" s="4"/>
      <c r="F1799" s="3">
        <v>45966</v>
      </c>
      <c r="G1799" s="1"/>
      <c r="H1799" s="1">
        <v>5326</v>
      </c>
      <c r="I1799" s="1">
        <f t="shared" si="270"/>
        <v>-5326</v>
      </c>
      <c r="J1799" s="1">
        <f t="shared" si="278"/>
        <v>-3806</v>
      </c>
      <c r="K1799" s="9">
        <f t="shared" si="277"/>
        <v>-1</v>
      </c>
    </row>
    <row r="1800" spans="1:11" x14ac:dyDescent="0.35">
      <c r="A1800" s="2" t="s">
        <v>220</v>
      </c>
      <c r="B1800" t="s">
        <v>221</v>
      </c>
      <c r="C1800" s="21" t="s">
        <v>275</v>
      </c>
      <c r="D1800" s="4">
        <v>7</v>
      </c>
      <c r="E1800" s="4"/>
      <c r="G1800" s="1"/>
      <c r="H1800" s="1"/>
      <c r="I1800" s="1">
        <f t="shared" si="270"/>
        <v>0</v>
      </c>
      <c r="J1800" s="1">
        <f t="shared" si="278"/>
        <v>-3806</v>
      </c>
      <c r="K1800" s="9" t="e">
        <f t="shared" si="277"/>
        <v>#DIV/0!</v>
      </c>
    </row>
    <row r="1801" spans="1:11" x14ac:dyDescent="0.35">
      <c r="A1801" s="2" t="s">
        <v>220</v>
      </c>
      <c r="B1801" t="s">
        <v>221</v>
      </c>
      <c r="C1801" s="21" t="s">
        <v>275</v>
      </c>
      <c r="D1801" s="4">
        <v>8</v>
      </c>
      <c r="E1801" s="4"/>
      <c r="G1801" s="1"/>
      <c r="H1801" s="1"/>
      <c r="I1801" s="1">
        <f t="shared" si="270"/>
        <v>0</v>
      </c>
      <c r="J1801" s="1">
        <f t="shared" si="278"/>
        <v>-3806</v>
      </c>
      <c r="K1801" s="9" t="e">
        <f t="shared" si="277"/>
        <v>#DIV/0!</v>
      </c>
    </row>
    <row r="1802" spans="1:11" x14ac:dyDescent="0.35">
      <c r="A1802" s="2" t="s">
        <v>220</v>
      </c>
      <c r="B1802" t="s">
        <v>221</v>
      </c>
      <c r="C1802" s="21" t="s">
        <v>275</v>
      </c>
      <c r="D1802" s="4">
        <v>9</v>
      </c>
      <c r="E1802" s="4"/>
      <c r="G1802" s="1"/>
      <c r="H1802" s="1"/>
      <c r="I1802" s="1">
        <f t="shared" si="270"/>
        <v>0</v>
      </c>
      <c r="J1802" s="1">
        <f t="shared" si="278"/>
        <v>-3806</v>
      </c>
      <c r="K1802" s="9" t="e">
        <f t="shared" si="277"/>
        <v>#DIV/0!</v>
      </c>
    </row>
    <row r="1803" spans="1:11" x14ac:dyDescent="0.35">
      <c r="A1803" s="2" t="s">
        <v>220</v>
      </c>
      <c r="B1803" t="s">
        <v>221</v>
      </c>
      <c r="C1803" s="21" t="s">
        <v>275</v>
      </c>
      <c r="D1803" s="4">
        <v>10</v>
      </c>
      <c r="E1803" s="4"/>
      <c r="G1803" s="1"/>
      <c r="H1803" s="1"/>
      <c r="I1803" s="1">
        <f t="shared" si="270"/>
        <v>0</v>
      </c>
      <c r="J1803" s="1">
        <f t="shared" si="278"/>
        <v>-3806</v>
      </c>
      <c r="K1803" s="9" t="e">
        <f t="shared" si="277"/>
        <v>#DIV/0!</v>
      </c>
    </row>
    <row r="1804" spans="1:11" x14ac:dyDescent="0.35">
      <c r="A1804" s="2" t="s">
        <v>220</v>
      </c>
      <c r="B1804" t="s">
        <v>221</v>
      </c>
      <c r="C1804" s="21" t="s">
        <v>275</v>
      </c>
      <c r="D1804" s="4">
        <v>11</v>
      </c>
      <c r="E1804" s="4"/>
      <c r="G1804" s="1"/>
      <c r="H1804" s="1"/>
      <c r="I1804" s="1">
        <f t="shared" si="270"/>
        <v>0</v>
      </c>
      <c r="J1804" s="1">
        <f t="shared" si="278"/>
        <v>-3806</v>
      </c>
      <c r="K1804" s="9" t="e">
        <f t="shared" si="277"/>
        <v>#DIV/0!</v>
      </c>
    </row>
    <row r="1805" spans="1:11" x14ac:dyDescent="0.35">
      <c r="A1805" s="2" t="s">
        <v>220</v>
      </c>
      <c r="B1805" t="s">
        <v>221</v>
      </c>
      <c r="C1805" s="21" t="s">
        <v>275</v>
      </c>
      <c r="D1805" s="4">
        <v>12</v>
      </c>
      <c r="E1805" s="4"/>
      <c r="G1805" s="1"/>
      <c r="H1805" s="1"/>
      <c r="I1805" s="1">
        <f t="shared" si="270"/>
        <v>0</v>
      </c>
      <c r="J1805" s="1">
        <f t="shared" si="278"/>
        <v>-3806</v>
      </c>
      <c r="K1805" s="9" t="e">
        <f t="shared" si="277"/>
        <v>#DIV/0!</v>
      </c>
    </row>
    <row r="1806" spans="1:11" x14ac:dyDescent="0.35">
      <c r="A1806" s="2" t="s">
        <v>220</v>
      </c>
      <c r="B1806" t="s">
        <v>221</v>
      </c>
      <c r="C1806" s="21" t="s">
        <v>275</v>
      </c>
      <c r="D1806" s="4">
        <v>13</v>
      </c>
      <c r="E1806" s="4"/>
      <c r="G1806" s="1"/>
      <c r="H1806" s="1"/>
      <c r="I1806" s="1">
        <f t="shared" si="270"/>
        <v>0</v>
      </c>
      <c r="J1806" s="1">
        <f t="shared" si="278"/>
        <v>-3806</v>
      </c>
      <c r="K1806" s="9" t="e">
        <f t="shared" si="277"/>
        <v>#DIV/0!</v>
      </c>
    </row>
    <row r="1807" spans="1:11" x14ac:dyDescent="0.35">
      <c r="A1807" s="2" t="s">
        <v>220</v>
      </c>
      <c r="B1807" t="s">
        <v>221</v>
      </c>
      <c r="C1807" s="21" t="s">
        <v>275</v>
      </c>
      <c r="D1807" s="4">
        <v>14</v>
      </c>
      <c r="E1807" s="4"/>
      <c r="G1807" s="1"/>
      <c r="H1807" s="1"/>
      <c r="I1807" s="1">
        <f t="shared" si="270"/>
        <v>0</v>
      </c>
      <c r="J1807" s="1">
        <f t="shared" si="278"/>
        <v>-3806</v>
      </c>
      <c r="K1807" s="9" t="e">
        <f t="shared" si="277"/>
        <v>#DIV/0!</v>
      </c>
    </row>
    <row r="1808" spans="1:11" x14ac:dyDescent="0.35">
      <c r="A1808" s="2" t="s">
        <v>220</v>
      </c>
      <c r="B1808" t="s">
        <v>221</v>
      </c>
      <c r="C1808" s="21" t="s">
        <v>275</v>
      </c>
      <c r="D1808" s="4">
        <v>15</v>
      </c>
      <c r="E1808" s="4"/>
      <c r="G1808" s="1"/>
      <c r="H1808" s="1"/>
      <c r="I1808" s="1">
        <f t="shared" si="270"/>
        <v>0</v>
      </c>
      <c r="J1808" s="1">
        <f t="shared" si="278"/>
        <v>-3806</v>
      </c>
      <c r="K1808" s="9" t="e">
        <f t="shared" si="277"/>
        <v>#DIV/0!</v>
      </c>
    </row>
    <row r="1809" spans="1:11" ht="15" thickBot="1" x14ac:dyDescent="0.4">
      <c r="A1809" s="12" t="s">
        <v>220</v>
      </c>
      <c r="B1809" s="13" t="s">
        <v>221</v>
      </c>
      <c r="C1809" s="21" t="s">
        <v>275</v>
      </c>
      <c r="D1809" s="14">
        <v>16</v>
      </c>
      <c r="E1809" s="14"/>
      <c r="F1809" s="13"/>
      <c r="G1809" s="15"/>
      <c r="H1809" s="15"/>
      <c r="I1809" s="15">
        <f t="shared" si="270"/>
        <v>0</v>
      </c>
      <c r="J1809" s="15">
        <f t="shared" si="278"/>
        <v>-3806</v>
      </c>
      <c r="K1809" s="13"/>
    </row>
    <row r="1810" spans="1:11" x14ac:dyDescent="0.35">
      <c r="A1810" s="2" t="s">
        <v>209</v>
      </c>
      <c r="B1810" t="s">
        <v>210</v>
      </c>
      <c r="C1810" s="21" t="s">
        <v>275</v>
      </c>
      <c r="D1810" s="4">
        <v>1</v>
      </c>
      <c r="E1810" s="4"/>
      <c r="F1810" s="3">
        <v>45937</v>
      </c>
      <c r="G1810" s="1">
        <v>3396</v>
      </c>
      <c r="H1810" s="1">
        <v>3192</v>
      </c>
      <c r="I1810" s="1">
        <f t="shared" si="270"/>
        <v>204</v>
      </c>
      <c r="J1810" s="1">
        <f>I1810</f>
        <v>204</v>
      </c>
      <c r="K1810" s="9">
        <f t="shared" ref="K1810:K1824" si="279">I1810/H1810</f>
        <v>6.3909774436090222E-2</v>
      </c>
    </row>
    <row r="1811" spans="1:11" x14ac:dyDescent="0.35">
      <c r="A1811" s="2" t="s">
        <v>209</v>
      </c>
      <c r="B1811" t="s">
        <v>210</v>
      </c>
      <c r="C1811" s="21" t="s">
        <v>275</v>
      </c>
      <c r="D1811" s="4">
        <v>2</v>
      </c>
      <c r="E1811" s="4"/>
      <c r="F1811" s="3">
        <v>45943</v>
      </c>
      <c r="G1811" s="1">
        <v>3396</v>
      </c>
      <c r="H1811" s="1">
        <v>3192</v>
      </c>
      <c r="I1811" s="1">
        <f t="shared" si="270"/>
        <v>204</v>
      </c>
      <c r="J1811" s="1">
        <f>J1810+I1811</f>
        <v>408</v>
      </c>
      <c r="K1811" s="9">
        <f t="shared" si="279"/>
        <v>6.3909774436090222E-2</v>
      </c>
    </row>
    <row r="1812" spans="1:11" x14ac:dyDescent="0.35">
      <c r="A1812" s="2" t="s">
        <v>209</v>
      </c>
      <c r="B1812" t="s">
        <v>210</v>
      </c>
      <c r="C1812" s="21" t="s">
        <v>275</v>
      </c>
      <c r="D1812" s="4">
        <v>3</v>
      </c>
      <c r="E1812" s="4"/>
      <c r="F1812" s="3">
        <v>45950</v>
      </c>
      <c r="G1812" s="1">
        <v>3396</v>
      </c>
      <c r="H1812" s="1">
        <v>3192</v>
      </c>
      <c r="I1812" s="1">
        <f t="shared" si="270"/>
        <v>204</v>
      </c>
      <c r="J1812" s="1">
        <f t="shared" ref="J1812:J1824" si="280">J1811+I1812</f>
        <v>612</v>
      </c>
      <c r="K1812" s="9">
        <f t="shared" si="279"/>
        <v>6.3909774436090222E-2</v>
      </c>
    </row>
    <row r="1813" spans="1:11" x14ac:dyDescent="0.35">
      <c r="A1813" s="2" t="s">
        <v>209</v>
      </c>
      <c r="B1813" t="s">
        <v>210</v>
      </c>
      <c r="C1813" s="21" t="s">
        <v>275</v>
      </c>
      <c r="D1813" s="4">
        <v>4</v>
      </c>
      <c r="E1813" s="4"/>
      <c r="F1813" s="3">
        <v>45957</v>
      </c>
      <c r="G1813" s="1">
        <v>3396</v>
      </c>
      <c r="H1813" s="1">
        <v>3192</v>
      </c>
      <c r="I1813" s="1">
        <f t="shared" si="270"/>
        <v>204</v>
      </c>
      <c r="J1813" s="1">
        <f t="shared" si="280"/>
        <v>816</v>
      </c>
      <c r="K1813" s="9">
        <f t="shared" si="279"/>
        <v>6.3909774436090222E-2</v>
      </c>
    </row>
    <row r="1814" spans="1:11" x14ac:dyDescent="0.35">
      <c r="A1814" s="2" t="s">
        <v>209</v>
      </c>
      <c r="B1814" t="s">
        <v>210</v>
      </c>
      <c r="C1814" s="21" t="s">
        <v>275</v>
      </c>
      <c r="D1814" s="4">
        <v>5</v>
      </c>
      <c r="E1814" s="4"/>
      <c r="F1814" s="3">
        <v>45964</v>
      </c>
      <c r="G1814" s="1">
        <v>3396</v>
      </c>
      <c r="H1814" s="1">
        <v>3192</v>
      </c>
      <c r="I1814" s="1">
        <f t="shared" si="270"/>
        <v>204</v>
      </c>
      <c r="J1814" s="1">
        <f t="shared" si="280"/>
        <v>1020</v>
      </c>
      <c r="K1814" s="9">
        <f t="shared" si="279"/>
        <v>6.3909774436090222E-2</v>
      </c>
    </row>
    <row r="1815" spans="1:11" x14ac:dyDescent="0.35">
      <c r="A1815" s="2" t="s">
        <v>209</v>
      </c>
      <c r="B1815" t="s">
        <v>210</v>
      </c>
      <c r="C1815" s="21" t="s">
        <v>275</v>
      </c>
      <c r="D1815" s="4">
        <v>6</v>
      </c>
      <c r="E1815" s="4"/>
      <c r="G1815" s="1"/>
      <c r="H1815" s="1"/>
      <c r="I1815" s="1">
        <f t="shared" si="270"/>
        <v>0</v>
      </c>
      <c r="J1815" s="1">
        <f t="shared" si="280"/>
        <v>1020</v>
      </c>
      <c r="K1815" s="9" t="e">
        <f t="shared" si="279"/>
        <v>#DIV/0!</v>
      </c>
    </row>
    <row r="1816" spans="1:11" x14ac:dyDescent="0.35">
      <c r="A1816" s="2" t="s">
        <v>209</v>
      </c>
      <c r="B1816" t="s">
        <v>210</v>
      </c>
      <c r="C1816" s="21" t="s">
        <v>275</v>
      </c>
      <c r="D1816" s="4">
        <v>7</v>
      </c>
      <c r="E1816" s="4"/>
      <c r="G1816" s="1"/>
      <c r="H1816" s="1"/>
      <c r="I1816" s="1">
        <f t="shared" si="270"/>
        <v>0</v>
      </c>
      <c r="J1816" s="1">
        <f t="shared" si="280"/>
        <v>1020</v>
      </c>
      <c r="K1816" s="9" t="e">
        <f t="shared" si="279"/>
        <v>#DIV/0!</v>
      </c>
    </row>
    <row r="1817" spans="1:11" x14ac:dyDescent="0.35">
      <c r="A1817" s="2" t="s">
        <v>209</v>
      </c>
      <c r="B1817" t="s">
        <v>210</v>
      </c>
      <c r="C1817" s="21" t="s">
        <v>275</v>
      </c>
      <c r="D1817" s="4">
        <v>8</v>
      </c>
      <c r="E1817" s="4"/>
      <c r="G1817" s="1"/>
      <c r="H1817" s="1"/>
      <c r="I1817" s="1">
        <f t="shared" si="270"/>
        <v>0</v>
      </c>
      <c r="J1817" s="1">
        <f t="shared" si="280"/>
        <v>1020</v>
      </c>
      <c r="K1817" s="9" t="e">
        <f t="shared" si="279"/>
        <v>#DIV/0!</v>
      </c>
    </row>
    <row r="1818" spans="1:11" x14ac:dyDescent="0.35">
      <c r="A1818" s="2" t="s">
        <v>209</v>
      </c>
      <c r="B1818" t="s">
        <v>210</v>
      </c>
      <c r="C1818" s="21" t="s">
        <v>275</v>
      </c>
      <c r="D1818" s="4">
        <v>9</v>
      </c>
      <c r="E1818" s="4"/>
      <c r="G1818" s="1"/>
      <c r="H1818" s="1"/>
      <c r="I1818" s="1">
        <f t="shared" si="270"/>
        <v>0</v>
      </c>
      <c r="J1818" s="1">
        <f t="shared" si="280"/>
        <v>1020</v>
      </c>
      <c r="K1818" s="9" t="e">
        <f t="shared" si="279"/>
        <v>#DIV/0!</v>
      </c>
    </row>
    <row r="1819" spans="1:11" x14ac:dyDescent="0.35">
      <c r="A1819" s="2" t="s">
        <v>209</v>
      </c>
      <c r="B1819" t="s">
        <v>210</v>
      </c>
      <c r="C1819" s="21" t="s">
        <v>275</v>
      </c>
      <c r="D1819" s="4">
        <v>10</v>
      </c>
      <c r="E1819" s="4"/>
      <c r="G1819" s="1"/>
      <c r="H1819" s="1"/>
      <c r="I1819" s="1">
        <f t="shared" si="270"/>
        <v>0</v>
      </c>
      <c r="J1819" s="1">
        <f t="shared" si="280"/>
        <v>1020</v>
      </c>
      <c r="K1819" s="9" t="e">
        <f t="shared" si="279"/>
        <v>#DIV/0!</v>
      </c>
    </row>
    <row r="1820" spans="1:11" x14ac:dyDescent="0.35">
      <c r="A1820" s="2" t="s">
        <v>209</v>
      </c>
      <c r="B1820" t="s">
        <v>210</v>
      </c>
      <c r="C1820" s="21" t="s">
        <v>275</v>
      </c>
      <c r="D1820" s="4">
        <v>11</v>
      </c>
      <c r="E1820" s="4"/>
      <c r="G1820" s="1"/>
      <c r="H1820" s="1"/>
      <c r="I1820" s="1">
        <f t="shared" si="270"/>
        <v>0</v>
      </c>
      <c r="J1820" s="1">
        <f t="shared" si="280"/>
        <v>1020</v>
      </c>
      <c r="K1820" s="9" t="e">
        <f t="shared" si="279"/>
        <v>#DIV/0!</v>
      </c>
    </row>
    <row r="1821" spans="1:11" x14ac:dyDescent="0.35">
      <c r="A1821" s="2" t="s">
        <v>209</v>
      </c>
      <c r="B1821" t="s">
        <v>210</v>
      </c>
      <c r="C1821" s="21" t="s">
        <v>275</v>
      </c>
      <c r="D1821" s="4">
        <v>12</v>
      </c>
      <c r="E1821" s="4"/>
      <c r="G1821" s="1"/>
      <c r="H1821" s="1"/>
      <c r="I1821" s="1">
        <f t="shared" si="270"/>
        <v>0</v>
      </c>
      <c r="J1821" s="1">
        <f t="shared" si="280"/>
        <v>1020</v>
      </c>
      <c r="K1821" s="9" t="e">
        <f t="shared" si="279"/>
        <v>#DIV/0!</v>
      </c>
    </row>
    <row r="1822" spans="1:11" x14ac:dyDescent="0.35">
      <c r="A1822" s="2" t="s">
        <v>209</v>
      </c>
      <c r="B1822" t="s">
        <v>210</v>
      </c>
      <c r="C1822" s="21" t="s">
        <v>275</v>
      </c>
      <c r="D1822" s="4">
        <v>13</v>
      </c>
      <c r="E1822" s="4"/>
      <c r="G1822" s="1"/>
      <c r="H1822" s="1"/>
      <c r="I1822" s="1">
        <f t="shared" si="270"/>
        <v>0</v>
      </c>
      <c r="J1822" s="1">
        <f t="shared" si="280"/>
        <v>1020</v>
      </c>
      <c r="K1822" s="9" t="e">
        <f t="shared" si="279"/>
        <v>#DIV/0!</v>
      </c>
    </row>
    <row r="1823" spans="1:11" x14ac:dyDescent="0.35">
      <c r="A1823" s="2" t="s">
        <v>209</v>
      </c>
      <c r="B1823" t="s">
        <v>210</v>
      </c>
      <c r="C1823" s="21" t="s">
        <v>275</v>
      </c>
      <c r="D1823" s="4">
        <v>14</v>
      </c>
      <c r="E1823" s="4"/>
      <c r="G1823" s="1"/>
      <c r="H1823" s="1"/>
      <c r="I1823" s="1">
        <f t="shared" si="270"/>
        <v>0</v>
      </c>
      <c r="J1823" s="1">
        <f t="shared" si="280"/>
        <v>1020</v>
      </c>
      <c r="K1823" s="9" t="e">
        <f t="shared" si="279"/>
        <v>#DIV/0!</v>
      </c>
    </row>
    <row r="1824" spans="1:11" x14ac:dyDescent="0.35">
      <c r="A1824" s="2" t="s">
        <v>209</v>
      </c>
      <c r="B1824" t="s">
        <v>210</v>
      </c>
      <c r="C1824" s="21" t="s">
        <v>275</v>
      </c>
      <c r="D1824" s="4">
        <v>15</v>
      </c>
      <c r="E1824" s="4"/>
      <c r="I1824" s="1">
        <f t="shared" si="270"/>
        <v>0</v>
      </c>
      <c r="J1824" s="1">
        <f t="shared" si="280"/>
        <v>1020</v>
      </c>
      <c r="K1824" s="9" t="e">
        <f t="shared" si="279"/>
        <v>#DIV/0!</v>
      </c>
    </row>
    <row r="1825" spans="1:11" ht="15" thickBot="1" x14ac:dyDescent="0.4">
      <c r="A1825" s="12" t="s">
        <v>209</v>
      </c>
      <c r="B1825" s="13" t="s">
        <v>210</v>
      </c>
      <c r="C1825" s="21" t="s">
        <v>275</v>
      </c>
      <c r="D1825" s="14">
        <v>16</v>
      </c>
      <c r="E1825" s="14"/>
      <c r="F1825" s="13"/>
      <c r="G1825" s="13"/>
      <c r="H1825" s="13"/>
      <c r="I1825" s="15">
        <f t="shared" si="270"/>
        <v>0</v>
      </c>
      <c r="J1825" s="15">
        <f>J1824+I1825</f>
        <v>1020</v>
      </c>
      <c r="K1825" s="13"/>
    </row>
    <row r="1826" spans="1:11" x14ac:dyDescent="0.35">
      <c r="A1826" s="2" t="s">
        <v>211</v>
      </c>
      <c r="B1826" t="s">
        <v>231</v>
      </c>
      <c r="C1826" s="21" t="s">
        <v>275</v>
      </c>
      <c r="D1826" s="4">
        <v>1</v>
      </c>
      <c r="E1826" s="4"/>
      <c r="F1826" s="3">
        <v>45936</v>
      </c>
      <c r="G1826">
        <v>17974</v>
      </c>
      <c r="H1826">
        <v>16341</v>
      </c>
      <c r="I1826" s="1">
        <f t="shared" si="270"/>
        <v>1633</v>
      </c>
      <c r="J1826" s="1">
        <f>I1826</f>
        <v>1633</v>
      </c>
      <c r="K1826" s="9">
        <f t="shared" ref="K1826:K1840" si="281">I1826/H1826</f>
        <v>9.9932684658221652E-2</v>
      </c>
    </row>
    <row r="1827" spans="1:11" x14ac:dyDescent="0.35">
      <c r="A1827" s="2" t="s">
        <v>211</v>
      </c>
      <c r="B1827" t="s">
        <v>231</v>
      </c>
      <c r="C1827" s="21" t="s">
        <v>275</v>
      </c>
      <c r="D1827" s="4">
        <v>2</v>
      </c>
      <c r="E1827" s="4"/>
      <c r="F1827" s="3">
        <v>45943</v>
      </c>
      <c r="G1827">
        <v>17974</v>
      </c>
      <c r="H1827">
        <v>16340</v>
      </c>
      <c r="I1827" s="1">
        <f t="shared" ref="I1827:I1890" si="282">G1827-H1827</f>
        <v>1634</v>
      </c>
      <c r="J1827" s="1">
        <f>J1826+I1827</f>
        <v>3267</v>
      </c>
      <c r="K1827" s="9">
        <f t="shared" si="281"/>
        <v>0.1</v>
      </c>
    </row>
    <row r="1828" spans="1:11" x14ac:dyDescent="0.35">
      <c r="A1828" s="2" t="s">
        <v>211</v>
      </c>
      <c r="B1828" t="s">
        <v>231</v>
      </c>
      <c r="C1828" s="21" t="s">
        <v>275</v>
      </c>
      <c r="D1828" s="4">
        <v>3</v>
      </c>
      <c r="E1828" s="4"/>
      <c r="F1828" s="3">
        <v>45950</v>
      </c>
      <c r="G1828">
        <v>17974</v>
      </c>
      <c r="H1828">
        <v>16340</v>
      </c>
      <c r="I1828" s="1">
        <f t="shared" si="282"/>
        <v>1634</v>
      </c>
      <c r="J1828" s="1">
        <f t="shared" ref="J1828:J1841" si="283">J1827+I1828</f>
        <v>4901</v>
      </c>
      <c r="K1828" s="9">
        <f t="shared" si="281"/>
        <v>0.1</v>
      </c>
    </row>
    <row r="1829" spans="1:11" x14ac:dyDescent="0.35">
      <c r="A1829" s="2" t="s">
        <v>211</v>
      </c>
      <c r="B1829" t="s">
        <v>231</v>
      </c>
      <c r="C1829" s="21" t="s">
        <v>275</v>
      </c>
      <c r="D1829" s="4">
        <v>4</v>
      </c>
      <c r="E1829" s="4"/>
      <c r="F1829" s="3">
        <v>45957</v>
      </c>
      <c r="G1829">
        <v>17974</v>
      </c>
      <c r="H1829">
        <v>16340</v>
      </c>
      <c r="I1829" s="1">
        <f t="shared" si="282"/>
        <v>1634</v>
      </c>
      <c r="J1829" s="1">
        <f t="shared" si="283"/>
        <v>6535</v>
      </c>
      <c r="K1829" s="9">
        <f t="shared" si="281"/>
        <v>0.1</v>
      </c>
    </row>
    <row r="1830" spans="1:11" x14ac:dyDescent="0.35">
      <c r="A1830" s="2" t="s">
        <v>211</v>
      </c>
      <c r="B1830" t="s">
        <v>231</v>
      </c>
      <c r="C1830" s="21" t="s">
        <v>275</v>
      </c>
      <c r="D1830" s="4">
        <v>5</v>
      </c>
      <c r="E1830" s="4"/>
      <c r="F1830" s="3">
        <v>45964</v>
      </c>
      <c r="G1830">
        <v>17974.14</v>
      </c>
      <c r="H1830">
        <v>16340</v>
      </c>
      <c r="I1830" s="1">
        <f t="shared" si="282"/>
        <v>1634.1399999999994</v>
      </c>
      <c r="J1830" s="1">
        <f t="shared" si="283"/>
        <v>8169.1399999999994</v>
      </c>
      <c r="K1830" s="9">
        <f t="shared" si="281"/>
        <v>0.10000856793145652</v>
      </c>
    </row>
    <row r="1831" spans="1:11" x14ac:dyDescent="0.35">
      <c r="A1831" s="2" t="s">
        <v>211</v>
      </c>
      <c r="B1831" t="s">
        <v>231</v>
      </c>
      <c r="C1831" s="21" t="s">
        <v>275</v>
      </c>
      <c r="D1831" s="4">
        <v>6</v>
      </c>
      <c r="E1831" s="4"/>
      <c r="I1831" s="1">
        <f t="shared" si="282"/>
        <v>0</v>
      </c>
      <c r="J1831" s="1">
        <f t="shared" si="283"/>
        <v>8169.1399999999994</v>
      </c>
      <c r="K1831" s="9" t="e">
        <f t="shared" si="281"/>
        <v>#DIV/0!</v>
      </c>
    </row>
    <row r="1832" spans="1:11" x14ac:dyDescent="0.35">
      <c r="A1832" s="2" t="s">
        <v>211</v>
      </c>
      <c r="B1832" t="s">
        <v>231</v>
      </c>
      <c r="C1832" s="21" t="s">
        <v>275</v>
      </c>
      <c r="D1832" s="4">
        <v>7</v>
      </c>
      <c r="E1832" s="4"/>
      <c r="I1832" s="1">
        <f t="shared" si="282"/>
        <v>0</v>
      </c>
      <c r="J1832" s="1">
        <f t="shared" si="283"/>
        <v>8169.1399999999994</v>
      </c>
      <c r="K1832" s="9" t="e">
        <f t="shared" si="281"/>
        <v>#DIV/0!</v>
      </c>
    </row>
    <row r="1833" spans="1:11" x14ac:dyDescent="0.35">
      <c r="A1833" s="2" t="s">
        <v>211</v>
      </c>
      <c r="B1833" t="s">
        <v>231</v>
      </c>
      <c r="C1833" s="21" t="s">
        <v>275</v>
      </c>
      <c r="D1833" s="4">
        <v>8</v>
      </c>
      <c r="E1833" s="4"/>
      <c r="I1833" s="1">
        <f t="shared" si="282"/>
        <v>0</v>
      </c>
      <c r="J1833" s="1">
        <f t="shared" si="283"/>
        <v>8169.1399999999994</v>
      </c>
      <c r="K1833" s="9" t="e">
        <f t="shared" si="281"/>
        <v>#DIV/0!</v>
      </c>
    </row>
    <row r="1834" spans="1:11" x14ac:dyDescent="0.35">
      <c r="A1834" s="2" t="s">
        <v>211</v>
      </c>
      <c r="B1834" t="s">
        <v>231</v>
      </c>
      <c r="C1834" s="21" t="s">
        <v>275</v>
      </c>
      <c r="D1834" s="4">
        <v>9</v>
      </c>
      <c r="E1834" s="4"/>
      <c r="I1834" s="1">
        <f t="shared" si="282"/>
        <v>0</v>
      </c>
      <c r="J1834" s="1">
        <f t="shared" si="283"/>
        <v>8169.1399999999994</v>
      </c>
      <c r="K1834" s="9" t="e">
        <f t="shared" si="281"/>
        <v>#DIV/0!</v>
      </c>
    </row>
    <row r="1835" spans="1:11" x14ac:dyDescent="0.35">
      <c r="A1835" s="2" t="s">
        <v>211</v>
      </c>
      <c r="B1835" t="s">
        <v>231</v>
      </c>
      <c r="C1835" s="21" t="s">
        <v>275</v>
      </c>
      <c r="D1835" s="4">
        <v>10</v>
      </c>
      <c r="E1835" s="4"/>
      <c r="I1835" s="1">
        <f t="shared" si="282"/>
        <v>0</v>
      </c>
      <c r="J1835" s="1">
        <f t="shared" si="283"/>
        <v>8169.1399999999994</v>
      </c>
      <c r="K1835" s="9" t="e">
        <f t="shared" si="281"/>
        <v>#DIV/0!</v>
      </c>
    </row>
    <row r="1836" spans="1:11" x14ac:dyDescent="0.35">
      <c r="A1836" s="2" t="s">
        <v>211</v>
      </c>
      <c r="B1836" t="s">
        <v>231</v>
      </c>
      <c r="C1836" s="21" t="s">
        <v>275</v>
      </c>
      <c r="D1836" s="4">
        <v>11</v>
      </c>
      <c r="E1836" s="4"/>
      <c r="I1836" s="1">
        <f t="shared" si="282"/>
        <v>0</v>
      </c>
      <c r="J1836" s="1">
        <f t="shared" si="283"/>
        <v>8169.1399999999994</v>
      </c>
      <c r="K1836" s="9" t="e">
        <f t="shared" si="281"/>
        <v>#DIV/0!</v>
      </c>
    </row>
    <row r="1837" spans="1:11" x14ac:dyDescent="0.35">
      <c r="A1837" s="2" t="s">
        <v>211</v>
      </c>
      <c r="B1837" t="s">
        <v>231</v>
      </c>
      <c r="C1837" s="21" t="s">
        <v>275</v>
      </c>
      <c r="D1837" s="4">
        <v>12</v>
      </c>
      <c r="E1837" s="4"/>
      <c r="I1837" s="1">
        <f t="shared" si="282"/>
        <v>0</v>
      </c>
      <c r="J1837" s="1">
        <f t="shared" si="283"/>
        <v>8169.1399999999994</v>
      </c>
      <c r="K1837" s="9" t="e">
        <f t="shared" si="281"/>
        <v>#DIV/0!</v>
      </c>
    </row>
    <row r="1838" spans="1:11" x14ac:dyDescent="0.35">
      <c r="A1838" s="2" t="s">
        <v>211</v>
      </c>
      <c r="B1838" t="s">
        <v>231</v>
      </c>
      <c r="C1838" s="21" t="s">
        <v>275</v>
      </c>
      <c r="D1838" s="4">
        <v>13</v>
      </c>
      <c r="E1838" s="4"/>
      <c r="I1838" s="1">
        <f t="shared" si="282"/>
        <v>0</v>
      </c>
      <c r="J1838" s="1">
        <f t="shared" si="283"/>
        <v>8169.1399999999994</v>
      </c>
      <c r="K1838" s="9" t="e">
        <f t="shared" si="281"/>
        <v>#DIV/0!</v>
      </c>
    </row>
    <row r="1839" spans="1:11" x14ac:dyDescent="0.35">
      <c r="A1839" s="2" t="s">
        <v>211</v>
      </c>
      <c r="B1839" t="s">
        <v>231</v>
      </c>
      <c r="C1839" s="21" t="s">
        <v>275</v>
      </c>
      <c r="D1839" s="4">
        <v>14</v>
      </c>
      <c r="E1839" s="4"/>
      <c r="I1839" s="1">
        <f t="shared" si="282"/>
        <v>0</v>
      </c>
      <c r="J1839" s="1">
        <f t="shared" si="283"/>
        <v>8169.1399999999994</v>
      </c>
      <c r="K1839" s="9" t="e">
        <f t="shared" si="281"/>
        <v>#DIV/0!</v>
      </c>
    </row>
    <row r="1840" spans="1:11" x14ac:dyDescent="0.35">
      <c r="A1840" s="2" t="s">
        <v>211</v>
      </c>
      <c r="B1840" t="s">
        <v>231</v>
      </c>
      <c r="C1840" s="21" t="s">
        <v>275</v>
      </c>
      <c r="D1840" s="4">
        <v>15</v>
      </c>
      <c r="E1840" s="4"/>
      <c r="I1840" s="1">
        <f t="shared" si="282"/>
        <v>0</v>
      </c>
      <c r="J1840" s="1">
        <f t="shared" si="283"/>
        <v>8169.1399999999994</v>
      </c>
      <c r="K1840" s="9" t="e">
        <f t="shared" si="281"/>
        <v>#DIV/0!</v>
      </c>
    </row>
    <row r="1841" spans="1:11" ht="15" thickBot="1" x14ac:dyDescent="0.4">
      <c r="A1841" s="12" t="s">
        <v>211</v>
      </c>
      <c r="B1841" s="13" t="s">
        <v>231</v>
      </c>
      <c r="C1841" s="21" t="s">
        <v>275</v>
      </c>
      <c r="D1841" s="14">
        <v>16</v>
      </c>
      <c r="E1841" s="14"/>
      <c r="F1841" s="13"/>
      <c r="G1841" s="13"/>
      <c r="H1841" s="13"/>
      <c r="I1841" s="15">
        <f t="shared" si="282"/>
        <v>0</v>
      </c>
      <c r="J1841" s="15">
        <f t="shared" si="283"/>
        <v>8169.1399999999994</v>
      </c>
      <c r="K1841" s="13"/>
    </row>
    <row r="1842" spans="1:11" x14ac:dyDescent="0.35">
      <c r="A1842" s="2" t="s">
        <v>212</v>
      </c>
      <c r="B1842" t="s">
        <v>232</v>
      </c>
      <c r="C1842" s="21" t="s">
        <v>275</v>
      </c>
      <c r="D1842" s="4">
        <v>1</v>
      </c>
      <c r="E1842" s="4"/>
      <c r="F1842" s="3">
        <v>45937</v>
      </c>
      <c r="G1842">
        <v>3192</v>
      </c>
      <c r="H1842">
        <v>3040</v>
      </c>
      <c r="I1842" s="1">
        <f t="shared" si="282"/>
        <v>152</v>
      </c>
      <c r="J1842" s="1">
        <f>I1842</f>
        <v>152</v>
      </c>
      <c r="K1842" s="9">
        <f t="shared" ref="K1842:K1856" si="284">I1842/H1842</f>
        <v>0.05</v>
      </c>
    </row>
    <row r="1843" spans="1:11" x14ac:dyDescent="0.35">
      <c r="A1843" s="2" t="s">
        <v>212</v>
      </c>
      <c r="B1843" t="s">
        <v>232</v>
      </c>
      <c r="C1843" s="21" t="s">
        <v>275</v>
      </c>
      <c r="D1843" s="4">
        <v>2</v>
      </c>
      <c r="E1843" s="4"/>
      <c r="F1843" s="3">
        <v>45944</v>
      </c>
      <c r="G1843">
        <v>3194</v>
      </c>
      <c r="H1843">
        <v>3040</v>
      </c>
      <c r="I1843" s="1">
        <f t="shared" si="282"/>
        <v>154</v>
      </c>
      <c r="J1843" s="1">
        <f>J1842+I1843</f>
        <v>306</v>
      </c>
      <c r="K1843" s="9">
        <f t="shared" si="284"/>
        <v>5.0657894736842103E-2</v>
      </c>
    </row>
    <row r="1844" spans="1:11" x14ac:dyDescent="0.35">
      <c r="A1844" s="2" t="s">
        <v>212</v>
      </c>
      <c r="B1844" t="s">
        <v>232</v>
      </c>
      <c r="C1844" s="21" t="s">
        <v>275</v>
      </c>
      <c r="D1844" s="4">
        <v>3</v>
      </c>
      <c r="E1844" s="4"/>
      <c r="F1844" s="3">
        <v>45951</v>
      </c>
      <c r="G1844">
        <v>3194</v>
      </c>
      <c r="H1844" s="25">
        <v>3040</v>
      </c>
      <c r="I1844" s="1">
        <f t="shared" si="282"/>
        <v>154</v>
      </c>
      <c r="J1844" s="1">
        <f t="shared" ref="J1844:J1857" si="285">J1843+I1844</f>
        <v>460</v>
      </c>
      <c r="K1844" s="9">
        <f t="shared" si="284"/>
        <v>5.0657894736842103E-2</v>
      </c>
    </row>
    <row r="1845" spans="1:11" x14ac:dyDescent="0.35">
      <c r="A1845" s="2" t="s">
        <v>212</v>
      </c>
      <c r="B1845" t="s">
        <v>232</v>
      </c>
      <c r="C1845" s="21" t="s">
        <v>275</v>
      </c>
      <c r="D1845" s="4">
        <v>4</v>
      </c>
      <c r="E1845" s="4"/>
      <c r="F1845" s="3">
        <v>45958</v>
      </c>
      <c r="G1845">
        <v>3194</v>
      </c>
      <c r="H1845">
        <v>3040</v>
      </c>
      <c r="I1845" s="1">
        <f t="shared" si="282"/>
        <v>154</v>
      </c>
      <c r="J1845" s="1">
        <f t="shared" si="285"/>
        <v>614</v>
      </c>
      <c r="K1845" s="9">
        <f t="shared" si="284"/>
        <v>5.0657894736842103E-2</v>
      </c>
    </row>
    <row r="1846" spans="1:11" x14ac:dyDescent="0.35">
      <c r="A1846" s="2" t="s">
        <v>212</v>
      </c>
      <c r="B1846" t="s">
        <v>232</v>
      </c>
      <c r="C1846" s="21" t="s">
        <v>275</v>
      </c>
      <c r="D1846" s="4">
        <v>5</v>
      </c>
      <c r="E1846" s="4"/>
      <c r="F1846" s="3">
        <v>45965</v>
      </c>
      <c r="G1846">
        <v>3194</v>
      </c>
      <c r="H1846">
        <v>3041</v>
      </c>
      <c r="I1846" s="1">
        <f t="shared" si="282"/>
        <v>153</v>
      </c>
      <c r="J1846" s="1">
        <f t="shared" si="285"/>
        <v>767</v>
      </c>
      <c r="K1846" s="9">
        <f t="shared" si="284"/>
        <v>5.0312397237750738E-2</v>
      </c>
    </row>
    <row r="1847" spans="1:11" x14ac:dyDescent="0.35">
      <c r="A1847" s="2" t="s">
        <v>212</v>
      </c>
      <c r="B1847" t="s">
        <v>232</v>
      </c>
      <c r="C1847" s="21" t="s">
        <v>275</v>
      </c>
      <c r="D1847" s="4">
        <v>6</v>
      </c>
      <c r="E1847" s="4"/>
      <c r="I1847" s="1">
        <f t="shared" si="282"/>
        <v>0</v>
      </c>
      <c r="J1847" s="1">
        <f t="shared" si="285"/>
        <v>767</v>
      </c>
      <c r="K1847" s="9" t="e">
        <f t="shared" si="284"/>
        <v>#DIV/0!</v>
      </c>
    </row>
    <row r="1848" spans="1:11" x14ac:dyDescent="0.35">
      <c r="A1848" s="2" t="s">
        <v>212</v>
      </c>
      <c r="B1848" t="s">
        <v>232</v>
      </c>
      <c r="C1848" s="21" t="s">
        <v>275</v>
      </c>
      <c r="D1848" s="4">
        <v>7</v>
      </c>
      <c r="E1848" s="4"/>
      <c r="I1848" s="1">
        <f t="shared" si="282"/>
        <v>0</v>
      </c>
      <c r="J1848" s="1">
        <f t="shared" si="285"/>
        <v>767</v>
      </c>
      <c r="K1848" s="9" t="e">
        <f t="shared" si="284"/>
        <v>#DIV/0!</v>
      </c>
    </row>
    <row r="1849" spans="1:11" x14ac:dyDescent="0.35">
      <c r="A1849" s="2" t="s">
        <v>212</v>
      </c>
      <c r="B1849" t="s">
        <v>232</v>
      </c>
      <c r="C1849" s="21" t="s">
        <v>275</v>
      </c>
      <c r="D1849" s="4">
        <v>8</v>
      </c>
      <c r="E1849" s="4"/>
      <c r="I1849" s="1">
        <f t="shared" si="282"/>
        <v>0</v>
      </c>
      <c r="J1849" s="1">
        <f t="shared" si="285"/>
        <v>767</v>
      </c>
      <c r="K1849" s="9" t="e">
        <f t="shared" si="284"/>
        <v>#DIV/0!</v>
      </c>
    </row>
    <row r="1850" spans="1:11" x14ac:dyDescent="0.35">
      <c r="A1850" s="2" t="s">
        <v>212</v>
      </c>
      <c r="B1850" t="s">
        <v>232</v>
      </c>
      <c r="C1850" s="21" t="s">
        <v>275</v>
      </c>
      <c r="D1850" s="4">
        <v>9</v>
      </c>
      <c r="E1850" s="4"/>
      <c r="I1850" s="1">
        <f t="shared" si="282"/>
        <v>0</v>
      </c>
      <c r="J1850" s="1">
        <f t="shared" si="285"/>
        <v>767</v>
      </c>
      <c r="K1850" s="9" t="e">
        <f t="shared" si="284"/>
        <v>#DIV/0!</v>
      </c>
    </row>
    <row r="1851" spans="1:11" x14ac:dyDescent="0.35">
      <c r="A1851" s="2" t="s">
        <v>212</v>
      </c>
      <c r="B1851" t="s">
        <v>232</v>
      </c>
      <c r="C1851" s="21" t="s">
        <v>275</v>
      </c>
      <c r="D1851" s="4">
        <v>10</v>
      </c>
      <c r="E1851" s="4"/>
      <c r="I1851" s="1">
        <f t="shared" si="282"/>
        <v>0</v>
      </c>
      <c r="J1851" s="1">
        <f t="shared" si="285"/>
        <v>767</v>
      </c>
      <c r="K1851" s="9" t="e">
        <f t="shared" si="284"/>
        <v>#DIV/0!</v>
      </c>
    </row>
    <row r="1852" spans="1:11" x14ac:dyDescent="0.35">
      <c r="A1852" s="2" t="s">
        <v>212</v>
      </c>
      <c r="B1852" t="s">
        <v>232</v>
      </c>
      <c r="C1852" s="21" t="s">
        <v>275</v>
      </c>
      <c r="D1852" s="4">
        <v>11</v>
      </c>
      <c r="E1852" s="4"/>
      <c r="I1852" s="1">
        <f t="shared" si="282"/>
        <v>0</v>
      </c>
      <c r="J1852" s="1">
        <f t="shared" si="285"/>
        <v>767</v>
      </c>
      <c r="K1852" s="9" t="e">
        <f t="shared" si="284"/>
        <v>#DIV/0!</v>
      </c>
    </row>
    <row r="1853" spans="1:11" x14ac:dyDescent="0.35">
      <c r="A1853" s="2" t="s">
        <v>212</v>
      </c>
      <c r="B1853" t="s">
        <v>232</v>
      </c>
      <c r="C1853" s="21" t="s">
        <v>275</v>
      </c>
      <c r="D1853" s="4">
        <v>12</v>
      </c>
      <c r="E1853" s="4"/>
      <c r="I1853" s="1">
        <f t="shared" si="282"/>
        <v>0</v>
      </c>
      <c r="J1853" s="1">
        <f t="shared" si="285"/>
        <v>767</v>
      </c>
      <c r="K1853" s="9" t="e">
        <f t="shared" si="284"/>
        <v>#DIV/0!</v>
      </c>
    </row>
    <row r="1854" spans="1:11" x14ac:dyDescent="0.35">
      <c r="A1854" s="2" t="s">
        <v>212</v>
      </c>
      <c r="B1854" t="s">
        <v>232</v>
      </c>
      <c r="C1854" s="21" t="s">
        <v>275</v>
      </c>
      <c r="D1854" s="4">
        <v>13</v>
      </c>
      <c r="E1854" s="4"/>
      <c r="I1854" s="1">
        <f t="shared" si="282"/>
        <v>0</v>
      </c>
      <c r="J1854" s="1">
        <f t="shared" si="285"/>
        <v>767</v>
      </c>
      <c r="K1854" s="9" t="e">
        <f t="shared" si="284"/>
        <v>#DIV/0!</v>
      </c>
    </row>
    <row r="1855" spans="1:11" x14ac:dyDescent="0.35">
      <c r="A1855" s="2" t="s">
        <v>212</v>
      </c>
      <c r="B1855" t="s">
        <v>232</v>
      </c>
      <c r="C1855" s="21" t="s">
        <v>275</v>
      </c>
      <c r="D1855" s="4">
        <v>14</v>
      </c>
      <c r="E1855" s="4"/>
      <c r="I1855" s="1">
        <f t="shared" si="282"/>
        <v>0</v>
      </c>
      <c r="J1855" s="1">
        <f t="shared" si="285"/>
        <v>767</v>
      </c>
      <c r="K1855" s="9" t="e">
        <f t="shared" si="284"/>
        <v>#DIV/0!</v>
      </c>
    </row>
    <row r="1856" spans="1:11" x14ac:dyDescent="0.35">
      <c r="A1856" s="2" t="s">
        <v>212</v>
      </c>
      <c r="B1856" t="s">
        <v>232</v>
      </c>
      <c r="C1856" s="21" t="s">
        <v>275</v>
      </c>
      <c r="D1856" s="4">
        <v>15</v>
      </c>
      <c r="E1856" s="4"/>
      <c r="I1856" s="1">
        <f t="shared" si="282"/>
        <v>0</v>
      </c>
      <c r="J1856" s="1">
        <f t="shared" si="285"/>
        <v>767</v>
      </c>
      <c r="K1856" s="9" t="e">
        <f t="shared" si="284"/>
        <v>#DIV/0!</v>
      </c>
    </row>
    <row r="1857" spans="1:11" ht="15" thickBot="1" x14ac:dyDescent="0.4">
      <c r="A1857" s="12" t="s">
        <v>212</v>
      </c>
      <c r="B1857" s="13" t="s">
        <v>232</v>
      </c>
      <c r="C1857" s="21" t="s">
        <v>275</v>
      </c>
      <c r="D1857" s="14">
        <v>16</v>
      </c>
      <c r="E1857" s="14"/>
      <c r="F1857" s="13"/>
      <c r="G1857" s="13"/>
      <c r="H1857" s="13"/>
      <c r="I1857" s="15">
        <f t="shared" si="282"/>
        <v>0</v>
      </c>
      <c r="J1857" s="15">
        <f t="shared" si="285"/>
        <v>767</v>
      </c>
      <c r="K1857" s="13"/>
    </row>
    <row r="1858" spans="1:11" x14ac:dyDescent="0.35">
      <c r="A1858" s="2" t="s">
        <v>213</v>
      </c>
      <c r="B1858" t="s">
        <v>160</v>
      </c>
      <c r="C1858" s="21" t="s">
        <v>275</v>
      </c>
      <c r="D1858" s="4">
        <v>1</v>
      </c>
      <c r="E1858" s="4"/>
      <c r="F1858" s="3">
        <v>45938</v>
      </c>
      <c r="G1858">
        <v>5586</v>
      </c>
      <c r="H1858">
        <v>5325</v>
      </c>
      <c r="I1858" s="1">
        <f t="shared" si="282"/>
        <v>261</v>
      </c>
      <c r="J1858" s="1">
        <f>I1858</f>
        <v>261</v>
      </c>
      <c r="K1858" s="9">
        <f t="shared" ref="K1858:K1872" si="286">I1858/H1858</f>
        <v>4.9014084507042255E-2</v>
      </c>
    </row>
    <row r="1859" spans="1:11" x14ac:dyDescent="0.35">
      <c r="A1859" s="2" t="s">
        <v>213</v>
      </c>
      <c r="B1859" t="s">
        <v>160</v>
      </c>
      <c r="C1859" s="21" t="s">
        <v>275</v>
      </c>
      <c r="D1859" s="4">
        <v>2</v>
      </c>
      <c r="E1859" s="4"/>
      <c r="F1859" s="3">
        <v>45945</v>
      </c>
      <c r="G1859">
        <v>5586</v>
      </c>
      <c r="H1859">
        <v>5325</v>
      </c>
      <c r="I1859" s="1">
        <f t="shared" si="282"/>
        <v>261</v>
      </c>
      <c r="J1859" s="1">
        <f>J1858+I1859</f>
        <v>522</v>
      </c>
      <c r="K1859" s="9">
        <f t="shared" si="286"/>
        <v>4.9014084507042255E-2</v>
      </c>
    </row>
    <row r="1860" spans="1:11" x14ac:dyDescent="0.35">
      <c r="A1860" s="2" t="s">
        <v>213</v>
      </c>
      <c r="B1860" t="s">
        <v>160</v>
      </c>
      <c r="C1860" s="21" t="s">
        <v>275</v>
      </c>
      <c r="D1860" s="4">
        <v>3</v>
      </c>
      <c r="E1860" s="4"/>
      <c r="F1860" s="3">
        <v>45952</v>
      </c>
      <c r="G1860">
        <v>5586</v>
      </c>
      <c r="H1860">
        <v>5326</v>
      </c>
      <c r="I1860" s="1">
        <f t="shared" si="282"/>
        <v>260</v>
      </c>
      <c r="J1860" s="1">
        <f t="shared" ref="J1860:J1873" si="287">J1859+I1860</f>
        <v>782</v>
      </c>
      <c r="K1860" s="9">
        <f t="shared" si="286"/>
        <v>4.8817123544874205E-2</v>
      </c>
    </row>
    <row r="1861" spans="1:11" x14ac:dyDescent="0.35">
      <c r="A1861" s="2" t="s">
        <v>213</v>
      </c>
      <c r="B1861" t="s">
        <v>160</v>
      </c>
      <c r="C1861" s="21" t="s">
        <v>275</v>
      </c>
      <c r="D1861" s="4">
        <v>4</v>
      </c>
      <c r="E1861" s="4"/>
      <c r="F1861" s="3">
        <v>45959</v>
      </c>
      <c r="G1861">
        <v>5586</v>
      </c>
      <c r="H1861">
        <v>5325</v>
      </c>
      <c r="I1861" s="1">
        <f t="shared" si="282"/>
        <v>261</v>
      </c>
      <c r="J1861" s="1">
        <f t="shared" si="287"/>
        <v>1043</v>
      </c>
      <c r="K1861" s="9">
        <f t="shared" si="286"/>
        <v>4.9014084507042255E-2</v>
      </c>
    </row>
    <row r="1862" spans="1:11" x14ac:dyDescent="0.35">
      <c r="A1862" s="2" t="s">
        <v>213</v>
      </c>
      <c r="B1862" t="s">
        <v>160</v>
      </c>
      <c r="C1862" s="21" t="s">
        <v>275</v>
      </c>
      <c r="D1862" s="4">
        <v>5</v>
      </c>
      <c r="E1862" s="4"/>
      <c r="F1862" s="3">
        <v>45966</v>
      </c>
      <c r="G1862">
        <v>5586</v>
      </c>
      <c r="H1862">
        <v>5326</v>
      </c>
      <c r="I1862" s="1">
        <f t="shared" si="282"/>
        <v>260</v>
      </c>
      <c r="J1862" s="1">
        <f t="shared" si="287"/>
        <v>1303</v>
      </c>
      <c r="K1862" s="9">
        <f t="shared" si="286"/>
        <v>4.8817123544874205E-2</v>
      </c>
    </row>
    <row r="1863" spans="1:11" x14ac:dyDescent="0.35">
      <c r="A1863" s="2" t="s">
        <v>213</v>
      </c>
      <c r="B1863" t="s">
        <v>160</v>
      </c>
      <c r="C1863" s="21" t="s">
        <v>275</v>
      </c>
      <c r="D1863" s="4">
        <v>6</v>
      </c>
      <c r="E1863" s="4"/>
      <c r="I1863" s="1">
        <f t="shared" si="282"/>
        <v>0</v>
      </c>
      <c r="J1863" s="1">
        <f t="shared" si="287"/>
        <v>1303</v>
      </c>
      <c r="K1863" s="9" t="e">
        <f t="shared" si="286"/>
        <v>#DIV/0!</v>
      </c>
    </row>
    <row r="1864" spans="1:11" x14ac:dyDescent="0.35">
      <c r="A1864" s="2" t="s">
        <v>213</v>
      </c>
      <c r="B1864" t="s">
        <v>160</v>
      </c>
      <c r="C1864" s="21" t="s">
        <v>275</v>
      </c>
      <c r="D1864" s="4">
        <v>7</v>
      </c>
      <c r="E1864" s="4"/>
      <c r="I1864" s="1">
        <f t="shared" si="282"/>
        <v>0</v>
      </c>
      <c r="J1864" s="1">
        <f t="shared" si="287"/>
        <v>1303</v>
      </c>
      <c r="K1864" s="9" t="e">
        <f t="shared" si="286"/>
        <v>#DIV/0!</v>
      </c>
    </row>
    <row r="1865" spans="1:11" x14ac:dyDescent="0.35">
      <c r="A1865" s="2" t="s">
        <v>213</v>
      </c>
      <c r="B1865" t="s">
        <v>160</v>
      </c>
      <c r="C1865" s="21" t="s">
        <v>275</v>
      </c>
      <c r="D1865" s="4">
        <v>8</v>
      </c>
      <c r="E1865" s="4"/>
      <c r="I1865" s="1">
        <f t="shared" si="282"/>
        <v>0</v>
      </c>
      <c r="J1865" s="1">
        <f t="shared" si="287"/>
        <v>1303</v>
      </c>
      <c r="K1865" s="9" t="e">
        <f t="shared" si="286"/>
        <v>#DIV/0!</v>
      </c>
    </row>
    <row r="1866" spans="1:11" x14ac:dyDescent="0.35">
      <c r="A1866" s="2" t="s">
        <v>213</v>
      </c>
      <c r="B1866" t="s">
        <v>160</v>
      </c>
      <c r="C1866" s="21" t="s">
        <v>275</v>
      </c>
      <c r="D1866" s="4">
        <v>9</v>
      </c>
      <c r="E1866" s="4"/>
      <c r="I1866" s="1">
        <f t="shared" si="282"/>
        <v>0</v>
      </c>
      <c r="J1866" s="1">
        <f t="shared" si="287"/>
        <v>1303</v>
      </c>
      <c r="K1866" s="9" t="e">
        <f t="shared" si="286"/>
        <v>#DIV/0!</v>
      </c>
    </row>
    <row r="1867" spans="1:11" x14ac:dyDescent="0.35">
      <c r="A1867" s="2" t="s">
        <v>213</v>
      </c>
      <c r="B1867" t="s">
        <v>160</v>
      </c>
      <c r="C1867" s="21" t="s">
        <v>275</v>
      </c>
      <c r="D1867" s="4">
        <v>10</v>
      </c>
      <c r="E1867" s="4"/>
      <c r="I1867" s="1">
        <f t="shared" si="282"/>
        <v>0</v>
      </c>
      <c r="J1867" s="1">
        <f t="shared" si="287"/>
        <v>1303</v>
      </c>
      <c r="K1867" s="9" t="e">
        <f t="shared" si="286"/>
        <v>#DIV/0!</v>
      </c>
    </row>
    <row r="1868" spans="1:11" x14ac:dyDescent="0.35">
      <c r="A1868" s="2" t="s">
        <v>213</v>
      </c>
      <c r="B1868" t="s">
        <v>160</v>
      </c>
      <c r="C1868" s="21" t="s">
        <v>275</v>
      </c>
      <c r="D1868" s="4">
        <v>11</v>
      </c>
      <c r="E1868" s="4"/>
      <c r="I1868" s="1">
        <f t="shared" si="282"/>
        <v>0</v>
      </c>
      <c r="J1868" s="1">
        <f t="shared" si="287"/>
        <v>1303</v>
      </c>
      <c r="K1868" s="9" t="e">
        <f t="shared" si="286"/>
        <v>#DIV/0!</v>
      </c>
    </row>
    <row r="1869" spans="1:11" x14ac:dyDescent="0.35">
      <c r="A1869" s="2" t="s">
        <v>213</v>
      </c>
      <c r="B1869" t="s">
        <v>160</v>
      </c>
      <c r="C1869" s="21" t="s">
        <v>275</v>
      </c>
      <c r="D1869" s="4">
        <v>12</v>
      </c>
      <c r="E1869" s="4"/>
      <c r="I1869" s="1">
        <f t="shared" si="282"/>
        <v>0</v>
      </c>
      <c r="J1869" s="1">
        <f t="shared" si="287"/>
        <v>1303</v>
      </c>
      <c r="K1869" s="9" t="e">
        <f t="shared" si="286"/>
        <v>#DIV/0!</v>
      </c>
    </row>
    <row r="1870" spans="1:11" x14ac:dyDescent="0.35">
      <c r="A1870" s="2" t="s">
        <v>213</v>
      </c>
      <c r="B1870" t="s">
        <v>160</v>
      </c>
      <c r="C1870" s="21" t="s">
        <v>275</v>
      </c>
      <c r="D1870" s="4">
        <v>13</v>
      </c>
      <c r="E1870" s="4"/>
      <c r="I1870" s="1">
        <f t="shared" si="282"/>
        <v>0</v>
      </c>
      <c r="J1870" s="1">
        <f t="shared" si="287"/>
        <v>1303</v>
      </c>
      <c r="K1870" s="9" t="e">
        <f t="shared" si="286"/>
        <v>#DIV/0!</v>
      </c>
    </row>
    <row r="1871" spans="1:11" x14ac:dyDescent="0.35">
      <c r="A1871" s="2" t="s">
        <v>213</v>
      </c>
      <c r="B1871" t="s">
        <v>160</v>
      </c>
      <c r="C1871" s="21" t="s">
        <v>275</v>
      </c>
      <c r="D1871" s="4">
        <v>14</v>
      </c>
      <c r="E1871" s="4"/>
      <c r="I1871" s="1">
        <f t="shared" si="282"/>
        <v>0</v>
      </c>
      <c r="J1871" s="1">
        <f t="shared" si="287"/>
        <v>1303</v>
      </c>
      <c r="K1871" s="9" t="e">
        <f t="shared" si="286"/>
        <v>#DIV/0!</v>
      </c>
    </row>
    <row r="1872" spans="1:11" x14ac:dyDescent="0.35">
      <c r="A1872" s="2" t="s">
        <v>213</v>
      </c>
      <c r="B1872" t="s">
        <v>160</v>
      </c>
      <c r="C1872" s="21" t="s">
        <v>275</v>
      </c>
      <c r="D1872" s="4">
        <v>15</v>
      </c>
      <c r="E1872" s="4"/>
      <c r="I1872" s="1">
        <f t="shared" si="282"/>
        <v>0</v>
      </c>
      <c r="J1872" s="1">
        <f t="shared" si="287"/>
        <v>1303</v>
      </c>
      <c r="K1872" s="9" t="e">
        <f t="shared" si="286"/>
        <v>#DIV/0!</v>
      </c>
    </row>
    <row r="1873" spans="1:11" ht="15" thickBot="1" x14ac:dyDescent="0.4">
      <c r="A1873" s="12" t="s">
        <v>213</v>
      </c>
      <c r="B1873" s="13" t="s">
        <v>160</v>
      </c>
      <c r="C1873" s="21" t="s">
        <v>275</v>
      </c>
      <c r="D1873" s="14">
        <v>16</v>
      </c>
      <c r="E1873" s="14"/>
      <c r="F1873" s="13"/>
      <c r="G1873" s="13"/>
      <c r="H1873" s="13"/>
      <c r="I1873" s="15">
        <f t="shared" si="282"/>
        <v>0</v>
      </c>
      <c r="J1873" s="15">
        <f t="shared" si="287"/>
        <v>1303</v>
      </c>
      <c r="K1873" s="13"/>
    </row>
    <row r="1874" spans="1:11" x14ac:dyDescent="0.35">
      <c r="A1874" s="2" t="s">
        <v>214</v>
      </c>
      <c r="B1874" t="s">
        <v>96</v>
      </c>
      <c r="C1874" s="21" t="s">
        <v>275</v>
      </c>
      <c r="D1874" s="4">
        <v>1</v>
      </c>
      <c r="E1874" s="4"/>
      <c r="F1874" s="3">
        <v>45937</v>
      </c>
      <c r="G1874">
        <v>7342</v>
      </c>
      <c r="H1874">
        <v>6993</v>
      </c>
      <c r="I1874" s="1">
        <f t="shared" si="282"/>
        <v>349</v>
      </c>
      <c r="J1874" s="1">
        <f>I1874</f>
        <v>349</v>
      </c>
      <c r="K1874" s="9">
        <f t="shared" ref="K1874:K1876" si="288">I1874/H1874</f>
        <v>4.9907049907049909E-2</v>
      </c>
    </row>
    <row r="1875" spans="1:11" x14ac:dyDescent="0.35">
      <c r="A1875" s="2" t="s">
        <v>214</v>
      </c>
      <c r="B1875" t="s">
        <v>96</v>
      </c>
      <c r="C1875" s="21" t="s">
        <v>275</v>
      </c>
      <c r="D1875" s="4">
        <v>2</v>
      </c>
      <c r="E1875" s="4"/>
      <c r="F1875" s="3">
        <v>45944</v>
      </c>
      <c r="G1875">
        <v>7348</v>
      </c>
      <c r="H1875">
        <v>6998</v>
      </c>
      <c r="I1875" s="1">
        <f t="shared" si="282"/>
        <v>350</v>
      </c>
      <c r="J1875" s="1">
        <f>J1874+I1875</f>
        <v>699</v>
      </c>
      <c r="K1875" s="9">
        <f t="shared" si="288"/>
        <v>5.0014289797084881E-2</v>
      </c>
    </row>
    <row r="1876" spans="1:11" x14ac:dyDescent="0.35">
      <c r="A1876" s="2" t="s">
        <v>214</v>
      </c>
      <c r="B1876" t="s">
        <v>96</v>
      </c>
      <c r="C1876" s="21" t="s">
        <v>275</v>
      </c>
      <c r="D1876" s="4">
        <v>3</v>
      </c>
      <c r="E1876" s="4"/>
      <c r="F1876" s="3">
        <v>45951</v>
      </c>
      <c r="G1876">
        <v>7348</v>
      </c>
      <c r="H1876">
        <v>6998</v>
      </c>
      <c r="I1876" s="1">
        <f t="shared" si="282"/>
        <v>350</v>
      </c>
      <c r="J1876" s="1">
        <f t="shared" ref="J1876:J1889" si="289">J1875+I1876</f>
        <v>1049</v>
      </c>
      <c r="K1876" s="9">
        <f t="shared" si="288"/>
        <v>5.0014289797084881E-2</v>
      </c>
    </row>
    <row r="1877" spans="1:11" x14ac:dyDescent="0.35">
      <c r="A1877" s="2" t="s">
        <v>214</v>
      </c>
      <c r="B1877" t="s">
        <v>96</v>
      </c>
      <c r="C1877" s="21" t="s">
        <v>275</v>
      </c>
      <c r="D1877" s="4">
        <v>4</v>
      </c>
      <c r="E1877" s="4"/>
      <c r="F1877" s="3">
        <v>45958</v>
      </c>
      <c r="G1877">
        <v>7348</v>
      </c>
      <c r="H1877">
        <v>6998</v>
      </c>
      <c r="I1877" s="1">
        <f t="shared" si="282"/>
        <v>350</v>
      </c>
      <c r="J1877" s="1">
        <f t="shared" si="289"/>
        <v>1399</v>
      </c>
    </row>
    <row r="1878" spans="1:11" x14ac:dyDescent="0.35">
      <c r="A1878" s="2" t="s">
        <v>214</v>
      </c>
      <c r="B1878" t="s">
        <v>96</v>
      </c>
      <c r="C1878" s="21" t="s">
        <v>275</v>
      </c>
      <c r="D1878" s="4">
        <v>5</v>
      </c>
      <c r="E1878" s="4"/>
      <c r="I1878" s="1">
        <f t="shared" si="282"/>
        <v>0</v>
      </c>
      <c r="J1878" s="1">
        <f t="shared" si="289"/>
        <v>1399</v>
      </c>
    </row>
    <row r="1879" spans="1:11" x14ac:dyDescent="0.35">
      <c r="A1879" s="2" t="s">
        <v>214</v>
      </c>
      <c r="B1879" t="s">
        <v>96</v>
      </c>
      <c r="C1879" s="21" t="s">
        <v>275</v>
      </c>
      <c r="D1879" s="4">
        <v>6</v>
      </c>
      <c r="E1879" s="4"/>
      <c r="I1879" s="1">
        <f t="shared" si="282"/>
        <v>0</v>
      </c>
      <c r="J1879" s="1">
        <f t="shared" si="289"/>
        <v>1399</v>
      </c>
    </row>
    <row r="1880" spans="1:11" x14ac:dyDescent="0.35">
      <c r="A1880" s="2" t="s">
        <v>214</v>
      </c>
      <c r="B1880" t="s">
        <v>96</v>
      </c>
      <c r="C1880" s="21" t="s">
        <v>275</v>
      </c>
      <c r="D1880" s="4">
        <v>7</v>
      </c>
      <c r="E1880" s="4"/>
      <c r="I1880" s="1">
        <f t="shared" si="282"/>
        <v>0</v>
      </c>
      <c r="J1880" s="1">
        <f t="shared" si="289"/>
        <v>1399</v>
      </c>
    </row>
    <row r="1881" spans="1:11" x14ac:dyDescent="0.35">
      <c r="A1881" s="2" t="s">
        <v>214</v>
      </c>
      <c r="B1881" t="s">
        <v>96</v>
      </c>
      <c r="C1881" s="21" t="s">
        <v>275</v>
      </c>
      <c r="D1881" s="4">
        <v>8</v>
      </c>
      <c r="E1881" s="4"/>
      <c r="I1881" s="1">
        <f t="shared" si="282"/>
        <v>0</v>
      </c>
      <c r="J1881" s="1">
        <f t="shared" si="289"/>
        <v>1399</v>
      </c>
    </row>
    <row r="1882" spans="1:11" x14ac:dyDescent="0.35">
      <c r="A1882" s="2" t="s">
        <v>214</v>
      </c>
      <c r="B1882" t="s">
        <v>96</v>
      </c>
      <c r="C1882" s="21" t="s">
        <v>275</v>
      </c>
      <c r="D1882" s="4">
        <v>9</v>
      </c>
      <c r="E1882" s="4"/>
      <c r="I1882" s="1">
        <f t="shared" si="282"/>
        <v>0</v>
      </c>
      <c r="J1882" s="1">
        <f t="shared" si="289"/>
        <v>1399</v>
      </c>
    </row>
    <row r="1883" spans="1:11" x14ac:dyDescent="0.35">
      <c r="A1883" s="2" t="s">
        <v>214</v>
      </c>
      <c r="B1883" t="s">
        <v>96</v>
      </c>
      <c r="C1883" s="21" t="s">
        <v>275</v>
      </c>
      <c r="D1883" s="4">
        <v>10</v>
      </c>
      <c r="E1883" s="4"/>
      <c r="I1883" s="1">
        <f t="shared" si="282"/>
        <v>0</v>
      </c>
      <c r="J1883" s="1">
        <f t="shared" si="289"/>
        <v>1399</v>
      </c>
    </row>
    <row r="1884" spans="1:11" x14ac:dyDescent="0.35">
      <c r="A1884" s="2" t="s">
        <v>214</v>
      </c>
      <c r="B1884" t="s">
        <v>96</v>
      </c>
      <c r="C1884" s="21" t="s">
        <v>275</v>
      </c>
      <c r="D1884" s="4">
        <v>11</v>
      </c>
      <c r="E1884" s="4"/>
      <c r="I1884" s="1">
        <f t="shared" si="282"/>
        <v>0</v>
      </c>
      <c r="J1884" s="1">
        <f t="shared" si="289"/>
        <v>1399</v>
      </c>
    </row>
    <row r="1885" spans="1:11" x14ac:dyDescent="0.35">
      <c r="A1885" s="2" t="s">
        <v>214</v>
      </c>
      <c r="B1885" t="s">
        <v>96</v>
      </c>
      <c r="C1885" s="21" t="s">
        <v>275</v>
      </c>
      <c r="D1885" s="4">
        <v>12</v>
      </c>
      <c r="E1885" s="4"/>
      <c r="I1885" s="1">
        <f t="shared" si="282"/>
        <v>0</v>
      </c>
      <c r="J1885" s="1">
        <f t="shared" si="289"/>
        <v>1399</v>
      </c>
    </row>
    <row r="1886" spans="1:11" x14ac:dyDescent="0.35">
      <c r="A1886" s="2" t="s">
        <v>214</v>
      </c>
      <c r="B1886" t="s">
        <v>96</v>
      </c>
      <c r="C1886" s="21" t="s">
        <v>275</v>
      </c>
      <c r="D1886" s="4">
        <v>13</v>
      </c>
      <c r="E1886" s="4"/>
      <c r="I1886" s="1">
        <f t="shared" si="282"/>
        <v>0</v>
      </c>
      <c r="J1886" s="1">
        <f t="shared" si="289"/>
        <v>1399</v>
      </c>
    </row>
    <row r="1887" spans="1:11" x14ac:dyDescent="0.35">
      <c r="A1887" s="2" t="s">
        <v>214</v>
      </c>
      <c r="B1887" t="s">
        <v>96</v>
      </c>
      <c r="C1887" s="21" t="s">
        <v>275</v>
      </c>
      <c r="D1887" s="4">
        <v>14</v>
      </c>
      <c r="E1887" s="4"/>
      <c r="I1887" s="1">
        <f t="shared" si="282"/>
        <v>0</v>
      </c>
      <c r="J1887" s="1">
        <f t="shared" si="289"/>
        <v>1399</v>
      </c>
    </row>
    <row r="1888" spans="1:11" x14ac:dyDescent="0.35">
      <c r="A1888" s="2" t="s">
        <v>214</v>
      </c>
      <c r="B1888" t="s">
        <v>96</v>
      </c>
      <c r="C1888" s="21" t="s">
        <v>275</v>
      </c>
      <c r="D1888" s="4">
        <v>15</v>
      </c>
      <c r="E1888" s="4"/>
      <c r="I1888" s="1">
        <f t="shared" si="282"/>
        <v>0</v>
      </c>
      <c r="J1888" s="1">
        <f t="shared" si="289"/>
        <v>1399</v>
      </c>
    </row>
    <row r="1889" spans="1:11" ht="15" thickBot="1" x14ac:dyDescent="0.4">
      <c r="A1889" s="12" t="s">
        <v>214</v>
      </c>
      <c r="B1889" s="13" t="s">
        <v>96</v>
      </c>
      <c r="C1889" s="21" t="s">
        <v>275</v>
      </c>
      <c r="D1889" s="14">
        <v>16</v>
      </c>
      <c r="E1889" s="14"/>
      <c r="F1889" s="13"/>
      <c r="G1889" s="13"/>
      <c r="H1889" s="13"/>
      <c r="I1889" s="15">
        <f t="shared" si="282"/>
        <v>0</v>
      </c>
      <c r="J1889" s="15">
        <f t="shared" si="289"/>
        <v>1399</v>
      </c>
      <c r="K1889" s="13"/>
    </row>
    <row r="1890" spans="1:11" x14ac:dyDescent="0.35">
      <c r="A1890" s="2" t="s">
        <v>215</v>
      </c>
      <c r="B1890" t="s">
        <v>233</v>
      </c>
      <c r="C1890" s="21" t="s">
        <v>275</v>
      </c>
      <c r="D1890" s="4">
        <v>1</v>
      </c>
      <c r="E1890" s="4"/>
      <c r="F1890" s="3">
        <v>45938</v>
      </c>
      <c r="G1890">
        <v>6940</v>
      </c>
      <c r="H1890">
        <v>4712</v>
      </c>
      <c r="I1890" s="1">
        <f t="shared" si="282"/>
        <v>2228</v>
      </c>
      <c r="J1890" s="1">
        <f>I1890</f>
        <v>2228</v>
      </c>
      <c r="K1890" s="9">
        <f t="shared" ref="K1890:K1904" si="290">I1890/H1890</f>
        <v>0.47283531409168084</v>
      </c>
    </row>
    <row r="1891" spans="1:11" x14ac:dyDescent="0.35">
      <c r="A1891" s="2" t="s">
        <v>215</v>
      </c>
      <c r="B1891" t="s">
        <v>233</v>
      </c>
      <c r="C1891" s="21" t="s">
        <v>275</v>
      </c>
      <c r="D1891" s="4">
        <v>2</v>
      </c>
      <c r="E1891" s="4"/>
      <c r="F1891" s="3">
        <v>45945</v>
      </c>
      <c r="G1891">
        <v>7040</v>
      </c>
      <c r="H1891">
        <v>4712</v>
      </c>
      <c r="I1891" s="1">
        <f t="shared" ref="I1891:I1954" si="291">G1891-H1891</f>
        <v>2328</v>
      </c>
      <c r="J1891" s="1">
        <f>J1890+I1891</f>
        <v>4556</v>
      </c>
      <c r="K1891" s="9">
        <f t="shared" si="290"/>
        <v>0.49405772495755518</v>
      </c>
    </row>
    <row r="1892" spans="1:11" x14ac:dyDescent="0.35">
      <c r="A1892" s="2" t="s">
        <v>215</v>
      </c>
      <c r="B1892" t="s">
        <v>233</v>
      </c>
      <c r="C1892" s="21" t="s">
        <v>275</v>
      </c>
      <c r="D1892" s="4">
        <v>3</v>
      </c>
      <c r="E1892" s="4"/>
      <c r="F1892" s="3">
        <v>45951</v>
      </c>
      <c r="G1892">
        <v>7040</v>
      </c>
      <c r="H1892">
        <v>4712</v>
      </c>
      <c r="I1892" s="1">
        <f t="shared" si="291"/>
        <v>2328</v>
      </c>
      <c r="J1892" s="1">
        <f t="shared" ref="J1892:J1905" si="292">J1891+I1892</f>
        <v>6884</v>
      </c>
      <c r="K1892" s="9">
        <f t="shared" si="290"/>
        <v>0.49405772495755518</v>
      </c>
    </row>
    <row r="1893" spans="1:11" x14ac:dyDescent="0.35">
      <c r="A1893" s="2" t="s">
        <v>215</v>
      </c>
      <c r="B1893" t="s">
        <v>233</v>
      </c>
      <c r="C1893" s="21" t="s">
        <v>275</v>
      </c>
      <c r="D1893" s="4">
        <v>4</v>
      </c>
      <c r="E1893" s="4"/>
      <c r="F1893" s="3">
        <v>45959</v>
      </c>
      <c r="G1893">
        <v>7040</v>
      </c>
      <c r="H1893">
        <v>4712</v>
      </c>
      <c r="I1893" s="1">
        <f t="shared" si="291"/>
        <v>2328</v>
      </c>
      <c r="J1893" s="1">
        <f t="shared" si="292"/>
        <v>9212</v>
      </c>
      <c r="K1893" s="9">
        <f t="shared" si="290"/>
        <v>0.49405772495755518</v>
      </c>
    </row>
    <row r="1894" spans="1:11" x14ac:dyDescent="0.35">
      <c r="A1894" s="2" t="s">
        <v>215</v>
      </c>
      <c r="B1894" t="s">
        <v>233</v>
      </c>
      <c r="C1894" s="21" t="s">
        <v>275</v>
      </c>
      <c r="D1894" s="4">
        <v>5</v>
      </c>
      <c r="E1894" s="4"/>
      <c r="F1894" s="3">
        <v>45966</v>
      </c>
      <c r="G1894">
        <v>7040</v>
      </c>
      <c r="H1894">
        <v>4712</v>
      </c>
      <c r="I1894" s="1">
        <f t="shared" si="291"/>
        <v>2328</v>
      </c>
      <c r="J1894" s="1">
        <f t="shared" si="292"/>
        <v>11540</v>
      </c>
      <c r="K1894" s="9">
        <f t="shared" si="290"/>
        <v>0.49405772495755518</v>
      </c>
    </row>
    <row r="1895" spans="1:11" x14ac:dyDescent="0.35">
      <c r="A1895" s="2" t="s">
        <v>215</v>
      </c>
      <c r="B1895" t="s">
        <v>233</v>
      </c>
      <c r="C1895" s="21" t="s">
        <v>275</v>
      </c>
      <c r="D1895" s="4">
        <v>6</v>
      </c>
      <c r="E1895" s="4"/>
      <c r="I1895" s="1">
        <f t="shared" si="291"/>
        <v>0</v>
      </c>
      <c r="J1895" s="1">
        <f t="shared" si="292"/>
        <v>11540</v>
      </c>
      <c r="K1895" s="9" t="e">
        <f t="shared" si="290"/>
        <v>#DIV/0!</v>
      </c>
    </row>
    <row r="1896" spans="1:11" x14ac:dyDescent="0.35">
      <c r="A1896" s="2" t="s">
        <v>215</v>
      </c>
      <c r="B1896" t="s">
        <v>233</v>
      </c>
      <c r="C1896" s="21" t="s">
        <v>275</v>
      </c>
      <c r="D1896" s="4">
        <v>7</v>
      </c>
      <c r="E1896" s="4"/>
      <c r="I1896" s="1">
        <f t="shared" si="291"/>
        <v>0</v>
      </c>
      <c r="J1896" s="1">
        <f t="shared" si="292"/>
        <v>11540</v>
      </c>
      <c r="K1896" s="9" t="e">
        <f t="shared" si="290"/>
        <v>#DIV/0!</v>
      </c>
    </row>
    <row r="1897" spans="1:11" x14ac:dyDescent="0.35">
      <c r="A1897" s="2" t="s">
        <v>215</v>
      </c>
      <c r="B1897" t="s">
        <v>233</v>
      </c>
      <c r="C1897" s="21" t="s">
        <v>275</v>
      </c>
      <c r="D1897" s="4">
        <v>8</v>
      </c>
      <c r="E1897" s="4"/>
      <c r="I1897" s="1">
        <f t="shared" si="291"/>
        <v>0</v>
      </c>
      <c r="J1897" s="1">
        <f t="shared" si="292"/>
        <v>11540</v>
      </c>
      <c r="K1897" s="9" t="e">
        <f t="shared" si="290"/>
        <v>#DIV/0!</v>
      </c>
    </row>
    <row r="1898" spans="1:11" x14ac:dyDescent="0.35">
      <c r="A1898" s="2" t="s">
        <v>215</v>
      </c>
      <c r="B1898" t="s">
        <v>233</v>
      </c>
      <c r="C1898" s="21" t="s">
        <v>275</v>
      </c>
      <c r="D1898" s="4">
        <v>9</v>
      </c>
      <c r="E1898" s="4"/>
      <c r="I1898" s="1">
        <f t="shared" si="291"/>
        <v>0</v>
      </c>
      <c r="J1898" s="1">
        <f t="shared" si="292"/>
        <v>11540</v>
      </c>
      <c r="K1898" s="9" t="e">
        <f t="shared" si="290"/>
        <v>#DIV/0!</v>
      </c>
    </row>
    <row r="1899" spans="1:11" x14ac:dyDescent="0.35">
      <c r="A1899" s="2" t="s">
        <v>215</v>
      </c>
      <c r="B1899" t="s">
        <v>233</v>
      </c>
      <c r="C1899" s="21" t="s">
        <v>275</v>
      </c>
      <c r="D1899" s="4">
        <v>10</v>
      </c>
      <c r="E1899" s="4"/>
      <c r="I1899" s="1">
        <f t="shared" si="291"/>
        <v>0</v>
      </c>
      <c r="J1899" s="1">
        <f t="shared" si="292"/>
        <v>11540</v>
      </c>
      <c r="K1899" s="9" t="e">
        <f t="shared" si="290"/>
        <v>#DIV/0!</v>
      </c>
    </row>
    <row r="1900" spans="1:11" x14ac:dyDescent="0.35">
      <c r="A1900" s="2" t="s">
        <v>215</v>
      </c>
      <c r="B1900" t="s">
        <v>233</v>
      </c>
      <c r="C1900" s="21" t="s">
        <v>275</v>
      </c>
      <c r="D1900" s="4">
        <v>11</v>
      </c>
      <c r="E1900" s="4"/>
      <c r="I1900" s="1">
        <f t="shared" si="291"/>
        <v>0</v>
      </c>
      <c r="J1900" s="1">
        <f t="shared" si="292"/>
        <v>11540</v>
      </c>
      <c r="K1900" s="9" t="e">
        <f t="shared" si="290"/>
        <v>#DIV/0!</v>
      </c>
    </row>
    <row r="1901" spans="1:11" x14ac:dyDescent="0.35">
      <c r="A1901" s="2" t="s">
        <v>215</v>
      </c>
      <c r="B1901" t="s">
        <v>233</v>
      </c>
      <c r="C1901" s="21" t="s">
        <v>275</v>
      </c>
      <c r="D1901" s="4">
        <v>12</v>
      </c>
      <c r="E1901" s="4"/>
      <c r="I1901" s="1">
        <f t="shared" si="291"/>
        <v>0</v>
      </c>
      <c r="J1901" s="1">
        <f t="shared" si="292"/>
        <v>11540</v>
      </c>
      <c r="K1901" s="9" t="e">
        <f t="shared" si="290"/>
        <v>#DIV/0!</v>
      </c>
    </row>
    <row r="1902" spans="1:11" x14ac:dyDescent="0.35">
      <c r="A1902" s="2" t="s">
        <v>215</v>
      </c>
      <c r="B1902" t="s">
        <v>233</v>
      </c>
      <c r="C1902" s="21" t="s">
        <v>275</v>
      </c>
      <c r="D1902" s="4">
        <v>13</v>
      </c>
      <c r="E1902" s="4"/>
      <c r="I1902" s="1">
        <f t="shared" si="291"/>
        <v>0</v>
      </c>
      <c r="J1902" s="1">
        <f t="shared" si="292"/>
        <v>11540</v>
      </c>
      <c r="K1902" s="9" t="e">
        <f t="shared" si="290"/>
        <v>#DIV/0!</v>
      </c>
    </row>
    <row r="1903" spans="1:11" x14ac:dyDescent="0.35">
      <c r="A1903" s="2" t="s">
        <v>215</v>
      </c>
      <c r="B1903" t="s">
        <v>233</v>
      </c>
      <c r="C1903" s="21" t="s">
        <v>275</v>
      </c>
      <c r="D1903" s="4">
        <v>14</v>
      </c>
      <c r="E1903" s="4"/>
      <c r="I1903" s="1">
        <f t="shared" si="291"/>
        <v>0</v>
      </c>
      <c r="J1903" s="1">
        <f t="shared" si="292"/>
        <v>11540</v>
      </c>
      <c r="K1903" s="9" t="e">
        <f t="shared" si="290"/>
        <v>#DIV/0!</v>
      </c>
    </row>
    <row r="1904" spans="1:11" x14ac:dyDescent="0.35">
      <c r="A1904" s="2" t="s">
        <v>215</v>
      </c>
      <c r="B1904" t="s">
        <v>233</v>
      </c>
      <c r="C1904" s="21" t="s">
        <v>275</v>
      </c>
      <c r="D1904" s="4">
        <v>15</v>
      </c>
      <c r="E1904" s="4"/>
      <c r="I1904" s="1">
        <f t="shared" si="291"/>
        <v>0</v>
      </c>
      <c r="J1904" s="1">
        <f t="shared" si="292"/>
        <v>11540</v>
      </c>
      <c r="K1904" s="9" t="e">
        <f t="shared" si="290"/>
        <v>#DIV/0!</v>
      </c>
    </row>
    <row r="1905" spans="1:11" ht="15" thickBot="1" x14ac:dyDescent="0.4">
      <c r="A1905" s="12" t="s">
        <v>215</v>
      </c>
      <c r="B1905" s="13" t="s">
        <v>233</v>
      </c>
      <c r="C1905" s="21" t="s">
        <v>275</v>
      </c>
      <c r="D1905" s="14">
        <v>16</v>
      </c>
      <c r="E1905" s="14"/>
      <c r="F1905" s="13"/>
      <c r="G1905" s="13"/>
      <c r="H1905" s="13"/>
      <c r="I1905" s="15">
        <f t="shared" si="291"/>
        <v>0</v>
      </c>
      <c r="J1905" s="15">
        <f t="shared" si="292"/>
        <v>11540</v>
      </c>
      <c r="K1905" s="13"/>
    </row>
    <row r="1906" spans="1:11" x14ac:dyDescent="0.35">
      <c r="A1906" s="2" t="s">
        <v>216</v>
      </c>
      <c r="B1906" t="s">
        <v>234</v>
      </c>
      <c r="C1906" s="21" t="s">
        <v>275</v>
      </c>
      <c r="D1906" s="4">
        <v>1</v>
      </c>
      <c r="E1906" s="4"/>
      <c r="F1906" s="3">
        <v>45937</v>
      </c>
      <c r="G1906">
        <v>4708</v>
      </c>
      <c r="H1906">
        <v>4484</v>
      </c>
      <c r="I1906" s="1">
        <f t="shared" si="291"/>
        <v>224</v>
      </c>
      <c r="J1906" s="1">
        <f>I1906</f>
        <v>224</v>
      </c>
      <c r="K1906" s="9">
        <f t="shared" ref="K1906:K1920" si="293">I1906/H1906</f>
        <v>4.9955396966993755E-2</v>
      </c>
    </row>
    <row r="1907" spans="1:11" x14ac:dyDescent="0.35">
      <c r="A1907" s="2" t="s">
        <v>216</v>
      </c>
      <c r="B1907" t="s">
        <v>234</v>
      </c>
      <c r="C1907" s="21" t="s">
        <v>275</v>
      </c>
      <c r="D1907" s="4">
        <v>2</v>
      </c>
      <c r="E1907" s="4"/>
      <c r="F1907" s="3">
        <v>45944</v>
      </c>
      <c r="G1907">
        <v>4720</v>
      </c>
      <c r="H1907">
        <v>4484</v>
      </c>
      <c r="I1907" s="1">
        <f t="shared" si="291"/>
        <v>236</v>
      </c>
      <c r="J1907" s="1">
        <f>J1906+I1907</f>
        <v>460</v>
      </c>
      <c r="K1907" s="9">
        <f t="shared" si="293"/>
        <v>5.2631578947368418E-2</v>
      </c>
    </row>
    <row r="1908" spans="1:11" x14ac:dyDescent="0.35">
      <c r="A1908" s="2" t="s">
        <v>216</v>
      </c>
      <c r="B1908" t="s">
        <v>234</v>
      </c>
      <c r="C1908" s="21" t="s">
        <v>275</v>
      </c>
      <c r="D1908" s="4">
        <v>3</v>
      </c>
      <c r="E1908" s="4"/>
      <c r="F1908" s="3">
        <v>45951</v>
      </c>
      <c r="G1908">
        <v>4710</v>
      </c>
      <c r="H1908">
        <v>4484</v>
      </c>
      <c r="I1908" s="1">
        <f t="shared" si="291"/>
        <v>226</v>
      </c>
      <c r="J1908" s="1">
        <f t="shared" ref="J1908:J1921" si="294">J1907+I1908</f>
        <v>686</v>
      </c>
      <c r="K1908" s="9">
        <f t="shared" si="293"/>
        <v>5.0401427297056198E-2</v>
      </c>
    </row>
    <row r="1909" spans="1:11" x14ac:dyDescent="0.35">
      <c r="A1909" s="2" t="s">
        <v>216</v>
      </c>
      <c r="B1909" t="s">
        <v>234</v>
      </c>
      <c r="C1909" s="21" t="s">
        <v>275</v>
      </c>
      <c r="D1909" s="4">
        <v>4</v>
      </c>
      <c r="E1909" s="4"/>
      <c r="F1909" s="3">
        <v>45958</v>
      </c>
      <c r="G1909">
        <v>4710</v>
      </c>
      <c r="H1909">
        <v>4484</v>
      </c>
      <c r="I1909" s="1">
        <f t="shared" si="291"/>
        <v>226</v>
      </c>
      <c r="J1909" s="1">
        <f t="shared" si="294"/>
        <v>912</v>
      </c>
      <c r="K1909" s="9">
        <f t="shared" si="293"/>
        <v>5.0401427297056198E-2</v>
      </c>
    </row>
    <row r="1910" spans="1:11" x14ac:dyDescent="0.35">
      <c r="A1910" s="2" t="s">
        <v>216</v>
      </c>
      <c r="B1910" t="s">
        <v>234</v>
      </c>
      <c r="C1910" s="21" t="s">
        <v>275</v>
      </c>
      <c r="D1910" s="4">
        <v>5</v>
      </c>
      <c r="E1910" s="4"/>
      <c r="F1910" s="3">
        <v>45965</v>
      </c>
      <c r="G1910">
        <v>4710</v>
      </c>
      <c r="H1910">
        <v>4484</v>
      </c>
      <c r="I1910" s="1">
        <f t="shared" si="291"/>
        <v>226</v>
      </c>
      <c r="J1910" s="1">
        <f t="shared" si="294"/>
        <v>1138</v>
      </c>
      <c r="K1910" s="9">
        <f t="shared" si="293"/>
        <v>5.0401427297056198E-2</v>
      </c>
    </row>
    <row r="1911" spans="1:11" x14ac:dyDescent="0.35">
      <c r="A1911" s="2" t="s">
        <v>216</v>
      </c>
      <c r="B1911" t="s">
        <v>234</v>
      </c>
      <c r="C1911" s="21" t="s">
        <v>275</v>
      </c>
      <c r="D1911" s="4">
        <v>6</v>
      </c>
      <c r="E1911" s="4"/>
      <c r="I1911" s="1">
        <f t="shared" si="291"/>
        <v>0</v>
      </c>
      <c r="J1911" s="1">
        <f t="shared" si="294"/>
        <v>1138</v>
      </c>
      <c r="K1911" s="9" t="e">
        <f t="shared" si="293"/>
        <v>#DIV/0!</v>
      </c>
    </row>
    <row r="1912" spans="1:11" x14ac:dyDescent="0.35">
      <c r="A1912" s="2" t="s">
        <v>216</v>
      </c>
      <c r="B1912" t="s">
        <v>234</v>
      </c>
      <c r="C1912" s="21" t="s">
        <v>275</v>
      </c>
      <c r="D1912" s="4">
        <v>7</v>
      </c>
      <c r="E1912" s="4"/>
      <c r="I1912" s="1">
        <f t="shared" si="291"/>
        <v>0</v>
      </c>
      <c r="J1912" s="1">
        <f t="shared" si="294"/>
        <v>1138</v>
      </c>
      <c r="K1912" s="9" t="e">
        <f t="shared" si="293"/>
        <v>#DIV/0!</v>
      </c>
    </row>
    <row r="1913" spans="1:11" x14ac:dyDescent="0.35">
      <c r="A1913" s="2" t="s">
        <v>216</v>
      </c>
      <c r="B1913" t="s">
        <v>234</v>
      </c>
      <c r="C1913" s="21" t="s">
        <v>275</v>
      </c>
      <c r="D1913" s="4">
        <v>8</v>
      </c>
      <c r="E1913" s="4"/>
      <c r="I1913" s="1">
        <f t="shared" si="291"/>
        <v>0</v>
      </c>
      <c r="J1913" s="1">
        <f t="shared" si="294"/>
        <v>1138</v>
      </c>
      <c r="K1913" s="9" t="e">
        <f t="shared" si="293"/>
        <v>#DIV/0!</v>
      </c>
    </row>
    <row r="1914" spans="1:11" x14ac:dyDescent="0.35">
      <c r="A1914" s="2" t="s">
        <v>216</v>
      </c>
      <c r="B1914" t="s">
        <v>234</v>
      </c>
      <c r="C1914" s="21" t="s">
        <v>275</v>
      </c>
      <c r="D1914" s="4">
        <v>9</v>
      </c>
      <c r="E1914" s="4"/>
      <c r="I1914" s="1">
        <f t="shared" si="291"/>
        <v>0</v>
      </c>
      <c r="J1914" s="1">
        <f t="shared" si="294"/>
        <v>1138</v>
      </c>
      <c r="K1914" s="9" t="e">
        <f t="shared" si="293"/>
        <v>#DIV/0!</v>
      </c>
    </row>
    <row r="1915" spans="1:11" x14ac:dyDescent="0.35">
      <c r="A1915" s="2" t="s">
        <v>216</v>
      </c>
      <c r="B1915" t="s">
        <v>234</v>
      </c>
      <c r="C1915" s="21" t="s">
        <v>275</v>
      </c>
      <c r="D1915" s="4">
        <v>10</v>
      </c>
      <c r="E1915" s="4"/>
      <c r="I1915" s="1">
        <f t="shared" si="291"/>
        <v>0</v>
      </c>
      <c r="J1915" s="1">
        <f t="shared" si="294"/>
        <v>1138</v>
      </c>
      <c r="K1915" s="9" t="e">
        <f t="shared" si="293"/>
        <v>#DIV/0!</v>
      </c>
    </row>
    <row r="1916" spans="1:11" x14ac:dyDescent="0.35">
      <c r="A1916" s="2" t="s">
        <v>216</v>
      </c>
      <c r="B1916" t="s">
        <v>234</v>
      </c>
      <c r="C1916" s="21" t="s">
        <v>275</v>
      </c>
      <c r="D1916" s="4">
        <v>11</v>
      </c>
      <c r="E1916" s="4"/>
      <c r="I1916" s="1">
        <f t="shared" si="291"/>
        <v>0</v>
      </c>
      <c r="J1916" s="1">
        <f t="shared" si="294"/>
        <v>1138</v>
      </c>
      <c r="K1916" s="9" t="e">
        <f t="shared" si="293"/>
        <v>#DIV/0!</v>
      </c>
    </row>
    <row r="1917" spans="1:11" x14ac:dyDescent="0.35">
      <c r="A1917" s="2" t="s">
        <v>216</v>
      </c>
      <c r="B1917" t="s">
        <v>234</v>
      </c>
      <c r="C1917" s="21" t="s">
        <v>275</v>
      </c>
      <c r="D1917" s="4">
        <v>12</v>
      </c>
      <c r="E1917" s="4"/>
      <c r="I1917" s="1">
        <f t="shared" si="291"/>
        <v>0</v>
      </c>
      <c r="J1917" s="1">
        <f t="shared" si="294"/>
        <v>1138</v>
      </c>
      <c r="K1917" s="9" t="e">
        <f t="shared" si="293"/>
        <v>#DIV/0!</v>
      </c>
    </row>
    <row r="1918" spans="1:11" x14ac:dyDescent="0.35">
      <c r="A1918" s="2" t="s">
        <v>216</v>
      </c>
      <c r="B1918" t="s">
        <v>234</v>
      </c>
      <c r="C1918" s="21" t="s">
        <v>275</v>
      </c>
      <c r="D1918" s="4">
        <v>13</v>
      </c>
      <c r="E1918" s="4"/>
      <c r="I1918" s="1">
        <f t="shared" si="291"/>
        <v>0</v>
      </c>
      <c r="J1918" s="1">
        <f t="shared" si="294"/>
        <v>1138</v>
      </c>
      <c r="K1918" s="9" t="e">
        <f t="shared" si="293"/>
        <v>#DIV/0!</v>
      </c>
    </row>
    <row r="1919" spans="1:11" x14ac:dyDescent="0.35">
      <c r="A1919" s="2" t="s">
        <v>216</v>
      </c>
      <c r="B1919" t="s">
        <v>234</v>
      </c>
      <c r="C1919" s="21" t="s">
        <v>275</v>
      </c>
      <c r="D1919" s="4">
        <v>14</v>
      </c>
      <c r="E1919" s="4"/>
      <c r="I1919" s="1">
        <f t="shared" si="291"/>
        <v>0</v>
      </c>
      <c r="J1919" s="1">
        <f t="shared" si="294"/>
        <v>1138</v>
      </c>
      <c r="K1919" s="9" t="e">
        <f t="shared" si="293"/>
        <v>#DIV/0!</v>
      </c>
    </row>
    <row r="1920" spans="1:11" x14ac:dyDescent="0.35">
      <c r="A1920" s="2" t="s">
        <v>216</v>
      </c>
      <c r="B1920" t="s">
        <v>234</v>
      </c>
      <c r="C1920" s="21" t="s">
        <v>275</v>
      </c>
      <c r="D1920" s="4">
        <v>15</v>
      </c>
      <c r="E1920" s="4"/>
      <c r="I1920" s="1">
        <f t="shared" si="291"/>
        <v>0</v>
      </c>
      <c r="J1920" s="1">
        <f t="shared" si="294"/>
        <v>1138</v>
      </c>
      <c r="K1920" s="9" t="e">
        <f t="shared" si="293"/>
        <v>#DIV/0!</v>
      </c>
    </row>
    <row r="1921" spans="1:11" ht="15" thickBot="1" x14ac:dyDescent="0.4">
      <c r="A1921" s="12" t="s">
        <v>216</v>
      </c>
      <c r="B1921" s="13" t="s">
        <v>234</v>
      </c>
      <c r="C1921" s="21" t="s">
        <v>275</v>
      </c>
      <c r="D1921" s="14">
        <v>16</v>
      </c>
      <c r="E1921" s="14"/>
      <c r="F1921" s="13"/>
      <c r="G1921" s="13"/>
      <c r="H1921" s="13"/>
      <c r="I1921" s="15">
        <f t="shared" si="291"/>
        <v>0</v>
      </c>
      <c r="J1921" s="15">
        <f t="shared" si="294"/>
        <v>1138</v>
      </c>
      <c r="K1921" s="13"/>
    </row>
    <row r="1922" spans="1:11" x14ac:dyDescent="0.35">
      <c r="A1922" s="2" t="s">
        <v>217</v>
      </c>
      <c r="B1922" t="s">
        <v>235</v>
      </c>
      <c r="C1922" s="21" t="s">
        <v>275</v>
      </c>
      <c r="D1922" s="4">
        <v>1</v>
      </c>
      <c r="E1922" s="4"/>
      <c r="F1922" s="3">
        <v>45938</v>
      </c>
      <c r="G1922">
        <v>5359</v>
      </c>
      <c r="H1922">
        <v>5093</v>
      </c>
      <c r="I1922" s="1">
        <f t="shared" si="291"/>
        <v>266</v>
      </c>
      <c r="J1922" s="1">
        <f>I1922</f>
        <v>266</v>
      </c>
      <c r="K1922" s="9">
        <f t="shared" ref="K1922:K1936" si="295">I1922/H1922</f>
        <v>5.2228548988808167E-2</v>
      </c>
    </row>
    <row r="1923" spans="1:11" x14ac:dyDescent="0.35">
      <c r="A1923" s="2" t="s">
        <v>217</v>
      </c>
      <c r="B1923" t="s">
        <v>235</v>
      </c>
      <c r="C1923" s="21" t="s">
        <v>275</v>
      </c>
      <c r="D1923" s="4">
        <v>2</v>
      </c>
      <c r="E1923" s="4"/>
      <c r="F1923" s="3">
        <v>45945</v>
      </c>
      <c r="G1923">
        <v>5361</v>
      </c>
      <c r="H1923">
        <v>5098</v>
      </c>
      <c r="I1923" s="1">
        <f t="shared" si="291"/>
        <v>263</v>
      </c>
      <c r="J1923" s="1">
        <f>J1922+I1923</f>
        <v>529</v>
      </c>
      <c r="K1923" s="9">
        <f t="shared" si="295"/>
        <v>5.1588858375833657E-2</v>
      </c>
    </row>
    <row r="1924" spans="1:11" x14ac:dyDescent="0.35">
      <c r="A1924" s="2" t="s">
        <v>217</v>
      </c>
      <c r="B1924" t="s">
        <v>235</v>
      </c>
      <c r="C1924" s="21" t="s">
        <v>275</v>
      </c>
      <c r="D1924" s="4">
        <v>3</v>
      </c>
      <c r="E1924" s="4"/>
      <c r="F1924" s="3">
        <v>45952</v>
      </c>
      <c r="G1924">
        <v>5361</v>
      </c>
      <c r="H1924">
        <v>5098</v>
      </c>
      <c r="I1924" s="1">
        <f t="shared" si="291"/>
        <v>263</v>
      </c>
      <c r="J1924" s="1">
        <f t="shared" ref="J1924:J1937" si="296">J1923+I1924</f>
        <v>792</v>
      </c>
      <c r="K1924" s="9">
        <f t="shared" si="295"/>
        <v>5.1588858375833657E-2</v>
      </c>
    </row>
    <row r="1925" spans="1:11" x14ac:dyDescent="0.35">
      <c r="A1925" s="2" t="s">
        <v>217</v>
      </c>
      <c r="B1925" t="s">
        <v>235</v>
      </c>
      <c r="C1925" s="21" t="s">
        <v>275</v>
      </c>
      <c r="D1925" s="4">
        <v>4</v>
      </c>
      <c r="E1925" s="4"/>
      <c r="F1925" s="3">
        <v>45959</v>
      </c>
      <c r="G1925">
        <v>5361</v>
      </c>
      <c r="H1925">
        <v>5098</v>
      </c>
      <c r="I1925" s="1">
        <f t="shared" si="291"/>
        <v>263</v>
      </c>
      <c r="J1925" s="1">
        <f t="shared" si="296"/>
        <v>1055</v>
      </c>
      <c r="K1925" s="9">
        <f t="shared" si="295"/>
        <v>5.1588858375833657E-2</v>
      </c>
    </row>
    <row r="1926" spans="1:11" x14ac:dyDescent="0.35">
      <c r="A1926" s="2" t="s">
        <v>217</v>
      </c>
      <c r="B1926" t="s">
        <v>235</v>
      </c>
      <c r="C1926" s="21" t="s">
        <v>275</v>
      </c>
      <c r="D1926" s="4">
        <v>5</v>
      </c>
      <c r="E1926" s="4"/>
      <c r="F1926" s="3">
        <v>45966</v>
      </c>
      <c r="G1926">
        <v>5361</v>
      </c>
      <c r="H1926">
        <v>5098</v>
      </c>
      <c r="I1926" s="1">
        <f t="shared" si="291"/>
        <v>263</v>
      </c>
      <c r="J1926" s="1">
        <f t="shared" si="296"/>
        <v>1318</v>
      </c>
      <c r="K1926" s="9">
        <f t="shared" si="295"/>
        <v>5.1588858375833657E-2</v>
      </c>
    </row>
    <row r="1927" spans="1:11" x14ac:dyDescent="0.35">
      <c r="A1927" s="2" t="s">
        <v>217</v>
      </c>
      <c r="B1927" t="s">
        <v>235</v>
      </c>
      <c r="C1927" s="21" t="s">
        <v>275</v>
      </c>
      <c r="D1927" s="4">
        <v>6</v>
      </c>
      <c r="E1927" s="4"/>
      <c r="I1927" s="1">
        <f t="shared" si="291"/>
        <v>0</v>
      </c>
      <c r="J1927" s="1">
        <f t="shared" si="296"/>
        <v>1318</v>
      </c>
      <c r="K1927" s="9" t="e">
        <f t="shared" si="295"/>
        <v>#DIV/0!</v>
      </c>
    </row>
    <row r="1928" spans="1:11" x14ac:dyDescent="0.35">
      <c r="A1928" s="2" t="s">
        <v>217</v>
      </c>
      <c r="B1928" t="s">
        <v>235</v>
      </c>
      <c r="C1928" s="21" t="s">
        <v>275</v>
      </c>
      <c r="D1928" s="4">
        <v>7</v>
      </c>
      <c r="E1928" s="4"/>
      <c r="I1928" s="1">
        <f t="shared" si="291"/>
        <v>0</v>
      </c>
      <c r="J1928" s="1">
        <f t="shared" si="296"/>
        <v>1318</v>
      </c>
      <c r="K1928" s="9" t="e">
        <f t="shared" si="295"/>
        <v>#DIV/0!</v>
      </c>
    </row>
    <row r="1929" spans="1:11" x14ac:dyDescent="0.35">
      <c r="A1929" s="2" t="s">
        <v>217</v>
      </c>
      <c r="B1929" t="s">
        <v>235</v>
      </c>
      <c r="C1929" s="21" t="s">
        <v>275</v>
      </c>
      <c r="D1929" s="4">
        <v>8</v>
      </c>
      <c r="E1929" s="4"/>
      <c r="I1929" s="1">
        <f t="shared" si="291"/>
        <v>0</v>
      </c>
      <c r="J1929" s="1">
        <f t="shared" si="296"/>
        <v>1318</v>
      </c>
      <c r="K1929" s="9" t="e">
        <f t="shared" si="295"/>
        <v>#DIV/0!</v>
      </c>
    </row>
    <row r="1930" spans="1:11" x14ac:dyDescent="0.35">
      <c r="A1930" s="2" t="s">
        <v>217</v>
      </c>
      <c r="B1930" t="s">
        <v>235</v>
      </c>
      <c r="C1930" s="21" t="s">
        <v>275</v>
      </c>
      <c r="D1930" s="4">
        <v>9</v>
      </c>
      <c r="E1930" s="4"/>
      <c r="I1930" s="1">
        <f t="shared" si="291"/>
        <v>0</v>
      </c>
      <c r="J1930" s="1">
        <f t="shared" si="296"/>
        <v>1318</v>
      </c>
      <c r="K1930" s="9" t="e">
        <f t="shared" si="295"/>
        <v>#DIV/0!</v>
      </c>
    </row>
    <row r="1931" spans="1:11" x14ac:dyDescent="0.35">
      <c r="A1931" s="2" t="s">
        <v>217</v>
      </c>
      <c r="B1931" t="s">
        <v>235</v>
      </c>
      <c r="C1931" s="21" t="s">
        <v>275</v>
      </c>
      <c r="D1931" s="4">
        <v>10</v>
      </c>
      <c r="E1931" s="4"/>
      <c r="I1931" s="1">
        <f t="shared" si="291"/>
        <v>0</v>
      </c>
      <c r="J1931" s="1">
        <f t="shared" si="296"/>
        <v>1318</v>
      </c>
      <c r="K1931" s="9" t="e">
        <f t="shared" si="295"/>
        <v>#DIV/0!</v>
      </c>
    </row>
    <row r="1932" spans="1:11" x14ac:dyDescent="0.35">
      <c r="A1932" s="2" t="s">
        <v>217</v>
      </c>
      <c r="B1932" t="s">
        <v>235</v>
      </c>
      <c r="C1932" s="21" t="s">
        <v>275</v>
      </c>
      <c r="D1932" s="4">
        <v>11</v>
      </c>
      <c r="E1932" s="4"/>
      <c r="I1932" s="1">
        <f t="shared" si="291"/>
        <v>0</v>
      </c>
      <c r="J1932" s="1">
        <f t="shared" si="296"/>
        <v>1318</v>
      </c>
      <c r="K1932" s="9" t="e">
        <f t="shared" si="295"/>
        <v>#DIV/0!</v>
      </c>
    </row>
    <row r="1933" spans="1:11" x14ac:dyDescent="0.35">
      <c r="A1933" s="2" t="s">
        <v>217</v>
      </c>
      <c r="B1933" t="s">
        <v>235</v>
      </c>
      <c r="C1933" s="21" t="s">
        <v>275</v>
      </c>
      <c r="D1933" s="4">
        <v>12</v>
      </c>
      <c r="E1933" s="4"/>
      <c r="I1933" s="1">
        <f t="shared" si="291"/>
        <v>0</v>
      </c>
      <c r="J1933" s="1">
        <f t="shared" si="296"/>
        <v>1318</v>
      </c>
      <c r="K1933" s="9" t="e">
        <f t="shared" si="295"/>
        <v>#DIV/0!</v>
      </c>
    </row>
    <row r="1934" spans="1:11" x14ac:dyDescent="0.35">
      <c r="A1934" s="2" t="s">
        <v>217</v>
      </c>
      <c r="B1934" t="s">
        <v>235</v>
      </c>
      <c r="C1934" s="21" t="s">
        <v>275</v>
      </c>
      <c r="D1934" s="4">
        <v>13</v>
      </c>
      <c r="E1934" s="4"/>
      <c r="I1934" s="1">
        <f t="shared" si="291"/>
        <v>0</v>
      </c>
      <c r="J1934" s="1">
        <f t="shared" si="296"/>
        <v>1318</v>
      </c>
      <c r="K1934" s="9" t="e">
        <f t="shared" si="295"/>
        <v>#DIV/0!</v>
      </c>
    </row>
    <row r="1935" spans="1:11" x14ac:dyDescent="0.35">
      <c r="A1935" s="2" t="s">
        <v>217</v>
      </c>
      <c r="B1935" t="s">
        <v>235</v>
      </c>
      <c r="C1935" s="21" t="s">
        <v>275</v>
      </c>
      <c r="D1935" s="4">
        <v>14</v>
      </c>
      <c r="E1935" s="4"/>
      <c r="I1935" s="1">
        <f t="shared" si="291"/>
        <v>0</v>
      </c>
      <c r="J1935" s="1">
        <f t="shared" si="296"/>
        <v>1318</v>
      </c>
      <c r="K1935" s="9" t="e">
        <f t="shared" si="295"/>
        <v>#DIV/0!</v>
      </c>
    </row>
    <row r="1936" spans="1:11" x14ac:dyDescent="0.35">
      <c r="A1936" s="2" t="s">
        <v>217</v>
      </c>
      <c r="B1936" t="s">
        <v>235</v>
      </c>
      <c r="C1936" s="21" t="s">
        <v>275</v>
      </c>
      <c r="D1936" s="4">
        <v>15</v>
      </c>
      <c r="E1936" s="4"/>
      <c r="I1936" s="1">
        <f t="shared" si="291"/>
        <v>0</v>
      </c>
      <c r="J1936" s="1">
        <f t="shared" si="296"/>
        <v>1318</v>
      </c>
      <c r="K1936" s="9" t="e">
        <f t="shared" si="295"/>
        <v>#DIV/0!</v>
      </c>
    </row>
    <row r="1937" spans="1:11" ht="15" thickBot="1" x14ac:dyDescent="0.4">
      <c r="A1937" s="12" t="s">
        <v>217</v>
      </c>
      <c r="B1937" s="13" t="s">
        <v>235</v>
      </c>
      <c r="C1937" s="21" t="s">
        <v>275</v>
      </c>
      <c r="D1937" s="14">
        <v>16</v>
      </c>
      <c r="E1937" s="14"/>
      <c r="F1937" s="13"/>
      <c r="G1937" s="13"/>
      <c r="H1937" s="13"/>
      <c r="I1937" s="15">
        <f t="shared" si="291"/>
        <v>0</v>
      </c>
      <c r="J1937" s="15">
        <f t="shared" si="296"/>
        <v>1318</v>
      </c>
      <c r="K1937" s="13"/>
    </row>
    <row r="1938" spans="1:11" x14ac:dyDescent="0.35">
      <c r="A1938" s="2" t="s">
        <v>218</v>
      </c>
      <c r="B1938" t="s">
        <v>236</v>
      </c>
      <c r="C1938" s="21" t="s">
        <v>275</v>
      </c>
      <c r="D1938" s="4">
        <v>1</v>
      </c>
      <c r="E1938" s="4"/>
      <c r="F1938" s="3">
        <v>45939</v>
      </c>
      <c r="G1938">
        <v>11202</v>
      </c>
      <c r="H1938">
        <v>10184</v>
      </c>
      <c r="I1938" s="1">
        <f t="shared" si="291"/>
        <v>1018</v>
      </c>
      <c r="J1938" s="1">
        <f>I1938</f>
        <v>1018</v>
      </c>
      <c r="K1938" s="9">
        <f t="shared" ref="K1938:K1952" si="297">I1938/H1938</f>
        <v>9.9960722702278085E-2</v>
      </c>
    </row>
    <row r="1939" spans="1:11" x14ac:dyDescent="0.35">
      <c r="A1939" s="2" t="s">
        <v>218</v>
      </c>
      <c r="B1939" t="s">
        <v>236</v>
      </c>
      <c r="C1939" s="21" t="s">
        <v>275</v>
      </c>
      <c r="D1939" s="4">
        <v>2</v>
      </c>
      <c r="E1939" s="4"/>
      <c r="F1939" s="3">
        <v>45946</v>
      </c>
      <c r="G1939">
        <v>11202</v>
      </c>
      <c r="H1939">
        <v>10185</v>
      </c>
      <c r="I1939" s="1">
        <f t="shared" si="291"/>
        <v>1017</v>
      </c>
      <c r="J1939" s="1">
        <f>J1938+I1939</f>
        <v>2035</v>
      </c>
      <c r="K1939" s="9">
        <f t="shared" si="297"/>
        <v>9.9852724594992642E-2</v>
      </c>
    </row>
    <row r="1940" spans="1:11" x14ac:dyDescent="0.35">
      <c r="A1940" s="2" t="s">
        <v>218</v>
      </c>
      <c r="B1940" t="s">
        <v>236</v>
      </c>
      <c r="C1940" s="21" t="s">
        <v>275</v>
      </c>
      <c r="D1940" s="4">
        <v>3</v>
      </c>
      <c r="E1940" s="4"/>
      <c r="F1940" s="3">
        <v>45953</v>
      </c>
      <c r="G1940">
        <v>11202</v>
      </c>
      <c r="H1940">
        <v>10184</v>
      </c>
      <c r="I1940" s="1">
        <f t="shared" si="291"/>
        <v>1018</v>
      </c>
      <c r="J1940" s="1">
        <f t="shared" ref="J1940:J1953" si="298">J1939+I1940</f>
        <v>3053</v>
      </c>
      <c r="K1940" s="9">
        <f t="shared" si="297"/>
        <v>9.9960722702278085E-2</v>
      </c>
    </row>
    <row r="1941" spans="1:11" x14ac:dyDescent="0.35">
      <c r="A1941" s="2" t="s">
        <v>218</v>
      </c>
      <c r="B1941" t="s">
        <v>236</v>
      </c>
      <c r="C1941" s="21" t="s">
        <v>275</v>
      </c>
      <c r="D1941" s="4">
        <v>4</v>
      </c>
      <c r="E1941" s="4"/>
      <c r="F1941" s="3">
        <v>45960</v>
      </c>
      <c r="G1941">
        <v>11202</v>
      </c>
      <c r="H1941">
        <v>10184</v>
      </c>
      <c r="I1941" s="1">
        <f t="shared" si="291"/>
        <v>1018</v>
      </c>
      <c r="J1941" s="1">
        <f t="shared" si="298"/>
        <v>4071</v>
      </c>
      <c r="K1941" s="9">
        <f t="shared" si="297"/>
        <v>9.9960722702278085E-2</v>
      </c>
    </row>
    <row r="1942" spans="1:11" x14ac:dyDescent="0.35">
      <c r="A1942" s="2" t="s">
        <v>218</v>
      </c>
      <c r="B1942" t="s">
        <v>236</v>
      </c>
      <c r="C1942" s="21" t="s">
        <v>275</v>
      </c>
      <c r="D1942" s="4">
        <v>5</v>
      </c>
      <c r="E1942" s="4"/>
      <c r="F1942" s="3">
        <v>45967</v>
      </c>
      <c r="G1942">
        <v>11202</v>
      </c>
      <c r="H1942">
        <v>10184</v>
      </c>
      <c r="I1942" s="1">
        <f t="shared" si="291"/>
        <v>1018</v>
      </c>
      <c r="J1942" s="1">
        <f t="shared" si="298"/>
        <v>5089</v>
      </c>
      <c r="K1942" s="9">
        <f t="shared" si="297"/>
        <v>9.9960722702278085E-2</v>
      </c>
    </row>
    <row r="1943" spans="1:11" x14ac:dyDescent="0.35">
      <c r="A1943" s="2" t="s">
        <v>218</v>
      </c>
      <c r="B1943" t="s">
        <v>236</v>
      </c>
      <c r="C1943" s="21" t="s">
        <v>275</v>
      </c>
      <c r="D1943" s="4">
        <v>6</v>
      </c>
      <c r="E1943" s="4"/>
      <c r="I1943" s="1">
        <f t="shared" si="291"/>
        <v>0</v>
      </c>
      <c r="J1943" s="1">
        <f t="shared" si="298"/>
        <v>5089</v>
      </c>
      <c r="K1943" s="9" t="e">
        <f t="shared" si="297"/>
        <v>#DIV/0!</v>
      </c>
    </row>
    <row r="1944" spans="1:11" x14ac:dyDescent="0.35">
      <c r="A1944" s="2" t="s">
        <v>218</v>
      </c>
      <c r="B1944" t="s">
        <v>236</v>
      </c>
      <c r="C1944" s="21" t="s">
        <v>275</v>
      </c>
      <c r="D1944" s="4">
        <v>7</v>
      </c>
      <c r="E1944" s="4"/>
      <c r="I1944" s="1">
        <f t="shared" si="291"/>
        <v>0</v>
      </c>
      <c r="J1944" s="1">
        <f t="shared" si="298"/>
        <v>5089</v>
      </c>
      <c r="K1944" s="9" t="e">
        <f t="shared" si="297"/>
        <v>#DIV/0!</v>
      </c>
    </row>
    <row r="1945" spans="1:11" x14ac:dyDescent="0.35">
      <c r="A1945" s="2" t="s">
        <v>218</v>
      </c>
      <c r="B1945" t="s">
        <v>236</v>
      </c>
      <c r="C1945" s="21" t="s">
        <v>275</v>
      </c>
      <c r="D1945" s="4">
        <v>8</v>
      </c>
      <c r="E1945" s="4"/>
      <c r="I1945" s="1">
        <f t="shared" si="291"/>
        <v>0</v>
      </c>
      <c r="J1945" s="1">
        <f t="shared" si="298"/>
        <v>5089</v>
      </c>
      <c r="K1945" s="9" t="e">
        <f t="shared" si="297"/>
        <v>#DIV/0!</v>
      </c>
    </row>
    <row r="1946" spans="1:11" x14ac:dyDescent="0.35">
      <c r="A1946" s="2" t="s">
        <v>218</v>
      </c>
      <c r="B1946" t="s">
        <v>236</v>
      </c>
      <c r="C1946" s="21" t="s">
        <v>275</v>
      </c>
      <c r="D1946" s="4">
        <v>9</v>
      </c>
      <c r="E1946" s="4"/>
      <c r="I1946" s="1">
        <f t="shared" si="291"/>
        <v>0</v>
      </c>
      <c r="J1946" s="1">
        <f t="shared" si="298"/>
        <v>5089</v>
      </c>
      <c r="K1946" s="9" t="e">
        <f t="shared" si="297"/>
        <v>#DIV/0!</v>
      </c>
    </row>
    <row r="1947" spans="1:11" x14ac:dyDescent="0.35">
      <c r="A1947" s="2" t="s">
        <v>218</v>
      </c>
      <c r="B1947" t="s">
        <v>236</v>
      </c>
      <c r="C1947" s="21" t="s">
        <v>275</v>
      </c>
      <c r="D1947" s="4">
        <v>10</v>
      </c>
      <c r="E1947" s="4"/>
      <c r="I1947" s="1">
        <f t="shared" si="291"/>
        <v>0</v>
      </c>
      <c r="J1947" s="1">
        <f t="shared" si="298"/>
        <v>5089</v>
      </c>
      <c r="K1947" s="9" t="e">
        <f t="shared" si="297"/>
        <v>#DIV/0!</v>
      </c>
    </row>
    <row r="1948" spans="1:11" x14ac:dyDescent="0.35">
      <c r="A1948" s="2" t="s">
        <v>218</v>
      </c>
      <c r="B1948" t="s">
        <v>236</v>
      </c>
      <c r="C1948" s="21" t="s">
        <v>275</v>
      </c>
      <c r="D1948" s="4">
        <v>11</v>
      </c>
      <c r="E1948" s="4"/>
      <c r="I1948" s="1">
        <f t="shared" si="291"/>
        <v>0</v>
      </c>
      <c r="J1948" s="1">
        <f t="shared" si="298"/>
        <v>5089</v>
      </c>
      <c r="K1948" s="9" t="e">
        <f t="shared" si="297"/>
        <v>#DIV/0!</v>
      </c>
    </row>
    <row r="1949" spans="1:11" x14ac:dyDescent="0.35">
      <c r="A1949" s="2" t="s">
        <v>218</v>
      </c>
      <c r="B1949" t="s">
        <v>236</v>
      </c>
      <c r="C1949" s="21" t="s">
        <v>275</v>
      </c>
      <c r="D1949" s="4">
        <v>12</v>
      </c>
      <c r="E1949" s="4"/>
      <c r="I1949" s="1">
        <f t="shared" si="291"/>
        <v>0</v>
      </c>
      <c r="J1949" s="1">
        <f t="shared" si="298"/>
        <v>5089</v>
      </c>
      <c r="K1949" s="9" t="e">
        <f t="shared" si="297"/>
        <v>#DIV/0!</v>
      </c>
    </row>
    <row r="1950" spans="1:11" x14ac:dyDescent="0.35">
      <c r="A1950" s="2" t="s">
        <v>218</v>
      </c>
      <c r="B1950" t="s">
        <v>236</v>
      </c>
      <c r="C1950" s="21" t="s">
        <v>275</v>
      </c>
      <c r="D1950" s="4">
        <v>13</v>
      </c>
      <c r="E1950" s="4"/>
      <c r="I1950" s="1">
        <f t="shared" si="291"/>
        <v>0</v>
      </c>
      <c r="J1950" s="1">
        <f t="shared" si="298"/>
        <v>5089</v>
      </c>
      <c r="K1950" s="9" t="e">
        <f t="shared" si="297"/>
        <v>#DIV/0!</v>
      </c>
    </row>
    <row r="1951" spans="1:11" x14ac:dyDescent="0.35">
      <c r="A1951" s="2" t="s">
        <v>218</v>
      </c>
      <c r="B1951" t="s">
        <v>236</v>
      </c>
      <c r="C1951" s="21" t="s">
        <v>275</v>
      </c>
      <c r="D1951" s="4">
        <v>14</v>
      </c>
      <c r="E1951" s="4"/>
      <c r="I1951" s="1">
        <f t="shared" si="291"/>
        <v>0</v>
      </c>
      <c r="J1951" s="1">
        <f t="shared" si="298"/>
        <v>5089</v>
      </c>
      <c r="K1951" s="9" t="e">
        <f t="shared" si="297"/>
        <v>#DIV/0!</v>
      </c>
    </row>
    <row r="1952" spans="1:11" x14ac:dyDescent="0.35">
      <c r="A1952" s="2" t="s">
        <v>218</v>
      </c>
      <c r="B1952" t="s">
        <v>236</v>
      </c>
      <c r="C1952" s="21" t="s">
        <v>275</v>
      </c>
      <c r="D1952" s="4">
        <v>15</v>
      </c>
      <c r="E1952" s="4"/>
      <c r="I1952" s="1">
        <f t="shared" si="291"/>
        <v>0</v>
      </c>
      <c r="J1952" s="1">
        <f t="shared" si="298"/>
        <v>5089</v>
      </c>
      <c r="K1952" s="9" t="e">
        <f t="shared" si="297"/>
        <v>#DIV/0!</v>
      </c>
    </row>
    <row r="1953" spans="1:11" ht="15" thickBot="1" x14ac:dyDescent="0.4">
      <c r="A1953" s="12" t="s">
        <v>218</v>
      </c>
      <c r="B1953" s="13" t="s">
        <v>236</v>
      </c>
      <c r="C1953" s="21" t="s">
        <v>275</v>
      </c>
      <c r="D1953" s="14">
        <v>16</v>
      </c>
      <c r="E1953" s="14"/>
      <c r="F1953" s="13"/>
      <c r="G1953" s="13"/>
      <c r="H1953" s="13"/>
      <c r="I1953" s="15">
        <f t="shared" si="291"/>
        <v>0</v>
      </c>
      <c r="J1953" s="15">
        <f t="shared" si="298"/>
        <v>5089</v>
      </c>
      <c r="K1953" s="13"/>
    </row>
    <row r="1954" spans="1:11" x14ac:dyDescent="0.35">
      <c r="A1954" s="2" t="s">
        <v>219</v>
      </c>
      <c r="B1954" t="s">
        <v>237</v>
      </c>
      <c r="C1954" s="21" t="s">
        <v>275</v>
      </c>
      <c r="D1954" s="4">
        <v>1</v>
      </c>
      <c r="E1954" s="4"/>
      <c r="F1954" s="3">
        <v>45938</v>
      </c>
      <c r="G1954">
        <v>6767</v>
      </c>
      <c r="H1954">
        <v>6308.06</v>
      </c>
      <c r="I1954" s="1">
        <f t="shared" si="291"/>
        <v>458.9399999999996</v>
      </c>
      <c r="J1954" s="1">
        <f>I1954</f>
        <v>458.9399999999996</v>
      </c>
      <c r="K1954" s="9">
        <f t="shared" ref="K1954:K1968" si="299">I1954/H1954</f>
        <v>7.2754539430506304E-2</v>
      </c>
    </row>
    <row r="1955" spans="1:11" x14ac:dyDescent="0.35">
      <c r="A1955" s="2" t="s">
        <v>219</v>
      </c>
      <c r="B1955" t="s">
        <v>237</v>
      </c>
      <c r="C1955" s="21" t="s">
        <v>275</v>
      </c>
      <c r="D1955" s="4">
        <v>2</v>
      </c>
      <c r="E1955" s="4"/>
      <c r="F1955" s="3">
        <v>45945</v>
      </c>
      <c r="G1955">
        <v>6767</v>
      </c>
      <c r="H1955">
        <v>6308.06</v>
      </c>
      <c r="I1955" s="1">
        <f t="shared" ref="I1955:I2018" si="300">G1955-H1955</f>
        <v>458.9399999999996</v>
      </c>
      <c r="J1955" s="1">
        <f>J1954+I1955</f>
        <v>917.8799999999992</v>
      </c>
      <c r="K1955" s="9">
        <f t="shared" si="299"/>
        <v>7.2754539430506304E-2</v>
      </c>
    </row>
    <row r="1956" spans="1:11" x14ac:dyDescent="0.35">
      <c r="A1956" s="2" t="s">
        <v>219</v>
      </c>
      <c r="B1956" t="s">
        <v>237</v>
      </c>
      <c r="C1956" s="21" t="s">
        <v>275</v>
      </c>
      <c r="D1956" s="4">
        <v>3</v>
      </c>
      <c r="E1956" s="4"/>
      <c r="F1956" s="3">
        <v>45952</v>
      </c>
      <c r="G1956">
        <v>6767</v>
      </c>
      <c r="H1956">
        <v>6308.06</v>
      </c>
      <c r="I1956" s="1">
        <f t="shared" si="300"/>
        <v>458.9399999999996</v>
      </c>
      <c r="J1956" s="1">
        <f t="shared" ref="J1956:J1969" si="301">J1955+I1956</f>
        <v>1376.8199999999988</v>
      </c>
      <c r="K1956" s="9">
        <f t="shared" si="299"/>
        <v>7.2754539430506304E-2</v>
      </c>
    </row>
    <row r="1957" spans="1:11" x14ac:dyDescent="0.35">
      <c r="A1957" s="2" t="s">
        <v>219</v>
      </c>
      <c r="B1957" t="s">
        <v>237</v>
      </c>
      <c r="C1957" s="21" t="s">
        <v>275</v>
      </c>
      <c r="D1957" s="4">
        <v>4</v>
      </c>
      <c r="E1957" s="4"/>
      <c r="F1957" s="3">
        <v>45959</v>
      </c>
      <c r="G1957">
        <v>6767</v>
      </c>
      <c r="H1957">
        <v>6308.06</v>
      </c>
      <c r="I1957" s="1">
        <f t="shared" si="300"/>
        <v>458.9399999999996</v>
      </c>
      <c r="J1957" s="1">
        <f t="shared" si="301"/>
        <v>1835.7599999999984</v>
      </c>
      <c r="K1957" s="9">
        <f t="shared" si="299"/>
        <v>7.2754539430506304E-2</v>
      </c>
    </row>
    <row r="1958" spans="1:11" x14ac:dyDescent="0.35">
      <c r="A1958" s="2" t="s">
        <v>219</v>
      </c>
      <c r="B1958" t="s">
        <v>237</v>
      </c>
      <c r="C1958" s="21" t="s">
        <v>275</v>
      </c>
      <c r="D1958" s="4">
        <v>5</v>
      </c>
      <c r="E1958" s="4"/>
      <c r="F1958" s="3">
        <v>45966</v>
      </c>
      <c r="G1958">
        <v>6767</v>
      </c>
      <c r="H1958">
        <v>6308.06</v>
      </c>
      <c r="I1958" s="1">
        <f t="shared" si="300"/>
        <v>458.9399999999996</v>
      </c>
      <c r="J1958" s="1">
        <f t="shared" si="301"/>
        <v>2294.699999999998</v>
      </c>
      <c r="K1958" s="9">
        <f t="shared" si="299"/>
        <v>7.2754539430506304E-2</v>
      </c>
    </row>
    <row r="1959" spans="1:11" x14ac:dyDescent="0.35">
      <c r="A1959" s="2" t="s">
        <v>219</v>
      </c>
      <c r="B1959" t="s">
        <v>237</v>
      </c>
      <c r="C1959" s="21" t="s">
        <v>275</v>
      </c>
      <c r="D1959" s="4">
        <v>6</v>
      </c>
      <c r="E1959" s="4"/>
      <c r="I1959" s="1">
        <f t="shared" si="300"/>
        <v>0</v>
      </c>
      <c r="J1959" s="1">
        <f t="shared" si="301"/>
        <v>2294.699999999998</v>
      </c>
      <c r="K1959" s="9" t="e">
        <f t="shared" si="299"/>
        <v>#DIV/0!</v>
      </c>
    </row>
    <row r="1960" spans="1:11" x14ac:dyDescent="0.35">
      <c r="A1960" s="2" t="s">
        <v>219</v>
      </c>
      <c r="B1960" t="s">
        <v>237</v>
      </c>
      <c r="C1960" s="21" t="s">
        <v>275</v>
      </c>
      <c r="D1960" s="4">
        <v>7</v>
      </c>
      <c r="E1960" s="4"/>
      <c r="I1960" s="1">
        <f t="shared" si="300"/>
        <v>0</v>
      </c>
      <c r="J1960" s="1">
        <f t="shared" si="301"/>
        <v>2294.699999999998</v>
      </c>
      <c r="K1960" s="9" t="e">
        <f t="shared" si="299"/>
        <v>#DIV/0!</v>
      </c>
    </row>
    <row r="1961" spans="1:11" x14ac:dyDescent="0.35">
      <c r="A1961" s="2" t="s">
        <v>219</v>
      </c>
      <c r="B1961" t="s">
        <v>237</v>
      </c>
      <c r="C1961" s="21" t="s">
        <v>275</v>
      </c>
      <c r="D1961" s="4">
        <v>8</v>
      </c>
      <c r="E1961" s="4"/>
      <c r="I1961" s="1">
        <f t="shared" si="300"/>
        <v>0</v>
      </c>
      <c r="J1961" s="1">
        <f t="shared" si="301"/>
        <v>2294.699999999998</v>
      </c>
      <c r="K1961" s="9" t="e">
        <f t="shared" si="299"/>
        <v>#DIV/0!</v>
      </c>
    </row>
    <row r="1962" spans="1:11" x14ac:dyDescent="0.35">
      <c r="A1962" s="2" t="s">
        <v>219</v>
      </c>
      <c r="B1962" t="s">
        <v>237</v>
      </c>
      <c r="C1962" s="21" t="s">
        <v>275</v>
      </c>
      <c r="D1962" s="4">
        <v>9</v>
      </c>
      <c r="E1962" s="4"/>
      <c r="I1962" s="1">
        <f t="shared" si="300"/>
        <v>0</v>
      </c>
      <c r="J1962" s="1">
        <f t="shared" si="301"/>
        <v>2294.699999999998</v>
      </c>
      <c r="K1962" s="9" t="e">
        <f t="shared" si="299"/>
        <v>#DIV/0!</v>
      </c>
    </row>
    <row r="1963" spans="1:11" x14ac:dyDescent="0.35">
      <c r="A1963" s="2" t="s">
        <v>219</v>
      </c>
      <c r="B1963" t="s">
        <v>237</v>
      </c>
      <c r="C1963" s="21" t="s">
        <v>275</v>
      </c>
      <c r="D1963" s="4">
        <v>10</v>
      </c>
      <c r="E1963" s="4"/>
      <c r="I1963" s="1">
        <f t="shared" si="300"/>
        <v>0</v>
      </c>
      <c r="J1963" s="1">
        <f t="shared" si="301"/>
        <v>2294.699999999998</v>
      </c>
      <c r="K1963" s="9" t="e">
        <f t="shared" si="299"/>
        <v>#DIV/0!</v>
      </c>
    </row>
    <row r="1964" spans="1:11" x14ac:dyDescent="0.35">
      <c r="A1964" s="2" t="s">
        <v>219</v>
      </c>
      <c r="B1964" t="s">
        <v>237</v>
      </c>
      <c r="C1964" s="21" t="s">
        <v>275</v>
      </c>
      <c r="D1964" s="4">
        <v>11</v>
      </c>
      <c r="E1964" s="4"/>
      <c r="I1964" s="1">
        <f t="shared" si="300"/>
        <v>0</v>
      </c>
      <c r="J1964" s="1">
        <f t="shared" si="301"/>
        <v>2294.699999999998</v>
      </c>
      <c r="K1964" s="9" t="e">
        <f t="shared" si="299"/>
        <v>#DIV/0!</v>
      </c>
    </row>
    <row r="1965" spans="1:11" x14ac:dyDescent="0.35">
      <c r="A1965" s="2" t="s">
        <v>219</v>
      </c>
      <c r="B1965" t="s">
        <v>237</v>
      </c>
      <c r="C1965" s="21" t="s">
        <v>275</v>
      </c>
      <c r="D1965" s="4">
        <v>12</v>
      </c>
      <c r="E1965" s="4"/>
      <c r="I1965" s="1">
        <f t="shared" si="300"/>
        <v>0</v>
      </c>
      <c r="J1965" s="1">
        <f t="shared" si="301"/>
        <v>2294.699999999998</v>
      </c>
      <c r="K1965" s="9" t="e">
        <f t="shared" si="299"/>
        <v>#DIV/0!</v>
      </c>
    </row>
    <row r="1966" spans="1:11" x14ac:dyDescent="0.35">
      <c r="A1966" s="2" t="s">
        <v>219</v>
      </c>
      <c r="B1966" t="s">
        <v>237</v>
      </c>
      <c r="C1966" s="21" t="s">
        <v>275</v>
      </c>
      <c r="D1966" s="4">
        <v>13</v>
      </c>
      <c r="E1966" s="4"/>
      <c r="I1966" s="1">
        <f t="shared" si="300"/>
        <v>0</v>
      </c>
      <c r="J1966" s="1">
        <f t="shared" si="301"/>
        <v>2294.699999999998</v>
      </c>
      <c r="K1966" s="9" t="e">
        <f t="shared" si="299"/>
        <v>#DIV/0!</v>
      </c>
    </row>
    <row r="1967" spans="1:11" x14ac:dyDescent="0.35">
      <c r="A1967" s="2" t="s">
        <v>219</v>
      </c>
      <c r="B1967" t="s">
        <v>237</v>
      </c>
      <c r="C1967" s="21" t="s">
        <v>275</v>
      </c>
      <c r="D1967" s="4">
        <v>14</v>
      </c>
      <c r="E1967" s="4"/>
      <c r="I1967" s="1">
        <f t="shared" si="300"/>
        <v>0</v>
      </c>
      <c r="J1967" s="1">
        <f t="shared" si="301"/>
        <v>2294.699999999998</v>
      </c>
      <c r="K1967" s="9" t="e">
        <f t="shared" si="299"/>
        <v>#DIV/0!</v>
      </c>
    </row>
    <row r="1968" spans="1:11" x14ac:dyDescent="0.35">
      <c r="A1968" s="2" t="s">
        <v>219</v>
      </c>
      <c r="B1968" t="s">
        <v>237</v>
      </c>
      <c r="C1968" s="21" t="s">
        <v>275</v>
      </c>
      <c r="D1968" s="4">
        <v>15</v>
      </c>
      <c r="E1968" s="4"/>
      <c r="I1968" s="1">
        <f t="shared" si="300"/>
        <v>0</v>
      </c>
      <c r="J1968" s="1">
        <f t="shared" si="301"/>
        <v>2294.699999999998</v>
      </c>
      <c r="K1968" s="9" t="e">
        <f t="shared" si="299"/>
        <v>#DIV/0!</v>
      </c>
    </row>
    <row r="1969" spans="1:11" ht="15" thickBot="1" x14ac:dyDescent="0.4">
      <c r="A1969" s="12" t="s">
        <v>219</v>
      </c>
      <c r="B1969" s="13" t="s">
        <v>237</v>
      </c>
      <c r="C1969" s="21" t="s">
        <v>275</v>
      </c>
      <c r="D1969" s="14">
        <v>16</v>
      </c>
      <c r="E1969" s="14"/>
      <c r="F1969" s="13"/>
      <c r="G1969" s="13"/>
      <c r="H1969" s="13"/>
      <c r="I1969" s="15">
        <f t="shared" si="300"/>
        <v>0</v>
      </c>
      <c r="J1969" s="15">
        <f t="shared" si="301"/>
        <v>2294.699999999998</v>
      </c>
      <c r="K1969" s="13"/>
    </row>
    <row r="1970" spans="1:11" x14ac:dyDescent="0.35">
      <c r="A1970" s="2" t="s">
        <v>241</v>
      </c>
      <c r="B1970" t="s">
        <v>242</v>
      </c>
      <c r="C1970" s="21" t="s">
        <v>275</v>
      </c>
      <c r="D1970" s="4">
        <v>1</v>
      </c>
      <c r="E1970" s="4"/>
      <c r="F1970" s="3">
        <v>45943</v>
      </c>
      <c r="G1970">
        <v>8740</v>
      </c>
      <c r="H1970">
        <v>8293</v>
      </c>
      <c r="I1970" s="1">
        <f t="shared" si="300"/>
        <v>447</v>
      </c>
      <c r="J1970" s="1">
        <f>I1970</f>
        <v>447</v>
      </c>
      <c r="K1970" s="9">
        <f t="shared" ref="K1970:K1984" si="302">I1970/H1970</f>
        <v>5.390088026046063E-2</v>
      </c>
    </row>
    <row r="1971" spans="1:11" x14ac:dyDescent="0.35">
      <c r="A1971" s="2" t="s">
        <v>241</v>
      </c>
      <c r="B1971" t="s">
        <v>242</v>
      </c>
      <c r="C1971" s="21" t="s">
        <v>275</v>
      </c>
      <c r="D1971" s="4">
        <v>2</v>
      </c>
      <c r="E1971" s="4"/>
      <c r="F1971" s="3">
        <v>45950</v>
      </c>
      <c r="G1971">
        <v>8742</v>
      </c>
      <c r="H1971">
        <v>8294</v>
      </c>
      <c r="I1971" s="1">
        <f t="shared" si="300"/>
        <v>448</v>
      </c>
      <c r="J1971" s="1">
        <f>J1970+I1971</f>
        <v>895</v>
      </c>
      <c r="K1971" s="9">
        <f t="shared" si="302"/>
        <v>5.4014950566674706E-2</v>
      </c>
    </row>
    <row r="1972" spans="1:11" x14ac:dyDescent="0.35">
      <c r="A1972" s="2" t="s">
        <v>241</v>
      </c>
      <c r="B1972" t="s">
        <v>242</v>
      </c>
      <c r="C1972" s="21" t="s">
        <v>275</v>
      </c>
      <c r="D1972" s="4">
        <v>3</v>
      </c>
      <c r="E1972" s="4"/>
      <c r="F1972" s="3">
        <v>45957</v>
      </c>
      <c r="G1972">
        <v>8710</v>
      </c>
      <c r="H1972">
        <v>8293</v>
      </c>
      <c r="I1972" s="1">
        <f t="shared" si="300"/>
        <v>417</v>
      </c>
      <c r="J1972" s="1">
        <f t="shared" ref="J1972:J1985" si="303">J1971+I1972</f>
        <v>1312</v>
      </c>
      <c r="K1972" s="9">
        <f t="shared" si="302"/>
        <v>5.0283371518147837E-2</v>
      </c>
    </row>
    <row r="1973" spans="1:11" x14ac:dyDescent="0.35">
      <c r="A1973" s="2" t="s">
        <v>241</v>
      </c>
      <c r="B1973" t="s">
        <v>242</v>
      </c>
      <c r="C1973" s="21" t="s">
        <v>275</v>
      </c>
      <c r="D1973" s="4">
        <v>4</v>
      </c>
      <c r="E1973" s="4"/>
      <c r="F1973" s="3">
        <v>45964</v>
      </c>
      <c r="G1973">
        <v>8742</v>
      </c>
      <c r="H1973">
        <v>8293</v>
      </c>
      <c r="I1973" s="1">
        <f t="shared" si="300"/>
        <v>449</v>
      </c>
      <c r="J1973" s="1">
        <f t="shared" si="303"/>
        <v>1761</v>
      </c>
      <c r="K1973" s="9">
        <f t="shared" si="302"/>
        <v>5.4142047509948152E-2</v>
      </c>
    </row>
    <row r="1974" spans="1:11" x14ac:dyDescent="0.35">
      <c r="A1974" s="2" t="s">
        <v>241</v>
      </c>
      <c r="B1974" t="s">
        <v>242</v>
      </c>
      <c r="C1974" s="21" t="s">
        <v>275</v>
      </c>
      <c r="D1974" s="4">
        <v>5</v>
      </c>
      <c r="E1974" s="4"/>
      <c r="I1974" s="1">
        <f t="shared" si="300"/>
        <v>0</v>
      </c>
      <c r="J1974" s="1">
        <f t="shared" si="303"/>
        <v>1761</v>
      </c>
      <c r="K1974" s="9" t="e">
        <f t="shared" si="302"/>
        <v>#DIV/0!</v>
      </c>
    </row>
    <row r="1975" spans="1:11" x14ac:dyDescent="0.35">
      <c r="A1975" s="2" t="s">
        <v>241</v>
      </c>
      <c r="B1975" t="s">
        <v>242</v>
      </c>
      <c r="C1975" s="21" t="s">
        <v>275</v>
      </c>
      <c r="D1975" s="4">
        <v>6</v>
      </c>
      <c r="E1975" s="4"/>
      <c r="I1975" s="1">
        <f t="shared" si="300"/>
        <v>0</v>
      </c>
      <c r="J1975" s="1">
        <f t="shared" si="303"/>
        <v>1761</v>
      </c>
      <c r="K1975" s="9" t="e">
        <f t="shared" si="302"/>
        <v>#DIV/0!</v>
      </c>
    </row>
    <row r="1976" spans="1:11" x14ac:dyDescent="0.35">
      <c r="A1976" s="2" t="s">
        <v>241</v>
      </c>
      <c r="B1976" t="s">
        <v>242</v>
      </c>
      <c r="C1976" s="21" t="s">
        <v>275</v>
      </c>
      <c r="D1976" s="4">
        <v>7</v>
      </c>
      <c r="E1976" s="4"/>
      <c r="I1976" s="1">
        <f t="shared" si="300"/>
        <v>0</v>
      </c>
      <c r="J1976" s="1">
        <f t="shared" si="303"/>
        <v>1761</v>
      </c>
      <c r="K1976" s="9" t="e">
        <f t="shared" si="302"/>
        <v>#DIV/0!</v>
      </c>
    </row>
    <row r="1977" spans="1:11" x14ac:dyDescent="0.35">
      <c r="A1977" s="2" t="s">
        <v>241</v>
      </c>
      <c r="B1977" t="s">
        <v>242</v>
      </c>
      <c r="C1977" s="21" t="s">
        <v>275</v>
      </c>
      <c r="D1977" s="4">
        <v>8</v>
      </c>
      <c r="E1977" s="4"/>
      <c r="I1977" s="1">
        <f t="shared" si="300"/>
        <v>0</v>
      </c>
      <c r="J1977" s="1">
        <f t="shared" si="303"/>
        <v>1761</v>
      </c>
      <c r="K1977" s="9" t="e">
        <f t="shared" si="302"/>
        <v>#DIV/0!</v>
      </c>
    </row>
    <row r="1978" spans="1:11" x14ac:dyDescent="0.35">
      <c r="A1978" s="2" t="s">
        <v>241</v>
      </c>
      <c r="B1978" t="s">
        <v>242</v>
      </c>
      <c r="C1978" s="21" t="s">
        <v>275</v>
      </c>
      <c r="D1978" s="4">
        <v>9</v>
      </c>
      <c r="E1978" s="4"/>
      <c r="I1978" s="1">
        <f t="shared" si="300"/>
        <v>0</v>
      </c>
      <c r="J1978" s="1">
        <f t="shared" si="303"/>
        <v>1761</v>
      </c>
      <c r="K1978" s="9" t="e">
        <f t="shared" si="302"/>
        <v>#DIV/0!</v>
      </c>
    </row>
    <row r="1979" spans="1:11" x14ac:dyDescent="0.35">
      <c r="A1979" s="2" t="s">
        <v>241</v>
      </c>
      <c r="B1979" t="s">
        <v>242</v>
      </c>
      <c r="C1979" s="21" t="s">
        <v>275</v>
      </c>
      <c r="D1979" s="4">
        <v>10</v>
      </c>
      <c r="E1979" s="4"/>
      <c r="I1979" s="1">
        <f t="shared" si="300"/>
        <v>0</v>
      </c>
      <c r="J1979" s="1">
        <f t="shared" si="303"/>
        <v>1761</v>
      </c>
      <c r="K1979" s="9" t="e">
        <f t="shared" si="302"/>
        <v>#DIV/0!</v>
      </c>
    </row>
    <row r="1980" spans="1:11" x14ac:dyDescent="0.35">
      <c r="A1980" s="2" t="s">
        <v>241</v>
      </c>
      <c r="B1980" t="s">
        <v>242</v>
      </c>
      <c r="C1980" s="21" t="s">
        <v>275</v>
      </c>
      <c r="D1980" s="4">
        <v>11</v>
      </c>
      <c r="E1980" s="4"/>
      <c r="I1980" s="1">
        <f t="shared" si="300"/>
        <v>0</v>
      </c>
      <c r="J1980" s="1">
        <f t="shared" si="303"/>
        <v>1761</v>
      </c>
      <c r="K1980" s="9" t="e">
        <f t="shared" si="302"/>
        <v>#DIV/0!</v>
      </c>
    </row>
    <row r="1981" spans="1:11" x14ac:dyDescent="0.35">
      <c r="A1981" s="2" t="s">
        <v>241</v>
      </c>
      <c r="B1981" t="s">
        <v>242</v>
      </c>
      <c r="C1981" s="21" t="s">
        <v>275</v>
      </c>
      <c r="D1981" s="4">
        <v>12</v>
      </c>
      <c r="E1981" s="4"/>
      <c r="I1981" s="1">
        <f t="shared" si="300"/>
        <v>0</v>
      </c>
      <c r="J1981" s="1">
        <f t="shared" si="303"/>
        <v>1761</v>
      </c>
      <c r="K1981" s="9" t="e">
        <f t="shared" si="302"/>
        <v>#DIV/0!</v>
      </c>
    </row>
    <row r="1982" spans="1:11" x14ac:dyDescent="0.35">
      <c r="A1982" s="2" t="s">
        <v>241</v>
      </c>
      <c r="B1982" t="s">
        <v>242</v>
      </c>
      <c r="C1982" s="21" t="s">
        <v>275</v>
      </c>
      <c r="D1982" s="4">
        <v>13</v>
      </c>
      <c r="E1982" s="4"/>
      <c r="I1982" s="1">
        <f t="shared" si="300"/>
        <v>0</v>
      </c>
      <c r="J1982" s="1">
        <f t="shared" si="303"/>
        <v>1761</v>
      </c>
      <c r="K1982" s="9" t="e">
        <f t="shared" si="302"/>
        <v>#DIV/0!</v>
      </c>
    </row>
    <row r="1983" spans="1:11" x14ac:dyDescent="0.35">
      <c r="A1983" s="2" t="s">
        <v>241</v>
      </c>
      <c r="B1983" t="s">
        <v>242</v>
      </c>
      <c r="C1983" s="21" t="s">
        <v>275</v>
      </c>
      <c r="D1983" s="4">
        <v>14</v>
      </c>
      <c r="E1983" s="4"/>
      <c r="I1983" s="1">
        <f t="shared" si="300"/>
        <v>0</v>
      </c>
      <c r="J1983" s="1">
        <f t="shared" si="303"/>
        <v>1761</v>
      </c>
      <c r="K1983" s="9" t="e">
        <f t="shared" si="302"/>
        <v>#DIV/0!</v>
      </c>
    </row>
    <row r="1984" spans="1:11" x14ac:dyDescent="0.35">
      <c r="A1984" s="2" t="s">
        <v>241</v>
      </c>
      <c r="B1984" t="s">
        <v>242</v>
      </c>
      <c r="C1984" s="21" t="s">
        <v>275</v>
      </c>
      <c r="D1984" s="4">
        <v>15</v>
      </c>
      <c r="E1984" s="4"/>
      <c r="I1984" s="1">
        <f t="shared" si="300"/>
        <v>0</v>
      </c>
      <c r="J1984" s="1">
        <f t="shared" si="303"/>
        <v>1761</v>
      </c>
      <c r="K1984" s="9" t="e">
        <f t="shared" si="302"/>
        <v>#DIV/0!</v>
      </c>
    </row>
    <row r="1985" spans="1:11" ht="15" thickBot="1" x14ac:dyDescent="0.4">
      <c r="A1985" s="12" t="s">
        <v>241</v>
      </c>
      <c r="B1985" s="13" t="s">
        <v>242</v>
      </c>
      <c r="C1985" s="21" t="s">
        <v>275</v>
      </c>
      <c r="D1985" s="14">
        <v>16</v>
      </c>
      <c r="E1985" s="14"/>
      <c r="F1985" s="13"/>
      <c r="G1985" s="13"/>
      <c r="H1985" s="13"/>
      <c r="I1985" s="15">
        <f t="shared" si="300"/>
        <v>0</v>
      </c>
      <c r="J1985" s="15">
        <f t="shared" si="303"/>
        <v>1761</v>
      </c>
      <c r="K1985" s="13"/>
    </row>
    <row r="1986" spans="1:11" x14ac:dyDescent="0.35">
      <c r="A1986" s="2" t="s">
        <v>240</v>
      </c>
      <c r="B1986" t="s">
        <v>70</v>
      </c>
      <c r="C1986" s="21" t="s">
        <v>275</v>
      </c>
      <c r="D1986" s="4">
        <v>1</v>
      </c>
      <c r="E1986" s="4"/>
      <c r="F1986" s="3">
        <v>45940</v>
      </c>
      <c r="G1986">
        <v>9698</v>
      </c>
      <c r="H1986">
        <v>8816</v>
      </c>
      <c r="I1986" s="1">
        <f t="shared" si="300"/>
        <v>882</v>
      </c>
      <c r="J1986" s="1">
        <f>I1986</f>
        <v>882</v>
      </c>
      <c r="K1986" s="9">
        <f t="shared" ref="K1986:K2000" si="304">I1986/H1986</f>
        <v>0.10004537205081669</v>
      </c>
    </row>
    <row r="1987" spans="1:11" x14ac:dyDescent="0.35">
      <c r="A1987" s="2" t="s">
        <v>240</v>
      </c>
      <c r="B1987" t="s">
        <v>70</v>
      </c>
      <c r="C1987" s="21" t="s">
        <v>275</v>
      </c>
      <c r="D1987" s="4">
        <v>2</v>
      </c>
      <c r="E1987" s="4"/>
      <c r="F1987" s="3">
        <v>45947</v>
      </c>
      <c r="G1987">
        <v>9698</v>
      </c>
      <c r="H1987">
        <v>8816</v>
      </c>
      <c r="I1987" s="1">
        <f t="shared" si="300"/>
        <v>882</v>
      </c>
      <c r="J1987" s="1">
        <f>J1986+I1987</f>
        <v>1764</v>
      </c>
      <c r="K1987" s="9">
        <f t="shared" si="304"/>
        <v>0.10004537205081669</v>
      </c>
    </row>
    <row r="1988" spans="1:11" x14ac:dyDescent="0.35">
      <c r="A1988" s="2" t="s">
        <v>240</v>
      </c>
      <c r="B1988" t="s">
        <v>70</v>
      </c>
      <c r="C1988" s="21" t="s">
        <v>275</v>
      </c>
      <c r="D1988" s="4">
        <v>3</v>
      </c>
      <c r="E1988" s="4"/>
      <c r="F1988" s="3">
        <v>45954</v>
      </c>
      <c r="G1988">
        <v>9698</v>
      </c>
      <c r="H1988">
        <v>8816</v>
      </c>
      <c r="I1988" s="1">
        <f t="shared" si="300"/>
        <v>882</v>
      </c>
      <c r="J1988" s="1">
        <f t="shared" ref="J1988:J2001" si="305">J1987+I1988</f>
        <v>2646</v>
      </c>
      <c r="K1988" s="9">
        <f t="shared" si="304"/>
        <v>0.10004537205081669</v>
      </c>
    </row>
    <row r="1989" spans="1:11" x14ac:dyDescent="0.35">
      <c r="A1989" s="2" t="s">
        <v>240</v>
      </c>
      <c r="B1989" t="s">
        <v>70</v>
      </c>
      <c r="C1989" s="21" t="s">
        <v>275</v>
      </c>
      <c r="D1989" s="4">
        <v>4</v>
      </c>
      <c r="E1989" s="4"/>
      <c r="F1989" s="3">
        <v>45961</v>
      </c>
      <c r="G1989">
        <v>9698</v>
      </c>
      <c r="H1989">
        <v>8816</v>
      </c>
      <c r="I1989" s="1">
        <f t="shared" si="300"/>
        <v>882</v>
      </c>
      <c r="J1989" s="1">
        <f t="shared" si="305"/>
        <v>3528</v>
      </c>
      <c r="K1989" s="9">
        <f t="shared" si="304"/>
        <v>0.10004537205081669</v>
      </c>
    </row>
    <row r="1990" spans="1:11" x14ac:dyDescent="0.35">
      <c r="A1990" s="2" t="s">
        <v>240</v>
      </c>
      <c r="B1990" t="s">
        <v>70</v>
      </c>
      <c r="C1990" s="21" t="s">
        <v>275</v>
      </c>
      <c r="D1990" s="4">
        <v>5</v>
      </c>
      <c r="E1990" s="4"/>
      <c r="I1990" s="1">
        <f t="shared" si="300"/>
        <v>0</v>
      </c>
      <c r="J1990" s="1">
        <f t="shared" si="305"/>
        <v>3528</v>
      </c>
      <c r="K1990" s="9" t="e">
        <f t="shared" si="304"/>
        <v>#DIV/0!</v>
      </c>
    </row>
    <row r="1991" spans="1:11" x14ac:dyDescent="0.35">
      <c r="A1991" s="2" t="s">
        <v>240</v>
      </c>
      <c r="B1991" t="s">
        <v>70</v>
      </c>
      <c r="C1991" s="21" t="s">
        <v>275</v>
      </c>
      <c r="D1991" s="4">
        <v>6</v>
      </c>
      <c r="E1991" s="4"/>
      <c r="I1991" s="1">
        <f t="shared" si="300"/>
        <v>0</v>
      </c>
      <c r="J1991" s="1">
        <f t="shared" si="305"/>
        <v>3528</v>
      </c>
      <c r="K1991" s="9" t="e">
        <f t="shared" si="304"/>
        <v>#DIV/0!</v>
      </c>
    </row>
    <row r="1992" spans="1:11" x14ac:dyDescent="0.35">
      <c r="A1992" s="2" t="s">
        <v>240</v>
      </c>
      <c r="B1992" t="s">
        <v>70</v>
      </c>
      <c r="C1992" s="21" t="s">
        <v>275</v>
      </c>
      <c r="D1992" s="4">
        <v>7</v>
      </c>
      <c r="E1992" s="4"/>
      <c r="I1992" s="1">
        <f t="shared" si="300"/>
        <v>0</v>
      </c>
      <c r="J1992" s="1">
        <f t="shared" si="305"/>
        <v>3528</v>
      </c>
      <c r="K1992" s="9" t="e">
        <f t="shared" si="304"/>
        <v>#DIV/0!</v>
      </c>
    </row>
    <row r="1993" spans="1:11" x14ac:dyDescent="0.35">
      <c r="A1993" s="2" t="s">
        <v>240</v>
      </c>
      <c r="B1993" t="s">
        <v>70</v>
      </c>
      <c r="C1993" s="21" t="s">
        <v>275</v>
      </c>
      <c r="D1993" s="4">
        <v>8</v>
      </c>
      <c r="E1993" s="4"/>
      <c r="I1993" s="1">
        <f t="shared" si="300"/>
        <v>0</v>
      </c>
      <c r="J1993" s="1">
        <f t="shared" si="305"/>
        <v>3528</v>
      </c>
      <c r="K1993" s="9" t="e">
        <f t="shared" si="304"/>
        <v>#DIV/0!</v>
      </c>
    </row>
    <row r="1994" spans="1:11" x14ac:dyDescent="0.35">
      <c r="A1994" s="2" t="s">
        <v>240</v>
      </c>
      <c r="B1994" t="s">
        <v>70</v>
      </c>
      <c r="C1994" s="21" t="s">
        <v>275</v>
      </c>
      <c r="D1994" s="4">
        <v>9</v>
      </c>
      <c r="E1994" s="4"/>
      <c r="I1994" s="1">
        <f t="shared" si="300"/>
        <v>0</v>
      </c>
      <c r="J1994" s="1">
        <f t="shared" si="305"/>
        <v>3528</v>
      </c>
      <c r="K1994" s="9" t="e">
        <f t="shared" si="304"/>
        <v>#DIV/0!</v>
      </c>
    </row>
    <row r="1995" spans="1:11" x14ac:dyDescent="0.35">
      <c r="A1995" s="2" t="s">
        <v>240</v>
      </c>
      <c r="B1995" t="s">
        <v>70</v>
      </c>
      <c r="C1995" s="21" t="s">
        <v>275</v>
      </c>
      <c r="D1995" s="4">
        <v>10</v>
      </c>
      <c r="E1995" s="4"/>
      <c r="I1995" s="1">
        <f t="shared" si="300"/>
        <v>0</v>
      </c>
      <c r="J1995" s="1">
        <f t="shared" si="305"/>
        <v>3528</v>
      </c>
      <c r="K1995" s="9" t="e">
        <f t="shared" si="304"/>
        <v>#DIV/0!</v>
      </c>
    </row>
    <row r="1996" spans="1:11" x14ac:dyDescent="0.35">
      <c r="A1996" s="2" t="s">
        <v>240</v>
      </c>
      <c r="B1996" t="s">
        <v>70</v>
      </c>
      <c r="C1996" s="21" t="s">
        <v>275</v>
      </c>
      <c r="D1996" s="4">
        <v>11</v>
      </c>
      <c r="E1996" s="4"/>
      <c r="I1996" s="1">
        <f t="shared" si="300"/>
        <v>0</v>
      </c>
      <c r="J1996" s="1">
        <f t="shared" si="305"/>
        <v>3528</v>
      </c>
      <c r="K1996" s="9" t="e">
        <f t="shared" si="304"/>
        <v>#DIV/0!</v>
      </c>
    </row>
    <row r="1997" spans="1:11" x14ac:dyDescent="0.35">
      <c r="A1997" s="2" t="s">
        <v>240</v>
      </c>
      <c r="B1997" t="s">
        <v>70</v>
      </c>
      <c r="C1997" s="21" t="s">
        <v>275</v>
      </c>
      <c r="D1997" s="4">
        <v>12</v>
      </c>
      <c r="E1997" s="4"/>
      <c r="I1997" s="1">
        <f t="shared" si="300"/>
        <v>0</v>
      </c>
      <c r="J1997" s="1">
        <f t="shared" si="305"/>
        <v>3528</v>
      </c>
      <c r="K1997" s="9" t="e">
        <f t="shared" si="304"/>
        <v>#DIV/0!</v>
      </c>
    </row>
    <row r="1998" spans="1:11" x14ac:dyDescent="0.35">
      <c r="A1998" s="2" t="s">
        <v>240</v>
      </c>
      <c r="B1998" t="s">
        <v>70</v>
      </c>
      <c r="C1998" s="21" t="s">
        <v>275</v>
      </c>
      <c r="D1998" s="4">
        <v>13</v>
      </c>
      <c r="E1998" s="4"/>
      <c r="I1998" s="1">
        <f t="shared" si="300"/>
        <v>0</v>
      </c>
      <c r="J1998" s="1">
        <f t="shared" si="305"/>
        <v>3528</v>
      </c>
      <c r="K1998" s="9" t="e">
        <f t="shared" si="304"/>
        <v>#DIV/0!</v>
      </c>
    </row>
    <row r="1999" spans="1:11" x14ac:dyDescent="0.35">
      <c r="A1999" s="2" t="s">
        <v>240</v>
      </c>
      <c r="B1999" t="s">
        <v>70</v>
      </c>
      <c r="C1999" s="21" t="s">
        <v>275</v>
      </c>
      <c r="D1999" s="4">
        <v>14</v>
      </c>
      <c r="E1999" s="4"/>
      <c r="I1999" s="1">
        <f t="shared" si="300"/>
        <v>0</v>
      </c>
      <c r="J1999" s="1">
        <f t="shared" si="305"/>
        <v>3528</v>
      </c>
      <c r="K1999" s="9" t="e">
        <f t="shared" si="304"/>
        <v>#DIV/0!</v>
      </c>
    </row>
    <row r="2000" spans="1:11" x14ac:dyDescent="0.35">
      <c r="A2000" s="2" t="s">
        <v>240</v>
      </c>
      <c r="B2000" t="s">
        <v>70</v>
      </c>
      <c r="C2000" s="21" t="s">
        <v>275</v>
      </c>
      <c r="D2000" s="4">
        <v>15</v>
      </c>
      <c r="E2000" s="4"/>
      <c r="I2000" s="1">
        <f t="shared" si="300"/>
        <v>0</v>
      </c>
      <c r="J2000" s="1">
        <f t="shared" si="305"/>
        <v>3528</v>
      </c>
      <c r="K2000" s="9" t="e">
        <f t="shared" si="304"/>
        <v>#DIV/0!</v>
      </c>
    </row>
    <row r="2001" spans="1:11" ht="15" thickBot="1" x14ac:dyDescent="0.4">
      <c r="A2001" s="12" t="s">
        <v>240</v>
      </c>
      <c r="B2001" s="13" t="s">
        <v>70</v>
      </c>
      <c r="C2001" s="21" t="s">
        <v>275</v>
      </c>
      <c r="D2001" s="14">
        <v>16</v>
      </c>
      <c r="E2001" s="14"/>
      <c r="F2001" s="13"/>
      <c r="G2001" s="13"/>
      <c r="H2001" s="13"/>
      <c r="I2001" s="15">
        <f t="shared" si="300"/>
        <v>0</v>
      </c>
      <c r="J2001" s="15">
        <f t="shared" si="305"/>
        <v>3528</v>
      </c>
      <c r="K2001" s="13"/>
    </row>
    <row r="2002" spans="1:11" x14ac:dyDescent="0.35">
      <c r="A2002" s="2" t="s">
        <v>238</v>
      </c>
      <c r="B2002" t="s">
        <v>239</v>
      </c>
      <c r="C2002" s="21" t="s">
        <v>275</v>
      </c>
      <c r="D2002" s="4">
        <v>1</v>
      </c>
      <c r="E2002" s="4"/>
      <c r="F2002" s="3">
        <v>45940</v>
      </c>
      <c r="G2002">
        <v>9088</v>
      </c>
      <c r="H2002">
        <v>8588</v>
      </c>
      <c r="I2002" s="1">
        <f t="shared" si="300"/>
        <v>500</v>
      </c>
      <c r="J2002" s="1">
        <f>I2002</f>
        <v>500</v>
      </c>
      <c r="K2002" s="9">
        <f t="shared" ref="K2002:K2016" si="306">I2002/H2002</f>
        <v>5.8220773171867725E-2</v>
      </c>
    </row>
    <row r="2003" spans="1:11" x14ac:dyDescent="0.35">
      <c r="A2003" s="2" t="s">
        <v>238</v>
      </c>
      <c r="B2003" t="s">
        <v>239</v>
      </c>
      <c r="C2003" s="21" t="s">
        <v>275</v>
      </c>
      <c r="D2003" s="4">
        <v>2</v>
      </c>
      <c r="E2003" s="4"/>
      <c r="F2003" s="3">
        <v>45947</v>
      </c>
      <c r="G2003">
        <v>9127</v>
      </c>
      <c r="H2003">
        <v>8588</v>
      </c>
      <c r="I2003" s="1">
        <f t="shared" si="300"/>
        <v>539</v>
      </c>
      <c r="J2003" s="1">
        <f>J2002+I2003</f>
        <v>1039</v>
      </c>
      <c r="K2003" s="9">
        <f t="shared" si="306"/>
        <v>6.2761993479273401E-2</v>
      </c>
    </row>
    <row r="2004" spans="1:11" x14ac:dyDescent="0.35">
      <c r="A2004" s="2" t="s">
        <v>238</v>
      </c>
      <c r="B2004" t="s">
        <v>239</v>
      </c>
      <c r="C2004" s="21" t="s">
        <v>275</v>
      </c>
      <c r="D2004" s="4">
        <v>3</v>
      </c>
      <c r="E2004" s="4"/>
      <c r="F2004" s="3">
        <v>45954</v>
      </c>
      <c r="G2004">
        <v>9364</v>
      </c>
      <c r="H2004">
        <v>8588</v>
      </c>
      <c r="I2004" s="1">
        <f t="shared" si="300"/>
        <v>776</v>
      </c>
      <c r="J2004" s="1">
        <f t="shared" ref="J2004:J2017" si="307">J2003+I2004</f>
        <v>1815</v>
      </c>
      <c r="K2004" s="9">
        <f t="shared" si="306"/>
        <v>9.0358639962738699E-2</v>
      </c>
    </row>
    <row r="2005" spans="1:11" x14ac:dyDescent="0.35">
      <c r="A2005" s="2" t="s">
        <v>238</v>
      </c>
      <c r="B2005" t="s">
        <v>239</v>
      </c>
      <c r="C2005" s="21" t="s">
        <v>275</v>
      </c>
      <c r="D2005" s="4">
        <v>4</v>
      </c>
      <c r="E2005" s="4"/>
      <c r="F2005" s="3">
        <v>45961</v>
      </c>
      <c r="G2005">
        <v>9088</v>
      </c>
      <c r="H2005">
        <v>8595</v>
      </c>
      <c r="I2005" s="1">
        <f t="shared" si="300"/>
        <v>493</v>
      </c>
      <c r="J2005" s="1">
        <f t="shared" si="307"/>
        <v>2308</v>
      </c>
      <c r="K2005" s="9">
        <f t="shared" si="306"/>
        <v>5.7358929610238509E-2</v>
      </c>
    </row>
    <row r="2006" spans="1:11" x14ac:dyDescent="0.35">
      <c r="A2006" s="2" t="s">
        <v>238</v>
      </c>
      <c r="B2006" t="s">
        <v>239</v>
      </c>
      <c r="C2006" s="21" t="s">
        <v>275</v>
      </c>
      <c r="D2006" s="4">
        <v>5</v>
      </c>
      <c r="E2006" s="4"/>
      <c r="F2006" s="3">
        <v>45968</v>
      </c>
      <c r="G2006">
        <v>9215</v>
      </c>
      <c r="H2006">
        <v>8589</v>
      </c>
      <c r="I2006" s="1">
        <f t="shared" si="300"/>
        <v>626</v>
      </c>
      <c r="J2006" s="1">
        <f t="shared" si="307"/>
        <v>2934</v>
      </c>
      <c r="K2006" s="9">
        <f t="shared" si="306"/>
        <v>7.2883921294679244E-2</v>
      </c>
    </row>
    <row r="2007" spans="1:11" x14ac:dyDescent="0.35">
      <c r="A2007" s="2" t="s">
        <v>238</v>
      </c>
      <c r="B2007" t="s">
        <v>239</v>
      </c>
      <c r="C2007" s="21" t="s">
        <v>275</v>
      </c>
      <c r="D2007" s="4">
        <v>6</v>
      </c>
      <c r="E2007" s="4"/>
      <c r="I2007" s="1">
        <f t="shared" si="300"/>
        <v>0</v>
      </c>
      <c r="J2007" s="1">
        <f t="shared" si="307"/>
        <v>2934</v>
      </c>
      <c r="K2007" s="9" t="e">
        <f t="shared" si="306"/>
        <v>#DIV/0!</v>
      </c>
    </row>
    <row r="2008" spans="1:11" x14ac:dyDescent="0.35">
      <c r="A2008" s="2" t="s">
        <v>238</v>
      </c>
      <c r="B2008" t="s">
        <v>239</v>
      </c>
      <c r="C2008" s="21" t="s">
        <v>275</v>
      </c>
      <c r="D2008" s="4">
        <v>7</v>
      </c>
      <c r="E2008" s="4"/>
      <c r="I2008" s="1">
        <f t="shared" si="300"/>
        <v>0</v>
      </c>
      <c r="J2008" s="1">
        <f t="shared" si="307"/>
        <v>2934</v>
      </c>
      <c r="K2008" s="9" t="e">
        <f t="shared" si="306"/>
        <v>#DIV/0!</v>
      </c>
    </row>
    <row r="2009" spans="1:11" x14ac:dyDescent="0.35">
      <c r="A2009" s="2" t="s">
        <v>238</v>
      </c>
      <c r="B2009" t="s">
        <v>239</v>
      </c>
      <c r="C2009" s="21" t="s">
        <v>275</v>
      </c>
      <c r="D2009" s="4">
        <v>8</v>
      </c>
      <c r="E2009" s="4"/>
      <c r="I2009" s="1">
        <f t="shared" si="300"/>
        <v>0</v>
      </c>
      <c r="J2009" s="1">
        <f t="shared" si="307"/>
        <v>2934</v>
      </c>
      <c r="K2009" s="9" t="e">
        <f t="shared" si="306"/>
        <v>#DIV/0!</v>
      </c>
    </row>
    <row r="2010" spans="1:11" x14ac:dyDescent="0.35">
      <c r="A2010" s="2" t="s">
        <v>238</v>
      </c>
      <c r="B2010" t="s">
        <v>239</v>
      </c>
      <c r="C2010" s="21" t="s">
        <v>275</v>
      </c>
      <c r="D2010" s="4">
        <v>9</v>
      </c>
      <c r="E2010" s="4"/>
      <c r="I2010" s="1">
        <f t="shared" si="300"/>
        <v>0</v>
      </c>
      <c r="J2010" s="1">
        <f t="shared" si="307"/>
        <v>2934</v>
      </c>
      <c r="K2010" s="9" t="e">
        <f t="shared" si="306"/>
        <v>#DIV/0!</v>
      </c>
    </row>
    <row r="2011" spans="1:11" x14ac:dyDescent="0.35">
      <c r="A2011" s="2" t="s">
        <v>238</v>
      </c>
      <c r="B2011" t="s">
        <v>239</v>
      </c>
      <c r="C2011" s="21" t="s">
        <v>275</v>
      </c>
      <c r="D2011" s="4">
        <v>10</v>
      </c>
      <c r="E2011" s="4"/>
      <c r="I2011" s="1">
        <f t="shared" si="300"/>
        <v>0</v>
      </c>
      <c r="J2011" s="1">
        <f t="shared" si="307"/>
        <v>2934</v>
      </c>
      <c r="K2011" s="9" t="e">
        <f t="shared" si="306"/>
        <v>#DIV/0!</v>
      </c>
    </row>
    <row r="2012" spans="1:11" x14ac:dyDescent="0.35">
      <c r="A2012" s="2" t="s">
        <v>238</v>
      </c>
      <c r="B2012" t="s">
        <v>239</v>
      </c>
      <c r="C2012" s="21" t="s">
        <v>275</v>
      </c>
      <c r="D2012" s="4">
        <v>11</v>
      </c>
      <c r="E2012" s="4"/>
      <c r="I2012" s="1">
        <f t="shared" si="300"/>
        <v>0</v>
      </c>
      <c r="J2012" s="1">
        <f t="shared" si="307"/>
        <v>2934</v>
      </c>
      <c r="K2012" s="9" t="e">
        <f t="shared" si="306"/>
        <v>#DIV/0!</v>
      </c>
    </row>
    <row r="2013" spans="1:11" x14ac:dyDescent="0.35">
      <c r="A2013" s="2" t="s">
        <v>238</v>
      </c>
      <c r="B2013" t="s">
        <v>239</v>
      </c>
      <c r="C2013" s="21" t="s">
        <v>275</v>
      </c>
      <c r="D2013" s="4">
        <v>12</v>
      </c>
      <c r="E2013" s="4"/>
      <c r="I2013" s="1">
        <f t="shared" si="300"/>
        <v>0</v>
      </c>
      <c r="J2013" s="1">
        <f t="shared" si="307"/>
        <v>2934</v>
      </c>
      <c r="K2013" s="9" t="e">
        <f t="shared" si="306"/>
        <v>#DIV/0!</v>
      </c>
    </row>
    <row r="2014" spans="1:11" x14ac:dyDescent="0.35">
      <c r="A2014" s="2" t="s">
        <v>238</v>
      </c>
      <c r="B2014" t="s">
        <v>239</v>
      </c>
      <c r="C2014" s="21" t="s">
        <v>275</v>
      </c>
      <c r="D2014" s="4">
        <v>13</v>
      </c>
      <c r="E2014" s="4"/>
      <c r="I2014" s="1">
        <f t="shared" si="300"/>
        <v>0</v>
      </c>
      <c r="J2014" s="1">
        <f t="shared" si="307"/>
        <v>2934</v>
      </c>
      <c r="K2014" s="9" t="e">
        <f t="shared" si="306"/>
        <v>#DIV/0!</v>
      </c>
    </row>
    <row r="2015" spans="1:11" x14ac:dyDescent="0.35">
      <c r="A2015" s="2" t="s">
        <v>238</v>
      </c>
      <c r="B2015" t="s">
        <v>239</v>
      </c>
      <c r="C2015" s="21" t="s">
        <v>275</v>
      </c>
      <c r="D2015" s="4">
        <v>14</v>
      </c>
      <c r="E2015" s="4"/>
      <c r="I2015" s="1">
        <f t="shared" si="300"/>
        <v>0</v>
      </c>
      <c r="J2015" s="1">
        <f t="shared" si="307"/>
        <v>2934</v>
      </c>
      <c r="K2015" s="9" t="e">
        <f t="shared" si="306"/>
        <v>#DIV/0!</v>
      </c>
    </row>
    <row r="2016" spans="1:11" x14ac:dyDescent="0.35">
      <c r="A2016" s="2" t="s">
        <v>238</v>
      </c>
      <c r="B2016" t="s">
        <v>239</v>
      </c>
      <c r="C2016" s="21" t="s">
        <v>275</v>
      </c>
      <c r="D2016" s="4">
        <v>15</v>
      </c>
      <c r="E2016" s="4"/>
      <c r="I2016" s="1">
        <f t="shared" si="300"/>
        <v>0</v>
      </c>
      <c r="J2016" s="1">
        <f t="shared" si="307"/>
        <v>2934</v>
      </c>
      <c r="K2016" s="9" t="e">
        <f t="shared" si="306"/>
        <v>#DIV/0!</v>
      </c>
    </row>
    <row r="2017" spans="1:11" ht="15" thickBot="1" x14ac:dyDescent="0.4">
      <c r="A2017" s="12" t="s">
        <v>238</v>
      </c>
      <c r="B2017" s="13" t="s">
        <v>239</v>
      </c>
      <c r="C2017" s="21" t="s">
        <v>275</v>
      </c>
      <c r="D2017" s="14">
        <v>16</v>
      </c>
      <c r="E2017" s="14"/>
      <c r="F2017" s="13"/>
      <c r="G2017" s="13"/>
      <c r="H2017" s="13"/>
      <c r="I2017" s="15">
        <f t="shared" si="300"/>
        <v>0</v>
      </c>
      <c r="J2017" s="15">
        <f t="shared" si="307"/>
        <v>2934</v>
      </c>
      <c r="K2017" s="13"/>
    </row>
    <row r="2018" spans="1:11" x14ac:dyDescent="0.35">
      <c r="A2018" s="2" t="s">
        <v>243</v>
      </c>
      <c r="B2018" t="s">
        <v>244</v>
      </c>
      <c r="C2018" s="21" t="s">
        <v>275</v>
      </c>
      <c r="D2018" s="4">
        <v>1</v>
      </c>
      <c r="E2018" s="4"/>
      <c r="F2018" s="3">
        <v>45943</v>
      </c>
      <c r="G2018">
        <v>8544</v>
      </c>
      <c r="H2018">
        <v>8137</v>
      </c>
      <c r="I2018" s="1">
        <f t="shared" si="300"/>
        <v>407</v>
      </c>
      <c r="J2018" s="1">
        <f>I2018</f>
        <v>407</v>
      </c>
      <c r="K2018" s="9">
        <f t="shared" ref="K2018:K2032" si="308">I2018/H2018</f>
        <v>5.0018434312400148E-2</v>
      </c>
    </row>
    <row r="2019" spans="1:11" x14ac:dyDescent="0.35">
      <c r="A2019" s="2" t="s">
        <v>243</v>
      </c>
      <c r="B2019" t="s">
        <v>244</v>
      </c>
      <c r="C2019" s="21" t="s">
        <v>275</v>
      </c>
      <c r="D2019" s="4">
        <v>2</v>
      </c>
      <c r="E2019" s="4"/>
      <c r="F2019" s="3">
        <v>45950</v>
      </c>
      <c r="G2019">
        <v>8579</v>
      </c>
      <c r="H2019">
        <v>8137</v>
      </c>
      <c r="I2019" s="1">
        <f t="shared" ref="I2019:I2082" si="309">G2019-H2019</f>
        <v>442</v>
      </c>
      <c r="J2019" s="1">
        <f>J2018+I2019</f>
        <v>849</v>
      </c>
      <c r="K2019" s="9">
        <f t="shared" si="308"/>
        <v>5.4319773872434557E-2</v>
      </c>
    </row>
    <row r="2020" spans="1:11" x14ac:dyDescent="0.35">
      <c r="A2020" s="2" t="s">
        <v>243</v>
      </c>
      <c r="B2020" t="s">
        <v>244</v>
      </c>
      <c r="C2020" s="21" t="s">
        <v>275</v>
      </c>
      <c r="D2020" s="4">
        <v>3</v>
      </c>
      <c r="E2020" s="4"/>
      <c r="F2020" s="3">
        <v>45957</v>
      </c>
      <c r="G2020">
        <v>8544</v>
      </c>
      <c r="H2020">
        <v>8137</v>
      </c>
      <c r="I2020" s="1">
        <f t="shared" si="309"/>
        <v>407</v>
      </c>
      <c r="J2020" s="1">
        <f t="shared" ref="J2020:J2033" si="310">J2019+I2020</f>
        <v>1256</v>
      </c>
      <c r="K2020" s="9">
        <f t="shared" si="308"/>
        <v>5.0018434312400148E-2</v>
      </c>
    </row>
    <row r="2021" spans="1:11" x14ac:dyDescent="0.35">
      <c r="A2021" s="2" t="s">
        <v>243</v>
      </c>
      <c r="B2021" t="s">
        <v>244</v>
      </c>
      <c r="C2021" s="21" t="s">
        <v>275</v>
      </c>
      <c r="D2021" s="4">
        <v>4</v>
      </c>
      <c r="E2021" s="4"/>
      <c r="F2021" s="3">
        <v>45964</v>
      </c>
      <c r="G2021">
        <v>8544</v>
      </c>
      <c r="H2021">
        <v>8137</v>
      </c>
      <c r="I2021" s="1">
        <f t="shared" si="309"/>
        <v>407</v>
      </c>
      <c r="J2021" s="1">
        <f t="shared" si="310"/>
        <v>1663</v>
      </c>
      <c r="K2021" s="9">
        <f t="shared" si="308"/>
        <v>5.0018434312400148E-2</v>
      </c>
    </row>
    <row r="2022" spans="1:11" x14ac:dyDescent="0.35">
      <c r="A2022" s="2" t="s">
        <v>243</v>
      </c>
      <c r="B2022" t="s">
        <v>244</v>
      </c>
      <c r="C2022" s="21" t="s">
        <v>275</v>
      </c>
      <c r="D2022" s="4">
        <v>5</v>
      </c>
      <c r="E2022" s="4"/>
      <c r="I2022" s="1">
        <f t="shared" si="309"/>
        <v>0</v>
      </c>
      <c r="J2022" s="1">
        <f t="shared" si="310"/>
        <v>1663</v>
      </c>
      <c r="K2022" s="9" t="e">
        <f t="shared" si="308"/>
        <v>#DIV/0!</v>
      </c>
    </row>
    <row r="2023" spans="1:11" x14ac:dyDescent="0.35">
      <c r="A2023" s="2" t="s">
        <v>243</v>
      </c>
      <c r="B2023" t="s">
        <v>244</v>
      </c>
      <c r="C2023" s="21" t="s">
        <v>275</v>
      </c>
      <c r="D2023" s="4">
        <v>6</v>
      </c>
      <c r="E2023" s="4"/>
      <c r="I2023" s="1">
        <f t="shared" si="309"/>
        <v>0</v>
      </c>
      <c r="J2023" s="1">
        <f t="shared" si="310"/>
        <v>1663</v>
      </c>
      <c r="K2023" s="9" t="e">
        <f t="shared" si="308"/>
        <v>#DIV/0!</v>
      </c>
    </row>
    <row r="2024" spans="1:11" x14ac:dyDescent="0.35">
      <c r="A2024" s="2" t="s">
        <v>243</v>
      </c>
      <c r="B2024" t="s">
        <v>244</v>
      </c>
      <c r="C2024" s="21" t="s">
        <v>275</v>
      </c>
      <c r="D2024" s="4">
        <v>7</v>
      </c>
      <c r="E2024" s="4"/>
      <c r="I2024" s="1">
        <f t="shared" si="309"/>
        <v>0</v>
      </c>
      <c r="J2024" s="1">
        <f t="shared" si="310"/>
        <v>1663</v>
      </c>
      <c r="K2024" s="9" t="e">
        <f t="shared" si="308"/>
        <v>#DIV/0!</v>
      </c>
    </row>
    <row r="2025" spans="1:11" x14ac:dyDescent="0.35">
      <c r="A2025" s="2" t="s">
        <v>243</v>
      </c>
      <c r="B2025" t="s">
        <v>244</v>
      </c>
      <c r="C2025" s="21" t="s">
        <v>275</v>
      </c>
      <c r="D2025" s="4">
        <v>8</v>
      </c>
      <c r="E2025" s="4"/>
      <c r="I2025" s="1">
        <f t="shared" si="309"/>
        <v>0</v>
      </c>
      <c r="J2025" s="1">
        <f t="shared" si="310"/>
        <v>1663</v>
      </c>
      <c r="K2025" s="9" t="e">
        <f t="shared" si="308"/>
        <v>#DIV/0!</v>
      </c>
    </row>
    <row r="2026" spans="1:11" x14ac:dyDescent="0.35">
      <c r="A2026" s="2" t="s">
        <v>243</v>
      </c>
      <c r="B2026" t="s">
        <v>244</v>
      </c>
      <c r="C2026" s="21" t="s">
        <v>275</v>
      </c>
      <c r="D2026" s="4">
        <v>9</v>
      </c>
      <c r="E2026" s="4"/>
      <c r="I2026" s="1">
        <f t="shared" si="309"/>
        <v>0</v>
      </c>
      <c r="J2026" s="1">
        <f t="shared" si="310"/>
        <v>1663</v>
      </c>
      <c r="K2026" s="9" t="e">
        <f t="shared" si="308"/>
        <v>#DIV/0!</v>
      </c>
    </row>
    <row r="2027" spans="1:11" x14ac:dyDescent="0.35">
      <c r="A2027" s="2" t="s">
        <v>243</v>
      </c>
      <c r="B2027" t="s">
        <v>244</v>
      </c>
      <c r="C2027" s="21" t="s">
        <v>275</v>
      </c>
      <c r="D2027" s="4">
        <v>10</v>
      </c>
      <c r="E2027" s="4"/>
      <c r="I2027" s="1">
        <f t="shared" si="309"/>
        <v>0</v>
      </c>
      <c r="J2027" s="1">
        <f t="shared" si="310"/>
        <v>1663</v>
      </c>
      <c r="K2027" s="9" t="e">
        <f t="shared" si="308"/>
        <v>#DIV/0!</v>
      </c>
    </row>
    <row r="2028" spans="1:11" x14ac:dyDescent="0.35">
      <c r="A2028" s="2" t="s">
        <v>243</v>
      </c>
      <c r="B2028" t="s">
        <v>244</v>
      </c>
      <c r="C2028" s="21" t="s">
        <v>275</v>
      </c>
      <c r="D2028" s="4">
        <v>11</v>
      </c>
      <c r="E2028" s="4"/>
      <c r="I2028" s="1">
        <f t="shared" si="309"/>
        <v>0</v>
      </c>
      <c r="J2028" s="1">
        <f t="shared" si="310"/>
        <v>1663</v>
      </c>
      <c r="K2028" s="9" t="e">
        <f t="shared" si="308"/>
        <v>#DIV/0!</v>
      </c>
    </row>
    <row r="2029" spans="1:11" x14ac:dyDescent="0.35">
      <c r="A2029" s="2" t="s">
        <v>243</v>
      </c>
      <c r="B2029" t="s">
        <v>244</v>
      </c>
      <c r="C2029" s="21" t="s">
        <v>275</v>
      </c>
      <c r="D2029" s="4">
        <v>12</v>
      </c>
      <c r="E2029" s="4"/>
      <c r="I2029" s="1">
        <f t="shared" si="309"/>
        <v>0</v>
      </c>
      <c r="J2029" s="1">
        <f t="shared" si="310"/>
        <v>1663</v>
      </c>
      <c r="K2029" s="9" t="e">
        <f t="shared" si="308"/>
        <v>#DIV/0!</v>
      </c>
    </row>
    <row r="2030" spans="1:11" x14ac:dyDescent="0.35">
      <c r="A2030" s="2" t="s">
        <v>243</v>
      </c>
      <c r="B2030" t="s">
        <v>244</v>
      </c>
      <c r="C2030" s="21" t="s">
        <v>275</v>
      </c>
      <c r="D2030" s="4">
        <v>13</v>
      </c>
      <c r="E2030" s="4"/>
      <c r="I2030" s="1">
        <f t="shared" si="309"/>
        <v>0</v>
      </c>
      <c r="J2030" s="1">
        <f t="shared" si="310"/>
        <v>1663</v>
      </c>
      <c r="K2030" s="9" t="e">
        <f t="shared" si="308"/>
        <v>#DIV/0!</v>
      </c>
    </row>
    <row r="2031" spans="1:11" x14ac:dyDescent="0.35">
      <c r="A2031" s="2" t="s">
        <v>243</v>
      </c>
      <c r="B2031" t="s">
        <v>244</v>
      </c>
      <c r="C2031" s="21" t="s">
        <v>275</v>
      </c>
      <c r="D2031" s="4">
        <v>14</v>
      </c>
      <c r="E2031" s="4"/>
      <c r="I2031" s="1">
        <f t="shared" si="309"/>
        <v>0</v>
      </c>
      <c r="J2031" s="1">
        <f t="shared" si="310"/>
        <v>1663</v>
      </c>
      <c r="K2031" s="9" t="e">
        <f t="shared" si="308"/>
        <v>#DIV/0!</v>
      </c>
    </row>
    <row r="2032" spans="1:11" x14ac:dyDescent="0.35">
      <c r="A2032" s="2" t="s">
        <v>243</v>
      </c>
      <c r="B2032" t="s">
        <v>244</v>
      </c>
      <c r="C2032" s="21" t="s">
        <v>275</v>
      </c>
      <c r="D2032" s="4">
        <v>15</v>
      </c>
      <c r="E2032" s="4"/>
      <c r="I2032" s="1">
        <f t="shared" si="309"/>
        <v>0</v>
      </c>
      <c r="J2032" s="1">
        <f t="shared" si="310"/>
        <v>1663</v>
      </c>
      <c r="K2032" s="9" t="e">
        <f t="shared" si="308"/>
        <v>#DIV/0!</v>
      </c>
    </row>
    <row r="2033" spans="1:11" ht="15" thickBot="1" x14ac:dyDescent="0.4">
      <c r="A2033" s="12" t="s">
        <v>243</v>
      </c>
      <c r="B2033" s="13" t="s">
        <v>244</v>
      </c>
      <c r="C2033" s="21" t="s">
        <v>275</v>
      </c>
      <c r="D2033" s="14">
        <v>16</v>
      </c>
      <c r="E2033" s="14"/>
      <c r="F2033" s="13"/>
      <c r="G2033" s="13"/>
      <c r="H2033" s="13"/>
      <c r="I2033" s="15">
        <f t="shared" si="309"/>
        <v>0</v>
      </c>
      <c r="J2033" s="15">
        <f t="shared" si="310"/>
        <v>1663</v>
      </c>
      <c r="K2033" s="13"/>
    </row>
    <row r="2034" spans="1:11" x14ac:dyDescent="0.35">
      <c r="A2034" s="2" t="s">
        <v>245</v>
      </c>
      <c r="B2034" t="s">
        <v>246</v>
      </c>
      <c r="C2034" s="21" t="s">
        <v>275</v>
      </c>
      <c r="D2034" s="4">
        <v>1</v>
      </c>
      <c r="E2034" s="4"/>
      <c r="F2034" s="3">
        <v>45944</v>
      </c>
      <c r="G2034">
        <v>6000</v>
      </c>
      <c r="H2034">
        <v>5700</v>
      </c>
      <c r="I2034" s="1">
        <f t="shared" si="309"/>
        <v>300</v>
      </c>
      <c r="J2034" s="1">
        <f>I2034</f>
        <v>300</v>
      </c>
      <c r="K2034" s="9">
        <f t="shared" ref="K2034:K2048" si="311">I2034/H2034</f>
        <v>5.2631578947368418E-2</v>
      </c>
    </row>
    <row r="2035" spans="1:11" x14ac:dyDescent="0.35">
      <c r="A2035" s="2" t="s">
        <v>245</v>
      </c>
      <c r="B2035" t="s">
        <v>246</v>
      </c>
      <c r="C2035" s="21" t="s">
        <v>275</v>
      </c>
      <c r="D2035" s="4">
        <v>2</v>
      </c>
      <c r="E2035" s="4"/>
      <c r="F2035" s="3">
        <v>45951</v>
      </c>
      <c r="G2035">
        <v>6000</v>
      </c>
      <c r="H2035">
        <v>5700</v>
      </c>
      <c r="I2035" s="1">
        <f t="shared" si="309"/>
        <v>300</v>
      </c>
      <c r="J2035" s="1">
        <f>J2034+I2035</f>
        <v>600</v>
      </c>
      <c r="K2035" s="9">
        <f t="shared" si="311"/>
        <v>5.2631578947368418E-2</v>
      </c>
    </row>
    <row r="2036" spans="1:11" x14ac:dyDescent="0.35">
      <c r="A2036" s="2" t="s">
        <v>245</v>
      </c>
      <c r="B2036" t="s">
        <v>246</v>
      </c>
      <c r="C2036" s="21" t="s">
        <v>275</v>
      </c>
      <c r="D2036" s="4">
        <v>3</v>
      </c>
      <c r="E2036" s="4"/>
      <c r="F2036" s="3">
        <v>45958</v>
      </c>
      <c r="G2036">
        <v>6000</v>
      </c>
      <c r="H2036">
        <v>5700</v>
      </c>
      <c r="I2036" s="1">
        <f t="shared" si="309"/>
        <v>300</v>
      </c>
      <c r="J2036" s="1">
        <f t="shared" ref="J2036:J2049" si="312">J2035+I2036</f>
        <v>900</v>
      </c>
      <c r="K2036" s="9">
        <f t="shared" si="311"/>
        <v>5.2631578947368418E-2</v>
      </c>
    </row>
    <row r="2037" spans="1:11" x14ac:dyDescent="0.35">
      <c r="A2037" s="2" t="s">
        <v>245</v>
      </c>
      <c r="B2037" t="s">
        <v>246</v>
      </c>
      <c r="C2037" s="21" t="s">
        <v>275</v>
      </c>
      <c r="D2037" s="4">
        <v>4</v>
      </c>
      <c r="E2037" s="4"/>
      <c r="F2037" s="3">
        <v>45965</v>
      </c>
      <c r="G2037">
        <v>6000</v>
      </c>
      <c r="H2037">
        <v>5700</v>
      </c>
      <c r="I2037" s="1">
        <f t="shared" si="309"/>
        <v>300</v>
      </c>
      <c r="J2037" s="1">
        <f t="shared" si="312"/>
        <v>1200</v>
      </c>
      <c r="K2037" s="9">
        <f t="shared" si="311"/>
        <v>5.2631578947368418E-2</v>
      </c>
    </row>
    <row r="2038" spans="1:11" x14ac:dyDescent="0.35">
      <c r="A2038" s="2" t="s">
        <v>245</v>
      </c>
      <c r="B2038" t="s">
        <v>246</v>
      </c>
      <c r="C2038" s="21" t="s">
        <v>275</v>
      </c>
      <c r="D2038" s="4">
        <v>5</v>
      </c>
      <c r="E2038" s="4"/>
      <c r="I2038" s="1">
        <f t="shared" si="309"/>
        <v>0</v>
      </c>
      <c r="J2038" s="1">
        <f t="shared" si="312"/>
        <v>1200</v>
      </c>
      <c r="K2038" s="9" t="e">
        <f t="shared" si="311"/>
        <v>#DIV/0!</v>
      </c>
    </row>
    <row r="2039" spans="1:11" x14ac:dyDescent="0.35">
      <c r="A2039" s="2" t="s">
        <v>245</v>
      </c>
      <c r="B2039" t="s">
        <v>246</v>
      </c>
      <c r="C2039" s="21" t="s">
        <v>275</v>
      </c>
      <c r="D2039" s="4">
        <v>6</v>
      </c>
      <c r="E2039" s="4"/>
      <c r="I2039" s="1">
        <f t="shared" si="309"/>
        <v>0</v>
      </c>
      <c r="J2039" s="1">
        <f t="shared" si="312"/>
        <v>1200</v>
      </c>
      <c r="K2039" s="9" t="e">
        <f t="shared" si="311"/>
        <v>#DIV/0!</v>
      </c>
    </row>
    <row r="2040" spans="1:11" x14ac:dyDescent="0.35">
      <c r="A2040" s="2" t="s">
        <v>245</v>
      </c>
      <c r="B2040" t="s">
        <v>246</v>
      </c>
      <c r="C2040" s="21" t="s">
        <v>275</v>
      </c>
      <c r="D2040" s="4">
        <v>7</v>
      </c>
      <c r="E2040" s="4"/>
      <c r="I2040" s="1">
        <f t="shared" si="309"/>
        <v>0</v>
      </c>
      <c r="J2040" s="1">
        <f t="shared" si="312"/>
        <v>1200</v>
      </c>
      <c r="K2040" s="9" t="e">
        <f t="shared" si="311"/>
        <v>#DIV/0!</v>
      </c>
    </row>
    <row r="2041" spans="1:11" x14ac:dyDescent="0.35">
      <c r="A2041" s="2" t="s">
        <v>245</v>
      </c>
      <c r="B2041" t="s">
        <v>246</v>
      </c>
      <c r="C2041" s="21" t="s">
        <v>275</v>
      </c>
      <c r="D2041" s="4">
        <v>8</v>
      </c>
      <c r="E2041" s="4"/>
      <c r="I2041" s="1">
        <f t="shared" si="309"/>
        <v>0</v>
      </c>
      <c r="J2041" s="1">
        <f t="shared" si="312"/>
        <v>1200</v>
      </c>
      <c r="K2041" s="9" t="e">
        <f t="shared" si="311"/>
        <v>#DIV/0!</v>
      </c>
    </row>
    <row r="2042" spans="1:11" x14ac:dyDescent="0.35">
      <c r="A2042" s="2" t="s">
        <v>245</v>
      </c>
      <c r="B2042" t="s">
        <v>246</v>
      </c>
      <c r="C2042" s="21" t="s">
        <v>275</v>
      </c>
      <c r="D2042" s="4">
        <v>9</v>
      </c>
      <c r="E2042" s="4"/>
      <c r="I2042" s="1">
        <f t="shared" si="309"/>
        <v>0</v>
      </c>
      <c r="J2042" s="1">
        <f t="shared" si="312"/>
        <v>1200</v>
      </c>
      <c r="K2042" s="9" t="e">
        <f t="shared" si="311"/>
        <v>#DIV/0!</v>
      </c>
    </row>
    <row r="2043" spans="1:11" x14ac:dyDescent="0.35">
      <c r="A2043" s="2" t="s">
        <v>245</v>
      </c>
      <c r="B2043" t="s">
        <v>246</v>
      </c>
      <c r="C2043" s="21" t="s">
        <v>275</v>
      </c>
      <c r="D2043" s="4">
        <v>10</v>
      </c>
      <c r="E2043" s="4"/>
      <c r="I2043" s="1">
        <f t="shared" si="309"/>
        <v>0</v>
      </c>
      <c r="J2043" s="1">
        <f t="shared" si="312"/>
        <v>1200</v>
      </c>
      <c r="K2043" s="9" t="e">
        <f t="shared" si="311"/>
        <v>#DIV/0!</v>
      </c>
    </row>
    <row r="2044" spans="1:11" x14ac:dyDescent="0.35">
      <c r="A2044" s="2" t="s">
        <v>245</v>
      </c>
      <c r="B2044" t="s">
        <v>246</v>
      </c>
      <c r="C2044" s="21" t="s">
        <v>275</v>
      </c>
      <c r="D2044" s="4">
        <v>11</v>
      </c>
      <c r="E2044" s="4"/>
      <c r="I2044" s="1">
        <f t="shared" si="309"/>
        <v>0</v>
      </c>
      <c r="J2044" s="1">
        <f t="shared" si="312"/>
        <v>1200</v>
      </c>
      <c r="K2044" s="9" t="e">
        <f t="shared" si="311"/>
        <v>#DIV/0!</v>
      </c>
    </row>
    <row r="2045" spans="1:11" x14ac:dyDescent="0.35">
      <c r="A2045" s="2" t="s">
        <v>245</v>
      </c>
      <c r="B2045" t="s">
        <v>246</v>
      </c>
      <c r="C2045" s="21" t="s">
        <v>275</v>
      </c>
      <c r="D2045" s="4">
        <v>12</v>
      </c>
      <c r="E2045" s="4"/>
      <c r="I2045" s="1">
        <f t="shared" si="309"/>
        <v>0</v>
      </c>
      <c r="J2045" s="1">
        <f t="shared" si="312"/>
        <v>1200</v>
      </c>
      <c r="K2045" s="9" t="e">
        <f t="shared" si="311"/>
        <v>#DIV/0!</v>
      </c>
    </row>
    <row r="2046" spans="1:11" x14ac:dyDescent="0.35">
      <c r="A2046" s="2" t="s">
        <v>245</v>
      </c>
      <c r="B2046" t="s">
        <v>246</v>
      </c>
      <c r="C2046" s="21" t="s">
        <v>275</v>
      </c>
      <c r="D2046" s="4">
        <v>13</v>
      </c>
      <c r="E2046" s="4"/>
      <c r="I2046" s="1">
        <f t="shared" si="309"/>
        <v>0</v>
      </c>
      <c r="J2046" s="1">
        <f t="shared" si="312"/>
        <v>1200</v>
      </c>
      <c r="K2046" s="9" t="e">
        <f t="shared" si="311"/>
        <v>#DIV/0!</v>
      </c>
    </row>
    <row r="2047" spans="1:11" x14ac:dyDescent="0.35">
      <c r="A2047" s="2" t="s">
        <v>245</v>
      </c>
      <c r="B2047" t="s">
        <v>246</v>
      </c>
      <c r="C2047" s="21" t="s">
        <v>275</v>
      </c>
      <c r="D2047" s="4">
        <v>14</v>
      </c>
      <c r="E2047" s="4"/>
      <c r="I2047" s="1">
        <f t="shared" si="309"/>
        <v>0</v>
      </c>
      <c r="J2047" s="1">
        <f t="shared" si="312"/>
        <v>1200</v>
      </c>
      <c r="K2047" s="9" t="e">
        <f t="shared" si="311"/>
        <v>#DIV/0!</v>
      </c>
    </row>
    <row r="2048" spans="1:11" x14ac:dyDescent="0.35">
      <c r="A2048" s="2" t="s">
        <v>245</v>
      </c>
      <c r="B2048" t="s">
        <v>246</v>
      </c>
      <c r="C2048" s="21" t="s">
        <v>275</v>
      </c>
      <c r="D2048" s="4">
        <v>15</v>
      </c>
      <c r="E2048" s="4"/>
      <c r="I2048" s="1">
        <f t="shared" si="309"/>
        <v>0</v>
      </c>
      <c r="J2048" s="1">
        <f t="shared" si="312"/>
        <v>1200</v>
      </c>
      <c r="K2048" s="9" t="e">
        <f t="shared" si="311"/>
        <v>#DIV/0!</v>
      </c>
    </row>
    <row r="2049" spans="1:11" ht="15" thickBot="1" x14ac:dyDescent="0.4">
      <c r="A2049" s="12" t="s">
        <v>245</v>
      </c>
      <c r="B2049" s="13" t="s">
        <v>246</v>
      </c>
      <c r="C2049" s="21" t="s">
        <v>275</v>
      </c>
      <c r="D2049" s="14">
        <v>16</v>
      </c>
      <c r="E2049" s="14"/>
      <c r="F2049" s="13"/>
      <c r="G2049" s="13"/>
      <c r="H2049" s="13"/>
      <c r="I2049" s="15">
        <f t="shared" si="309"/>
        <v>0</v>
      </c>
      <c r="J2049" s="15">
        <f t="shared" si="312"/>
        <v>1200</v>
      </c>
      <c r="K2049" s="13"/>
    </row>
    <row r="2050" spans="1:11" x14ac:dyDescent="0.35">
      <c r="A2050" s="2" t="s">
        <v>247</v>
      </c>
      <c r="B2050" t="s">
        <v>252</v>
      </c>
      <c r="C2050" s="21" t="s">
        <v>275</v>
      </c>
      <c r="D2050" s="4">
        <v>1</v>
      </c>
      <c r="E2050" s="4"/>
      <c r="F2050" s="3">
        <v>45944</v>
      </c>
      <c r="G2050">
        <v>11980</v>
      </c>
      <c r="H2050">
        <v>11410</v>
      </c>
      <c r="I2050" s="1">
        <f t="shared" si="309"/>
        <v>570</v>
      </c>
      <c r="J2050" s="1">
        <f>I2050</f>
        <v>570</v>
      </c>
      <c r="K2050" s="9">
        <f t="shared" ref="K2050:K2064" si="313">I2050/H2050</f>
        <v>4.9956178790534621E-2</v>
      </c>
    </row>
    <row r="2051" spans="1:11" x14ac:dyDescent="0.35">
      <c r="A2051" s="2" t="s">
        <v>247</v>
      </c>
      <c r="B2051" t="s">
        <v>252</v>
      </c>
      <c r="C2051" s="21" t="s">
        <v>275</v>
      </c>
      <c r="D2051" s="4">
        <v>2</v>
      </c>
      <c r="E2051" s="4"/>
      <c r="F2051" s="3">
        <v>45951</v>
      </c>
      <c r="G2051">
        <v>11980</v>
      </c>
      <c r="H2051">
        <v>11410</v>
      </c>
      <c r="I2051" s="1">
        <f t="shared" si="309"/>
        <v>570</v>
      </c>
      <c r="J2051" s="1">
        <f>J2050+I2051</f>
        <v>1140</v>
      </c>
      <c r="K2051" s="9">
        <f t="shared" si="313"/>
        <v>4.9956178790534621E-2</v>
      </c>
    </row>
    <row r="2052" spans="1:11" x14ac:dyDescent="0.35">
      <c r="A2052" s="2" t="s">
        <v>247</v>
      </c>
      <c r="B2052" t="s">
        <v>252</v>
      </c>
      <c r="C2052" s="21" t="s">
        <v>275</v>
      </c>
      <c r="D2052" s="4">
        <v>3</v>
      </c>
      <c r="E2052" s="4"/>
      <c r="F2052" s="3">
        <v>45958</v>
      </c>
      <c r="G2052">
        <v>11980</v>
      </c>
      <c r="H2052">
        <v>11410</v>
      </c>
      <c r="I2052" s="1">
        <f t="shared" si="309"/>
        <v>570</v>
      </c>
      <c r="J2052" s="1">
        <f t="shared" ref="J2052:J2065" si="314">J2051+I2052</f>
        <v>1710</v>
      </c>
      <c r="K2052" s="9">
        <f t="shared" si="313"/>
        <v>4.9956178790534621E-2</v>
      </c>
    </row>
    <row r="2053" spans="1:11" x14ac:dyDescent="0.35">
      <c r="A2053" s="2" t="s">
        <v>247</v>
      </c>
      <c r="B2053" t="s">
        <v>252</v>
      </c>
      <c r="C2053" s="21" t="s">
        <v>275</v>
      </c>
      <c r="D2053" s="4">
        <v>4</v>
      </c>
      <c r="E2053" s="4"/>
      <c r="I2053" s="1">
        <f t="shared" si="309"/>
        <v>0</v>
      </c>
      <c r="J2053" s="1">
        <f t="shared" si="314"/>
        <v>1710</v>
      </c>
      <c r="K2053" s="9" t="e">
        <f t="shared" si="313"/>
        <v>#DIV/0!</v>
      </c>
    </row>
    <row r="2054" spans="1:11" x14ac:dyDescent="0.35">
      <c r="A2054" s="2" t="s">
        <v>247</v>
      </c>
      <c r="B2054" t="s">
        <v>252</v>
      </c>
      <c r="C2054" s="21" t="s">
        <v>275</v>
      </c>
      <c r="D2054" s="4">
        <v>5</v>
      </c>
      <c r="E2054" s="4"/>
      <c r="I2054" s="1">
        <f t="shared" si="309"/>
        <v>0</v>
      </c>
      <c r="J2054" s="1">
        <f t="shared" si="314"/>
        <v>1710</v>
      </c>
      <c r="K2054" s="9" t="e">
        <f t="shared" si="313"/>
        <v>#DIV/0!</v>
      </c>
    </row>
    <row r="2055" spans="1:11" x14ac:dyDescent="0.35">
      <c r="A2055" s="2" t="s">
        <v>247</v>
      </c>
      <c r="B2055" t="s">
        <v>252</v>
      </c>
      <c r="C2055" s="21" t="s">
        <v>275</v>
      </c>
      <c r="D2055" s="4">
        <v>6</v>
      </c>
      <c r="E2055" s="4"/>
      <c r="I2055" s="1">
        <f t="shared" si="309"/>
        <v>0</v>
      </c>
      <c r="J2055" s="1">
        <f t="shared" si="314"/>
        <v>1710</v>
      </c>
      <c r="K2055" s="9" t="e">
        <f t="shared" si="313"/>
        <v>#DIV/0!</v>
      </c>
    </row>
    <row r="2056" spans="1:11" x14ac:dyDescent="0.35">
      <c r="A2056" s="2" t="s">
        <v>247</v>
      </c>
      <c r="B2056" t="s">
        <v>252</v>
      </c>
      <c r="C2056" s="21" t="s">
        <v>275</v>
      </c>
      <c r="D2056" s="4">
        <v>7</v>
      </c>
      <c r="E2056" s="4"/>
      <c r="I2056" s="1">
        <f t="shared" si="309"/>
        <v>0</v>
      </c>
      <c r="J2056" s="1">
        <f t="shared" si="314"/>
        <v>1710</v>
      </c>
      <c r="K2056" s="9" t="e">
        <f t="shared" si="313"/>
        <v>#DIV/0!</v>
      </c>
    </row>
    <row r="2057" spans="1:11" x14ac:dyDescent="0.35">
      <c r="A2057" s="2" t="s">
        <v>247</v>
      </c>
      <c r="B2057" t="s">
        <v>252</v>
      </c>
      <c r="C2057" s="21" t="s">
        <v>275</v>
      </c>
      <c r="D2057" s="4">
        <v>8</v>
      </c>
      <c r="E2057" s="4"/>
      <c r="I2057" s="1">
        <f t="shared" si="309"/>
        <v>0</v>
      </c>
      <c r="J2057" s="1">
        <f t="shared" si="314"/>
        <v>1710</v>
      </c>
      <c r="K2057" s="9" t="e">
        <f t="shared" si="313"/>
        <v>#DIV/0!</v>
      </c>
    </row>
    <row r="2058" spans="1:11" x14ac:dyDescent="0.35">
      <c r="A2058" s="2" t="s">
        <v>247</v>
      </c>
      <c r="B2058" t="s">
        <v>252</v>
      </c>
      <c r="C2058" s="21" t="s">
        <v>275</v>
      </c>
      <c r="D2058" s="4">
        <v>9</v>
      </c>
      <c r="E2058" s="4"/>
      <c r="I2058" s="1">
        <f t="shared" si="309"/>
        <v>0</v>
      </c>
      <c r="J2058" s="1">
        <f t="shared" si="314"/>
        <v>1710</v>
      </c>
      <c r="K2058" s="9" t="e">
        <f t="shared" si="313"/>
        <v>#DIV/0!</v>
      </c>
    </row>
    <row r="2059" spans="1:11" x14ac:dyDescent="0.35">
      <c r="A2059" s="2" t="s">
        <v>247</v>
      </c>
      <c r="B2059" t="s">
        <v>252</v>
      </c>
      <c r="C2059" s="21" t="s">
        <v>275</v>
      </c>
      <c r="D2059" s="4">
        <v>10</v>
      </c>
      <c r="E2059" s="4"/>
      <c r="I2059" s="1">
        <f t="shared" si="309"/>
        <v>0</v>
      </c>
      <c r="J2059" s="1">
        <f t="shared" si="314"/>
        <v>1710</v>
      </c>
      <c r="K2059" s="9" t="e">
        <f t="shared" si="313"/>
        <v>#DIV/0!</v>
      </c>
    </row>
    <row r="2060" spans="1:11" x14ac:dyDescent="0.35">
      <c r="A2060" s="2" t="s">
        <v>247</v>
      </c>
      <c r="B2060" t="s">
        <v>252</v>
      </c>
      <c r="C2060" s="21" t="s">
        <v>275</v>
      </c>
      <c r="D2060" s="4">
        <v>11</v>
      </c>
      <c r="E2060" s="4"/>
      <c r="I2060" s="1">
        <f t="shared" si="309"/>
        <v>0</v>
      </c>
      <c r="J2060" s="1">
        <f t="shared" si="314"/>
        <v>1710</v>
      </c>
      <c r="K2060" s="9" t="e">
        <f t="shared" si="313"/>
        <v>#DIV/0!</v>
      </c>
    </row>
    <row r="2061" spans="1:11" x14ac:dyDescent="0.35">
      <c r="A2061" s="2" t="s">
        <v>247</v>
      </c>
      <c r="B2061" t="s">
        <v>252</v>
      </c>
      <c r="C2061" s="21" t="s">
        <v>275</v>
      </c>
      <c r="D2061" s="4">
        <v>12</v>
      </c>
      <c r="E2061" s="4"/>
      <c r="I2061" s="1">
        <f t="shared" si="309"/>
        <v>0</v>
      </c>
      <c r="J2061" s="1">
        <f t="shared" si="314"/>
        <v>1710</v>
      </c>
      <c r="K2061" s="9" t="e">
        <f t="shared" si="313"/>
        <v>#DIV/0!</v>
      </c>
    </row>
    <row r="2062" spans="1:11" x14ac:dyDescent="0.35">
      <c r="A2062" s="2" t="s">
        <v>247</v>
      </c>
      <c r="B2062" t="s">
        <v>252</v>
      </c>
      <c r="C2062" s="21" t="s">
        <v>275</v>
      </c>
      <c r="D2062" s="4">
        <v>13</v>
      </c>
      <c r="E2062" s="4"/>
      <c r="I2062" s="1">
        <f t="shared" si="309"/>
        <v>0</v>
      </c>
      <c r="J2062" s="1">
        <f t="shared" si="314"/>
        <v>1710</v>
      </c>
      <c r="K2062" s="9" t="e">
        <f t="shared" si="313"/>
        <v>#DIV/0!</v>
      </c>
    </row>
    <row r="2063" spans="1:11" x14ac:dyDescent="0.35">
      <c r="A2063" s="2" t="s">
        <v>247</v>
      </c>
      <c r="B2063" t="s">
        <v>252</v>
      </c>
      <c r="C2063" s="21" t="s">
        <v>275</v>
      </c>
      <c r="D2063" s="4">
        <v>14</v>
      </c>
      <c r="E2063" s="4"/>
      <c r="I2063" s="1">
        <f t="shared" si="309"/>
        <v>0</v>
      </c>
      <c r="J2063" s="1">
        <f t="shared" si="314"/>
        <v>1710</v>
      </c>
      <c r="K2063" s="9" t="e">
        <f t="shared" si="313"/>
        <v>#DIV/0!</v>
      </c>
    </row>
    <row r="2064" spans="1:11" x14ac:dyDescent="0.35">
      <c r="A2064" s="2" t="s">
        <v>247</v>
      </c>
      <c r="B2064" t="s">
        <v>252</v>
      </c>
      <c r="C2064" s="21" t="s">
        <v>275</v>
      </c>
      <c r="D2064" s="4">
        <v>15</v>
      </c>
      <c r="E2064" s="4"/>
      <c r="I2064" s="1">
        <f t="shared" si="309"/>
        <v>0</v>
      </c>
      <c r="J2064" s="1">
        <f t="shared" si="314"/>
        <v>1710</v>
      </c>
      <c r="K2064" s="9" t="e">
        <f t="shared" si="313"/>
        <v>#DIV/0!</v>
      </c>
    </row>
    <row r="2065" spans="1:11" ht="15" thickBot="1" x14ac:dyDescent="0.4">
      <c r="A2065" s="12" t="s">
        <v>247</v>
      </c>
      <c r="B2065" s="13" t="s">
        <v>252</v>
      </c>
      <c r="C2065" s="21" t="s">
        <v>275</v>
      </c>
      <c r="D2065" s="14">
        <v>16</v>
      </c>
      <c r="E2065" s="14"/>
      <c r="F2065" s="13"/>
      <c r="G2065" s="13"/>
      <c r="H2065" s="13"/>
      <c r="I2065" s="15">
        <f t="shared" si="309"/>
        <v>0</v>
      </c>
      <c r="J2065" s="15">
        <f t="shared" si="314"/>
        <v>1710</v>
      </c>
      <c r="K2065" s="13"/>
    </row>
    <row r="2066" spans="1:11" x14ac:dyDescent="0.35">
      <c r="A2066" s="2" t="s">
        <v>248</v>
      </c>
      <c r="B2066" t="s">
        <v>253</v>
      </c>
      <c r="C2066" s="21" t="s">
        <v>275</v>
      </c>
      <c r="D2066" s="4">
        <v>1</v>
      </c>
      <c r="E2066" s="4"/>
      <c r="F2066" s="3">
        <v>45945</v>
      </c>
      <c r="G2066">
        <v>4789</v>
      </c>
      <c r="H2066">
        <v>4560</v>
      </c>
      <c r="I2066" s="1">
        <f t="shared" si="309"/>
        <v>229</v>
      </c>
      <c r="J2066" s="1">
        <f>I2066</f>
        <v>229</v>
      </c>
      <c r="K2066" s="9">
        <f t="shared" ref="K2066:K2074" si="315">I2066/H2066</f>
        <v>5.0219298245614039E-2</v>
      </c>
    </row>
    <row r="2067" spans="1:11" x14ac:dyDescent="0.35">
      <c r="A2067" s="2" t="s">
        <v>248</v>
      </c>
      <c r="B2067" t="s">
        <v>253</v>
      </c>
      <c r="C2067" s="21" t="s">
        <v>275</v>
      </c>
      <c r="D2067" s="4">
        <v>2</v>
      </c>
      <c r="E2067" s="4"/>
      <c r="F2067" s="3">
        <v>45952</v>
      </c>
      <c r="G2067">
        <v>4789</v>
      </c>
      <c r="H2067">
        <v>4560</v>
      </c>
      <c r="I2067" s="1">
        <f t="shared" si="309"/>
        <v>229</v>
      </c>
      <c r="J2067" s="1">
        <f>J2066+I2067</f>
        <v>458</v>
      </c>
      <c r="K2067" s="9">
        <f t="shared" si="315"/>
        <v>5.0219298245614039E-2</v>
      </c>
    </row>
    <row r="2068" spans="1:11" x14ac:dyDescent="0.35">
      <c r="A2068" s="2" t="s">
        <v>248</v>
      </c>
      <c r="B2068" t="s">
        <v>253</v>
      </c>
      <c r="C2068" s="21" t="s">
        <v>275</v>
      </c>
      <c r="D2068" s="4">
        <v>3</v>
      </c>
      <c r="E2068" s="4"/>
      <c r="F2068" s="3">
        <v>45959</v>
      </c>
      <c r="G2068">
        <v>4789</v>
      </c>
      <c r="H2068">
        <v>4561</v>
      </c>
      <c r="I2068" s="1">
        <f t="shared" si="309"/>
        <v>228</v>
      </c>
      <c r="J2068" s="1">
        <f t="shared" ref="J2068:J2081" si="316">J2067+I2068</f>
        <v>686</v>
      </c>
      <c r="K2068" s="9">
        <f t="shared" si="315"/>
        <v>4.9989037491778118E-2</v>
      </c>
    </row>
    <row r="2069" spans="1:11" x14ac:dyDescent="0.35">
      <c r="A2069" s="2" t="s">
        <v>248</v>
      </c>
      <c r="B2069" t="s">
        <v>253</v>
      </c>
      <c r="C2069" s="21" t="s">
        <v>275</v>
      </c>
      <c r="D2069" s="4">
        <v>4</v>
      </c>
      <c r="E2069" s="4"/>
      <c r="F2069" s="3">
        <v>45966</v>
      </c>
      <c r="G2069">
        <v>4789</v>
      </c>
      <c r="H2069">
        <v>4560</v>
      </c>
      <c r="I2069" s="1">
        <f t="shared" si="309"/>
        <v>229</v>
      </c>
      <c r="J2069" s="1">
        <f t="shared" si="316"/>
        <v>915</v>
      </c>
      <c r="K2069" s="9">
        <f t="shared" si="315"/>
        <v>5.0219298245614039E-2</v>
      </c>
    </row>
    <row r="2070" spans="1:11" x14ac:dyDescent="0.35">
      <c r="A2070" s="2" t="s">
        <v>248</v>
      </c>
      <c r="B2070" t="s">
        <v>253</v>
      </c>
      <c r="C2070" s="21" t="s">
        <v>275</v>
      </c>
      <c r="D2070" s="4">
        <v>5</v>
      </c>
      <c r="E2070" s="4"/>
      <c r="I2070" s="1">
        <f t="shared" si="309"/>
        <v>0</v>
      </c>
      <c r="J2070" s="1">
        <f t="shared" si="316"/>
        <v>915</v>
      </c>
      <c r="K2070" s="9" t="e">
        <f t="shared" si="315"/>
        <v>#DIV/0!</v>
      </c>
    </row>
    <row r="2071" spans="1:11" x14ac:dyDescent="0.35">
      <c r="A2071" s="2" t="s">
        <v>248</v>
      </c>
      <c r="B2071" t="s">
        <v>253</v>
      </c>
      <c r="C2071" s="21" t="s">
        <v>275</v>
      </c>
      <c r="D2071" s="4">
        <v>6</v>
      </c>
      <c r="E2071" s="4"/>
      <c r="I2071" s="1">
        <f t="shared" si="309"/>
        <v>0</v>
      </c>
      <c r="J2071" s="1">
        <f t="shared" si="316"/>
        <v>915</v>
      </c>
      <c r="K2071" s="9" t="e">
        <f t="shared" si="315"/>
        <v>#DIV/0!</v>
      </c>
    </row>
    <row r="2072" spans="1:11" x14ac:dyDescent="0.35">
      <c r="A2072" s="2" t="s">
        <v>248</v>
      </c>
      <c r="B2072" t="s">
        <v>253</v>
      </c>
      <c r="C2072" s="21" t="s">
        <v>275</v>
      </c>
      <c r="D2072" s="4">
        <v>7</v>
      </c>
      <c r="E2072" s="4"/>
      <c r="I2072" s="1">
        <f t="shared" si="309"/>
        <v>0</v>
      </c>
      <c r="J2072" s="1">
        <f t="shared" si="316"/>
        <v>915</v>
      </c>
      <c r="K2072" s="9" t="e">
        <f t="shared" si="315"/>
        <v>#DIV/0!</v>
      </c>
    </row>
    <row r="2073" spans="1:11" x14ac:dyDescent="0.35">
      <c r="A2073" s="2" t="s">
        <v>248</v>
      </c>
      <c r="B2073" t="s">
        <v>253</v>
      </c>
      <c r="C2073" s="21" t="s">
        <v>275</v>
      </c>
      <c r="D2073" s="4">
        <v>8</v>
      </c>
      <c r="E2073" s="4"/>
      <c r="I2073" s="1">
        <f t="shared" si="309"/>
        <v>0</v>
      </c>
      <c r="J2073" s="1">
        <f t="shared" si="316"/>
        <v>915</v>
      </c>
      <c r="K2073" s="9" t="e">
        <f t="shared" si="315"/>
        <v>#DIV/0!</v>
      </c>
    </row>
    <row r="2074" spans="1:11" x14ac:dyDescent="0.35">
      <c r="A2074" s="2" t="s">
        <v>248</v>
      </c>
      <c r="B2074" t="s">
        <v>253</v>
      </c>
      <c r="C2074" s="21" t="s">
        <v>275</v>
      </c>
      <c r="D2074" s="4">
        <v>9</v>
      </c>
      <c r="E2074" s="4"/>
      <c r="I2074" s="1">
        <f t="shared" si="309"/>
        <v>0</v>
      </c>
      <c r="J2074" s="1">
        <f t="shared" si="316"/>
        <v>915</v>
      </c>
      <c r="K2074" s="9" t="e">
        <f t="shared" si="315"/>
        <v>#DIV/0!</v>
      </c>
    </row>
    <row r="2075" spans="1:11" x14ac:dyDescent="0.35">
      <c r="A2075" s="2" t="s">
        <v>248</v>
      </c>
      <c r="B2075" t="s">
        <v>253</v>
      </c>
      <c r="C2075" s="21" t="s">
        <v>275</v>
      </c>
      <c r="D2075" s="4">
        <v>10</v>
      </c>
      <c r="E2075" s="4"/>
      <c r="I2075" s="1">
        <f t="shared" si="309"/>
        <v>0</v>
      </c>
      <c r="J2075" s="1">
        <f t="shared" si="316"/>
        <v>915</v>
      </c>
    </row>
    <row r="2076" spans="1:11" x14ac:dyDescent="0.35">
      <c r="A2076" s="2" t="s">
        <v>248</v>
      </c>
      <c r="B2076" t="s">
        <v>253</v>
      </c>
      <c r="C2076" s="21" t="s">
        <v>275</v>
      </c>
      <c r="D2076" s="4">
        <v>11</v>
      </c>
      <c r="E2076" s="4"/>
      <c r="I2076" s="1">
        <f t="shared" si="309"/>
        <v>0</v>
      </c>
      <c r="J2076" s="1">
        <f t="shared" si="316"/>
        <v>915</v>
      </c>
    </row>
    <row r="2077" spans="1:11" x14ac:dyDescent="0.35">
      <c r="A2077" s="2" t="s">
        <v>248</v>
      </c>
      <c r="B2077" t="s">
        <v>253</v>
      </c>
      <c r="C2077" s="21" t="s">
        <v>275</v>
      </c>
      <c r="D2077" s="4">
        <v>12</v>
      </c>
      <c r="E2077" s="4"/>
      <c r="I2077" s="1">
        <f t="shared" si="309"/>
        <v>0</v>
      </c>
      <c r="J2077" s="1">
        <f t="shared" si="316"/>
        <v>915</v>
      </c>
    </row>
    <row r="2078" spans="1:11" x14ac:dyDescent="0.35">
      <c r="A2078" s="2" t="s">
        <v>248</v>
      </c>
      <c r="B2078" t="s">
        <v>253</v>
      </c>
      <c r="C2078" s="21" t="s">
        <v>275</v>
      </c>
      <c r="D2078" s="4">
        <v>13</v>
      </c>
      <c r="E2078" s="4"/>
      <c r="I2078" s="1">
        <f t="shared" si="309"/>
        <v>0</v>
      </c>
      <c r="J2078" s="1">
        <f t="shared" si="316"/>
        <v>915</v>
      </c>
    </row>
    <row r="2079" spans="1:11" x14ac:dyDescent="0.35">
      <c r="A2079" s="2" t="s">
        <v>248</v>
      </c>
      <c r="B2079" t="s">
        <v>253</v>
      </c>
      <c r="C2079" s="21" t="s">
        <v>275</v>
      </c>
      <c r="D2079" s="4">
        <v>14</v>
      </c>
      <c r="E2079" s="4"/>
      <c r="I2079" s="1">
        <f t="shared" si="309"/>
        <v>0</v>
      </c>
      <c r="J2079" s="1">
        <f t="shared" si="316"/>
        <v>915</v>
      </c>
    </row>
    <row r="2080" spans="1:11" x14ac:dyDescent="0.35">
      <c r="A2080" s="2" t="s">
        <v>248</v>
      </c>
      <c r="B2080" t="s">
        <v>253</v>
      </c>
      <c r="C2080" s="21" t="s">
        <v>275</v>
      </c>
      <c r="D2080" s="4">
        <v>15</v>
      </c>
      <c r="E2080" s="4"/>
      <c r="I2080" s="1">
        <f t="shared" si="309"/>
        <v>0</v>
      </c>
      <c r="J2080" s="1">
        <f t="shared" si="316"/>
        <v>915</v>
      </c>
    </row>
    <row r="2081" spans="1:11" ht="15" thickBot="1" x14ac:dyDescent="0.4">
      <c r="A2081" s="12" t="s">
        <v>248</v>
      </c>
      <c r="B2081" s="13" t="s">
        <v>253</v>
      </c>
      <c r="C2081" s="21" t="s">
        <v>275</v>
      </c>
      <c r="D2081" s="14">
        <v>16</v>
      </c>
      <c r="E2081" s="14"/>
      <c r="F2081" s="13"/>
      <c r="G2081" s="13"/>
      <c r="H2081" s="13"/>
      <c r="I2081" s="15">
        <f t="shared" si="309"/>
        <v>0</v>
      </c>
      <c r="J2081" s="15">
        <f t="shared" si="316"/>
        <v>915</v>
      </c>
      <c r="K2081" s="13"/>
    </row>
    <row r="2082" spans="1:11" x14ac:dyDescent="0.35">
      <c r="A2082" s="2" t="s">
        <v>249</v>
      </c>
      <c r="B2082" t="s">
        <v>254</v>
      </c>
      <c r="C2082" s="21" t="s">
        <v>275</v>
      </c>
      <c r="D2082" s="4">
        <v>1</v>
      </c>
      <c r="E2082" s="4"/>
      <c r="F2082" s="3">
        <v>45944</v>
      </c>
      <c r="G2082">
        <v>3957</v>
      </c>
      <c r="H2082">
        <v>3801</v>
      </c>
      <c r="I2082" s="1">
        <f t="shared" si="309"/>
        <v>156</v>
      </c>
      <c r="J2082" s="1">
        <f>I2082</f>
        <v>156</v>
      </c>
      <c r="K2082" s="9">
        <f t="shared" ref="K2082:K2096" si="317">I2082/H2082</f>
        <v>4.1041831097079713E-2</v>
      </c>
    </row>
    <row r="2083" spans="1:11" x14ac:dyDescent="0.35">
      <c r="A2083" s="2" t="s">
        <v>249</v>
      </c>
      <c r="B2083" t="s">
        <v>254</v>
      </c>
      <c r="C2083" s="21" t="s">
        <v>275</v>
      </c>
      <c r="D2083" s="4">
        <v>2</v>
      </c>
      <c r="E2083" s="4"/>
      <c r="F2083" s="3">
        <v>45958</v>
      </c>
      <c r="G2083">
        <v>3975</v>
      </c>
      <c r="H2083">
        <v>3801</v>
      </c>
      <c r="I2083" s="1">
        <f t="shared" ref="I2083:I2146" si="318">G2083-H2083</f>
        <v>174</v>
      </c>
      <c r="J2083" s="1">
        <f>J2082+I2083</f>
        <v>330</v>
      </c>
      <c r="K2083" s="9">
        <f t="shared" si="317"/>
        <v>4.5777426992896608E-2</v>
      </c>
    </row>
    <row r="2084" spans="1:11" x14ac:dyDescent="0.35">
      <c r="A2084" s="2" t="s">
        <v>249</v>
      </c>
      <c r="B2084" t="s">
        <v>254</v>
      </c>
      <c r="C2084" s="21" t="s">
        <v>275</v>
      </c>
      <c r="D2084" s="4">
        <v>3</v>
      </c>
      <c r="E2084" s="4"/>
      <c r="F2084" s="3">
        <v>45965</v>
      </c>
      <c r="G2084">
        <v>3975</v>
      </c>
      <c r="H2084">
        <v>3801</v>
      </c>
      <c r="I2084" s="1">
        <f t="shared" si="318"/>
        <v>174</v>
      </c>
      <c r="J2084" s="1">
        <f t="shared" ref="J2084:J2097" si="319">J2083+I2084</f>
        <v>504</v>
      </c>
      <c r="K2084" s="9">
        <f t="shared" si="317"/>
        <v>4.5777426992896608E-2</v>
      </c>
    </row>
    <row r="2085" spans="1:11" x14ac:dyDescent="0.35">
      <c r="A2085" s="2" t="s">
        <v>249</v>
      </c>
      <c r="B2085" t="s">
        <v>254</v>
      </c>
      <c r="C2085" s="21" t="s">
        <v>275</v>
      </c>
      <c r="D2085" s="4">
        <v>4</v>
      </c>
      <c r="E2085" s="4"/>
      <c r="I2085" s="1">
        <f t="shared" si="318"/>
        <v>0</v>
      </c>
      <c r="J2085" s="1">
        <f t="shared" si="319"/>
        <v>504</v>
      </c>
      <c r="K2085" s="9" t="e">
        <f t="shared" si="317"/>
        <v>#DIV/0!</v>
      </c>
    </row>
    <row r="2086" spans="1:11" x14ac:dyDescent="0.35">
      <c r="A2086" s="2" t="s">
        <v>249</v>
      </c>
      <c r="B2086" t="s">
        <v>254</v>
      </c>
      <c r="C2086" s="21" t="s">
        <v>275</v>
      </c>
      <c r="D2086" s="4">
        <v>5</v>
      </c>
      <c r="E2086" s="4"/>
      <c r="I2086" s="1">
        <f t="shared" si="318"/>
        <v>0</v>
      </c>
      <c r="J2086" s="1">
        <f t="shared" si="319"/>
        <v>504</v>
      </c>
      <c r="K2086" s="9" t="e">
        <f t="shared" si="317"/>
        <v>#DIV/0!</v>
      </c>
    </row>
    <row r="2087" spans="1:11" x14ac:dyDescent="0.35">
      <c r="A2087" s="2" t="s">
        <v>249</v>
      </c>
      <c r="B2087" t="s">
        <v>254</v>
      </c>
      <c r="C2087" s="21" t="s">
        <v>275</v>
      </c>
      <c r="D2087" s="4">
        <v>6</v>
      </c>
      <c r="E2087" s="4"/>
      <c r="I2087" s="1">
        <f t="shared" si="318"/>
        <v>0</v>
      </c>
      <c r="J2087" s="1">
        <f t="shared" si="319"/>
        <v>504</v>
      </c>
      <c r="K2087" s="9" t="e">
        <f t="shared" si="317"/>
        <v>#DIV/0!</v>
      </c>
    </row>
    <row r="2088" spans="1:11" x14ac:dyDescent="0.35">
      <c r="A2088" s="2" t="s">
        <v>249</v>
      </c>
      <c r="B2088" t="s">
        <v>254</v>
      </c>
      <c r="C2088" s="21" t="s">
        <v>275</v>
      </c>
      <c r="D2088" s="4">
        <v>7</v>
      </c>
      <c r="E2088" s="4"/>
      <c r="I2088" s="1">
        <f t="shared" si="318"/>
        <v>0</v>
      </c>
      <c r="J2088" s="1">
        <f t="shared" si="319"/>
        <v>504</v>
      </c>
      <c r="K2088" s="9" t="e">
        <f t="shared" si="317"/>
        <v>#DIV/0!</v>
      </c>
    </row>
    <row r="2089" spans="1:11" x14ac:dyDescent="0.35">
      <c r="A2089" s="2" t="s">
        <v>249</v>
      </c>
      <c r="B2089" t="s">
        <v>254</v>
      </c>
      <c r="C2089" s="21" t="s">
        <v>275</v>
      </c>
      <c r="D2089" s="4">
        <v>8</v>
      </c>
      <c r="E2089" s="4"/>
      <c r="I2089" s="1">
        <f t="shared" si="318"/>
        <v>0</v>
      </c>
      <c r="J2089" s="1">
        <f t="shared" si="319"/>
        <v>504</v>
      </c>
      <c r="K2089" s="9" t="e">
        <f t="shared" si="317"/>
        <v>#DIV/0!</v>
      </c>
    </row>
    <row r="2090" spans="1:11" x14ac:dyDescent="0.35">
      <c r="A2090" s="2" t="s">
        <v>249</v>
      </c>
      <c r="B2090" t="s">
        <v>254</v>
      </c>
      <c r="C2090" s="21" t="s">
        <v>275</v>
      </c>
      <c r="D2090" s="4">
        <v>9</v>
      </c>
      <c r="E2090" s="4"/>
      <c r="I2090" s="1">
        <f t="shared" si="318"/>
        <v>0</v>
      </c>
      <c r="J2090" s="1">
        <f t="shared" si="319"/>
        <v>504</v>
      </c>
      <c r="K2090" s="9" t="e">
        <f t="shared" si="317"/>
        <v>#DIV/0!</v>
      </c>
    </row>
    <row r="2091" spans="1:11" x14ac:dyDescent="0.35">
      <c r="A2091" s="2" t="s">
        <v>249</v>
      </c>
      <c r="B2091" t="s">
        <v>254</v>
      </c>
      <c r="C2091" s="21" t="s">
        <v>275</v>
      </c>
      <c r="D2091" s="4">
        <v>10</v>
      </c>
      <c r="E2091" s="4"/>
      <c r="I2091" s="1">
        <f t="shared" si="318"/>
        <v>0</v>
      </c>
      <c r="J2091" s="1">
        <f t="shared" si="319"/>
        <v>504</v>
      </c>
      <c r="K2091" s="9" t="e">
        <f t="shared" si="317"/>
        <v>#DIV/0!</v>
      </c>
    </row>
    <row r="2092" spans="1:11" x14ac:dyDescent="0.35">
      <c r="A2092" s="2" t="s">
        <v>249</v>
      </c>
      <c r="B2092" t="s">
        <v>254</v>
      </c>
      <c r="C2092" s="21" t="s">
        <v>275</v>
      </c>
      <c r="D2092" s="4">
        <v>11</v>
      </c>
      <c r="E2092" s="4"/>
      <c r="I2092" s="1">
        <f t="shared" si="318"/>
        <v>0</v>
      </c>
      <c r="J2092" s="1">
        <f t="shared" si="319"/>
        <v>504</v>
      </c>
      <c r="K2092" s="9" t="e">
        <f t="shared" si="317"/>
        <v>#DIV/0!</v>
      </c>
    </row>
    <row r="2093" spans="1:11" x14ac:dyDescent="0.35">
      <c r="A2093" s="2" t="s">
        <v>249</v>
      </c>
      <c r="B2093" t="s">
        <v>254</v>
      </c>
      <c r="C2093" s="21" t="s">
        <v>275</v>
      </c>
      <c r="D2093" s="4">
        <v>12</v>
      </c>
      <c r="E2093" s="4"/>
      <c r="I2093" s="1">
        <f t="shared" si="318"/>
        <v>0</v>
      </c>
      <c r="J2093" s="1">
        <f t="shared" si="319"/>
        <v>504</v>
      </c>
      <c r="K2093" s="9" t="e">
        <f t="shared" si="317"/>
        <v>#DIV/0!</v>
      </c>
    </row>
    <row r="2094" spans="1:11" x14ac:dyDescent="0.35">
      <c r="A2094" s="2" t="s">
        <v>249</v>
      </c>
      <c r="B2094" t="s">
        <v>254</v>
      </c>
      <c r="C2094" s="21" t="s">
        <v>275</v>
      </c>
      <c r="D2094" s="4">
        <v>13</v>
      </c>
      <c r="E2094" s="4"/>
      <c r="I2094" s="1">
        <f t="shared" si="318"/>
        <v>0</v>
      </c>
      <c r="J2094" s="1">
        <f t="shared" si="319"/>
        <v>504</v>
      </c>
      <c r="K2094" s="9" t="e">
        <f t="shared" si="317"/>
        <v>#DIV/0!</v>
      </c>
    </row>
    <row r="2095" spans="1:11" x14ac:dyDescent="0.35">
      <c r="A2095" s="2" t="s">
        <v>249</v>
      </c>
      <c r="B2095" t="s">
        <v>254</v>
      </c>
      <c r="C2095" s="21" t="s">
        <v>275</v>
      </c>
      <c r="D2095" s="4">
        <v>14</v>
      </c>
      <c r="E2095" s="4"/>
      <c r="I2095" s="1">
        <f t="shared" si="318"/>
        <v>0</v>
      </c>
      <c r="J2095" s="1">
        <f t="shared" si="319"/>
        <v>504</v>
      </c>
      <c r="K2095" s="9" t="e">
        <f t="shared" si="317"/>
        <v>#DIV/0!</v>
      </c>
    </row>
    <row r="2096" spans="1:11" x14ac:dyDescent="0.35">
      <c r="A2096" s="2" t="s">
        <v>249</v>
      </c>
      <c r="B2096" t="s">
        <v>254</v>
      </c>
      <c r="C2096" s="21" t="s">
        <v>275</v>
      </c>
      <c r="D2096" s="4">
        <v>15</v>
      </c>
      <c r="E2096" s="4"/>
      <c r="I2096" s="1">
        <f t="shared" si="318"/>
        <v>0</v>
      </c>
      <c r="J2096" s="1">
        <f t="shared" si="319"/>
        <v>504</v>
      </c>
      <c r="K2096" s="9" t="e">
        <f t="shared" si="317"/>
        <v>#DIV/0!</v>
      </c>
    </row>
    <row r="2097" spans="1:11" ht="15" thickBot="1" x14ac:dyDescent="0.4">
      <c r="A2097" s="12" t="s">
        <v>249</v>
      </c>
      <c r="B2097" s="13" t="s">
        <v>254</v>
      </c>
      <c r="C2097" s="21" t="s">
        <v>275</v>
      </c>
      <c r="D2097" s="14">
        <v>16</v>
      </c>
      <c r="E2097" s="14"/>
      <c r="F2097" s="13"/>
      <c r="G2097" s="13"/>
      <c r="H2097" s="13"/>
      <c r="I2097" s="15">
        <f t="shared" si="318"/>
        <v>0</v>
      </c>
      <c r="J2097" s="15">
        <f t="shared" si="319"/>
        <v>504</v>
      </c>
      <c r="K2097" s="13"/>
    </row>
    <row r="2098" spans="1:11" x14ac:dyDescent="0.35">
      <c r="A2098" s="2" t="s">
        <v>250</v>
      </c>
      <c r="B2098" t="s">
        <v>255</v>
      </c>
      <c r="C2098" s="21" t="s">
        <v>275</v>
      </c>
      <c r="D2098" s="4">
        <v>1</v>
      </c>
      <c r="E2098" s="4"/>
      <c r="F2098" s="3">
        <v>45945</v>
      </c>
      <c r="G2098">
        <v>5600</v>
      </c>
      <c r="H2098">
        <v>5320</v>
      </c>
      <c r="I2098" s="1">
        <f t="shared" si="318"/>
        <v>280</v>
      </c>
      <c r="J2098" s="1">
        <f>J2097+I2098</f>
        <v>784</v>
      </c>
      <c r="K2098" s="9">
        <f t="shared" ref="K2098:K2107" si="320">I2098/H2098</f>
        <v>5.2631578947368418E-2</v>
      </c>
    </row>
    <row r="2099" spans="1:11" x14ac:dyDescent="0.35">
      <c r="A2099" s="2" t="s">
        <v>250</v>
      </c>
      <c r="B2099" t="s">
        <v>255</v>
      </c>
      <c r="C2099" s="21" t="s">
        <v>275</v>
      </c>
      <c r="D2099" s="4">
        <v>2</v>
      </c>
      <c r="E2099" s="4"/>
      <c r="F2099" s="3">
        <v>45952</v>
      </c>
      <c r="G2099">
        <v>5600</v>
      </c>
      <c r="H2099">
        <v>5320</v>
      </c>
      <c r="I2099" s="1">
        <f t="shared" si="318"/>
        <v>280</v>
      </c>
      <c r="J2099" s="1">
        <f t="shared" ref="J2099:J2112" si="321">J2098+I2099</f>
        <v>1064</v>
      </c>
      <c r="K2099" s="9">
        <f t="shared" si="320"/>
        <v>5.2631578947368418E-2</v>
      </c>
    </row>
    <row r="2100" spans="1:11" x14ac:dyDescent="0.35">
      <c r="A2100" s="2" t="s">
        <v>250</v>
      </c>
      <c r="B2100" t="s">
        <v>255</v>
      </c>
      <c r="C2100" s="21" t="s">
        <v>275</v>
      </c>
      <c r="D2100" s="4">
        <v>3</v>
      </c>
      <c r="E2100" s="4"/>
      <c r="F2100" s="3">
        <v>45959</v>
      </c>
      <c r="G2100">
        <v>5600</v>
      </c>
      <c r="H2100">
        <v>5321</v>
      </c>
      <c r="I2100" s="1">
        <f t="shared" si="318"/>
        <v>279</v>
      </c>
      <c r="J2100" s="1">
        <f t="shared" si="321"/>
        <v>1343</v>
      </c>
      <c r="K2100" s="9">
        <f t="shared" si="320"/>
        <v>5.2433753053937229E-2</v>
      </c>
    </row>
    <row r="2101" spans="1:11" x14ac:dyDescent="0.35">
      <c r="A2101" s="2" t="s">
        <v>250</v>
      </c>
      <c r="B2101" t="s">
        <v>255</v>
      </c>
      <c r="C2101" s="21" t="s">
        <v>275</v>
      </c>
      <c r="D2101" s="4">
        <v>4</v>
      </c>
      <c r="E2101" s="4"/>
      <c r="F2101" s="3">
        <v>45966</v>
      </c>
      <c r="G2101">
        <v>5600</v>
      </c>
      <c r="H2101">
        <v>5321</v>
      </c>
      <c r="I2101" s="1">
        <f t="shared" si="318"/>
        <v>279</v>
      </c>
      <c r="J2101" s="1">
        <f t="shared" si="321"/>
        <v>1622</v>
      </c>
      <c r="K2101" s="9">
        <f t="shared" si="320"/>
        <v>5.2433753053937229E-2</v>
      </c>
    </row>
    <row r="2102" spans="1:11" x14ac:dyDescent="0.35">
      <c r="A2102" s="2" t="s">
        <v>250</v>
      </c>
      <c r="B2102" t="s">
        <v>255</v>
      </c>
      <c r="C2102" s="21" t="s">
        <v>275</v>
      </c>
      <c r="D2102" s="4">
        <v>5</v>
      </c>
      <c r="E2102" s="4"/>
      <c r="I2102" s="1">
        <f t="shared" si="318"/>
        <v>0</v>
      </c>
      <c r="J2102" s="1">
        <f t="shared" si="321"/>
        <v>1622</v>
      </c>
      <c r="K2102" s="9" t="e">
        <f t="shared" si="320"/>
        <v>#DIV/0!</v>
      </c>
    </row>
    <row r="2103" spans="1:11" x14ac:dyDescent="0.35">
      <c r="A2103" s="2" t="s">
        <v>250</v>
      </c>
      <c r="B2103" t="s">
        <v>255</v>
      </c>
      <c r="C2103" s="21" t="s">
        <v>275</v>
      </c>
      <c r="D2103" s="4">
        <v>6</v>
      </c>
      <c r="E2103" s="4"/>
      <c r="I2103" s="1">
        <f t="shared" si="318"/>
        <v>0</v>
      </c>
      <c r="J2103" s="1">
        <f t="shared" si="321"/>
        <v>1622</v>
      </c>
      <c r="K2103" s="9" t="e">
        <f t="shared" si="320"/>
        <v>#DIV/0!</v>
      </c>
    </row>
    <row r="2104" spans="1:11" x14ac:dyDescent="0.35">
      <c r="A2104" s="2" t="s">
        <v>250</v>
      </c>
      <c r="B2104" t="s">
        <v>255</v>
      </c>
      <c r="C2104" s="21" t="s">
        <v>275</v>
      </c>
      <c r="D2104" s="4">
        <v>7</v>
      </c>
      <c r="E2104" s="4"/>
      <c r="I2104" s="1">
        <f t="shared" si="318"/>
        <v>0</v>
      </c>
      <c r="J2104" s="1">
        <f t="shared" si="321"/>
        <v>1622</v>
      </c>
      <c r="K2104" s="9" t="e">
        <f t="shared" si="320"/>
        <v>#DIV/0!</v>
      </c>
    </row>
    <row r="2105" spans="1:11" x14ac:dyDescent="0.35">
      <c r="A2105" s="2" t="s">
        <v>250</v>
      </c>
      <c r="B2105" t="s">
        <v>255</v>
      </c>
      <c r="C2105" s="21" t="s">
        <v>275</v>
      </c>
      <c r="D2105" s="4">
        <v>8</v>
      </c>
      <c r="E2105" s="4"/>
      <c r="I2105" s="1">
        <f t="shared" si="318"/>
        <v>0</v>
      </c>
      <c r="J2105" s="1">
        <f t="shared" si="321"/>
        <v>1622</v>
      </c>
      <c r="K2105" s="9" t="e">
        <f t="shared" si="320"/>
        <v>#DIV/0!</v>
      </c>
    </row>
    <row r="2106" spans="1:11" x14ac:dyDescent="0.35">
      <c r="A2106" s="2" t="s">
        <v>250</v>
      </c>
      <c r="B2106" t="s">
        <v>255</v>
      </c>
      <c r="C2106" s="21" t="s">
        <v>275</v>
      </c>
      <c r="D2106" s="4">
        <v>9</v>
      </c>
      <c r="E2106" s="4"/>
      <c r="I2106" s="1">
        <f t="shared" si="318"/>
        <v>0</v>
      </c>
      <c r="J2106" s="1">
        <f t="shared" si="321"/>
        <v>1622</v>
      </c>
      <c r="K2106" s="9" t="e">
        <f t="shared" si="320"/>
        <v>#DIV/0!</v>
      </c>
    </row>
    <row r="2107" spans="1:11" x14ac:dyDescent="0.35">
      <c r="A2107" s="2" t="s">
        <v>250</v>
      </c>
      <c r="B2107" t="s">
        <v>255</v>
      </c>
      <c r="C2107" s="21" t="s">
        <v>275</v>
      </c>
      <c r="D2107" s="4">
        <v>10</v>
      </c>
      <c r="E2107" s="4"/>
      <c r="I2107" s="1">
        <f t="shared" si="318"/>
        <v>0</v>
      </c>
      <c r="J2107" s="1">
        <f t="shared" si="321"/>
        <v>1622</v>
      </c>
      <c r="K2107" s="9" t="e">
        <f t="shared" si="320"/>
        <v>#DIV/0!</v>
      </c>
    </row>
    <row r="2108" spans="1:11" x14ac:dyDescent="0.35">
      <c r="A2108" s="2" t="s">
        <v>250</v>
      </c>
      <c r="B2108" t="s">
        <v>255</v>
      </c>
      <c r="C2108" s="21" t="s">
        <v>275</v>
      </c>
      <c r="D2108" s="4">
        <v>11</v>
      </c>
      <c r="E2108" s="4"/>
      <c r="I2108" s="1">
        <f t="shared" si="318"/>
        <v>0</v>
      </c>
      <c r="J2108" s="1">
        <f t="shared" si="321"/>
        <v>1622</v>
      </c>
    </row>
    <row r="2109" spans="1:11" x14ac:dyDescent="0.35">
      <c r="A2109" s="2" t="s">
        <v>250</v>
      </c>
      <c r="B2109" t="s">
        <v>255</v>
      </c>
      <c r="C2109" s="21" t="s">
        <v>275</v>
      </c>
      <c r="D2109" s="4">
        <v>12</v>
      </c>
      <c r="E2109" s="4"/>
      <c r="I2109" s="1">
        <f t="shared" si="318"/>
        <v>0</v>
      </c>
      <c r="J2109" s="1">
        <f t="shared" si="321"/>
        <v>1622</v>
      </c>
    </row>
    <row r="2110" spans="1:11" x14ac:dyDescent="0.35">
      <c r="A2110" s="2" t="s">
        <v>250</v>
      </c>
      <c r="B2110" t="s">
        <v>255</v>
      </c>
      <c r="C2110" s="21" t="s">
        <v>275</v>
      </c>
      <c r="D2110" s="4">
        <v>13</v>
      </c>
      <c r="E2110" s="4"/>
      <c r="I2110" s="1">
        <f t="shared" si="318"/>
        <v>0</v>
      </c>
      <c r="J2110" s="1">
        <f t="shared" si="321"/>
        <v>1622</v>
      </c>
    </row>
    <row r="2111" spans="1:11" x14ac:dyDescent="0.35">
      <c r="A2111" s="2" t="s">
        <v>250</v>
      </c>
      <c r="B2111" t="s">
        <v>255</v>
      </c>
      <c r="C2111" s="21" t="s">
        <v>275</v>
      </c>
      <c r="D2111" s="4">
        <v>14</v>
      </c>
      <c r="E2111" s="4"/>
      <c r="I2111" s="1">
        <f t="shared" si="318"/>
        <v>0</v>
      </c>
      <c r="J2111" s="1">
        <f t="shared" si="321"/>
        <v>1622</v>
      </c>
    </row>
    <row r="2112" spans="1:11" x14ac:dyDescent="0.35">
      <c r="A2112" s="2" t="s">
        <v>250</v>
      </c>
      <c r="B2112" t="s">
        <v>255</v>
      </c>
      <c r="C2112" s="21" t="s">
        <v>275</v>
      </c>
      <c r="D2112" s="4">
        <v>15</v>
      </c>
      <c r="E2112" s="4"/>
      <c r="I2112" s="1">
        <f t="shared" si="318"/>
        <v>0</v>
      </c>
      <c r="J2112" s="1">
        <f t="shared" si="321"/>
        <v>1622</v>
      </c>
    </row>
    <row r="2113" spans="1:11" ht="15" thickBot="1" x14ac:dyDescent="0.4">
      <c r="A2113" s="12" t="s">
        <v>250</v>
      </c>
      <c r="B2113" s="13" t="s">
        <v>255</v>
      </c>
      <c r="C2113" s="21" t="s">
        <v>275</v>
      </c>
      <c r="D2113" s="14">
        <v>16</v>
      </c>
      <c r="E2113" s="14"/>
      <c r="F2113" s="13"/>
      <c r="G2113" s="13"/>
      <c r="H2113" s="13"/>
      <c r="I2113" s="15">
        <f t="shared" si="318"/>
        <v>0</v>
      </c>
      <c r="J2113" s="15">
        <f>J2112+I2113</f>
        <v>1622</v>
      </c>
      <c r="K2113" s="13"/>
    </row>
    <row r="2114" spans="1:11" x14ac:dyDescent="0.35">
      <c r="A2114" s="2" t="s">
        <v>251</v>
      </c>
      <c r="B2114" t="s">
        <v>257</v>
      </c>
      <c r="C2114" s="21" t="s">
        <v>275</v>
      </c>
      <c r="D2114" s="4">
        <v>1</v>
      </c>
      <c r="E2114" s="4"/>
      <c r="F2114" s="3">
        <v>45946</v>
      </c>
      <c r="G2114">
        <v>10528</v>
      </c>
      <c r="H2114">
        <v>8976</v>
      </c>
      <c r="I2114" s="1">
        <f t="shared" si="318"/>
        <v>1552</v>
      </c>
      <c r="J2114" s="1">
        <f>I2114</f>
        <v>1552</v>
      </c>
      <c r="K2114" s="9">
        <f t="shared" ref="K2114:K2178" si="322">I2114/H2114</f>
        <v>0.17290552584670232</v>
      </c>
    </row>
    <row r="2115" spans="1:11" x14ac:dyDescent="0.35">
      <c r="A2115" s="2" t="s">
        <v>251</v>
      </c>
      <c r="B2115" t="s">
        <v>257</v>
      </c>
      <c r="C2115" s="21" t="s">
        <v>275</v>
      </c>
      <c r="D2115" s="4">
        <v>2</v>
      </c>
      <c r="E2115" s="4"/>
      <c r="F2115" s="3">
        <v>45953</v>
      </c>
      <c r="G2115">
        <v>10435</v>
      </c>
      <c r="H2115">
        <v>8976</v>
      </c>
      <c r="I2115" s="1">
        <f t="shared" si="318"/>
        <v>1459</v>
      </c>
      <c r="J2115" s="1">
        <f>J2114+I2115</f>
        <v>3011</v>
      </c>
      <c r="K2115" s="9">
        <f t="shared" si="322"/>
        <v>0.16254456327985739</v>
      </c>
    </row>
    <row r="2116" spans="1:11" x14ac:dyDescent="0.35">
      <c r="A2116" s="2" t="s">
        <v>251</v>
      </c>
      <c r="B2116" t="s">
        <v>257</v>
      </c>
      <c r="C2116" s="21" t="s">
        <v>275</v>
      </c>
      <c r="D2116" s="4">
        <v>3</v>
      </c>
      <c r="E2116" s="4"/>
      <c r="F2116" s="3">
        <v>45959</v>
      </c>
      <c r="G2116">
        <v>10565</v>
      </c>
      <c r="H2116">
        <v>8976</v>
      </c>
      <c r="I2116" s="1">
        <f t="shared" si="318"/>
        <v>1589</v>
      </c>
      <c r="J2116" s="1">
        <f t="shared" ref="J2116:J2129" si="323">J2115+I2116</f>
        <v>4600</v>
      </c>
      <c r="K2116" s="9">
        <f t="shared" si="322"/>
        <v>0.17702762923351159</v>
      </c>
    </row>
    <row r="2117" spans="1:11" x14ac:dyDescent="0.35">
      <c r="A2117" s="2" t="s">
        <v>251</v>
      </c>
      <c r="B2117" t="s">
        <v>257</v>
      </c>
      <c r="C2117" s="21" t="s">
        <v>275</v>
      </c>
      <c r="D2117" s="4">
        <v>4</v>
      </c>
      <c r="E2117" s="4"/>
      <c r="F2117" s="3">
        <v>45967</v>
      </c>
      <c r="G2117" s="32">
        <v>10565</v>
      </c>
      <c r="H2117" s="32">
        <v>8976</v>
      </c>
      <c r="I2117" s="1">
        <f t="shared" si="318"/>
        <v>1589</v>
      </c>
      <c r="J2117" s="1">
        <f t="shared" si="323"/>
        <v>6189</v>
      </c>
      <c r="K2117" s="9">
        <f t="shared" si="322"/>
        <v>0.17702762923351159</v>
      </c>
    </row>
    <row r="2118" spans="1:11" x14ac:dyDescent="0.35">
      <c r="A2118" s="2" t="s">
        <v>251</v>
      </c>
      <c r="B2118" t="s">
        <v>257</v>
      </c>
      <c r="C2118" s="21" t="s">
        <v>275</v>
      </c>
      <c r="D2118" s="4">
        <v>5</v>
      </c>
      <c r="E2118" s="4"/>
      <c r="I2118" s="1">
        <f t="shared" si="318"/>
        <v>0</v>
      </c>
      <c r="J2118" s="1">
        <f t="shared" si="323"/>
        <v>6189</v>
      </c>
      <c r="K2118" s="9" t="e">
        <f t="shared" si="322"/>
        <v>#DIV/0!</v>
      </c>
    </row>
    <row r="2119" spans="1:11" x14ac:dyDescent="0.35">
      <c r="A2119" s="2" t="s">
        <v>251</v>
      </c>
      <c r="B2119" t="s">
        <v>257</v>
      </c>
      <c r="C2119" s="21" t="s">
        <v>275</v>
      </c>
      <c r="D2119" s="4">
        <v>6</v>
      </c>
      <c r="E2119" s="4"/>
      <c r="I2119" s="1">
        <f t="shared" si="318"/>
        <v>0</v>
      </c>
      <c r="J2119" s="1">
        <f t="shared" si="323"/>
        <v>6189</v>
      </c>
      <c r="K2119" s="9" t="e">
        <f t="shared" si="322"/>
        <v>#DIV/0!</v>
      </c>
    </row>
    <row r="2120" spans="1:11" x14ac:dyDescent="0.35">
      <c r="A2120" s="2" t="s">
        <v>251</v>
      </c>
      <c r="B2120" t="s">
        <v>257</v>
      </c>
      <c r="C2120" s="21" t="s">
        <v>275</v>
      </c>
      <c r="D2120" s="4">
        <v>7</v>
      </c>
      <c r="E2120" s="4"/>
      <c r="I2120" s="1">
        <f t="shared" si="318"/>
        <v>0</v>
      </c>
      <c r="J2120" s="1">
        <f t="shared" si="323"/>
        <v>6189</v>
      </c>
      <c r="K2120" s="9" t="e">
        <f t="shared" si="322"/>
        <v>#DIV/0!</v>
      </c>
    </row>
    <row r="2121" spans="1:11" x14ac:dyDescent="0.35">
      <c r="A2121" s="2" t="s">
        <v>251</v>
      </c>
      <c r="B2121" t="s">
        <v>257</v>
      </c>
      <c r="C2121" s="21" t="s">
        <v>275</v>
      </c>
      <c r="D2121" s="4">
        <v>8</v>
      </c>
      <c r="E2121" s="4"/>
      <c r="I2121" s="1">
        <f t="shared" si="318"/>
        <v>0</v>
      </c>
      <c r="J2121" s="1">
        <f t="shared" si="323"/>
        <v>6189</v>
      </c>
      <c r="K2121" s="9" t="e">
        <f t="shared" si="322"/>
        <v>#DIV/0!</v>
      </c>
    </row>
    <row r="2122" spans="1:11" x14ac:dyDescent="0.35">
      <c r="A2122" s="2" t="s">
        <v>251</v>
      </c>
      <c r="B2122" t="s">
        <v>257</v>
      </c>
      <c r="C2122" s="21" t="s">
        <v>275</v>
      </c>
      <c r="D2122" s="4">
        <v>9</v>
      </c>
      <c r="E2122" s="4"/>
      <c r="I2122" s="1">
        <f t="shared" si="318"/>
        <v>0</v>
      </c>
      <c r="J2122" s="1">
        <f t="shared" si="323"/>
        <v>6189</v>
      </c>
      <c r="K2122" s="9" t="e">
        <f t="shared" si="322"/>
        <v>#DIV/0!</v>
      </c>
    </row>
    <row r="2123" spans="1:11" x14ac:dyDescent="0.35">
      <c r="A2123" s="2" t="s">
        <v>251</v>
      </c>
      <c r="B2123" t="s">
        <v>257</v>
      </c>
      <c r="C2123" s="21" t="s">
        <v>275</v>
      </c>
      <c r="D2123" s="4">
        <v>10</v>
      </c>
      <c r="E2123" s="4"/>
      <c r="I2123" s="1">
        <f t="shared" si="318"/>
        <v>0</v>
      </c>
      <c r="J2123" s="1">
        <f t="shared" si="323"/>
        <v>6189</v>
      </c>
      <c r="K2123" s="9" t="e">
        <f t="shared" si="322"/>
        <v>#DIV/0!</v>
      </c>
    </row>
    <row r="2124" spans="1:11" x14ac:dyDescent="0.35">
      <c r="A2124" s="2" t="s">
        <v>251</v>
      </c>
      <c r="B2124" t="s">
        <v>257</v>
      </c>
      <c r="C2124" s="21" t="s">
        <v>275</v>
      </c>
      <c r="D2124" s="4">
        <v>11</v>
      </c>
      <c r="E2124" s="4"/>
      <c r="I2124" s="1">
        <f t="shared" si="318"/>
        <v>0</v>
      </c>
      <c r="J2124" s="1">
        <f t="shared" si="323"/>
        <v>6189</v>
      </c>
      <c r="K2124" s="9" t="e">
        <f t="shared" si="322"/>
        <v>#DIV/0!</v>
      </c>
    </row>
    <row r="2125" spans="1:11" x14ac:dyDescent="0.35">
      <c r="A2125" s="2" t="s">
        <v>251</v>
      </c>
      <c r="B2125" t="s">
        <v>257</v>
      </c>
      <c r="C2125" s="21" t="s">
        <v>275</v>
      </c>
      <c r="D2125" s="4">
        <v>12</v>
      </c>
      <c r="E2125" s="4"/>
      <c r="I2125" s="1">
        <f t="shared" si="318"/>
        <v>0</v>
      </c>
      <c r="J2125" s="1">
        <f t="shared" si="323"/>
        <v>6189</v>
      </c>
      <c r="K2125" s="9" t="e">
        <f t="shared" si="322"/>
        <v>#DIV/0!</v>
      </c>
    </row>
    <row r="2126" spans="1:11" x14ac:dyDescent="0.35">
      <c r="A2126" s="2" t="s">
        <v>251</v>
      </c>
      <c r="B2126" t="s">
        <v>257</v>
      </c>
      <c r="C2126" s="21" t="s">
        <v>275</v>
      </c>
      <c r="D2126" s="4">
        <v>13</v>
      </c>
      <c r="E2126" s="4"/>
      <c r="I2126" s="1">
        <f t="shared" si="318"/>
        <v>0</v>
      </c>
      <c r="J2126" s="1">
        <f t="shared" si="323"/>
        <v>6189</v>
      </c>
      <c r="K2126" s="9" t="e">
        <f t="shared" si="322"/>
        <v>#DIV/0!</v>
      </c>
    </row>
    <row r="2127" spans="1:11" x14ac:dyDescent="0.35">
      <c r="A2127" s="2" t="s">
        <v>251</v>
      </c>
      <c r="B2127" t="s">
        <v>257</v>
      </c>
      <c r="C2127" s="21" t="s">
        <v>275</v>
      </c>
      <c r="D2127" s="4">
        <v>14</v>
      </c>
      <c r="E2127" s="4"/>
      <c r="I2127" s="1">
        <f t="shared" si="318"/>
        <v>0</v>
      </c>
      <c r="J2127" s="1">
        <f t="shared" si="323"/>
        <v>6189</v>
      </c>
      <c r="K2127" s="9" t="e">
        <f t="shared" si="322"/>
        <v>#DIV/0!</v>
      </c>
    </row>
    <row r="2128" spans="1:11" x14ac:dyDescent="0.35">
      <c r="A2128" s="2" t="s">
        <v>251</v>
      </c>
      <c r="B2128" t="s">
        <v>257</v>
      </c>
      <c r="C2128" s="21" t="s">
        <v>275</v>
      </c>
      <c r="D2128" s="4">
        <v>15</v>
      </c>
      <c r="E2128" s="4"/>
      <c r="I2128" s="1">
        <f t="shared" si="318"/>
        <v>0</v>
      </c>
      <c r="J2128" s="1">
        <f t="shared" si="323"/>
        <v>6189</v>
      </c>
      <c r="K2128" s="9" t="e">
        <f t="shared" si="322"/>
        <v>#DIV/0!</v>
      </c>
    </row>
    <row r="2129" spans="1:11" ht="15" thickBot="1" x14ac:dyDescent="0.4">
      <c r="A2129" s="12" t="s">
        <v>251</v>
      </c>
      <c r="B2129" s="13" t="s">
        <v>257</v>
      </c>
      <c r="C2129" s="21" t="s">
        <v>275</v>
      </c>
      <c r="D2129" s="14">
        <v>16</v>
      </c>
      <c r="E2129" s="14"/>
      <c r="F2129" s="13"/>
      <c r="G2129" s="13"/>
      <c r="H2129" s="13"/>
      <c r="I2129" s="15">
        <f t="shared" si="318"/>
        <v>0</v>
      </c>
      <c r="J2129" s="15">
        <f t="shared" si="323"/>
        <v>6189</v>
      </c>
      <c r="K2129" s="16" t="e">
        <f t="shared" si="322"/>
        <v>#DIV/0!</v>
      </c>
    </row>
    <row r="2130" spans="1:11" x14ac:dyDescent="0.35">
      <c r="A2130" s="2" t="s">
        <v>260</v>
      </c>
      <c r="B2130" t="s">
        <v>261</v>
      </c>
      <c r="C2130" s="21" t="s">
        <v>275</v>
      </c>
      <c r="D2130" s="4">
        <v>1</v>
      </c>
      <c r="E2130" s="4"/>
      <c r="F2130" s="3">
        <v>45951</v>
      </c>
      <c r="G2130">
        <v>5183</v>
      </c>
      <c r="H2130">
        <v>4717</v>
      </c>
      <c r="I2130" s="1">
        <f t="shared" si="318"/>
        <v>466</v>
      </c>
      <c r="J2130" s="1">
        <f>I2130</f>
        <v>466</v>
      </c>
      <c r="K2130" s="9">
        <f t="shared" si="322"/>
        <v>9.8791604833580668E-2</v>
      </c>
    </row>
    <row r="2131" spans="1:11" x14ac:dyDescent="0.35">
      <c r="A2131" s="2" t="s">
        <v>260</v>
      </c>
      <c r="B2131" t="s">
        <v>261</v>
      </c>
      <c r="C2131" s="21" t="s">
        <v>275</v>
      </c>
      <c r="D2131" s="4">
        <v>2</v>
      </c>
      <c r="E2131" s="4"/>
      <c r="F2131" s="3">
        <v>45958</v>
      </c>
      <c r="G2131">
        <v>5183</v>
      </c>
      <c r="H2131">
        <v>4712</v>
      </c>
      <c r="I2131" s="1">
        <f t="shared" si="318"/>
        <v>471</v>
      </c>
      <c r="J2131" s="1">
        <f>J2130+I2131</f>
        <v>937</v>
      </c>
      <c r="K2131" s="9">
        <f t="shared" si="322"/>
        <v>9.9957555178268251E-2</v>
      </c>
    </row>
    <row r="2132" spans="1:11" x14ac:dyDescent="0.35">
      <c r="A2132" s="2" t="s">
        <v>260</v>
      </c>
      <c r="B2132" t="s">
        <v>261</v>
      </c>
      <c r="C2132" s="21" t="s">
        <v>275</v>
      </c>
      <c r="D2132" s="4">
        <v>3</v>
      </c>
      <c r="E2132" s="4"/>
      <c r="F2132" s="3">
        <v>45965</v>
      </c>
      <c r="G2132">
        <v>5183</v>
      </c>
      <c r="H2132">
        <v>4712</v>
      </c>
      <c r="I2132" s="1">
        <f t="shared" si="318"/>
        <v>471</v>
      </c>
      <c r="J2132" s="1">
        <f t="shared" ref="J2132:J2145" si="324">J2131+I2132</f>
        <v>1408</v>
      </c>
      <c r="K2132" s="9">
        <f t="shared" si="322"/>
        <v>9.9957555178268251E-2</v>
      </c>
    </row>
    <row r="2133" spans="1:11" x14ac:dyDescent="0.35">
      <c r="A2133" s="2" t="s">
        <v>260</v>
      </c>
      <c r="B2133" t="s">
        <v>261</v>
      </c>
      <c r="C2133" s="21" t="s">
        <v>275</v>
      </c>
      <c r="D2133" s="4">
        <v>4</v>
      </c>
      <c r="E2133" s="4"/>
      <c r="I2133" s="1">
        <f t="shared" si="318"/>
        <v>0</v>
      </c>
      <c r="J2133" s="1">
        <f t="shared" si="324"/>
        <v>1408</v>
      </c>
      <c r="K2133" s="9" t="e">
        <f t="shared" si="322"/>
        <v>#DIV/0!</v>
      </c>
    </row>
    <row r="2134" spans="1:11" x14ac:dyDescent="0.35">
      <c r="A2134" s="2" t="s">
        <v>260</v>
      </c>
      <c r="B2134" t="s">
        <v>261</v>
      </c>
      <c r="C2134" s="21" t="s">
        <v>275</v>
      </c>
      <c r="D2134" s="4">
        <v>5</v>
      </c>
      <c r="E2134" s="4"/>
      <c r="I2134" s="1">
        <f t="shared" si="318"/>
        <v>0</v>
      </c>
      <c r="J2134" s="1">
        <f t="shared" si="324"/>
        <v>1408</v>
      </c>
      <c r="K2134" s="9" t="e">
        <f t="shared" si="322"/>
        <v>#DIV/0!</v>
      </c>
    </row>
    <row r="2135" spans="1:11" x14ac:dyDescent="0.35">
      <c r="A2135" s="2" t="s">
        <v>260</v>
      </c>
      <c r="B2135" t="s">
        <v>261</v>
      </c>
      <c r="C2135" s="21" t="s">
        <v>275</v>
      </c>
      <c r="D2135" s="4">
        <v>6</v>
      </c>
      <c r="E2135" s="4"/>
      <c r="I2135" s="1">
        <f t="shared" si="318"/>
        <v>0</v>
      </c>
      <c r="J2135" s="1">
        <f t="shared" si="324"/>
        <v>1408</v>
      </c>
      <c r="K2135" s="9" t="e">
        <f t="shared" si="322"/>
        <v>#DIV/0!</v>
      </c>
    </row>
    <row r="2136" spans="1:11" x14ac:dyDescent="0.35">
      <c r="A2136" s="2" t="s">
        <v>260</v>
      </c>
      <c r="B2136" t="s">
        <v>261</v>
      </c>
      <c r="C2136" s="21" t="s">
        <v>275</v>
      </c>
      <c r="D2136" s="4">
        <v>7</v>
      </c>
      <c r="E2136" s="4"/>
      <c r="I2136" s="1">
        <f t="shared" si="318"/>
        <v>0</v>
      </c>
      <c r="J2136" s="1">
        <f t="shared" si="324"/>
        <v>1408</v>
      </c>
      <c r="K2136" s="9" t="e">
        <f t="shared" si="322"/>
        <v>#DIV/0!</v>
      </c>
    </row>
    <row r="2137" spans="1:11" x14ac:dyDescent="0.35">
      <c r="A2137" s="2" t="s">
        <v>260</v>
      </c>
      <c r="B2137" t="s">
        <v>261</v>
      </c>
      <c r="C2137" s="21" t="s">
        <v>275</v>
      </c>
      <c r="D2137" s="4">
        <v>8</v>
      </c>
      <c r="E2137" s="4"/>
      <c r="I2137" s="1">
        <f t="shared" si="318"/>
        <v>0</v>
      </c>
      <c r="J2137" s="1">
        <f t="shared" si="324"/>
        <v>1408</v>
      </c>
      <c r="K2137" s="9" t="e">
        <f t="shared" si="322"/>
        <v>#DIV/0!</v>
      </c>
    </row>
    <row r="2138" spans="1:11" x14ac:dyDescent="0.35">
      <c r="A2138" s="2" t="s">
        <v>260</v>
      </c>
      <c r="B2138" t="s">
        <v>261</v>
      </c>
      <c r="C2138" s="21" t="s">
        <v>275</v>
      </c>
      <c r="D2138" s="4">
        <v>9</v>
      </c>
      <c r="E2138" s="4"/>
      <c r="I2138" s="1">
        <f t="shared" si="318"/>
        <v>0</v>
      </c>
      <c r="J2138" s="1">
        <f t="shared" si="324"/>
        <v>1408</v>
      </c>
      <c r="K2138" s="9" t="e">
        <f t="shared" si="322"/>
        <v>#DIV/0!</v>
      </c>
    </row>
    <row r="2139" spans="1:11" x14ac:dyDescent="0.35">
      <c r="A2139" s="2" t="s">
        <v>260</v>
      </c>
      <c r="B2139" t="s">
        <v>261</v>
      </c>
      <c r="C2139" s="21" t="s">
        <v>275</v>
      </c>
      <c r="D2139" s="4">
        <v>10</v>
      </c>
      <c r="E2139" s="4"/>
      <c r="I2139" s="1">
        <f t="shared" si="318"/>
        <v>0</v>
      </c>
      <c r="J2139" s="1">
        <f t="shared" si="324"/>
        <v>1408</v>
      </c>
      <c r="K2139" s="9" t="e">
        <f t="shared" si="322"/>
        <v>#DIV/0!</v>
      </c>
    </row>
    <row r="2140" spans="1:11" x14ac:dyDescent="0.35">
      <c r="A2140" s="2" t="s">
        <v>260</v>
      </c>
      <c r="B2140" t="s">
        <v>261</v>
      </c>
      <c r="C2140" s="21" t="s">
        <v>275</v>
      </c>
      <c r="D2140" s="4">
        <v>11</v>
      </c>
      <c r="E2140" s="4"/>
      <c r="I2140" s="1">
        <f t="shared" si="318"/>
        <v>0</v>
      </c>
      <c r="J2140" s="1">
        <f t="shared" si="324"/>
        <v>1408</v>
      </c>
      <c r="K2140" s="9" t="e">
        <f t="shared" si="322"/>
        <v>#DIV/0!</v>
      </c>
    </row>
    <row r="2141" spans="1:11" x14ac:dyDescent="0.35">
      <c r="A2141" s="2" t="s">
        <v>260</v>
      </c>
      <c r="B2141" t="s">
        <v>261</v>
      </c>
      <c r="C2141" s="21" t="s">
        <v>275</v>
      </c>
      <c r="D2141" s="4">
        <v>12</v>
      </c>
      <c r="E2141" s="4"/>
      <c r="I2141" s="1">
        <f t="shared" si="318"/>
        <v>0</v>
      </c>
      <c r="J2141" s="1">
        <f t="shared" si="324"/>
        <v>1408</v>
      </c>
      <c r="K2141" s="9" t="e">
        <f t="shared" si="322"/>
        <v>#DIV/0!</v>
      </c>
    </row>
    <row r="2142" spans="1:11" x14ac:dyDescent="0.35">
      <c r="A2142" s="2" t="s">
        <v>260</v>
      </c>
      <c r="B2142" t="s">
        <v>261</v>
      </c>
      <c r="C2142" s="21" t="s">
        <v>275</v>
      </c>
      <c r="D2142" s="4">
        <v>13</v>
      </c>
      <c r="E2142" s="4"/>
      <c r="I2142" s="1">
        <f t="shared" si="318"/>
        <v>0</v>
      </c>
      <c r="J2142" s="1">
        <f t="shared" si="324"/>
        <v>1408</v>
      </c>
      <c r="K2142" s="9" t="e">
        <f t="shared" si="322"/>
        <v>#DIV/0!</v>
      </c>
    </row>
    <row r="2143" spans="1:11" x14ac:dyDescent="0.35">
      <c r="A2143" s="2" t="s">
        <v>260</v>
      </c>
      <c r="B2143" t="s">
        <v>261</v>
      </c>
      <c r="C2143" s="21" t="s">
        <v>275</v>
      </c>
      <c r="D2143" s="4">
        <v>14</v>
      </c>
      <c r="E2143" s="4"/>
      <c r="I2143" s="1">
        <f t="shared" si="318"/>
        <v>0</v>
      </c>
      <c r="J2143" s="1">
        <f t="shared" si="324"/>
        <v>1408</v>
      </c>
      <c r="K2143" s="9" t="e">
        <f t="shared" si="322"/>
        <v>#DIV/0!</v>
      </c>
    </row>
    <row r="2144" spans="1:11" x14ac:dyDescent="0.35">
      <c r="A2144" s="2" t="s">
        <v>260</v>
      </c>
      <c r="B2144" t="s">
        <v>261</v>
      </c>
      <c r="C2144" s="21" t="s">
        <v>275</v>
      </c>
      <c r="D2144" s="4">
        <v>15</v>
      </c>
      <c r="E2144" s="4"/>
      <c r="I2144" s="1">
        <f t="shared" si="318"/>
        <v>0</v>
      </c>
      <c r="J2144" s="1">
        <f t="shared" si="324"/>
        <v>1408</v>
      </c>
      <c r="K2144" s="9" t="e">
        <f t="shared" si="322"/>
        <v>#DIV/0!</v>
      </c>
    </row>
    <row r="2145" spans="1:11" ht="15" thickBot="1" x14ac:dyDescent="0.4">
      <c r="A2145" s="12" t="s">
        <v>260</v>
      </c>
      <c r="B2145" s="13" t="s">
        <v>261</v>
      </c>
      <c r="C2145" s="21" t="s">
        <v>275</v>
      </c>
      <c r="D2145" s="14">
        <v>16</v>
      </c>
      <c r="E2145" s="14"/>
      <c r="F2145" s="13"/>
      <c r="G2145" s="13"/>
      <c r="H2145" s="13"/>
      <c r="I2145" s="15">
        <f t="shared" si="318"/>
        <v>0</v>
      </c>
      <c r="J2145" s="15">
        <f t="shared" si="324"/>
        <v>1408</v>
      </c>
      <c r="K2145" s="16" t="e">
        <f t="shared" si="322"/>
        <v>#DIV/0!</v>
      </c>
    </row>
    <row r="2146" spans="1:11" x14ac:dyDescent="0.35">
      <c r="A2146" s="2" t="s">
        <v>262</v>
      </c>
      <c r="B2146" t="s">
        <v>266</v>
      </c>
      <c r="C2146" s="21" t="s">
        <v>275</v>
      </c>
      <c r="D2146" s="4">
        <v>1</v>
      </c>
      <c r="E2146" s="4"/>
      <c r="F2146" s="3">
        <v>45947</v>
      </c>
      <c r="G2146">
        <v>4192</v>
      </c>
      <c r="H2146">
        <v>3952</v>
      </c>
      <c r="I2146" s="1">
        <f t="shared" si="318"/>
        <v>240</v>
      </c>
      <c r="J2146" s="1">
        <f>I2146</f>
        <v>240</v>
      </c>
      <c r="K2146" s="9">
        <f t="shared" si="322"/>
        <v>6.0728744939271252E-2</v>
      </c>
    </row>
    <row r="2147" spans="1:11" x14ac:dyDescent="0.35">
      <c r="A2147" s="2" t="s">
        <v>262</v>
      </c>
      <c r="B2147" t="s">
        <v>266</v>
      </c>
      <c r="C2147" s="21" t="s">
        <v>275</v>
      </c>
      <c r="D2147" s="4">
        <v>2</v>
      </c>
      <c r="E2147" s="4"/>
      <c r="F2147" s="3">
        <v>45954</v>
      </c>
      <c r="G2147">
        <v>4192</v>
      </c>
      <c r="H2147">
        <v>3952</v>
      </c>
      <c r="I2147" s="1">
        <f t="shared" ref="I2147:I2258" si="325">G2147-H2147</f>
        <v>240</v>
      </c>
      <c r="J2147" s="1">
        <f>J2146+I2147</f>
        <v>480</v>
      </c>
      <c r="K2147" s="9">
        <f t="shared" si="322"/>
        <v>6.0728744939271252E-2</v>
      </c>
    </row>
    <row r="2148" spans="1:11" x14ac:dyDescent="0.35">
      <c r="A2148" s="2" t="s">
        <v>262</v>
      </c>
      <c r="B2148" t="s">
        <v>266</v>
      </c>
      <c r="C2148" s="21" t="s">
        <v>275</v>
      </c>
      <c r="D2148" s="4">
        <v>3</v>
      </c>
      <c r="E2148" s="4"/>
      <c r="F2148" s="3">
        <v>45961</v>
      </c>
      <c r="G2148">
        <v>4192</v>
      </c>
      <c r="H2148">
        <v>3952</v>
      </c>
      <c r="I2148" s="1">
        <f t="shared" si="325"/>
        <v>240</v>
      </c>
      <c r="J2148" s="1">
        <f t="shared" ref="J2148:J2161" si="326">J2147+I2148</f>
        <v>720</v>
      </c>
      <c r="K2148" s="9">
        <f t="shared" si="322"/>
        <v>6.0728744939271252E-2</v>
      </c>
    </row>
    <row r="2149" spans="1:11" x14ac:dyDescent="0.35">
      <c r="A2149" s="2" t="s">
        <v>262</v>
      </c>
      <c r="B2149" t="s">
        <v>266</v>
      </c>
      <c r="C2149" s="21" t="s">
        <v>275</v>
      </c>
      <c r="D2149" s="4">
        <v>4</v>
      </c>
      <c r="E2149" s="4"/>
      <c r="I2149" s="1">
        <f t="shared" si="325"/>
        <v>0</v>
      </c>
      <c r="J2149" s="1">
        <f t="shared" si="326"/>
        <v>720</v>
      </c>
      <c r="K2149" s="9" t="e">
        <f t="shared" si="322"/>
        <v>#DIV/0!</v>
      </c>
    </row>
    <row r="2150" spans="1:11" x14ac:dyDescent="0.35">
      <c r="A2150" s="2" t="s">
        <v>262</v>
      </c>
      <c r="B2150" t="s">
        <v>266</v>
      </c>
      <c r="C2150" s="21" t="s">
        <v>275</v>
      </c>
      <c r="D2150" s="4">
        <v>5</v>
      </c>
      <c r="E2150" s="4"/>
      <c r="I2150" s="1">
        <f t="shared" si="325"/>
        <v>0</v>
      </c>
      <c r="J2150" s="1">
        <f t="shared" si="326"/>
        <v>720</v>
      </c>
      <c r="K2150" s="9" t="e">
        <f t="shared" si="322"/>
        <v>#DIV/0!</v>
      </c>
    </row>
    <row r="2151" spans="1:11" x14ac:dyDescent="0.35">
      <c r="A2151" s="2" t="s">
        <v>262</v>
      </c>
      <c r="B2151" t="s">
        <v>266</v>
      </c>
      <c r="C2151" s="21" t="s">
        <v>275</v>
      </c>
      <c r="D2151" s="4">
        <v>6</v>
      </c>
      <c r="E2151" s="4"/>
      <c r="I2151" s="1">
        <f t="shared" si="325"/>
        <v>0</v>
      </c>
      <c r="J2151" s="1">
        <f t="shared" si="326"/>
        <v>720</v>
      </c>
      <c r="K2151" s="9" t="e">
        <f t="shared" si="322"/>
        <v>#DIV/0!</v>
      </c>
    </row>
    <row r="2152" spans="1:11" x14ac:dyDescent="0.35">
      <c r="A2152" s="2" t="s">
        <v>262</v>
      </c>
      <c r="B2152" t="s">
        <v>266</v>
      </c>
      <c r="C2152" s="21" t="s">
        <v>275</v>
      </c>
      <c r="D2152" s="4">
        <v>7</v>
      </c>
      <c r="E2152" s="4"/>
      <c r="I2152" s="1">
        <f t="shared" si="325"/>
        <v>0</v>
      </c>
      <c r="J2152" s="1">
        <f t="shared" si="326"/>
        <v>720</v>
      </c>
      <c r="K2152" s="9" t="e">
        <f t="shared" si="322"/>
        <v>#DIV/0!</v>
      </c>
    </row>
    <row r="2153" spans="1:11" x14ac:dyDescent="0.35">
      <c r="A2153" s="2" t="s">
        <v>262</v>
      </c>
      <c r="B2153" t="s">
        <v>266</v>
      </c>
      <c r="C2153" s="21" t="s">
        <v>275</v>
      </c>
      <c r="D2153" s="4">
        <v>8</v>
      </c>
      <c r="E2153" s="4"/>
      <c r="I2153" s="1">
        <f t="shared" si="325"/>
        <v>0</v>
      </c>
      <c r="J2153" s="1">
        <f t="shared" si="326"/>
        <v>720</v>
      </c>
      <c r="K2153" s="9" t="e">
        <f t="shared" si="322"/>
        <v>#DIV/0!</v>
      </c>
    </row>
    <row r="2154" spans="1:11" x14ac:dyDescent="0.35">
      <c r="A2154" s="2" t="s">
        <v>262</v>
      </c>
      <c r="B2154" t="s">
        <v>266</v>
      </c>
      <c r="C2154" s="21" t="s">
        <v>275</v>
      </c>
      <c r="D2154" s="4">
        <v>9</v>
      </c>
      <c r="E2154" s="4"/>
      <c r="I2154" s="1">
        <f t="shared" si="325"/>
        <v>0</v>
      </c>
      <c r="J2154" s="1">
        <f t="shared" si="326"/>
        <v>720</v>
      </c>
      <c r="K2154" s="9" t="e">
        <f t="shared" si="322"/>
        <v>#DIV/0!</v>
      </c>
    </row>
    <row r="2155" spans="1:11" x14ac:dyDescent="0.35">
      <c r="A2155" s="2" t="s">
        <v>262</v>
      </c>
      <c r="B2155" t="s">
        <v>266</v>
      </c>
      <c r="C2155" s="21" t="s">
        <v>275</v>
      </c>
      <c r="D2155" s="4">
        <v>10</v>
      </c>
      <c r="E2155" s="4"/>
      <c r="I2155" s="1">
        <f t="shared" si="325"/>
        <v>0</v>
      </c>
      <c r="J2155" s="1">
        <f t="shared" si="326"/>
        <v>720</v>
      </c>
      <c r="K2155" s="9" t="e">
        <f t="shared" si="322"/>
        <v>#DIV/0!</v>
      </c>
    </row>
    <row r="2156" spans="1:11" x14ac:dyDescent="0.35">
      <c r="A2156" s="2" t="s">
        <v>262</v>
      </c>
      <c r="B2156" t="s">
        <v>266</v>
      </c>
      <c r="C2156" s="21" t="s">
        <v>275</v>
      </c>
      <c r="D2156" s="4">
        <v>11</v>
      </c>
      <c r="E2156" s="4"/>
      <c r="I2156" s="1">
        <f t="shared" si="325"/>
        <v>0</v>
      </c>
      <c r="J2156" s="1">
        <f t="shared" si="326"/>
        <v>720</v>
      </c>
      <c r="K2156" s="9" t="e">
        <f t="shared" si="322"/>
        <v>#DIV/0!</v>
      </c>
    </row>
    <row r="2157" spans="1:11" x14ac:dyDescent="0.35">
      <c r="A2157" s="2" t="s">
        <v>262</v>
      </c>
      <c r="B2157" t="s">
        <v>266</v>
      </c>
      <c r="C2157" s="21" t="s">
        <v>275</v>
      </c>
      <c r="D2157" s="4">
        <v>12</v>
      </c>
      <c r="E2157" s="4"/>
      <c r="I2157" s="1">
        <f t="shared" si="325"/>
        <v>0</v>
      </c>
      <c r="J2157" s="1">
        <f t="shared" si="326"/>
        <v>720</v>
      </c>
      <c r="K2157" s="9" t="e">
        <f t="shared" si="322"/>
        <v>#DIV/0!</v>
      </c>
    </row>
    <row r="2158" spans="1:11" x14ac:dyDescent="0.35">
      <c r="A2158" s="2" t="s">
        <v>262</v>
      </c>
      <c r="B2158" t="s">
        <v>266</v>
      </c>
      <c r="C2158" s="21" t="s">
        <v>275</v>
      </c>
      <c r="D2158" s="4">
        <v>13</v>
      </c>
      <c r="E2158" s="4"/>
      <c r="I2158" s="1">
        <f t="shared" si="325"/>
        <v>0</v>
      </c>
      <c r="J2158" s="1">
        <f t="shared" si="326"/>
        <v>720</v>
      </c>
      <c r="K2158" s="9" t="e">
        <f t="shared" si="322"/>
        <v>#DIV/0!</v>
      </c>
    </row>
    <row r="2159" spans="1:11" x14ac:dyDescent="0.35">
      <c r="A2159" s="2" t="s">
        <v>262</v>
      </c>
      <c r="B2159" t="s">
        <v>266</v>
      </c>
      <c r="C2159" s="21" t="s">
        <v>275</v>
      </c>
      <c r="D2159" s="4">
        <v>14</v>
      </c>
      <c r="E2159" s="4"/>
      <c r="I2159" s="1">
        <f t="shared" si="325"/>
        <v>0</v>
      </c>
      <c r="J2159" s="1">
        <f t="shared" si="326"/>
        <v>720</v>
      </c>
      <c r="K2159" s="9" t="e">
        <f t="shared" si="322"/>
        <v>#DIV/0!</v>
      </c>
    </row>
    <row r="2160" spans="1:11" x14ac:dyDescent="0.35">
      <c r="A2160" s="2" t="s">
        <v>262</v>
      </c>
      <c r="B2160" t="s">
        <v>266</v>
      </c>
      <c r="C2160" s="21" t="s">
        <v>275</v>
      </c>
      <c r="D2160" s="4">
        <v>15</v>
      </c>
      <c r="E2160" s="4"/>
      <c r="I2160" s="1">
        <f t="shared" si="325"/>
        <v>0</v>
      </c>
      <c r="J2160" s="1">
        <f t="shared" si="326"/>
        <v>720</v>
      </c>
      <c r="K2160" s="9" t="e">
        <f t="shared" si="322"/>
        <v>#DIV/0!</v>
      </c>
    </row>
    <row r="2161" spans="1:11" ht="15" thickBot="1" x14ac:dyDescent="0.4">
      <c r="A2161" s="12" t="s">
        <v>262</v>
      </c>
      <c r="B2161" s="13" t="s">
        <v>266</v>
      </c>
      <c r="C2161" s="21" t="s">
        <v>275</v>
      </c>
      <c r="D2161" s="14">
        <v>16</v>
      </c>
      <c r="E2161" s="14"/>
      <c r="F2161" s="13"/>
      <c r="G2161" s="13"/>
      <c r="H2161" s="13"/>
      <c r="I2161" s="15">
        <f t="shared" si="325"/>
        <v>0</v>
      </c>
      <c r="J2161" s="15">
        <f t="shared" si="326"/>
        <v>720</v>
      </c>
      <c r="K2161" s="16" t="e">
        <f t="shared" si="322"/>
        <v>#DIV/0!</v>
      </c>
    </row>
    <row r="2162" spans="1:11" x14ac:dyDescent="0.35">
      <c r="A2162" s="2" t="s">
        <v>263</v>
      </c>
      <c r="B2162" t="s">
        <v>256</v>
      </c>
      <c r="C2162" s="21" t="s">
        <v>275</v>
      </c>
      <c r="D2162" s="4">
        <v>1</v>
      </c>
      <c r="E2162" s="4"/>
      <c r="F2162" s="3">
        <v>45947</v>
      </c>
      <c r="G2162">
        <v>4849.04</v>
      </c>
      <c r="H2162">
        <v>4809</v>
      </c>
      <c r="I2162" s="1">
        <f t="shared" si="325"/>
        <v>40.039999999999964</v>
      </c>
      <c r="J2162" s="1">
        <f>I2162</f>
        <v>40.039999999999964</v>
      </c>
      <c r="K2162" s="9">
        <f t="shared" si="322"/>
        <v>8.3260553129548692E-3</v>
      </c>
    </row>
    <row r="2163" spans="1:11" x14ac:dyDescent="0.35">
      <c r="A2163" s="2" t="s">
        <v>263</v>
      </c>
      <c r="B2163" t="s">
        <v>256</v>
      </c>
      <c r="C2163" s="21" t="s">
        <v>275</v>
      </c>
      <c r="D2163" s="4">
        <v>2</v>
      </c>
      <c r="E2163" s="4"/>
      <c r="F2163" s="3">
        <v>45954</v>
      </c>
      <c r="G2163">
        <v>4857</v>
      </c>
      <c r="H2163">
        <v>4809</v>
      </c>
      <c r="I2163" s="1">
        <f t="shared" si="325"/>
        <v>48</v>
      </c>
      <c r="J2163" s="1">
        <f>J2162+I2163</f>
        <v>88.039999999999964</v>
      </c>
      <c r="K2163" s="9">
        <f t="shared" si="322"/>
        <v>9.9812850904553961E-3</v>
      </c>
    </row>
    <row r="2164" spans="1:11" x14ac:dyDescent="0.35">
      <c r="A2164" s="2" t="s">
        <v>263</v>
      </c>
      <c r="B2164" t="s">
        <v>256</v>
      </c>
      <c r="C2164" s="21" t="s">
        <v>275</v>
      </c>
      <c r="D2164" s="4">
        <v>3</v>
      </c>
      <c r="E2164" s="4"/>
      <c r="F2164" s="3">
        <v>45961</v>
      </c>
      <c r="G2164">
        <v>4849</v>
      </c>
      <c r="H2164">
        <v>4408</v>
      </c>
      <c r="I2164" s="1">
        <f t="shared" si="325"/>
        <v>441</v>
      </c>
      <c r="J2164" s="1">
        <f t="shared" ref="J2164:J2177" si="327">J2163+I2164</f>
        <v>529.04</v>
      </c>
      <c r="K2164" s="9">
        <f t="shared" si="322"/>
        <v>0.10004537205081669</v>
      </c>
    </row>
    <row r="2165" spans="1:11" x14ac:dyDescent="0.35">
      <c r="A2165" s="2" t="s">
        <v>263</v>
      </c>
      <c r="B2165" t="s">
        <v>256</v>
      </c>
      <c r="C2165" s="21" t="s">
        <v>275</v>
      </c>
      <c r="D2165" s="4">
        <v>4</v>
      </c>
      <c r="E2165" s="4"/>
      <c r="F2165" s="3">
        <v>45968</v>
      </c>
      <c r="G2165">
        <v>4850</v>
      </c>
      <c r="H2165">
        <v>4409</v>
      </c>
      <c r="I2165" s="1">
        <f t="shared" si="325"/>
        <v>441</v>
      </c>
      <c r="J2165" s="1">
        <f t="shared" si="327"/>
        <v>970.04</v>
      </c>
      <c r="K2165" s="9">
        <f t="shared" si="322"/>
        <v>0.10002268088001814</v>
      </c>
    </row>
    <row r="2166" spans="1:11" x14ac:dyDescent="0.35">
      <c r="A2166" s="2" t="s">
        <v>263</v>
      </c>
      <c r="B2166" t="s">
        <v>256</v>
      </c>
      <c r="C2166" s="21" t="s">
        <v>275</v>
      </c>
      <c r="D2166" s="4">
        <v>5</v>
      </c>
      <c r="E2166" s="4"/>
      <c r="I2166" s="1">
        <f t="shared" si="325"/>
        <v>0</v>
      </c>
      <c r="J2166" s="1">
        <f t="shared" si="327"/>
        <v>970.04</v>
      </c>
      <c r="K2166" s="9" t="e">
        <f t="shared" si="322"/>
        <v>#DIV/0!</v>
      </c>
    </row>
    <row r="2167" spans="1:11" x14ac:dyDescent="0.35">
      <c r="A2167" s="2" t="s">
        <v>263</v>
      </c>
      <c r="B2167" t="s">
        <v>256</v>
      </c>
      <c r="C2167" s="21" t="s">
        <v>275</v>
      </c>
      <c r="D2167" s="4">
        <v>6</v>
      </c>
      <c r="E2167" s="4"/>
      <c r="I2167" s="1">
        <f t="shared" si="325"/>
        <v>0</v>
      </c>
      <c r="J2167" s="1">
        <f t="shared" si="327"/>
        <v>970.04</v>
      </c>
      <c r="K2167" s="9" t="e">
        <f t="shared" si="322"/>
        <v>#DIV/0!</v>
      </c>
    </row>
    <row r="2168" spans="1:11" x14ac:dyDescent="0.35">
      <c r="A2168" s="2" t="s">
        <v>263</v>
      </c>
      <c r="B2168" t="s">
        <v>256</v>
      </c>
      <c r="C2168" s="21" t="s">
        <v>275</v>
      </c>
      <c r="D2168" s="4">
        <v>7</v>
      </c>
      <c r="E2168" s="4"/>
      <c r="I2168" s="1">
        <f t="shared" si="325"/>
        <v>0</v>
      </c>
      <c r="J2168" s="1">
        <f t="shared" si="327"/>
        <v>970.04</v>
      </c>
      <c r="K2168" s="9" t="e">
        <f t="shared" si="322"/>
        <v>#DIV/0!</v>
      </c>
    </row>
    <row r="2169" spans="1:11" x14ac:dyDescent="0.35">
      <c r="A2169" s="2" t="s">
        <v>263</v>
      </c>
      <c r="B2169" t="s">
        <v>256</v>
      </c>
      <c r="C2169" s="21" t="s">
        <v>275</v>
      </c>
      <c r="D2169" s="4">
        <v>8</v>
      </c>
      <c r="E2169" s="4"/>
      <c r="I2169" s="1">
        <f t="shared" si="325"/>
        <v>0</v>
      </c>
      <c r="J2169" s="1">
        <f t="shared" si="327"/>
        <v>970.04</v>
      </c>
      <c r="K2169" s="9" t="e">
        <f t="shared" si="322"/>
        <v>#DIV/0!</v>
      </c>
    </row>
    <row r="2170" spans="1:11" x14ac:dyDescent="0.35">
      <c r="A2170" s="2" t="s">
        <v>263</v>
      </c>
      <c r="B2170" t="s">
        <v>256</v>
      </c>
      <c r="C2170" s="21" t="s">
        <v>275</v>
      </c>
      <c r="D2170" s="4">
        <v>9</v>
      </c>
      <c r="E2170" s="4"/>
      <c r="I2170" s="1">
        <f t="shared" si="325"/>
        <v>0</v>
      </c>
      <c r="J2170" s="1">
        <f t="shared" si="327"/>
        <v>970.04</v>
      </c>
      <c r="K2170" s="9" t="e">
        <f t="shared" si="322"/>
        <v>#DIV/0!</v>
      </c>
    </row>
    <row r="2171" spans="1:11" x14ac:dyDescent="0.35">
      <c r="A2171" s="2" t="s">
        <v>263</v>
      </c>
      <c r="B2171" t="s">
        <v>256</v>
      </c>
      <c r="C2171" s="21" t="s">
        <v>275</v>
      </c>
      <c r="D2171" s="4">
        <v>10</v>
      </c>
      <c r="E2171" s="4"/>
      <c r="I2171" s="1">
        <f t="shared" si="325"/>
        <v>0</v>
      </c>
      <c r="J2171" s="1">
        <f t="shared" si="327"/>
        <v>970.04</v>
      </c>
      <c r="K2171" s="9" t="e">
        <f t="shared" si="322"/>
        <v>#DIV/0!</v>
      </c>
    </row>
    <row r="2172" spans="1:11" x14ac:dyDescent="0.35">
      <c r="A2172" s="2" t="s">
        <v>263</v>
      </c>
      <c r="B2172" t="s">
        <v>256</v>
      </c>
      <c r="C2172" s="21" t="s">
        <v>275</v>
      </c>
      <c r="D2172" s="4">
        <v>11</v>
      </c>
      <c r="E2172" s="4"/>
      <c r="I2172" s="1">
        <f t="shared" si="325"/>
        <v>0</v>
      </c>
      <c r="J2172" s="1">
        <f t="shared" si="327"/>
        <v>970.04</v>
      </c>
      <c r="K2172" s="9" t="e">
        <f t="shared" si="322"/>
        <v>#DIV/0!</v>
      </c>
    </row>
    <row r="2173" spans="1:11" x14ac:dyDescent="0.35">
      <c r="A2173" s="2" t="s">
        <v>263</v>
      </c>
      <c r="B2173" t="s">
        <v>256</v>
      </c>
      <c r="C2173" s="21" t="s">
        <v>275</v>
      </c>
      <c r="D2173" s="4">
        <v>12</v>
      </c>
      <c r="E2173" s="4"/>
      <c r="I2173" s="1">
        <f t="shared" si="325"/>
        <v>0</v>
      </c>
      <c r="J2173" s="1">
        <f t="shared" si="327"/>
        <v>970.04</v>
      </c>
      <c r="K2173" s="9" t="e">
        <f t="shared" si="322"/>
        <v>#DIV/0!</v>
      </c>
    </row>
    <row r="2174" spans="1:11" x14ac:dyDescent="0.35">
      <c r="A2174" s="2" t="s">
        <v>263</v>
      </c>
      <c r="B2174" t="s">
        <v>256</v>
      </c>
      <c r="C2174" s="21" t="s">
        <v>275</v>
      </c>
      <c r="D2174" s="4">
        <v>13</v>
      </c>
      <c r="E2174" s="4"/>
      <c r="I2174" s="1">
        <f t="shared" si="325"/>
        <v>0</v>
      </c>
      <c r="J2174" s="1">
        <f t="shared" si="327"/>
        <v>970.04</v>
      </c>
      <c r="K2174" s="9" t="e">
        <f t="shared" si="322"/>
        <v>#DIV/0!</v>
      </c>
    </row>
    <row r="2175" spans="1:11" x14ac:dyDescent="0.35">
      <c r="A2175" s="2" t="s">
        <v>263</v>
      </c>
      <c r="B2175" t="s">
        <v>256</v>
      </c>
      <c r="C2175" s="21" t="s">
        <v>275</v>
      </c>
      <c r="D2175" s="4">
        <v>14</v>
      </c>
      <c r="E2175" s="4"/>
      <c r="I2175" s="1">
        <f t="shared" si="325"/>
        <v>0</v>
      </c>
      <c r="J2175" s="1">
        <f t="shared" si="327"/>
        <v>970.04</v>
      </c>
      <c r="K2175" s="9" t="e">
        <f t="shared" si="322"/>
        <v>#DIV/0!</v>
      </c>
    </row>
    <row r="2176" spans="1:11" x14ac:dyDescent="0.35">
      <c r="A2176" s="2" t="s">
        <v>263</v>
      </c>
      <c r="B2176" t="s">
        <v>256</v>
      </c>
      <c r="C2176" s="21" t="s">
        <v>275</v>
      </c>
      <c r="D2176" s="4">
        <v>15</v>
      </c>
      <c r="E2176" s="4"/>
      <c r="I2176" s="1">
        <f t="shared" si="325"/>
        <v>0</v>
      </c>
      <c r="J2176" s="1">
        <f t="shared" si="327"/>
        <v>970.04</v>
      </c>
      <c r="K2176" s="9" t="e">
        <f t="shared" si="322"/>
        <v>#DIV/0!</v>
      </c>
    </row>
    <row r="2177" spans="1:11" ht="15" thickBot="1" x14ac:dyDescent="0.4">
      <c r="A2177" s="12" t="s">
        <v>263</v>
      </c>
      <c r="B2177" s="13" t="s">
        <v>256</v>
      </c>
      <c r="C2177" s="21" t="s">
        <v>275</v>
      </c>
      <c r="D2177" s="14">
        <v>16</v>
      </c>
      <c r="E2177" s="14"/>
      <c r="F2177" s="13"/>
      <c r="G2177" s="13"/>
      <c r="H2177" s="13"/>
      <c r="I2177" s="15">
        <f t="shared" si="325"/>
        <v>0</v>
      </c>
      <c r="J2177" s="15">
        <f t="shared" si="327"/>
        <v>970.04</v>
      </c>
      <c r="K2177" s="16" t="e">
        <f t="shared" si="322"/>
        <v>#DIV/0!</v>
      </c>
    </row>
    <row r="2178" spans="1:11" x14ac:dyDescent="0.35">
      <c r="A2178" s="2" t="s">
        <v>264</v>
      </c>
      <c r="B2178" t="s">
        <v>267</v>
      </c>
      <c r="C2178" s="21" t="s">
        <v>275</v>
      </c>
      <c r="D2178" s="4">
        <v>1</v>
      </c>
      <c r="E2178" s="4"/>
      <c r="F2178" s="3">
        <v>45947</v>
      </c>
      <c r="G2178">
        <v>12640</v>
      </c>
      <c r="H2178">
        <v>12008</v>
      </c>
      <c r="I2178" s="1">
        <f t="shared" si="325"/>
        <v>632</v>
      </c>
      <c r="J2178" s="1">
        <f>I2178</f>
        <v>632</v>
      </c>
      <c r="K2178" s="9">
        <f t="shared" si="322"/>
        <v>5.2631578947368418E-2</v>
      </c>
    </row>
    <row r="2179" spans="1:11" x14ac:dyDescent="0.35">
      <c r="A2179" s="2" t="s">
        <v>264</v>
      </c>
      <c r="B2179" t="s">
        <v>267</v>
      </c>
      <c r="C2179" s="21" t="s">
        <v>275</v>
      </c>
      <c r="D2179" s="4">
        <v>2</v>
      </c>
      <c r="E2179" s="4"/>
      <c r="F2179" s="3">
        <v>45954</v>
      </c>
      <c r="G2179">
        <v>12640</v>
      </c>
      <c r="H2179">
        <v>12008</v>
      </c>
      <c r="I2179" s="1">
        <f t="shared" si="325"/>
        <v>632</v>
      </c>
      <c r="J2179" s="1">
        <f>J2178+I2179</f>
        <v>1264</v>
      </c>
      <c r="K2179" s="9">
        <f t="shared" ref="K2179:K2323" si="328">I2179/H2179</f>
        <v>5.2631578947368418E-2</v>
      </c>
    </row>
    <row r="2180" spans="1:11" x14ac:dyDescent="0.35">
      <c r="A2180" s="2" t="s">
        <v>264</v>
      </c>
      <c r="B2180" t="s">
        <v>267</v>
      </c>
      <c r="C2180" s="21" t="s">
        <v>275</v>
      </c>
      <c r="D2180" s="4">
        <v>3</v>
      </c>
      <c r="E2180" s="4"/>
      <c r="F2180" s="3">
        <v>45961</v>
      </c>
      <c r="G2180">
        <v>12640</v>
      </c>
      <c r="H2180">
        <v>12009</v>
      </c>
      <c r="I2180" s="1">
        <f t="shared" si="325"/>
        <v>631</v>
      </c>
      <c r="J2180" s="1">
        <f t="shared" ref="J2180:J2193" si="329">J2179+I2180</f>
        <v>1895</v>
      </c>
      <c r="K2180" s="9">
        <f t="shared" si="328"/>
        <v>5.2543925389291368E-2</v>
      </c>
    </row>
    <row r="2181" spans="1:11" x14ac:dyDescent="0.35">
      <c r="A2181" s="2" t="s">
        <v>264</v>
      </c>
      <c r="B2181" t="s">
        <v>267</v>
      </c>
      <c r="C2181" s="21" t="s">
        <v>275</v>
      </c>
      <c r="D2181" s="4">
        <v>4</v>
      </c>
      <c r="E2181" s="4"/>
      <c r="F2181" s="3">
        <v>45969</v>
      </c>
      <c r="G2181" s="32">
        <v>12640</v>
      </c>
      <c r="H2181" s="32">
        <v>12009</v>
      </c>
      <c r="I2181" s="1">
        <f t="shared" si="325"/>
        <v>631</v>
      </c>
      <c r="J2181" s="1">
        <f t="shared" si="329"/>
        <v>2526</v>
      </c>
      <c r="K2181" s="9">
        <f t="shared" si="328"/>
        <v>5.2543925389291368E-2</v>
      </c>
    </row>
    <row r="2182" spans="1:11" x14ac:dyDescent="0.35">
      <c r="A2182" s="2" t="s">
        <v>264</v>
      </c>
      <c r="B2182" t="s">
        <v>267</v>
      </c>
      <c r="C2182" s="21" t="s">
        <v>275</v>
      </c>
      <c r="D2182" s="4">
        <v>5</v>
      </c>
      <c r="E2182" s="4"/>
      <c r="H2182" s="32"/>
      <c r="I2182" s="1">
        <f t="shared" si="325"/>
        <v>0</v>
      </c>
      <c r="J2182" s="1">
        <f t="shared" si="329"/>
        <v>2526</v>
      </c>
      <c r="K2182" s="9" t="e">
        <f t="shared" si="328"/>
        <v>#DIV/0!</v>
      </c>
    </row>
    <row r="2183" spans="1:11" x14ac:dyDescent="0.35">
      <c r="A2183" s="2" t="s">
        <v>264</v>
      </c>
      <c r="B2183" t="s">
        <v>267</v>
      </c>
      <c r="C2183" s="21" t="s">
        <v>275</v>
      </c>
      <c r="D2183" s="4">
        <v>6</v>
      </c>
      <c r="E2183" s="4"/>
      <c r="I2183" s="1">
        <f t="shared" si="325"/>
        <v>0</v>
      </c>
      <c r="J2183" s="1">
        <f t="shared" si="329"/>
        <v>2526</v>
      </c>
      <c r="K2183" s="9" t="e">
        <f t="shared" si="328"/>
        <v>#DIV/0!</v>
      </c>
    </row>
    <row r="2184" spans="1:11" x14ac:dyDescent="0.35">
      <c r="A2184" s="2" t="s">
        <v>264</v>
      </c>
      <c r="B2184" t="s">
        <v>267</v>
      </c>
      <c r="C2184" s="21" t="s">
        <v>275</v>
      </c>
      <c r="D2184" s="4">
        <v>7</v>
      </c>
      <c r="E2184" s="4"/>
      <c r="I2184" s="1">
        <f t="shared" si="325"/>
        <v>0</v>
      </c>
      <c r="J2184" s="1">
        <f t="shared" si="329"/>
        <v>2526</v>
      </c>
      <c r="K2184" s="9" t="e">
        <f t="shared" si="328"/>
        <v>#DIV/0!</v>
      </c>
    </row>
    <row r="2185" spans="1:11" x14ac:dyDescent="0.35">
      <c r="A2185" s="2" t="s">
        <v>264</v>
      </c>
      <c r="B2185" t="s">
        <v>267</v>
      </c>
      <c r="C2185" s="21" t="s">
        <v>275</v>
      </c>
      <c r="D2185" s="4">
        <v>8</v>
      </c>
      <c r="E2185" s="4"/>
      <c r="I2185" s="1">
        <f t="shared" si="325"/>
        <v>0</v>
      </c>
      <c r="J2185" s="1">
        <f t="shared" si="329"/>
        <v>2526</v>
      </c>
      <c r="K2185" s="9" t="e">
        <f t="shared" si="328"/>
        <v>#DIV/0!</v>
      </c>
    </row>
    <row r="2186" spans="1:11" x14ac:dyDescent="0.35">
      <c r="A2186" s="2" t="s">
        <v>264</v>
      </c>
      <c r="B2186" t="s">
        <v>267</v>
      </c>
      <c r="C2186" s="21" t="s">
        <v>275</v>
      </c>
      <c r="D2186" s="4">
        <v>9</v>
      </c>
      <c r="E2186" s="4"/>
      <c r="I2186" s="1">
        <f t="shared" si="325"/>
        <v>0</v>
      </c>
      <c r="J2186" s="1">
        <f t="shared" si="329"/>
        <v>2526</v>
      </c>
      <c r="K2186" s="9" t="e">
        <f t="shared" si="328"/>
        <v>#DIV/0!</v>
      </c>
    </row>
    <row r="2187" spans="1:11" x14ac:dyDescent="0.35">
      <c r="A2187" s="2" t="s">
        <v>264</v>
      </c>
      <c r="B2187" t="s">
        <v>267</v>
      </c>
      <c r="C2187" s="21" t="s">
        <v>275</v>
      </c>
      <c r="D2187" s="4">
        <v>10</v>
      </c>
      <c r="E2187" s="4"/>
      <c r="I2187" s="1">
        <f t="shared" si="325"/>
        <v>0</v>
      </c>
      <c r="J2187" s="1">
        <f t="shared" si="329"/>
        <v>2526</v>
      </c>
      <c r="K2187" s="9" t="e">
        <f t="shared" si="328"/>
        <v>#DIV/0!</v>
      </c>
    </row>
    <row r="2188" spans="1:11" x14ac:dyDescent="0.35">
      <c r="A2188" s="2" t="s">
        <v>264</v>
      </c>
      <c r="B2188" t="s">
        <v>267</v>
      </c>
      <c r="C2188" s="21" t="s">
        <v>275</v>
      </c>
      <c r="D2188" s="4">
        <v>11</v>
      </c>
      <c r="E2188" s="4"/>
      <c r="I2188" s="1">
        <f t="shared" si="325"/>
        <v>0</v>
      </c>
      <c r="J2188" s="1">
        <f t="shared" si="329"/>
        <v>2526</v>
      </c>
      <c r="K2188" s="9" t="e">
        <f t="shared" si="328"/>
        <v>#DIV/0!</v>
      </c>
    </row>
    <row r="2189" spans="1:11" x14ac:dyDescent="0.35">
      <c r="A2189" s="2" t="s">
        <v>264</v>
      </c>
      <c r="B2189" t="s">
        <v>267</v>
      </c>
      <c r="C2189" s="21" t="s">
        <v>275</v>
      </c>
      <c r="D2189" s="4">
        <v>12</v>
      </c>
      <c r="E2189" s="4"/>
      <c r="I2189" s="1">
        <f t="shared" si="325"/>
        <v>0</v>
      </c>
      <c r="J2189" s="1">
        <f t="shared" si="329"/>
        <v>2526</v>
      </c>
      <c r="K2189" s="9" t="e">
        <f t="shared" si="328"/>
        <v>#DIV/0!</v>
      </c>
    </row>
    <row r="2190" spans="1:11" x14ac:dyDescent="0.35">
      <c r="A2190" s="2" t="s">
        <v>264</v>
      </c>
      <c r="B2190" t="s">
        <v>267</v>
      </c>
      <c r="C2190" s="21" t="s">
        <v>275</v>
      </c>
      <c r="D2190" s="4">
        <v>13</v>
      </c>
      <c r="E2190" s="4"/>
      <c r="I2190" s="1">
        <f t="shared" si="325"/>
        <v>0</v>
      </c>
      <c r="J2190" s="1">
        <f t="shared" si="329"/>
        <v>2526</v>
      </c>
      <c r="K2190" s="9" t="e">
        <f t="shared" si="328"/>
        <v>#DIV/0!</v>
      </c>
    </row>
    <row r="2191" spans="1:11" x14ac:dyDescent="0.35">
      <c r="A2191" s="2" t="s">
        <v>264</v>
      </c>
      <c r="B2191" t="s">
        <v>267</v>
      </c>
      <c r="C2191" s="21" t="s">
        <v>275</v>
      </c>
      <c r="D2191" s="4">
        <v>14</v>
      </c>
      <c r="E2191" s="4"/>
      <c r="I2191" s="1">
        <f t="shared" si="325"/>
        <v>0</v>
      </c>
      <c r="J2191" s="1">
        <f t="shared" si="329"/>
        <v>2526</v>
      </c>
      <c r="K2191" s="9" t="e">
        <f t="shared" si="328"/>
        <v>#DIV/0!</v>
      </c>
    </row>
    <row r="2192" spans="1:11" x14ac:dyDescent="0.35">
      <c r="A2192" s="2" t="s">
        <v>264</v>
      </c>
      <c r="B2192" t="s">
        <v>267</v>
      </c>
      <c r="C2192" s="21" t="s">
        <v>275</v>
      </c>
      <c r="D2192" s="4">
        <v>15</v>
      </c>
      <c r="E2192" s="4"/>
      <c r="I2192" s="1">
        <f t="shared" si="325"/>
        <v>0</v>
      </c>
      <c r="J2192" s="1">
        <f t="shared" si="329"/>
        <v>2526</v>
      </c>
      <c r="K2192" s="9" t="e">
        <f t="shared" si="328"/>
        <v>#DIV/0!</v>
      </c>
    </row>
    <row r="2193" spans="1:11" ht="15" thickBot="1" x14ac:dyDescent="0.4">
      <c r="A2193" s="12" t="s">
        <v>264</v>
      </c>
      <c r="B2193" s="13" t="s">
        <v>267</v>
      </c>
      <c r="C2193" s="21" t="s">
        <v>275</v>
      </c>
      <c r="D2193" s="14">
        <v>16</v>
      </c>
      <c r="E2193" s="14"/>
      <c r="F2193" s="13"/>
      <c r="G2193" s="13"/>
      <c r="H2193" s="13"/>
      <c r="I2193" s="15">
        <f t="shared" si="325"/>
        <v>0</v>
      </c>
      <c r="J2193" s="15">
        <f t="shared" si="329"/>
        <v>2526</v>
      </c>
      <c r="K2193" s="16" t="e">
        <f t="shared" si="328"/>
        <v>#DIV/0!</v>
      </c>
    </row>
    <row r="2194" spans="1:11" x14ac:dyDescent="0.35">
      <c r="A2194" s="2" t="s">
        <v>265</v>
      </c>
      <c r="B2194" t="s">
        <v>268</v>
      </c>
      <c r="C2194" s="21" t="s">
        <v>275</v>
      </c>
      <c r="D2194" s="4">
        <v>1</v>
      </c>
      <c r="E2194" s="4"/>
      <c r="F2194" s="3">
        <v>45945</v>
      </c>
      <c r="G2194">
        <v>12222</v>
      </c>
      <c r="H2194">
        <v>11400.1</v>
      </c>
      <c r="I2194" s="1">
        <f t="shared" si="325"/>
        <v>821.89999999999964</v>
      </c>
      <c r="J2194" s="1">
        <f>I2194</f>
        <v>821.89999999999964</v>
      </c>
      <c r="K2194" s="9">
        <f t="shared" si="328"/>
        <v>7.209585880825603E-2</v>
      </c>
    </row>
    <row r="2195" spans="1:11" x14ac:dyDescent="0.35">
      <c r="A2195" s="2" t="s">
        <v>265</v>
      </c>
      <c r="B2195" t="s">
        <v>268</v>
      </c>
      <c r="C2195" s="21" t="s">
        <v>275</v>
      </c>
      <c r="D2195" s="4">
        <v>2</v>
      </c>
      <c r="E2195" s="4"/>
      <c r="F2195" s="3">
        <v>45957</v>
      </c>
      <c r="G2195">
        <v>12222</v>
      </c>
      <c r="H2195">
        <v>11400.1</v>
      </c>
      <c r="I2195" s="1">
        <f t="shared" si="325"/>
        <v>821.89999999999964</v>
      </c>
      <c r="J2195" s="1">
        <f>J2194+I2195</f>
        <v>1643.7999999999993</v>
      </c>
      <c r="K2195" s="9">
        <f t="shared" si="328"/>
        <v>7.209585880825603E-2</v>
      </c>
    </row>
    <row r="2196" spans="1:11" x14ac:dyDescent="0.35">
      <c r="A2196" s="2" t="s">
        <v>265</v>
      </c>
      <c r="B2196" t="s">
        <v>268</v>
      </c>
      <c r="C2196" s="21" t="s">
        <v>275</v>
      </c>
      <c r="D2196" s="4">
        <v>3</v>
      </c>
      <c r="E2196" s="4"/>
      <c r="F2196" s="3">
        <v>45964</v>
      </c>
      <c r="G2196">
        <v>12222</v>
      </c>
      <c r="H2196">
        <v>11400.1</v>
      </c>
      <c r="I2196" s="1">
        <f t="shared" si="325"/>
        <v>821.89999999999964</v>
      </c>
      <c r="J2196" s="1">
        <f t="shared" ref="J2196:J2209" si="330">J2195+I2196</f>
        <v>2465.6999999999989</v>
      </c>
      <c r="K2196" s="9">
        <f t="shared" si="328"/>
        <v>7.209585880825603E-2</v>
      </c>
    </row>
    <row r="2197" spans="1:11" x14ac:dyDescent="0.35">
      <c r="A2197" s="2" t="s">
        <v>265</v>
      </c>
      <c r="B2197" t="s">
        <v>268</v>
      </c>
      <c r="C2197" s="21" t="s">
        <v>275</v>
      </c>
      <c r="D2197" s="4">
        <v>4</v>
      </c>
      <c r="E2197" s="4"/>
      <c r="I2197" s="1">
        <f t="shared" si="325"/>
        <v>0</v>
      </c>
      <c r="J2197" s="1">
        <f t="shared" si="330"/>
        <v>2465.6999999999989</v>
      </c>
      <c r="K2197" s="9" t="e">
        <f t="shared" si="328"/>
        <v>#DIV/0!</v>
      </c>
    </row>
    <row r="2198" spans="1:11" x14ac:dyDescent="0.35">
      <c r="A2198" s="2" t="s">
        <v>265</v>
      </c>
      <c r="B2198" t="s">
        <v>268</v>
      </c>
      <c r="C2198" s="21" t="s">
        <v>275</v>
      </c>
      <c r="D2198" s="4">
        <v>5</v>
      </c>
      <c r="E2198" s="4"/>
      <c r="I2198" s="1">
        <f t="shared" si="325"/>
        <v>0</v>
      </c>
      <c r="J2198" s="1">
        <f t="shared" si="330"/>
        <v>2465.6999999999989</v>
      </c>
      <c r="K2198" s="9" t="e">
        <f t="shared" si="328"/>
        <v>#DIV/0!</v>
      </c>
    </row>
    <row r="2199" spans="1:11" x14ac:dyDescent="0.35">
      <c r="A2199" s="2" t="s">
        <v>265</v>
      </c>
      <c r="B2199" t="s">
        <v>268</v>
      </c>
      <c r="C2199" s="21" t="s">
        <v>275</v>
      </c>
      <c r="D2199" s="4">
        <v>6</v>
      </c>
      <c r="E2199" s="4"/>
      <c r="I2199" s="1">
        <f t="shared" si="325"/>
        <v>0</v>
      </c>
      <c r="J2199" s="1">
        <f t="shared" si="330"/>
        <v>2465.6999999999989</v>
      </c>
      <c r="K2199" s="9" t="e">
        <f t="shared" si="328"/>
        <v>#DIV/0!</v>
      </c>
    </row>
    <row r="2200" spans="1:11" x14ac:dyDescent="0.35">
      <c r="A2200" s="2" t="s">
        <v>265</v>
      </c>
      <c r="B2200" t="s">
        <v>268</v>
      </c>
      <c r="C2200" s="21" t="s">
        <v>275</v>
      </c>
      <c r="D2200" s="4">
        <v>7</v>
      </c>
      <c r="E2200" s="4"/>
      <c r="I2200" s="1">
        <f t="shared" si="325"/>
        <v>0</v>
      </c>
      <c r="J2200" s="1">
        <f t="shared" si="330"/>
        <v>2465.6999999999989</v>
      </c>
      <c r="K2200" s="9" t="e">
        <f t="shared" si="328"/>
        <v>#DIV/0!</v>
      </c>
    </row>
    <row r="2201" spans="1:11" x14ac:dyDescent="0.35">
      <c r="A2201" s="2" t="s">
        <v>265</v>
      </c>
      <c r="B2201" t="s">
        <v>268</v>
      </c>
      <c r="C2201" s="21" t="s">
        <v>275</v>
      </c>
      <c r="D2201" s="4">
        <v>8</v>
      </c>
      <c r="E2201" s="4"/>
      <c r="I2201" s="1">
        <f t="shared" si="325"/>
        <v>0</v>
      </c>
      <c r="J2201" s="1">
        <f t="shared" si="330"/>
        <v>2465.6999999999989</v>
      </c>
      <c r="K2201" s="9" t="e">
        <f t="shared" si="328"/>
        <v>#DIV/0!</v>
      </c>
    </row>
    <row r="2202" spans="1:11" x14ac:dyDescent="0.35">
      <c r="A2202" s="2" t="s">
        <v>265</v>
      </c>
      <c r="B2202" t="s">
        <v>268</v>
      </c>
      <c r="C2202" s="21" t="s">
        <v>275</v>
      </c>
      <c r="D2202" s="4">
        <v>9</v>
      </c>
      <c r="E2202" s="4"/>
      <c r="I2202" s="1">
        <f t="shared" si="325"/>
        <v>0</v>
      </c>
      <c r="J2202" s="1">
        <f t="shared" si="330"/>
        <v>2465.6999999999989</v>
      </c>
      <c r="K2202" s="9" t="e">
        <f t="shared" si="328"/>
        <v>#DIV/0!</v>
      </c>
    </row>
    <row r="2203" spans="1:11" x14ac:dyDescent="0.35">
      <c r="A2203" s="2" t="s">
        <v>265</v>
      </c>
      <c r="B2203" t="s">
        <v>268</v>
      </c>
      <c r="C2203" s="21" t="s">
        <v>275</v>
      </c>
      <c r="D2203" s="4">
        <v>10</v>
      </c>
      <c r="E2203" s="4"/>
      <c r="I2203" s="1">
        <f t="shared" si="325"/>
        <v>0</v>
      </c>
      <c r="J2203" s="1">
        <f t="shared" si="330"/>
        <v>2465.6999999999989</v>
      </c>
      <c r="K2203" s="9" t="e">
        <f t="shared" si="328"/>
        <v>#DIV/0!</v>
      </c>
    </row>
    <row r="2204" spans="1:11" x14ac:dyDescent="0.35">
      <c r="A2204" s="2" t="s">
        <v>265</v>
      </c>
      <c r="B2204" t="s">
        <v>268</v>
      </c>
      <c r="C2204" s="21" t="s">
        <v>275</v>
      </c>
      <c r="D2204" s="4">
        <v>11</v>
      </c>
      <c r="E2204" s="4"/>
      <c r="I2204" s="1">
        <f t="shared" si="325"/>
        <v>0</v>
      </c>
      <c r="J2204" s="1">
        <f t="shared" si="330"/>
        <v>2465.6999999999989</v>
      </c>
      <c r="K2204" s="9" t="e">
        <f t="shared" si="328"/>
        <v>#DIV/0!</v>
      </c>
    </row>
    <row r="2205" spans="1:11" x14ac:dyDescent="0.35">
      <c r="A2205" s="2" t="s">
        <v>265</v>
      </c>
      <c r="B2205" t="s">
        <v>268</v>
      </c>
      <c r="C2205" s="21" t="s">
        <v>275</v>
      </c>
      <c r="D2205" s="4">
        <v>12</v>
      </c>
      <c r="E2205" s="4"/>
      <c r="I2205" s="1">
        <f t="shared" si="325"/>
        <v>0</v>
      </c>
      <c r="J2205" s="1">
        <f t="shared" si="330"/>
        <v>2465.6999999999989</v>
      </c>
      <c r="K2205" s="9" t="e">
        <f t="shared" si="328"/>
        <v>#DIV/0!</v>
      </c>
    </row>
    <row r="2206" spans="1:11" x14ac:dyDescent="0.35">
      <c r="A2206" s="2" t="s">
        <v>265</v>
      </c>
      <c r="B2206" t="s">
        <v>268</v>
      </c>
      <c r="C2206" s="21" t="s">
        <v>275</v>
      </c>
      <c r="D2206" s="4">
        <v>13</v>
      </c>
      <c r="E2206" s="4"/>
      <c r="I2206" s="1">
        <f t="shared" si="325"/>
        <v>0</v>
      </c>
      <c r="J2206" s="1">
        <f t="shared" si="330"/>
        <v>2465.6999999999989</v>
      </c>
      <c r="K2206" s="9" t="e">
        <f t="shared" si="328"/>
        <v>#DIV/0!</v>
      </c>
    </row>
    <row r="2207" spans="1:11" x14ac:dyDescent="0.35">
      <c r="A2207" s="2" t="s">
        <v>265</v>
      </c>
      <c r="B2207" t="s">
        <v>268</v>
      </c>
      <c r="C2207" s="21" t="s">
        <v>275</v>
      </c>
      <c r="D2207" s="4">
        <v>14</v>
      </c>
      <c r="E2207" s="4"/>
      <c r="I2207" s="1">
        <f t="shared" si="325"/>
        <v>0</v>
      </c>
      <c r="J2207" s="1">
        <f t="shared" si="330"/>
        <v>2465.6999999999989</v>
      </c>
      <c r="K2207" s="9" t="e">
        <f t="shared" si="328"/>
        <v>#DIV/0!</v>
      </c>
    </row>
    <row r="2208" spans="1:11" x14ac:dyDescent="0.35">
      <c r="A2208" s="2" t="s">
        <v>265</v>
      </c>
      <c r="B2208" t="s">
        <v>268</v>
      </c>
      <c r="C2208" s="21" t="s">
        <v>275</v>
      </c>
      <c r="D2208" s="4">
        <v>15</v>
      </c>
      <c r="E2208" s="4"/>
      <c r="I2208" s="1">
        <f t="shared" si="325"/>
        <v>0</v>
      </c>
      <c r="J2208" s="1">
        <f t="shared" si="330"/>
        <v>2465.6999999999989</v>
      </c>
      <c r="K2208" s="9" t="e">
        <f t="shared" si="328"/>
        <v>#DIV/0!</v>
      </c>
    </row>
    <row r="2209" spans="1:11" ht="15" thickBot="1" x14ac:dyDescent="0.4">
      <c r="A2209" s="12" t="s">
        <v>265</v>
      </c>
      <c r="B2209" s="13" t="s">
        <v>268</v>
      </c>
      <c r="C2209" s="22" t="s">
        <v>275</v>
      </c>
      <c r="D2209" s="14">
        <v>16</v>
      </c>
      <c r="E2209" s="14"/>
      <c r="F2209" s="13"/>
      <c r="G2209" s="13"/>
      <c r="H2209" s="13"/>
      <c r="I2209" s="15">
        <f t="shared" si="325"/>
        <v>0</v>
      </c>
      <c r="J2209" s="15">
        <f t="shared" si="330"/>
        <v>2465.6999999999989</v>
      </c>
      <c r="K2209" s="16" t="e">
        <f t="shared" si="328"/>
        <v>#DIV/0!</v>
      </c>
    </row>
    <row r="2210" spans="1:11" x14ac:dyDescent="0.35">
      <c r="A2210" s="2" t="s">
        <v>284</v>
      </c>
      <c r="B2210" t="s">
        <v>285</v>
      </c>
      <c r="C2210" s="21" t="s">
        <v>275</v>
      </c>
      <c r="D2210" s="4">
        <v>1</v>
      </c>
      <c r="E2210" s="4"/>
      <c r="F2210" s="3">
        <v>45678</v>
      </c>
      <c r="G2210">
        <v>5466</v>
      </c>
      <c r="H2210">
        <v>5173</v>
      </c>
      <c r="I2210" s="1">
        <f t="shared" si="325"/>
        <v>293</v>
      </c>
      <c r="J2210" s="1">
        <f>I2210</f>
        <v>293</v>
      </c>
      <c r="K2210" s="9">
        <f t="shared" si="328"/>
        <v>5.6640247438623621E-2</v>
      </c>
    </row>
    <row r="2211" spans="1:11" x14ac:dyDescent="0.35">
      <c r="A2211" s="2" t="s">
        <v>284</v>
      </c>
      <c r="B2211" t="s">
        <v>285</v>
      </c>
      <c r="C2211" s="21" t="s">
        <v>275</v>
      </c>
      <c r="D2211" s="4">
        <v>2</v>
      </c>
      <c r="E2211" s="4"/>
      <c r="F2211" s="3">
        <v>45958</v>
      </c>
      <c r="G2211">
        <v>5467</v>
      </c>
      <c r="H2211">
        <v>5173</v>
      </c>
      <c r="I2211" s="1">
        <f t="shared" si="325"/>
        <v>294</v>
      </c>
      <c r="J2211" s="1">
        <f>J2210+I2211</f>
        <v>587</v>
      </c>
      <c r="K2211" s="9">
        <f t="shared" si="328"/>
        <v>5.6833558863328824E-2</v>
      </c>
    </row>
    <row r="2212" spans="1:11" x14ac:dyDescent="0.35">
      <c r="A2212" s="2" t="s">
        <v>284</v>
      </c>
      <c r="B2212" t="s">
        <v>285</v>
      </c>
      <c r="C2212" s="21" t="s">
        <v>275</v>
      </c>
      <c r="D2212" s="4">
        <v>3</v>
      </c>
      <c r="E2212" s="4"/>
      <c r="F2212" s="3">
        <v>45965</v>
      </c>
      <c r="G2212">
        <v>5467</v>
      </c>
      <c r="H2212">
        <v>5173</v>
      </c>
      <c r="I2212" s="1">
        <f t="shared" si="325"/>
        <v>294</v>
      </c>
      <c r="J2212" s="1">
        <f t="shared" ref="J2212:J2225" si="331">J2211+I2212</f>
        <v>881</v>
      </c>
      <c r="K2212" s="9">
        <f t="shared" si="328"/>
        <v>5.6833558863328824E-2</v>
      </c>
    </row>
    <row r="2213" spans="1:11" x14ac:dyDescent="0.35">
      <c r="A2213" s="2" t="s">
        <v>284</v>
      </c>
      <c r="B2213" t="s">
        <v>285</v>
      </c>
      <c r="C2213" s="21" t="s">
        <v>275</v>
      </c>
      <c r="D2213" s="4">
        <v>4</v>
      </c>
      <c r="E2213" s="4"/>
      <c r="I2213" s="1">
        <f t="shared" si="325"/>
        <v>0</v>
      </c>
      <c r="J2213" s="1">
        <f t="shared" si="331"/>
        <v>881</v>
      </c>
      <c r="K2213" s="9" t="e">
        <f t="shared" si="328"/>
        <v>#DIV/0!</v>
      </c>
    </row>
    <row r="2214" spans="1:11" x14ac:dyDescent="0.35">
      <c r="A2214" s="2" t="s">
        <v>284</v>
      </c>
      <c r="B2214" t="s">
        <v>285</v>
      </c>
      <c r="C2214" s="21" t="s">
        <v>275</v>
      </c>
      <c r="D2214" s="4">
        <v>5</v>
      </c>
      <c r="E2214" s="4"/>
      <c r="I2214" s="1">
        <f t="shared" si="325"/>
        <v>0</v>
      </c>
      <c r="J2214" s="1">
        <f t="shared" si="331"/>
        <v>881</v>
      </c>
      <c r="K2214" s="9" t="e">
        <f t="shared" si="328"/>
        <v>#DIV/0!</v>
      </c>
    </row>
    <row r="2215" spans="1:11" x14ac:dyDescent="0.35">
      <c r="A2215" s="2" t="s">
        <v>284</v>
      </c>
      <c r="B2215" t="s">
        <v>285</v>
      </c>
      <c r="C2215" s="21" t="s">
        <v>275</v>
      </c>
      <c r="D2215" s="4">
        <v>6</v>
      </c>
      <c r="E2215" s="4"/>
      <c r="I2215" s="1">
        <f t="shared" si="325"/>
        <v>0</v>
      </c>
      <c r="J2215" s="1">
        <f t="shared" si="331"/>
        <v>881</v>
      </c>
      <c r="K2215" s="9" t="e">
        <f t="shared" si="328"/>
        <v>#DIV/0!</v>
      </c>
    </row>
    <row r="2216" spans="1:11" x14ac:dyDescent="0.35">
      <c r="A2216" s="2" t="s">
        <v>284</v>
      </c>
      <c r="B2216" t="s">
        <v>285</v>
      </c>
      <c r="C2216" s="21" t="s">
        <v>275</v>
      </c>
      <c r="D2216" s="4">
        <v>7</v>
      </c>
      <c r="E2216" s="4"/>
      <c r="I2216" s="1">
        <f t="shared" si="325"/>
        <v>0</v>
      </c>
      <c r="J2216" s="1">
        <f t="shared" si="331"/>
        <v>881</v>
      </c>
      <c r="K2216" s="9" t="e">
        <f t="shared" si="328"/>
        <v>#DIV/0!</v>
      </c>
    </row>
    <row r="2217" spans="1:11" x14ac:dyDescent="0.35">
      <c r="A2217" s="2" t="s">
        <v>284</v>
      </c>
      <c r="B2217" t="s">
        <v>285</v>
      </c>
      <c r="C2217" s="21" t="s">
        <v>275</v>
      </c>
      <c r="D2217" s="4">
        <v>8</v>
      </c>
      <c r="E2217" s="4"/>
      <c r="I2217" s="1">
        <f t="shared" si="325"/>
        <v>0</v>
      </c>
      <c r="J2217" s="1">
        <f t="shared" si="331"/>
        <v>881</v>
      </c>
      <c r="K2217" s="9" t="e">
        <f t="shared" si="328"/>
        <v>#DIV/0!</v>
      </c>
    </row>
    <row r="2218" spans="1:11" x14ac:dyDescent="0.35">
      <c r="A2218" s="2" t="s">
        <v>284</v>
      </c>
      <c r="B2218" t="s">
        <v>285</v>
      </c>
      <c r="C2218" s="21" t="s">
        <v>275</v>
      </c>
      <c r="D2218" s="4">
        <v>9</v>
      </c>
      <c r="E2218" s="4"/>
      <c r="I2218" s="1">
        <f t="shared" si="325"/>
        <v>0</v>
      </c>
      <c r="J2218" s="1">
        <f t="shared" si="331"/>
        <v>881</v>
      </c>
      <c r="K2218" s="9" t="e">
        <f t="shared" si="328"/>
        <v>#DIV/0!</v>
      </c>
    </row>
    <row r="2219" spans="1:11" x14ac:dyDescent="0.35">
      <c r="A2219" s="2" t="s">
        <v>284</v>
      </c>
      <c r="B2219" t="s">
        <v>285</v>
      </c>
      <c r="C2219" s="21" t="s">
        <v>275</v>
      </c>
      <c r="D2219" s="4">
        <v>10</v>
      </c>
      <c r="E2219" s="4"/>
      <c r="I2219" s="1">
        <f t="shared" si="325"/>
        <v>0</v>
      </c>
      <c r="J2219" s="1">
        <f t="shared" si="331"/>
        <v>881</v>
      </c>
      <c r="K2219" s="9" t="e">
        <f t="shared" si="328"/>
        <v>#DIV/0!</v>
      </c>
    </row>
    <row r="2220" spans="1:11" x14ac:dyDescent="0.35">
      <c r="A2220" s="2" t="s">
        <v>284</v>
      </c>
      <c r="B2220" t="s">
        <v>285</v>
      </c>
      <c r="C2220" s="21" t="s">
        <v>275</v>
      </c>
      <c r="D2220" s="4">
        <v>11</v>
      </c>
      <c r="E2220" s="4"/>
      <c r="I2220" s="1">
        <f t="shared" si="325"/>
        <v>0</v>
      </c>
      <c r="J2220" s="1">
        <f t="shared" si="331"/>
        <v>881</v>
      </c>
      <c r="K2220" s="9" t="e">
        <f t="shared" si="328"/>
        <v>#DIV/0!</v>
      </c>
    </row>
    <row r="2221" spans="1:11" x14ac:dyDescent="0.35">
      <c r="A2221" s="2" t="s">
        <v>284</v>
      </c>
      <c r="B2221" t="s">
        <v>285</v>
      </c>
      <c r="C2221" s="21" t="s">
        <v>275</v>
      </c>
      <c r="D2221" s="4">
        <v>12</v>
      </c>
      <c r="E2221" s="4"/>
      <c r="I2221" s="1">
        <f t="shared" si="325"/>
        <v>0</v>
      </c>
      <c r="J2221" s="1">
        <f t="shared" si="331"/>
        <v>881</v>
      </c>
      <c r="K2221" s="9" t="e">
        <f t="shared" si="328"/>
        <v>#DIV/0!</v>
      </c>
    </row>
    <row r="2222" spans="1:11" x14ac:dyDescent="0.35">
      <c r="A2222" s="2" t="s">
        <v>284</v>
      </c>
      <c r="B2222" t="s">
        <v>285</v>
      </c>
      <c r="C2222" s="21" t="s">
        <v>275</v>
      </c>
      <c r="D2222" s="4">
        <v>13</v>
      </c>
      <c r="E2222" s="4"/>
      <c r="I2222" s="1">
        <f t="shared" si="325"/>
        <v>0</v>
      </c>
      <c r="J2222" s="1">
        <f t="shared" si="331"/>
        <v>881</v>
      </c>
      <c r="K2222" s="9" t="e">
        <f t="shared" si="328"/>
        <v>#DIV/0!</v>
      </c>
    </row>
    <row r="2223" spans="1:11" x14ac:dyDescent="0.35">
      <c r="A2223" s="2" t="s">
        <v>284</v>
      </c>
      <c r="B2223" t="s">
        <v>285</v>
      </c>
      <c r="C2223" s="21" t="s">
        <v>275</v>
      </c>
      <c r="D2223" s="4">
        <v>14</v>
      </c>
      <c r="E2223" s="4"/>
      <c r="I2223" s="1">
        <f t="shared" si="325"/>
        <v>0</v>
      </c>
      <c r="J2223" s="1">
        <f t="shared" si="331"/>
        <v>881</v>
      </c>
      <c r="K2223" s="9" t="e">
        <f t="shared" si="328"/>
        <v>#DIV/0!</v>
      </c>
    </row>
    <row r="2224" spans="1:11" x14ac:dyDescent="0.35">
      <c r="A2224" s="2" t="s">
        <v>284</v>
      </c>
      <c r="B2224" t="s">
        <v>285</v>
      </c>
      <c r="C2224" s="21" t="s">
        <v>275</v>
      </c>
      <c r="D2224" s="4">
        <v>15</v>
      </c>
      <c r="E2224" s="4"/>
      <c r="I2224" s="1">
        <f t="shared" si="325"/>
        <v>0</v>
      </c>
      <c r="J2224" s="1">
        <f t="shared" si="331"/>
        <v>881</v>
      </c>
      <c r="K2224" s="9" t="e">
        <f t="shared" si="328"/>
        <v>#DIV/0!</v>
      </c>
    </row>
    <row r="2225" spans="1:11" ht="15" thickBot="1" x14ac:dyDescent="0.4">
      <c r="A2225" s="12" t="s">
        <v>284</v>
      </c>
      <c r="B2225" s="13" t="s">
        <v>285</v>
      </c>
      <c r="C2225" s="22" t="s">
        <v>275</v>
      </c>
      <c r="D2225" s="14">
        <v>16</v>
      </c>
      <c r="E2225" s="14"/>
      <c r="F2225" s="13"/>
      <c r="G2225" s="13"/>
      <c r="H2225" s="13"/>
      <c r="I2225" s="15">
        <f t="shared" si="325"/>
        <v>0</v>
      </c>
      <c r="J2225" s="15">
        <f t="shared" si="331"/>
        <v>881</v>
      </c>
      <c r="K2225" s="16" t="e">
        <f t="shared" si="328"/>
        <v>#DIV/0!</v>
      </c>
    </row>
    <row r="2226" spans="1:11" x14ac:dyDescent="0.35">
      <c r="A2226" s="2" t="s">
        <v>288</v>
      </c>
      <c r="B2226" t="s">
        <v>289</v>
      </c>
      <c r="C2226" s="21" t="s">
        <v>275</v>
      </c>
      <c r="D2226" s="4">
        <v>1</v>
      </c>
      <c r="E2226" s="4"/>
      <c r="F2226" s="3">
        <v>45953</v>
      </c>
      <c r="G2226">
        <v>4849</v>
      </c>
      <c r="H2226">
        <v>4408.05</v>
      </c>
      <c r="I2226" s="1">
        <f t="shared" si="325"/>
        <v>440.94999999999982</v>
      </c>
      <c r="J2226" s="1">
        <f>I2226</f>
        <v>440.94999999999982</v>
      </c>
      <c r="K2226" s="9">
        <f t="shared" si="328"/>
        <v>0.10003289436372087</v>
      </c>
    </row>
    <row r="2227" spans="1:11" x14ac:dyDescent="0.35">
      <c r="A2227" s="2" t="s">
        <v>288</v>
      </c>
      <c r="B2227" t="s">
        <v>289</v>
      </c>
      <c r="C2227" s="21" t="s">
        <v>275</v>
      </c>
      <c r="D2227" s="4">
        <v>2</v>
      </c>
      <c r="E2227" s="4"/>
      <c r="F2227" s="3">
        <v>45960</v>
      </c>
      <c r="G2227">
        <v>4849</v>
      </c>
      <c r="H2227">
        <v>4408.05</v>
      </c>
      <c r="I2227" s="1">
        <f t="shared" si="325"/>
        <v>440.94999999999982</v>
      </c>
      <c r="J2227" s="1">
        <f>J2226+I2227</f>
        <v>881.89999999999964</v>
      </c>
      <c r="K2227" s="9">
        <f t="shared" si="328"/>
        <v>0.10003289436372087</v>
      </c>
    </row>
    <row r="2228" spans="1:11" x14ac:dyDescent="0.35">
      <c r="A2228" s="2" t="s">
        <v>288</v>
      </c>
      <c r="B2228" t="s">
        <v>289</v>
      </c>
      <c r="C2228" s="21" t="s">
        <v>275</v>
      </c>
      <c r="D2228" s="4">
        <v>3</v>
      </c>
      <c r="E2228" s="4"/>
      <c r="F2228" s="3"/>
      <c r="I2228" s="1">
        <f t="shared" si="325"/>
        <v>0</v>
      </c>
      <c r="J2228" s="1">
        <f t="shared" ref="J2228:J2241" si="332">J2227+I2228</f>
        <v>881.89999999999964</v>
      </c>
      <c r="K2228" s="9" t="e">
        <f t="shared" si="328"/>
        <v>#DIV/0!</v>
      </c>
    </row>
    <row r="2229" spans="1:11" x14ac:dyDescent="0.35">
      <c r="A2229" s="2" t="s">
        <v>288</v>
      </c>
      <c r="B2229" t="s">
        <v>289</v>
      </c>
      <c r="C2229" s="21" t="s">
        <v>275</v>
      </c>
      <c r="D2229" s="4">
        <v>4</v>
      </c>
      <c r="E2229" s="4"/>
      <c r="I2229" s="1">
        <f t="shared" si="325"/>
        <v>0</v>
      </c>
      <c r="J2229" s="1">
        <f t="shared" si="332"/>
        <v>881.89999999999964</v>
      </c>
      <c r="K2229" s="9" t="e">
        <f t="shared" si="328"/>
        <v>#DIV/0!</v>
      </c>
    </row>
    <row r="2230" spans="1:11" x14ac:dyDescent="0.35">
      <c r="A2230" s="2" t="s">
        <v>288</v>
      </c>
      <c r="B2230" t="s">
        <v>289</v>
      </c>
      <c r="C2230" s="21" t="s">
        <v>275</v>
      </c>
      <c r="D2230" s="4">
        <v>5</v>
      </c>
      <c r="E2230" s="4"/>
      <c r="I2230" s="1">
        <f t="shared" si="325"/>
        <v>0</v>
      </c>
      <c r="J2230" s="1">
        <f t="shared" si="332"/>
        <v>881.89999999999964</v>
      </c>
      <c r="K2230" s="9" t="e">
        <f t="shared" si="328"/>
        <v>#DIV/0!</v>
      </c>
    </row>
    <row r="2231" spans="1:11" x14ac:dyDescent="0.35">
      <c r="A2231" s="2" t="s">
        <v>288</v>
      </c>
      <c r="B2231" t="s">
        <v>289</v>
      </c>
      <c r="C2231" s="21" t="s">
        <v>275</v>
      </c>
      <c r="D2231" s="4">
        <v>6</v>
      </c>
      <c r="E2231" s="4"/>
      <c r="I2231" s="1">
        <f t="shared" si="325"/>
        <v>0</v>
      </c>
      <c r="J2231" s="1">
        <f t="shared" si="332"/>
        <v>881.89999999999964</v>
      </c>
      <c r="K2231" s="9" t="e">
        <f t="shared" si="328"/>
        <v>#DIV/0!</v>
      </c>
    </row>
    <row r="2232" spans="1:11" x14ac:dyDescent="0.35">
      <c r="A2232" s="2" t="s">
        <v>288</v>
      </c>
      <c r="B2232" t="s">
        <v>289</v>
      </c>
      <c r="C2232" s="21" t="s">
        <v>275</v>
      </c>
      <c r="D2232" s="4">
        <v>7</v>
      </c>
      <c r="E2232" s="4"/>
      <c r="I2232" s="1">
        <f t="shared" si="325"/>
        <v>0</v>
      </c>
      <c r="J2232" s="1">
        <f t="shared" si="332"/>
        <v>881.89999999999964</v>
      </c>
      <c r="K2232" s="9" t="e">
        <f t="shared" si="328"/>
        <v>#DIV/0!</v>
      </c>
    </row>
    <row r="2233" spans="1:11" x14ac:dyDescent="0.35">
      <c r="A2233" s="2" t="s">
        <v>288</v>
      </c>
      <c r="B2233" t="s">
        <v>289</v>
      </c>
      <c r="C2233" s="21" t="s">
        <v>275</v>
      </c>
      <c r="D2233" s="4">
        <v>8</v>
      </c>
      <c r="E2233" s="4"/>
      <c r="I2233" s="1">
        <f t="shared" si="325"/>
        <v>0</v>
      </c>
      <c r="J2233" s="1">
        <f t="shared" si="332"/>
        <v>881.89999999999964</v>
      </c>
      <c r="K2233" s="9" t="e">
        <f t="shared" si="328"/>
        <v>#DIV/0!</v>
      </c>
    </row>
    <row r="2234" spans="1:11" x14ac:dyDescent="0.35">
      <c r="A2234" s="2" t="s">
        <v>288</v>
      </c>
      <c r="B2234" t="s">
        <v>289</v>
      </c>
      <c r="C2234" s="21" t="s">
        <v>275</v>
      </c>
      <c r="D2234" s="4">
        <v>9</v>
      </c>
      <c r="E2234" s="4"/>
      <c r="I2234" s="1">
        <f t="shared" si="325"/>
        <v>0</v>
      </c>
      <c r="J2234" s="1">
        <f t="shared" si="332"/>
        <v>881.89999999999964</v>
      </c>
      <c r="K2234" s="9" t="e">
        <f t="shared" si="328"/>
        <v>#DIV/0!</v>
      </c>
    </row>
    <row r="2235" spans="1:11" x14ac:dyDescent="0.35">
      <c r="A2235" s="2" t="s">
        <v>288</v>
      </c>
      <c r="B2235" t="s">
        <v>289</v>
      </c>
      <c r="C2235" s="21" t="s">
        <v>275</v>
      </c>
      <c r="D2235" s="4">
        <v>10</v>
      </c>
      <c r="E2235" s="4"/>
      <c r="I2235" s="1">
        <f t="shared" si="325"/>
        <v>0</v>
      </c>
      <c r="J2235" s="1">
        <f t="shared" si="332"/>
        <v>881.89999999999964</v>
      </c>
      <c r="K2235" s="9" t="e">
        <f t="shared" si="328"/>
        <v>#DIV/0!</v>
      </c>
    </row>
    <row r="2236" spans="1:11" x14ac:dyDescent="0.35">
      <c r="A2236" s="2" t="s">
        <v>288</v>
      </c>
      <c r="B2236" t="s">
        <v>289</v>
      </c>
      <c r="C2236" s="21" t="s">
        <v>275</v>
      </c>
      <c r="D2236" s="4">
        <v>11</v>
      </c>
      <c r="E2236" s="4"/>
      <c r="I2236" s="1">
        <f t="shared" si="325"/>
        <v>0</v>
      </c>
      <c r="J2236" s="1">
        <f t="shared" si="332"/>
        <v>881.89999999999964</v>
      </c>
      <c r="K2236" s="9" t="e">
        <f t="shared" si="328"/>
        <v>#DIV/0!</v>
      </c>
    </row>
    <row r="2237" spans="1:11" x14ac:dyDescent="0.35">
      <c r="A2237" s="2" t="s">
        <v>288</v>
      </c>
      <c r="B2237" t="s">
        <v>289</v>
      </c>
      <c r="C2237" s="21" t="s">
        <v>275</v>
      </c>
      <c r="D2237" s="4">
        <v>12</v>
      </c>
      <c r="E2237" s="4"/>
      <c r="I2237" s="1">
        <f t="shared" si="325"/>
        <v>0</v>
      </c>
      <c r="J2237" s="1">
        <f t="shared" si="332"/>
        <v>881.89999999999964</v>
      </c>
      <c r="K2237" s="9" t="e">
        <f t="shared" si="328"/>
        <v>#DIV/0!</v>
      </c>
    </row>
    <row r="2238" spans="1:11" x14ac:dyDescent="0.35">
      <c r="A2238" s="2" t="s">
        <v>288</v>
      </c>
      <c r="B2238" t="s">
        <v>289</v>
      </c>
      <c r="C2238" s="21" t="s">
        <v>275</v>
      </c>
      <c r="D2238" s="4">
        <v>13</v>
      </c>
      <c r="E2238" s="4"/>
      <c r="I2238" s="1">
        <f t="shared" si="325"/>
        <v>0</v>
      </c>
      <c r="J2238" s="1">
        <f t="shared" si="332"/>
        <v>881.89999999999964</v>
      </c>
      <c r="K2238" s="9" t="e">
        <f t="shared" si="328"/>
        <v>#DIV/0!</v>
      </c>
    </row>
    <row r="2239" spans="1:11" x14ac:dyDescent="0.35">
      <c r="A2239" s="2" t="s">
        <v>288</v>
      </c>
      <c r="B2239" t="s">
        <v>289</v>
      </c>
      <c r="C2239" s="21" t="s">
        <v>275</v>
      </c>
      <c r="D2239" s="4">
        <v>14</v>
      </c>
      <c r="E2239" s="4"/>
      <c r="I2239" s="1">
        <f t="shared" si="325"/>
        <v>0</v>
      </c>
      <c r="J2239" s="1">
        <f t="shared" si="332"/>
        <v>881.89999999999964</v>
      </c>
      <c r="K2239" s="9" t="e">
        <f t="shared" si="328"/>
        <v>#DIV/0!</v>
      </c>
    </row>
    <row r="2240" spans="1:11" x14ac:dyDescent="0.35">
      <c r="A2240" s="2" t="s">
        <v>288</v>
      </c>
      <c r="B2240" t="s">
        <v>289</v>
      </c>
      <c r="C2240" s="21" t="s">
        <v>275</v>
      </c>
      <c r="D2240" s="4">
        <v>15</v>
      </c>
      <c r="E2240" s="4"/>
      <c r="I2240" s="1">
        <f t="shared" si="325"/>
        <v>0</v>
      </c>
      <c r="J2240" s="1">
        <f t="shared" si="332"/>
        <v>881.89999999999964</v>
      </c>
      <c r="K2240" s="9" t="e">
        <f t="shared" si="328"/>
        <v>#DIV/0!</v>
      </c>
    </row>
    <row r="2241" spans="1:11" ht="15" thickBot="1" x14ac:dyDescent="0.4">
      <c r="A2241" s="12" t="s">
        <v>288</v>
      </c>
      <c r="B2241" s="13" t="s">
        <v>289</v>
      </c>
      <c r="C2241" s="22" t="s">
        <v>275</v>
      </c>
      <c r="D2241" s="14">
        <v>16</v>
      </c>
      <c r="E2241" s="14"/>
      <c r="F2241" s="13"/>
      <c r="G2241" s="13"/>
      <c r="H2241" s="13"/>
      <c r="I2241" s="15">
        <f t="shared" si="325"/>
        <v>0</v>
      </c>
      <c r="J2241" s="15">
        <f t="shared" si="332"/>
        <v>881.89999999999964</v>
      </c>
      <c r="K2241" s="16" t="e">
        <f t="shared" si="328"/>
        <v>#DIV/0!</v>
      </c>
    </row>
    <row r="2242" spans="1:11" x14ac:dyDescent="0.35">
      <c r="A2242" s="2" t="s">
        <v>290</v>
      </c>
      <c r="B2242" t="s">
        <v>287</v>
      </c>
      <c r="C2242" s="21" t="s">
        <v>275</v>
      </c>
      <c r="D2242" s="4">
        <v>1</v>
      </c>
      <c r="E2242" s="4"/>
      <c r="F2242" s="3">
        <v>45953</v>
      </c>
      <c r="G2242">
        <v>3512</v>
      </c>
      <c r="H2242">
        <v>3192</v>
      </c>
      <c r="I2242" s="1">
        <f t="shared" si="325"/>
        <v>320</v>
      </c>
      <c r="J2242" s="1">
        <f>I2242</f>
        <v>320</v>
      </c>
      <c r="K2242" s="9">
        <f t="shared" si="328"/>
        <v>0.10025062656641603</v>
      </c>
    </row>
    <row r="2243" spans="1:11" x14ac:dyDescent="0.35">
      <c r="A2243" s="2" t="s">
        <v>290</v>
      </c>
      <c r="B2243" t="s">
        <v>287</v>
      </c>
      <c r="C2243" s="21" t="s">
        <v>275</v>
      </c>
      <c r="D2243" s="4">
        <v>2</v>
      </c>
      <c r="E2243" s="4"/>
      <c r="F2243" s="3">
        <v>45960</v>
      </c>
      <c r="G2243">
        <v>3512</v>
      </c>
      <c r="H2243">
        <v>3192</v>
      </c>
      <c r="I2243" s="1">
        <f t="shared" si="325"/>
        <v>320</v>
      </c>
      <c r="J2243" s="1">
        <f>J2242+I2243</f>
        <v>640</v>
      </c>
      <c r="K2243" s="9">
        <f t="shared" si="328"/>
        <v>0.10025062656641603</v>
      </c>
    </row>
    <row r="2244" spans="1:11" x14ac:dyDescent="0.35">
      <c r="A2244" s="2" t="s">
        <v>290</v>
      </c>
      <c r="B2244" t="s">
        <v>287</v>
      </c>
      <c r="C2244" s="21" t="s">
        <v>275</v>
      </c>
      <c r="D2244" s="4">
        <v>3</v>
      </c>
      <c r="E2244" s="4"/>
      <c r="F2244" s="3">
        <v>45967</v>
      </c>
      <c r="G2244">
        <v>3512</v>
      </c>
      <c r="H2244">
        <v>3192</v>
      </c>
      <c r="I2244" s="1">
        <f t="shared" si="325"/>
        <v>320</v>
      </c>
      <c r="J2244" s="1">
        <f t="shared" ref="J2244:J2257" si="333">J2243+I2244</f>
        <v>960</v>
      </c>
      <c r="K2244" s="9">
        <f t="shared" si="328"/>
        <v>0.10025062656641603</v>
      </c>
    </row>
    <row r="2245" spans="1:11" x14ac:dyDescent="0.35">
      <c r="A2245" s="2" t="s">
        <v>290</v>
      </c>
      <c r="B2245" t="s">
        <v>287</v>
      </c>
      <c r="C2245" s="21" t="s">
        <v>275</v>
      </c>
      <c r="D2245" s="4">
        <v>4</v>
      </c>
      <c r="E2245" s="4"/>
      <c r="I2245" s="1">
        <f t="shared" si="325"/>
        <v>0</v>
      </c>
      <c r="J2245" s="1">
        <f t="shared" si="333"/>
        <v>960</v>
      </c>
      <c r="K2245" s="9" t="e">
        <f t="shared" si="328"/>
        <v>#DIV/0!</v>
      </c>
    </row>
    <row r="2246" spans="1:11" x14ac:dyDescent="0.35">
      <c r="A2246" s="2" t="s">
        <v>290</v>
      </c>
      <c r="B2246" t="s">
        <v>287</v>
      </c>
      <c r="C2246" s="21" t="s">
        <v>275</v>
      </c>
      <c r="D2246" s="4">
        <v>5</v>
      </c>
      <c r="E2246" s="4"/>
      <c r="I2246" s="1">
        <f t="shared" si="325"/>
        <v>0</v>
      </c>
      <c r="J2246" s="1">
        <f t="shared" si="333"/>
        <v>960</v>
      </c>
      <c r="K2246" s="9" t="e">
        <f t="shared" si="328"/>
        <v>#DIV/0!</v>
      </c>
    </row>
    <row r="2247" spans="1:11" x14ac:dyDescent="0.35">
      <c r="A2247" s="2" t="s">
        <v>290</v>
      </c>
      <c r="B2247" t="s">
        <v>287</v>
      </c>
      <c r="C2247" s="21" t="s">
        <v>275</v>
      </c>
      <c r="D2247" s="4">
        <v>6</v>
      </c>
      <c r="E2247" s="4"/>
      <c r="I2247" s="1">
        <f t="shared" si="325"/>
        <v>0</v>
      </c>
      <c r="J2247" s="1">
        <f t="shared" si="333"/>
        <v>960</v>
      </c>
      <c r="K2247" s="9" t="e">
        <f t="shared" si="328"/>
        <v>#DIV/0!</v>
      </c>
    </row>
    <row r="2248" spans="1:11" x14ac:dyDescent="0.35">
      <c r="A2248" s="2" t="s">
        <v>290</v>
      </c>
      <c r="B2248" t="s">
        <v>287</v>
      </c>
      <c r="C2248" s="21" t="s">
        <v>275</v>
      </c>
      <c r="D2248" s="4">
        <v>7</v>
      </c>
      <c r="E2248" s="4"/>
      <c r="I2248" s="1">
        <f t="shared" si="325"/>
        <v>0</v>
      </c>
      <c r="J2248" s="1">
        <f t="shared" si="333"/>
        <v>960</v>
      </c>
      <c r="K2248" s="9" t="e">
        <f t="shared" si="328"/>
        <v>#DIV/0!</v>
      </c>
    </row>
    <row r="2249" spans="1:11" x14ac:dyDescent="0.35">
      <c r="A2249" s="2" t="s">
        <v>290</v>
      </c>
      <c r="B2249" t="s">
        <v>287</v>
      </c>
      <c r="C2249" s="21" t="s">
        <v>275</v>
      </c>
      <c r="D2249" s="4">
        <v>8</v>
      </c>
      <c r="E2249" s="4"/>
      <c r="I2249" s="1">
        <f t="shared" si="325"/>
        <v>0</v>
      </c>
      <c r="J2249" s="1">
        <f t="shared" si="333"/>
        <v>960</v>
      </c>
      <c r="K2249" s="9" t="e">
        <f t="shared" si="328"/>
        <v>#DIV/0!</v>
      </c>
    </row>
    <row r="2250" spans="1:11" x14ac:dyDescent="0.35">
      <c r="A2250" s="2" t="s">
        <v>290</v>
      </c>
      <c r="B2250" t="s">
        <v>287</v>
      </c>
      <c r="C2250" s="21" t="s">
        <v>275</v>
      </c>
      <c r="D2250" s="4">
        <v>9</v>
      </c>
      <c r="E2250" s="4"/>
      <c r="I2250" s="1">
        <f t="shared" si="325"/>
        <v>0</v>
      </c>
      <c r="J2250" s="1">
        <f t="shared" si="333"/>
        <v>960</v>
      </c>
      <c r="K2250" s="9" t="e">
        <f t="shared" si="328"/>
        <v>#DIV/0!</v>
      </c>
    </row>
    <row r="2251" spans="1:11" x14ac:dyDescent="0.35">
      <c r="A2251" s="2" t="s">
        <v>290</v>
      </c>
      <c r="B2251" t="s">
        <v>287</v>
      </c>
      <c r="C2251" s="21" t="s">
        <v>275</v>
      </c>
      <c r="D2251" s="4">
        <v>10</v>
      </c>
      <c r="E2251" s="4"/>
      <c r="I2251" s="1">
        <f t="shared" si="325"/>
        <v>0</v>
      </c>
      <c r="J2251" s="1">
        <f t="shared" si="333"/>
        <v>960</v>
      </c>
      <c r="K2251" s="9" t="e">
        <f t="shared" si="328"/>
        <v>#DIV/0!</v>
      </c>
    </row>
    <row r="2252" spans="1:11" x14ac:dyDescent="0.35">
      <c r="A2252" s="2" t="s">
        <v>290</v>
      </c>
      <c r="B2252" t="s">
        <v>287</v>
      </c>
      <c r="C2252" s="21" t="s">
        <v>275</v>
      </c>
      <c r="D2252" s="4">
        <v>11</v>
      </c>
      <c r="E2252" s="4"/>
      <c r="I2252" s="1">
        <f t="shared" si="325"/>
        <v>0</v>
      </c>
      <c r="J2252" s="1">
        <f t="shared" si="333"/>
        <v>960</v>
      </c>
      <c r="K2252" s="9" t="e">
        <f t="shared" si="328"/>
        <v>#DIV/0!</v>
      </c>
    </row>
    <row r="2253" spans="1:11" x14ac:dyDescent="0.35">
      <c r="A2253" s="2" t="s">
        <v>290</v>
      </c>
      <c r="B2253" t="s">
        <v>287</v>
      </c>
      <c r="C2253" s="21" t="s">
        <v>275</v>
      </c>
      <c r="D2253" s="4">
        <v>12</v>
      </c>
      <c r="E2253" s="4"/>
      <c r="I2253" s="1">
        <f t="shared" si="325"/>
        <v>0</v>
      </c>
      <c r="J2253" s="1">
        <f t="shared" si="333"/>
        <v>960</v>
      </c>
      <c r="K2253" s="9" t="e">
        <f t="shared" si="328"/>
        <v>#DIV/0!</v>
      </c>
    </row>
    <row r="2254" spans="1:11" x14ac:dyDescent="0.35">
      <c r="A2254" s="2" t="s">
        <v>290</v>
      </c>
      <c r="B2254" t="s">
        <v>287</v>
      </c>
      <c r="C2254" s="21" t="s">
        <v>275</v>
      </c>
      <c r="D2254" s="4">
        <v>13</v>
      </c>
      <c r="E2254" s="4"/>
      <c r="I2254" s="1">
        <f t="shared" si="325"/>
        <v>0</v>
      </c>
      <c r="J2254" s="1">
        <f t="shared" si="333"/>
        <v>960</v>
      </c>
      <c r="K2254" s="9" t="e">
        <f t="shared" si="328"/>
        <v>#DIV/0!</v>
      </c>
    </row>
    <row r="2255" spans="1:11" x14ac:dyDescent="0.35">
      <c r="A2255" s="2" t="s">
        <v>290</v>
      </c>
      <c r="B2255" t="s">
        <v>287</v>
      </c>
      <c r="C2255" s="21" t="s">
        <v>275</v>
      </c>
      <c r="D2255" s="4">
        <v>14</v>
      </c>
      <c r="E2255" s="4"/>
      <c r="I2255" s="1">
        <f t="shared" si="325"/>
        <v>0</v>
      </c>
      <c r="J2255" s="1">
        <f t="shared" si="333"/>
        <v>960</v>
      </c>
      <c r="K2255" s="9" t="e">
        <f t="shared" si="328"/>
        <v>#DIV/0!</v>
      </c>
    </row>
    <row r="2256" spans="1:11" x14ac:dyDescent="0.35">
      <c r="A2256" s="2" t="s">
        <v>290</v>
      </c>
      <c r="B2256" t="s">
        <v>287</v>
      </c>
      <c r="C2256" s="21" t="s">
        <v>275</v>
      </c>
      <c r="D2256" s="4">
        <v>15</v>
      </c>
      <c r="E2256" s="4"/>
      <c r="I2256" s="1">
        <f t="shared" si="325"/>
        <v>0</v>
      </c>
      <c r="J2256" s="1">
        <f t="shared" si="333"/>
        <v>960</v>
      </c>
      <c r="K2256" s="9" t="e">
        <f t="shared" si="328"/>
        <v>#DIV/0!</v>
      </c>
    </row>
    <row r="2257" spans="1:11" ht="15" thickBot="1" x14ac:dyDescent="0.4">
      <c r="A2257" s="12" t="s">
        <v>290</v>
      </c>
      <c r="B2257" s="13" t="s">
        <v>287</v>
      </c>
      <c r="C2257" s="22" t="s">
        <v>275</v>
      </c>
      <c r="D2257" s="14">
        <v>16</v>
      </c>
      <c r="E2257" s="14"/>
      <c r="F2257" s="13"/>
      <c r="G2257" s="13"/>
      <c r="H2257" s="13"/>
      <c r="I2257" s="15">
        <f t="shared" si="325"/>
        <v>0</v>
      </c>
      <c r="J2257" s="15">
        <f t="shared" si="333"/>
        <v>960</v>
      </c>
      <c r="K2257" s="16" t="e">
        <f t="shared" si="328"/>
        <v>#DIV/0!</v>
      </c>
    </row>
    <row r="2258" spans="1:11" x14ac:dyDescent="0.35">
      <c r="A2258" s="2" t="s">
        <v>280</v>
      </c>
      <c r="B2258" t="s">
        <v>281</v>
      </c>
      <c r="C2258" s="21" t="s">
        <v>275</v>
      </c>
      <c r="D2258" s="4">
        <v>1</v>
      </c>
      <c r="F2258" s="3">
        <v>45951</v>
      </c>
      <c r="G2258">
        <v>10000</v>
      </c>
      <c r="H2258">
        <v>9500</v>
      </c>
      <c r="I2258" s="1">
        <f t="shared" si="325"/>
        <v>500</v>
      </c>
      <c r="J2258" s="1">
        <f>I2258</f>
        <v>500</v>
      </c>
      <c r="K2258" s="9">
        <f t="shared" si="328"/>
        <v>5.2631578947368418E-2</v>
      </c>
    </row>
    <row r="2259" spans="1:11" x14ac:dyDescent="0.35">
      <c r="A2259" s="2" t="s">
        <v>280</v>
      </c>
      <c r="B2259" t="s">
        <v>281</v>
      </c>
      <c r="C2259" s="21" t="s">
        <v>275</v>
      </c>
      <c r="D2259" s="4">
        <v>2</v>
      </c>
      <c r="F2259" s="3">
        <v>45958</v>
      </c>
      <c r="G2259">
        <v>10000</v>
      </c>
      <c r="H2259">
        <v>9500</v>
      </c>
      <c r="I2259" s="1">
        <f t="shared" ref="I2259:I2321" si="334">G2259-H2259</f>
        <v>500</v>
      </c>
      <c r="J2259" s="1">
        <f>J2258+I2259</f>
        <v>1000</v>
      </c>
      <c r="K2259" s="9">
        <f t="shared" si="328"/>
        <v>5.2631578947368418E-2</v>
      </c>
    </row>
    <row r="2260" spans="1:11" x14ac:dyDescent="0.35">
      <c r="A2260" s="2" t="s">
        <v>280</v>
      </c>
      <c r="B2260" t="s">
        <v>281</v>
      </c>
      <c r="C2260" s="21" t="s">
        <v>275</v>
      </c>
      <c r="D2260" s="4">
        <v>3</v>
      </c>
      <c r="F2260" s="3">
        <v>45965</v>
      </c>
      <c r="G2260">
        <v>10000</v>
      </c>
      <c r="H2260">
        <v>9500</v>
      </c>
      <c r="I2260" s="1">
        <f t="shared" si="334"/>
        <v>500</v>
      </c>
      <c r="J2260" s="1">
        <f t="shared" ref="J2260:J2273" si="335">J2259+I2260</f>
        <v>1500</v>
      </c>
      <c r="K2260" s="9">
        <f t="shared" si="328"/>
        <v>5.2631578947368418E-2</v>
      </c>
    </row>
    <row r="2261" spans="1:11" x14ac:dyDescent="0.35">
      <c r="A2261" s="2" t="s">
        <v>280</v>
      </c>
      <c r="B2261" t="s">
        <v>281</v>
      </c>
      <c r="C2261" s="21" t="s">
        <v>275</v>
      </c>
      <c r="D2261" s="4">
        <v>4</v>
      </c>
      <c r="I2261" s="1">
        <f t="shared" si="334"/>
        <v>0</v>
      </c>
      <c r="J2261" s="1">
        <f t="shared" si="335"/>
        <v>1500</v>
      </c>
      <c r="K2261" s="9" t="e">
        <f t="shared" si="328"/>
        <v>#DIV/0!</v>
      </c>
    </row>
    <row r="2262" spans="1:11" x14ac:dyDescent="0.35">
      <c r="A2262" s="2" t="s">
        <v>280</v>
      </c>
      <c r="B2262" t="s">
        <v>281</v>
      </c>
      <c r="C2262" s="21" t="s">
        <v>275</v>
      </c>
      <c r="D2262" s="4">
        <v>5</v>
      </c>
      <c r="I2262" s="1">
        <f t="shared" si="334"/>
        <v>0</v>
      </c>
      <c r="J2262" s="1">
        <f t="shared" si="335"/>
        <v>1500</v>
      </c>
      <c r="K2262" s="9" t="e">
        <f t="shared" si="328"/>
        <v>#DIV/0!</v>
      </c>
    </row>
    <row r="2263" spans="1:11" x14ac:dyDescent="0.35">
      <c r="A2263" s="2" t="s">
        <v>280</v>
      </c>
      <c r="B2263" t="s">
        <v>281</v>
      </c>
      <c r="C2263" s="21" t="s">
        <v>275</v>
      </c>
      <c r="D2263" s="4">
        <v>6</v>
      </c>
      <c r="I2263" s="1">
        <f t="shared" si="334"/>
        <v>0</v>
      </c>
      <c r="J2263" s="1">
        <f t="shared" si="335"/>
        <v>1500</v>
      </c>
      <c r="K2263" s="9" t="e">
        <f t="shared" si="328"/>
        <v>#DIV/0!</v>
      </c>
    </row>
    <row r="2264" spans="1:11" x14ac:dyDescent="0.35">
      <c r="A2264" s="2" t="s">
        <v>280</v>
      </c>
      <c r="B2264" t="s">
        <v>281</v>
      </c>
      <c r="C2264" s="21" t="s">
        <v>275</v>
      </c>
      <c r="D2264" s="4">
        <v>7</v>
      </c>
      <c r="I2264" s="1">
        <f t="shared" si="334"/>
        <v>0</v>
      </c>
      <c r="J2264" s="1">
        <f t="shared" si="335"/>
        <v>1500</v>
      </c>
      <c r="K2264" s="9" t="e">
        <f t="shared" si="328"/>
        <v>#DIV/0!</v>
      </c>
    </row>
    <row r="2265" spans="1:11" x14ac:dyDescent="0.35">
      <c r="A2265" s="2" t="s">
        <v>280</v>
      </c>
      <c r="B2265" t="s">
        <v>281</v>
      </c>
      <c r="C2265" s="21" t="s">
        <v>275</v>
      </c>
      <c r="D2265" s="4">
        <v>8</v>
      </c>
      <c r="I2265" s="1">
        <f t="shared" si="334"/>
        <v>0</v>
      </c>
      <c r="J2265" s="1">
        <f t="shared" si="335"/>
        <v>1500</v>
      </c>
      <c r="K2265" s="9" t="e">
        <f t="shared" si="328"/>
        <v>#DIV/0!</v>
      </c>
    </row>
    <row r="2266" spans="1:11" x14ac:dyDescent="0.35">
      <c r="A2266" s="2" t="s">
        <v>280</v>
      </c>
      <c r="B2266" t="s">
        <v>281</v>
      </c>
      <c r="C2266" s="21" t="s">
        <v>275</v>
      </c>
      <c r="D2266" s="4">
        <v>9</v>
      </c>
      <c r="I2266" s="1">
        <f t="shared" si="334"/>
        <v>0</v>
      </c>
      <c r="J2266" s="1">
        <f t="shared" si="335"/>
        <v>1500</v>
      </c>
      <c r="K2266" s="9" t="e">
        <f t="shared" si="328"/>
        <v>#DIV/0!</v>
      </c>
    </row>
    <row r="2267" spans="1:11" x14ac:dyDescent="0.35">
      <c r="A2267" s="2" t="s">
        <v>280</v>
      </c>
      <c r="B2267" t="s">
        <v>281</v>
      </c>
      <c r="C2267" s="21" t="s">
        <v>275</v>
      </c>
      <c r="D2267" s="4">
        <v>10</v>
      </c>
      <c r="I2267" s="1">
        <f t="shared" si="334"/>
        <v>0</v>
      </c>
      <c r="J2267" s="1">
        <f t="shared" si="335"/>
        <v>1500</v>
      </c>
      <c r="K2267" s="9" t="e">
        <f t="shared" si="328"/>
        <v>#DIV/0!</v>
      </c>
    </row>
    <row r="2268" spans="1:11" x14ac:dyDescent="0.35">
      <c r="A2268" s="2" t="s">
        <v>280</v>
      </c>
      <c r="B2268" t="s">
        <v>281</v>
      </c>
      <c r="C2268" s="21" t="s">
        <v>275</v>
      </c>
      <c r="D2268" s="4">
        <v>11</v>
      </c>
      <c r="I2268" s="1">
        <f t="shared" si="334"/>
        <v>0</v>
      </c>
      <c r="J2268" s="1">
        <f t="shared" si="335"/>
        <v>1500</v>
      </c>
      <c r="K2268" s="9" t="e">
        <f t="shared" si="328"/>
        <v>#DIV/0!</v>
      </c>
    </row>
    <row r="2269" spans="1:11" x14ac:dyDescent="0.35">
      <c r="A2269" s="2" t="s">
        <v>280</v>
      </c>
      <c r="B2269" t="s">
        <v>281</v>
      </c>
      <c r="C2269" s="21" t="s">
        <v>275</v>
      </c>
      <c r="D2269" s="4">
        <v>12</v>
      </c>
      <c r="I2269" s="1">
        <f t="shared" si="334"/>
        <v>0</v>
      </c>
      <c r="J2269" s="1">
        <f t="shared" si="335"/>
        <v>1500</v>
      </c>
      <c r="K2269" s="9" t="e">
        <f t="shared" si="328"/>
        <v>#DIV/0!</v>
      </c>
    </row>
    <row r="2270" spans="1:11" x14ac:dyDescent="0.35">
      <c r="A2270" s="2" t="s">
        <v>280</v>
      </c>
      <c r="B2270" t="s">
        <v>281</v>
      </c>
      <c r="C2270" s="21" t="s">
        <v>275</v>
      </c>
      <c r="D2270" s="4">
        <v>13</v>
      </c>
      <c r="I2270" s="1">
        <f t="shared" si="334"/>
        <v>0</v>
      </c>
      <c r="J2270" s="1">
        <f t="shared" si="335"/>
        <v>1500</v>
      </c>
      <c r="K2270" s="9" t="e">
        <f t="shared" si="328"/>
        <v>#DIV/0!</v>
      </c>
    </row>
    <row r="2271" spans="1:11" x14ac:dyDescent="0.35">
      <c r="A2271" s="2" t="s">
        <v>280</v>
      </c>
      <c r="B2271" t="s">
        <v>281</v>
      </c>
      <c r="C2271" s="21" t="s">
        <v>275</v>
      </c>
      <c r="D2271" s="4">
        <v>14</v>
      </c>
      <c r="I2271" s="1">
        <f t="shared" si="334"/>
        <v>0</v>
      </c>
      <c r="J2271" s="1">
        <f t="shared" si="335"/>
        <v>1500</v>
      </c>
      <c r="K2271" s="9" t="e">
        <f t="shared" si="328"/>
        <v>#DIV/0!</v>
      </c>
    </row>
    <row r="2272" spans="1:11" x14ac:dyDescent="0.35">
      <c r="A2272" s="2" t="s">
        <v>280</v>
      </c>
      <c r="B2272" t="s">
        <v>281</v>
      </c>
      <c r="C2272" s="21" t="s">
        <v>275</v>
      </c>
      <c r="D2272" s="4">
        <v>15</v>
      </c>
      <c r="I2272" s="1">
        <f t="shared" si="334"/>
        <v>0</v>
      </c>
      <c r="J2272" s="1">
        <f t="shared" si="335"/>
        <v>1500</v>
      </c>
      <c r="K2272" s="9" t="e">
        <f t="shared" si="328"/>
        <v>#DIV/0!</v>
      </c>
    </row>
    <row r="2273" spans="1:11" ht="15" thickBot="1" x14ac:dyDescent="0.4">
      <c r="A2273" s="12" t="s">
        <v>280</v>
      </c>
      <c r="B2273" s="13" t="s">
        <v>281</v>
      </c>
      <c r="C2273" s="22" t="s">
        <v>275</v>
      </c>
      <c r="D2273" s="14">
        <v>16</v>
      </c>
      <c r="E2273" s="13"/>
      <c r="F2273" s="13"/>
      <c r="G2273" s="13"/>
      <c r="H2273" s="13"/>
      <c r="I2273" s="15">
        <f t="shared" si="334"/>
        <v>0</v>
      </c>
      <c r="J2273" s="15">
        <f t="shared" si="335"/>
        <v>1500</v>
      </c>
      <c r="K2273" s="16" t="e">
        <f t="shared" si="328"/>
        <v>#DIV/0!</v>
      </c>
    </row>
    <row r="2274" spans="1:11" x14ac:dyDescent="0.35">
      <c r="A2274" s="2" t="s">
        <v>292</v>
      </c>
      <c r="B2274" t="s">
        <v>291</v>
      </c>
      <c r="C2274" s="21" t="s">
        <v>275</v>
      </c>
      <c r="D2274" s="4">
        <v>1</v>
      </c>
      <c r="F2274" s="3">
        <v>45951</v>
      </c>
      <c r="G2274">
        <v>7273</v>
      </c>
      <c r="H2274">
        <v>6612.01</v>
      </c>
      <c r="I2274" s="1">
        <f t="shared" si="334"/>
        <v>660.98999999999978</v>
      </c>
      <c r="J2274" s="1">
        <f>I2274</f>
        <v>660.98999999999978</v>
      </c>
      <c r="K2274" s="9">
        <f t="shared" si="328"/>
        <v>9.9968088372522093E-2</v>
      </c>
    </row>
    <row r="2275" spans="1:11" x14ac:dyDescent="0.35">
      <c r="A2275" s="2" t="s">
        <v>292</v>
      </c>
      <c r="B2275" t="s">
        <v>291</v>
      </c>
      <c r="C2275" s="21" t="s">
        <v>275</v>
      </c>
      <c r="D2275" s="4">
        <v>2</v>
      </c>
      <c r="F2275" s="3">
        <v>45958</v>
      </c>
      <c r="G2275">
        <v>6613</v>
      </c>
      <c r="H2275">
        <v>6613</v>
      </c>
      <c r="I2275" s="1">
        <f t="shared" si="334"/>
        <v>0</v>
      </c>
      <c r="J2275" s="1">
        <f>J2274+I2275</f>
        <v>660.98999999999978</v>
      </c>
      <c r="K2275" s="9">
        <f t="shared" si="328"/>
        <v>0</v>
      </c>
    </row>
    <row r="2276" spans="1:11" x14ac:dyDescent="0.35">
      <c r="A2276" s="2" t="s">
        <v>292</v>
      </c>
      <c r="B2276" t="s">
        <v>291</v>
      </c>
      <c r="C2276" s="21" t="s">
        <v>275</v>
      </c>
      <c r="D2276" s="4">
        <v>3</v>
      </c>
      <c r="F2276" s="3">
        <v>45965</v>
      </c>
      <c r="G2276">
        <v>6613</v>
      </c>
      <c r="H2276">
        <v>6613</v>
      </c>
      <c r="I2276" s="1">
        <f t="shared" si="334"/>
        <v>0</v>
      </c>
      <c r="J2276" s="1">
        <f t="shared" ref="J2276:J2289" si="336">J2275+I2276</f>
        <v>660.98999999999978</v>
      </c>
      <c r="K2276" s="9">
        <f t="shared" si="328"/>
        <v>0</v>
      </c>
    </row>
    <row r="2277" spans="1:11" x14ac:dyDescent="0.35">
      <c r="A2277" s="2" t="s">
        <v>292</v>
      </c>
      <c r="B2277" t="s">
        <v>291</v>
      </c>
      <c r="C2277" s="21" t="s">
        <v>275</v>
      </c>
      <c r="D2277" s="4">
        <v>4</v>
      </c>
      <c r="I2277" s="1">
        <f t="shared" si="334"/>
        <v>0</v>
      </c>
      <c r="J2277" s="1">
        <f t="shared" si="336"/>
        <v>660.98999999999978</v>
      </c>
      <c r="K2277" s="9" t="e">
        <f t="shared" si="328"/>
        <v>#DIV/0!</v>
      </c>
    </row>
    <row r="2278" spans="1:11" x14ac:dyDescent="0.35">
      <c r="A2278" s="2" t="s">
        <v>292</v>
      </c>
      <c r="B2278" t="s">
        <v>291</v>
      </c>
      <c r="C2278" s="21" t="s">
        <v>275</v>
      </c>
      <c r="D2278" s="4">
        <v>5</v>
      </c>
      <c r="I2278" s="1">
        <f t="shared" si="334"/>
        <v>0</v>
      </c>
      <c r="J2278" s="1">
        <f t="shared" si="336"/>
        <v>660.98999999999978</v>
      </c>
      <c r="K2278" s="9" t="e">
        <f t="shared" si="328"/>
        <v>#DIV/0!</v>
      </c>
    </row>
    <row r="2279" spans="1:11" x14ac:dyDescent="0.35">
      <c r="A2279" s="2" t="s">
        <v>292</v>
      </c>
      <c r="B2279" t="s">
        <v>291</v>
      </c>
      <c r="C2279" s="21" t="s">
        <v>275</v>
      </c>
      <c r="D2279" s="4">
        <v>6</v>
      </c>
      <c r="I2279" s="1">
        <f t="shared" si="334"/>
        <v>0</v>
      </c>
      <c r="J2279" s="1">
        <f t="shared" si="336"/>
        <v>660.98999999999978</v>
      </c>
      <c r="K2279" s="9" t="e">
        <f t="shared" si="328"/>
        <v>#DIV/0!</v>
      </c>
    </row>
    <row r="2280" spans="1:11" x14ac:dyDescent="0.35">
      <c r="A2280" s="2" t="s">
        <v>292</v>
      </c>
      <c r="B2280" t="s">
        <v>291</v>
      </c>
      <c r="C2280" s="21" t="s">
        <v>275</v>
      </c>
      <c r="D2280" s="4">
        <v>7</v>
      </c>
      <c r="I2280" s="1">
        <f t="shared" si="334"/>
        <v>0</v>
      </c>
      <c r="J2280" s="1">
        <f t="shared" si="336"/>
        <v>660.98999999999978</v>
      </c>
      <c r="K2280" s="9" t="e">
        <f t="shared" si="328"/>
        <v>#DIV/0!</v>
      </c>
    </row>
    <row r="2281" spans="1:11" x14ac:dyDescent="0.35">
      <c r="A2281" s="2" t="s">
        <v>292</v>
      </c>
      <c r="B2281" t="s">
        <v>291</v>
      </c>
      <c r="C2281" s="21" t="s">
        <v>275</v>
      </c>
      <c r="D2281" s="4">
        <v>8</v>
      </c>
      <c r="I2281" s="1">
        <f t="shared" si="334"/>
        <v>0</v>
      </c>
      <c r="J2281" s="1">
        <f t="shared" si="336"/>
        <v>660.98999999999978</v>
      </c>
      <c r="K2281" s="9" t="e">
        <f t="shared" si="328"/>
        <v>#DIV/0!</v>
      </c>
    </row>
    <row r="2282" spans="1:11" x14ac:dyDescent="0.35">
      <c r="A2282" s="2" t="s">
        <v>292</v>
      </c>
      <c r="B2282" t="s">
        <v>291</v>
      </c>
      <c r="C2282" s="21" t="s">
        <v>275</v>
      </c>
      <c r="D2282" s="4">
        <v>9</v>
      </c>
      <c r="I2282" s="1">
        <f t="shared" si="334"/>
        <v>0</v>
      </c>
      <c r="J2282" s="1">
        <f t="shared" si="336"/>
        <v>660.98999999999978</v>
      </c>
      <c r="K2282" s="9" t="e">
        <f t="shared" si="328"/>
        <v>#DIV/0!</v>
      </c>
    </row>
    <row r="2283" spans="1:11" x14ac:dyDescent="0.35">
      <c r="A2283" s="2" t="s">
        <v>292</v>
      </c>
      <c r="B2283" t="s">
        <v>291</v>
      </c>
      <c r="C2283" s="21" t="s">
        <v>275</v>
      </c>
      <c r="D2283" s="4">
        <v>10</v>
      </c>
      <c r="I2283" s="1">
        <f t="shared" si="334"/>
        <v>0</v>
      </c>
      <c r="J2283" s="1">
        <f t="shared" si="336"/>
        <v>660.98999999999978</v>
      </c>
      <c r="K2283" s="9" t="e">
        <f t="shared" si="328"/>
        <v>#DIV/0!</v>
      </c>
    </row>
    <row r="2284" spans="1:11" x14ac:dyDescent="0.35">
      <c r="A2284" s="2" t="s">
        <v>292</v>
      </c>
      <c r="B2284" t="s">
        <v>291</v>
      </c>
      <c r="C2284" s="21" t="s">
        <v>275</v>
      </c>
      <c r="D2284" s="4">
        <v>11</v>
      </c>
      <c r="I2284" s="1">
        <f t="shared" si="334"/>
        <v>0</v>
      </c>
      <c r="J2284" s="1">
        <f t="shared" si="336"/>
        <v>660.98999999999978</v>
      </c>
      <c r="K2284" s="9" t="e">
        <f t="shared" si="328"/>
        <v>#DIV/0!</v>
      </c>
    </row>
    <row r="2285" spans="1:11" x14ac:dyDescent="0.35">
      <c r="A2285" s="2" t="s">
        <v>292</v>
      </c>
      <c r="B2285" t="s">
        <v>291</v>
      </c>
      <c r="C2285" s="21" t="s">
        <v>275</v>
      </c>
      <c r="D2285" s="4">
        <v>12</v>
      </c>
      <c r="I2285" s="1">
        <f t="shared" si="334"/>
        <v>0</v>
      </c>
      <c r="J2285" s="1">
        <f t="shared" si="336"/>
        <v>660.98999999999978</v>
      </c>
      <c r="K2285" s="9" t="e">
        <f t="shared" si="328"/>
        <v>#DIV/0!</v>
      </c>
    </row>
    <row r="2286" spans="1:11" x14ac:dyDescent="0.35">
      <c r="A2286" s="2" t="s">
        <v>292</v>
      </c>
      <c r="B2286" t="s">
        <v>291</v>
      </c>
      <c r="C2286" s="21" t="s">
        <v>275</v>
      </c>
      <c r="D2286" s="4">
        <v>13</v>
      </c>
      <c r="I2286" s="1">
        <f t="shared" si="334"/>
        <v>0</v>
      </c>
      <c r="J2286" s="1">
        <f t="shared" si="336"/>
        <v>660.98999999999978</v>
      </c>
      <c r="K2286" s="9" t="e">
        <f t="shared" si="328"/>
        <v>#DIV/0!</v>
      </c>
    </row>
    <row r="2287" spans="1:11" x14ac:dyDescent="0.35">
      <c r="A2287" s="2" t="s">
        <v>292</v>
      </c>
      <c r="B2287" t="s">
        <v>291</v>
      </c>
      <c r="C2287" s="21" t="s">
        <v>275</v>
      </c>
      <c r="D2287" s="4">
        <v>14</v>
      </c>
      <c r="I2287" s="1">
        <f t="shared" si="334"/>
        <v>0</v>
      </c>
      <c r="J2287" s="1">
        <f t="shared" si="336"/>
        <v>660.98999999999978</v>
      </c>
      <c r="K2287" s="9" t="e">
        <f t="shared" si="328"/>
        <v>#DIV/0!</v>
      </c>
    </row>
    <row r="2288" spans="1:11" x14ac:dyDescent="0.35">
      <c r="A2288" s="2" t="s">
        <v>292</v>
      </c>
      <c r="B2288" t="s">
        <v>291</v>
      </c>
      <c r="C2288" s="21" t="s">
        <v>275</v>
      </c>
      <c r="D2288" s="4">
        <v>15</v>
      </c>
      <c r="I2288" s="1">
        <f t="shared" si="334"/>
        <v>0</v>
      </c>
      <c r="J2288" s="1">
        <f t="shared" si="336"/>
        <v>660.98999999999978</v>
      </c>
      <c r="K2288" s="9" t="e">
        <f t="shared" si="328"/>
        <v>#DIV/0!</v>
      </c>
    </row>
    <row r="2289" spans="1:11" ht="15" thickBot="1" x14ac:dyDescent="0.4">
      <c r="A2289" s="12" t="s">
        <v>292</v>
      </c>
      <c r="B2289" s="13" t="s">
        <v>291</v>
      </c>
      <c r="C2289" s="22" t="s">
        <v>275</v>
      </c>
      <c r="D2289" s="14">
        <v>16</v>
      </c>
      <c r="E2289" s="13"/>
      <c r="F2289" s="13"/>
      <c r="G2289" s="13"/>
      <c r="H2289" s="13"/>
      <c r="I2289" s="15">
        <f t="shared" si="334"/>
        <v>0</v>
      </c>
      <c r="J2289" s="15">
        <f t="shared" si="336"/>
        <v>660.98999999999978</v>
      </c>
      <c r="K2289" s="16" t="e">
        <f t="shared" si="328"/>
        <v>#DIV/0!</v>
      </c>
    </row>
    <row r="2290" spans="1:11" x14ac:dyDescent="0.35">
      <c r="A2290" s="2" t="s">
        <v>293</v>
      </c>
      <c r="B2290" t="s">
        <v>294</v>
      </c>
      <c r="C2290" s="21" t="s">
        <v>275</v>
      </c>
      <c r="D2290" s="4">
        <v>1</v>
      </c>
      <c r="F2290" s="3">
        <v>45954</v>
      </c>
      <c r="G2290">
        <v>4766</v>
      </c>
      <c r="H2290">
        <v>4260</v>
      </c>
      <c r="I2290" s="1">
        <f t="shared" si="334"/>
        <v>506</v>
      </c>
      <c r="J2290" s="1">
        <f>I2290</f>
        <v>506</v>
      </c>
      <c r="K2290" s="9">
        <f t="shared" si="328"/>
        <v>0.11877934272300469</v>
      </c>
    </row>
    <row r="2291" spans="1:11" x14ac:dyDescent="0.35">
      <c r="A2291" s="2" t="s">
        <v>293</v>
      </c>
      <c r="B2291" t="s">
        <v>294</v>
      </c>
      <c r="C2291" s="21" t="s">
        <v>275</v>
      </c>
      <c r="D2291" s="4">
        <v>2</v>
      </c>
      <c r="F2291" s="3">
        <v>45961</v>
      </c>
      <c r="G2291">
        <v>4706</v>
      </c>
      <c r="H2291">
        <v>4260</v>
      </c>
      <c r="I2291" s="1">
        <f t="shared" si="334"/>
        <v>446</v>
      </c>
      <c r="J2291" s="1">
        <f>J2290+I2291</f>
        <v>952</v>
      </c>
      <c r="K2291" s="9">
        <f t="shared" si="328"/>
        <v>0.10469483568075118</v>
      </c>
    </row>
    <row r="2292" spans="1:11" x14ac:dyDescent="0.35">
      <c r="A2292" s="2" t="s">
        <v>293</v>
      </c>
      <c r="B2292" t="s">
        <v>294</v>
      </c>
      <c r="C2292" s="21" t="s">
        <v>275</v>
      </c>
      <c r="D2292" s="4">
        <v>3</v>
      </c>
      <c r="I2292" s="1">
        <f t="shared" si="334"/>
        <v>0</v>
      </c>
      <c r="J2292" s="1">
        <f t="shared" ref="J2292:J2305" si="337">J2291+I2292</f>
        <v>952</v>
      </c>
      <c r="K2292" s="9" t="e">
        <f t="shared" si="328"/>
        <v>#DIV/0!</v>
      </c>
    </row>
    <row r="2293" spans="1:11" x14ac:dyDescent="0.35">
      <c r="A2293" s="2" t="s">
        <v>293</v>
      </c>
      <c r="B2293" t="s">
        <v>294</v>
      </c>
      <c r="C2293" s="21" t="s">
        <v>275</v>
      </c>
      <c r="D2293" s="4">
        <v>4</v>
      </c>
      <c r="I2293" s="1">
        <f t="shared" si="334"/>
        <v>0</v>
      </c>
      <c r="J2293" s="1">
        <f t="shared" si="337"/>
        <v>952</v>
      </c>
      <c r="K2293" s="9" t="e">
        <f t="shared" si="328"/>
        <v>#DIV/0!</v>
      </c>
    </row>
    <row r="2294" spans="1:11" x14ac:dyDescent="0.35">
      <c r="A2294" s="2" t="s">
        <v>293</v>
      </c>
      <c r="B2294" t="s">
        <v>294</v>
      </c>
      <c r="C2294" s="21" t="s">
        <v>275</v>
      </c>
      <c r="D2294" s="4">
        <v>5</v>
      </c>
      <c r="I2294" s="1">
        <f t="shared" si="334"/>
        <v>0</v>
      </c>
      <c r="J2294" s="1">
        <f t="shared" si="337"/>
        <v>952</v>
      </c>
      <c r="K2294" s="9" t="e">
        <f t="shared" si="328"/>
        <v>#DIV/0!</v>
      </c>
    </row>
    <row r="2295" spans="1:11" x14ac:dyDescent="0.35">
      <c r="A2295" s="2" t="s">
        <v>293</v>
      </c>
      <c r="B2295" t="s">
        <v>294</v>
      </c>
      <c r="C2295" s="21" t="s">
        <v>275</v>
      </c>
      <c r="D2295" s="4">
        <v>6</v>
      </c>
      <c r="I2295" s="1">
        <f t="shared" si="334"/>
        <v>0</v>
      </c>
      <c r="J2295" s="1">
        <f t="shared" si="337"/>
        <v>952</v>
      </c>
      <c r="K2295" s="9" t="e">
        <f t="shared" si="328"/>
        <v>#DIV/0!</v>
      </c>
    </row>
    <row r="2296" spans="1:11" x14ac:dyDescent="0.35">
      <c r="A2296" s="2" t="s">
        <v>293</v>
      </c>
      <c r="B2296" t="s">
        <v>294</v>
      </c>
      <c r="C2296" s="21" t="s">
        <v>275</v>
      </c>
      <c r="D2296" s="4">
        <v>7</v>
      </c>
      <c r="I2296" s="1">
        <f t="shared" si="334"/>
        <v>0</v>
      </c>
      <c r="J2296" s="1">
        <f t="shared" si="337"/>
        <v>952</v>
      </c>
      <c r="K2296" s="9" t="e">
        <f t="shared" si="328"/>
        <v>#DIV/0!</v>
      </c>
    </row>
    <row r="2297" spans="1:11" x14ac:dyDescent="0.35">
      <c r="A2297" s="2" t="s">
        <v>293</v>
      </c>
      <c r="B2297" t="s">
        <v>294</v>
      </c>
      <c r="C2297" s="21" t="s">
        <v>275</v>
      </c>
      <c r="D2297" s="4">
        <v>8</v>
      </c>
      <c r="I2297" s="1">
        <f t="shared" si="334"/>
        <v>0</v>
      </c>
      <c r="J2297" s="1">
        <f t="shared" si="337"/>
        <v>952</v>
      </c>
      <c r="K2297" s="9" t="e">
        <f t="shared" si="328"/>
        <v>#DIV/0!</v>
      </c>
    </row>
    <row r="2298" spans="1:11" x14ac:dyDescent="0.35">
      <c r="A2298" s="2" t="s">
        <v>293</v>
      </c>
      <c r="B2298" t="s">
        <v>294</v>
      </c>
      <c r="C2298" s="21" t="s">
        <v>275</v>
      </c>
      <c r="D2298" s="4">
        <v>9</v>
      </c>
      <c r="I2298" s="1">
        <f t="shared" si="334"/>
        <v>0</v>
      </c>
      <c r="J2298" s="1">
        <f t="shared" si="337"/>
        <v>952</v>
      </c>
      <c r="K2298" s="9" t="e">
        <f t="shared" si="328"/>
        <v>#DIV/0!</v>
      </c>
    </row>
    <row r="2299" spans="1:11" x14ac:dyDescent="0.35">
      <c r="A2299" s="2" t="s">
        <v>293</v>
      </c>
      <c r="B2299" t="s">
        <v>294</v>
      </c>
      <c r="C2299" s="21" t="s">
        <v>275</v>
      </c>
      <c r="D2299" s="4">
        <v>10</v>
      </c>
      <c r="I2299" s="1">
        <f t="shared" si="334"/>
        <v>0</v>
      </c>
      <c r="J2299" s="1">
        <f t="shared" si="337"/>
        <v>952</v>
      </c>
      <c r="K2299" s="9" t="e">
        <f t="shared" si="328"/>
        <v>#DIV/0!</v>
      </c>
    </row>
    <row r="2300" spans="1:11" x14ac:dyDescent="0.35">
      <c r="A2300" s="2" t="s">
        <v>293</v>
      </c>
      <c r="B2300" t="s">
        <v>294</v>
      </c>
      <c r="C2300" s="21" t="s">
        <v>275</v>
      </c>
      <c r="D2300" s="4">
        <v>11</v>
      </c>
      <c r="I2300" s="1">
        <f t="shared" si="334"/>
        <v>0</v>
      </c>
      <c r="J2300" s="1">
        <f t="shared" si="337"/>
        <v>952</v>
      </c>
      <c r="K2300" s="9" t="e">
        <f t="shared" si="328"/>
        <v>#DIV/0!</v>
      </c>
    </row>
    <row r="2301" spans="1:11" x14ac:dyDescent="0.35">
      <c r="A2301" s="2" t="s">
        <v>293</v>
      </c>
      <c r="B2301" t="s">
        <v>294</v>
      </c>
      <c r="C2301" s="21" t="s">
        <v>275</v>
      </c>
      <c r="D2301" s="4">
        <v>12</v>
      </c>
      <c r="I2301" s="1">
        <f t="shared" si="334"/>
        <v>0</v>
      </c>
      <c r="J2301" s="1">
        <f t="shared" si="337"/>
        <v>952</v>
      </c>
      <c r="K2301" s="9" t="e">
        <f t="shared" si="328"/>
        <v>#DIV/0!</v>
      </c>
    </row>
    <row r="2302" spans="1:11" x14ac:dyDescent="0.35">
      <c r="A2302" s="2" t="s">
        <v>293</v>
      </c>
      <c r="B2302" t="s">
        <v>294</v>
      </c>
      <c r="C2302" s="21" t="s">
        <v>275</v>
      </c>
      <c r="D2302" s="4">
        <v>13</v>
      </c>
      <c r="I2302" s="1">
        <f t="shared" si="334"/>
        <v>0</v>
      </c>
      <c r="J2302" s="1">
        <f t="shared" si="337"/>
        <v>952</v>
      </c>
      <c r="K2302" s="9" t="e">
        <f t="shared" si="328"/>
        <v>#DIV/0!</v>
      </c>
    </row>
    <row r="2303" spans="1:11" x14ac:dyDescent="0.35">
      <c r="A2303" s="2" t="s">
        <v>293</v>
      </c>
      <c r="B2303" t="s">
        <v>294</v>
      </c>
      <c r="C2303" s="21" t="s">
        <v>275</v>
      </c>
      <c r="D2303" s="4">
        <v>14</v>
      </c>
      <c r="I2303" s="1">
        <f t="shared" si="334"/>
        <v>0</v>
      </c>
      <c r="J2303" s="1">
        <f t="shared" si="337"/>
        <v>952</v>
      </c>
      <c r="K2303" s="9" t="e">
        <f t="shared" si="328"/>
        <v>#DIV/0!</v>
      </c>
    </row>
    <row r="2304" spans="1:11" x14ac:dyDescent="0.35">
      <c r="A2304" s="2" t="s">
        <v>293</v>
      </c>
      <c r="B2304" t="s">
        <v>294</v>
      </c>
      <c r="C2304" s="21" t="s">
        <v>275</v>
      </c>
      <c r="D2304" s="4">
        <v>15</v>
      </c>
      <c r="I2304" s="1">
        <f t="shared" si="334"/>
        <v>0</v>
      </c>
      <c r="J2304" s="1">
        <f t="shared" si="337"/>
        <v>952</v>
      </c>
      <c r="K2304" s="9" t="e">
        <f t="shared" si="328"/>
        <v>#DIV/0!</v>
      </c>
    </row>
    <row r="2305" spans="1:11" ht="15" thickBot="1" x14ac:dyDescent="0.4">
      <c r="A2305" s="12" t="s">
        <v>293</v>
      </c>
      <c r="B2305" s="13" t="s">
        <v>294</v>
      </c>
      <c r="C2305" s="22" t="s">
        <v>275</v>
      </c>
      <c r="D2305" s="14">
        <v>16</v>
      </c>
      <c r="E2305" s="13"/>
      <c r="F2305" s="13"/>
      <c r="G2305" s="13"/>
      <c r="H2305" s="13"/>
      <c r="I2305" s="15">
        <f t="shared" si="334"/>
        <v>0</v>
      </c>
      <c r="J2305" s="15">
        <f t="shared" si="337"/>
        <v>952</v>
      </c>
      <c r="K2305" s="16" t="e">
        <f t="shared" si="328"/>
        <v>#DIV/0!</v>
      </c>
    </row>
    <row r="2306" spans="1:11" x14ac:dyDescent="0.35">
      <c r="A2306" s="2" t="s">
        <v>286</v>
      </c>
      <c r="B2306" t="s">
        <v>287</v>
      </c>
      <c r="C2306" s="21" t="s">
        <v>275</v>
      </c>
      <c r="D2306" s="4">
        <v>1</v>
      </c>
      <c r="E2306" s="1">
        <v>4940.04</v>
      </c>
      <c r="F2306" s="3">
        <v>45951</v>
      </c>
      <c r="G2306">
        <v>5306</v>
      </c>
      <c r="H2306">
        <v>4940.04</v>
      </c>
      <c r="I2306" s="1">
        <f t="shared" si="334"/>
        <v>365.96000000000004</v>
      </c>
      <c r="J2306" s="1">
        <f>I2306</f>
        <v>365.96000000000004</v>
      </c>
      <c r="K2306" s="9">
        <f t="shared" si="328"/>
        <v>7.4080371818851673E-2</v>
      </c>
    </row>
    <row r="2307" spans="1:11" x14ac:dyDescent="0.35">
      <c r="A2307" s="2" t="s">
        <v>286</v>
      </c>
      <c r="B2307" t="s">
        <v>287</v>
      </c>
      <c r="C2307" s="21" t="s">
        <v>275</v>
      </c>
      <c r="D2307" s="4">
        <v>2</v>
      </c>
      <c r="E2307" s="1">
        <v>4940.04</v>
      </c>
      <c r="F2307" s="3">
        <v>45958</v>
      </c>
      <c r="G2307">
        <v>5306</v>
      </c>
      <c r="H2307">
        <v>4940.04</v>
      </c>
      <c r="I2307" s="1">
        <f t="shared" si="334"/>
        <v>365.96000000000004</v>
      </c>
      <c r="J2307" s="1">
        <f>J2306+I2307</f>
        <v>731.92000000000007</v>
      </c>
      <c r="K2307" s="9">
        <f t="shared" si="328"/>
        <v>7.4080371818851673E-2</v>
      </c>
    </row>
    <row r="2308" spans="1:11" x14ac:dyDescent="0.35">
      <c r="A2308" s="2" t="s">
        <v>286</v>
      </c>
      <c r="B2308" t="s">
        <v>287</v>
      </c>
      <c r="C2308" s="21" t="s">
        <v>275</v>
      </c>
      <c r="D2308" s="4">
        <v>3</v>
      </c>
      <c r="E2308" s="1">
        <v>4940.04</v>
      </c>
      <c r="F2308" s="3">
        <v>45965</v>
      </c>
      <c r="G2308">
        <v>5306</v>
      </c>
      <c r="H2308">
        <v>4940.04</v>
      </c>
      <c r="I2308" s="1">
        <f t="shared" si="334"/>
        <v>365.96000000000004</v>
      </c>
      <c r="J2308" s="1">
        <f t="shared" ref="J2308:J2321" si="338">J2307+I2308</f>
        <v>1097.8800000000001</v>
      </c>
      <c r="K2308" s="9">
        <f t="shared" si="328"/>
        <v>7.4080371818851673E-2</v>
      </c>
    </row>
    <row r="2309" spans="1:11" x14ac:dyDescent="0.35">
      <c r="A2309" s="2" t="s">
        <v>286</v>
      </c>
      <c r="B2309" t="s">
        <v>287</v>
      </c>
      <c r="C2309" s="21" t="s">
        <v>275</v>
      </c>
      <c r="D2309" s="4">
        <v>4</v>
      </c>
      <c r="E2309" s="1">
        <v>4940.04</v>
      </c>
      <c r="I2309" s="1">
        <f t="shared" si="334"/>
        <v>0</v>
      </c>
      <c r="J2309" s="1">
        <f t="shared" si="338"/>
        <v>1097.8800000000001</v>
      </c>
      <c r="K2309" s="9" t="e">
        <f t="shared" si="328"/>
        <v>#DIV/0!</v>
      </c>
    </row>
    <row r="2310" spans="1:11" x14ac:dyDescent="0.35">
      <c r="A2310" s="2" t="s">
        <v>286</v>
      </c>
      <c r="B2310" t="s">
        <v>287</v>
      </c>
      <c r="C2310" s="21" t="s">
        <v>275</v>
      </c>
      <c r="D2310" s="4">
        <v>5</v>
      </c>
      <c r="E2310" s="1">
        <v>4940.04</v>
      </c>
      <c r="I2310" s="1">
        <f t="shared" si="334"/>
        <v>0</v>
      </c>
      <c r="J2310" s="1">
        <f t="shared" si="338"/>
        <v>1097.8800000000001</v>
      </c>
      <c r="K2310" s="9" t="e">
        <f t="shared" si="328"/>
        <v>#DIV/0!</v>
      </c>
    </row>
    <row r="2311" spans="1:11" x14ac:dyDescent="0.35">
      <c r="A2311" s="2" t="s">
        <v>286</v>
      </c>
      <c r="B2311" t="s">
        <v>287</v>
      </c>
      <c r="C2311" s="21" t="s">
        <v>275</v>
      </c>
      <c r="D2311" s="4">
        <v>6</v>
      </c>
      <c r="E2311" s="1">
        <v>4940.04</v>
      </c>
      <c r="I2311" s="1">
        <f t="shared" si="334"/>
        <v>0</v>
      </c>
      <c r="J2311" s="1">
        <f t="shared" si="338"/>
        <v>1097.8800000000001</v>
      </c>
      <c r="K2311" s="9" t="e">
        <f t="shared" si="328"/>
        <v>#DIV/0!</v>
      </c>
    </row>
    <row r="2312" spans="1:11" x14ac:dyDescent="0.35">
      <c r="A2312" s="2" t="s">
        <v>286</v>
      </c>
      <c r="B2312" t="s">
        <v>287</v>
      </c>
      <c r="C2312" s="21" t="s">
        <v>275</v>
      </c>
      <c r="D2312" s="4">
        <v>7</v>
      </c>
      <c r="E2312" s="1">
        <v>4940.04</v>
      </c>
      <c r="I2312" s="1">
        <f t="shared" si="334"/>
        <v>0</v>
      </c>
      <c r="J2312" s="1">
        <f t="shared" si="338"/>
        <v>1097.8800000000001</v>
      </c>
      <c r="K2312" s="9" t="e">
        <f t="shared" si="328"/>
        <v>#DIV/0!</v>
      </c>
    </row>
    <row r="2313" spans="1:11" x14ac:dyDescent="0.35">
      <c r="A2313" s="2" t="s">
        <v>286</v>
      </c>
      <c r="B2313" t="s">
        <v>287</v>
      </c>
      <c r="C2313" s="21" t="s">
        <v>275</v>
      </c>
      <c r="D2313" s="4">
        <v>8</v>
      </c>
      <c r="E2313" s="1">
        <v>4940.04</v>
      </c>
      <c r="I2313" s="1">
        <f t="shared" si="334"/>
        <v>0</v>
      </c>
      <c r="J2313" s="1">
        <f t="shared" si="338"/>
        <v>1097.8800000000001</v>
      </c>
      <c r="K2313" s="9" t="e">
        <f t="shared" si="328"/>
        <v>#DIV/0!</v>
      </c>
    </row>
    <row r="2314" spans="1:11" x14ac:dyDescent="0.35">
      <c r="A2314" s="2" t="s">
        <v>286</v>
      </c>
      <c r="B2314" t="s">
        <v>287</v>
      </c>
      <c r="C2314" s="21" t="s">
        <v>275</v>
      </c>
      <c r="D2314" s="4">
        <v>9</v>
      </c>
      <c r="E2314" s="1">
        <v>4940.04</v>
      </c>
      <c r="I2314" s="1">
        <f t="shared" si="334"/>
        <v>0</v>
      </c>
      <c r="J2314" s="1">
        <f t="shared" si="338"/>
        <v>1097.8800000000001</v>
      </c>
      <c r="K2314" s="9" t="e">
        <f t="shared" si="328"/>
        <v>#DIV/0!</v>
      </c>
    </row>
    <row r="2315" spans="1:11" x14ac:dyDescent="0.35">
      <c r="A2315" s="2" t="s">
        <v>286</v>
      </c>
      <c r="B2315" t="s">
        <v>287</v>
      </c>
      <c r="C2315" s="21" t="s">
        <v>275</v>
      </c>
      <c r="D2315" s="4">
        <v>10</v>
      </c>
      <c r="E2315" s="1">
        <v>4940.04</v>
      </c>
      <c r="I2315" s="1">
        <f t="shared" si="334"/>
        <v>0</v>
      </c>
      <c r="J2315" s="1">
        <f t="shared" si="338"/>
        <v>1097.8800000000001</v>
      </c>
      <c r="K2315" s="9" t="e">
        <f t="shared" si="328"/>
        <v>#DIV/0!</v>
      </c>
    </row>
    <row r="2316" spans="1:11" x14ac:dyDescent="0.35">
      <c r="A2316" s="2" t="s">
        <v>286</v>
      </c>
      <c r="B2316" t="s">
        <v>287</v>
      </c>
      <c r="C2316" s="21" t="s">
        <v>275</v>
      </c>
      <c r="D2316" s="4">
        <v>11</v>
      </c>
      <c r="E2316" s="1">
        <v>4940.04</v>
      </c>
      <c r="I2316" s="1">
        <f t="shared" si="334"/>
        <v>0</v>
      </c>
      <c r="J2316" s="1">
        <f t="shared" si="338"/>
        <v>1097.8800000000001</v>
      </c>
      <c r="K2316" s="9" t="e">
        <f t="shared" si="328"/>
        <v>#DIV/0!</v>
      </c>
    </row>
    <row r="2317" spans="1:11" x14ac:dyDescent="0.35">
      <c r="A2317" s="2" t="s">
        <v>286</v>
      </c>
      <c r="B2317" t="s">
        <v>287</v>
      </c>
      <c r="C2317" s="21" t="s">
        <v>275</v>
      </c>
      <c r="D2317" s="4">
        <v>12</v>
      </c>
      <c r="E2317" s="1">
        <v>4940.04</v>
      </c>
      <c r="I2317" s="1">
        <f t="shared" si="334"/>
        <v>0</v>
      </c>
      <c r="J2317" s="1">
        <f t="shared" si="338"/>
        <v>1097.8800000000001</v>
      </c>
      <c r="K2317" s="9" t="e">
        <f t="shared" si="328"/>
        <v>#DIV/0!</v>
      </c>
    </row>
    <row r="2318" spans="1:11" x14ac:dyDescent="0.35">
      <c r="A2318" s="2" t="s">
        <v>286</v>
      </c>
      <c r="B2318" t="s">
        <v>287</v>
      </c>
      <c r="C2318" s="21" t="s">
        <v>275</v>
      </c>
      <c r="D2318" s="4">
        <v>13</v>
      </c>
      <c r="E2318" s="1">
        <v>4940.04</v>
      </c>
      <c r="I2318" s="1">
        <f t="shared" si="334"/>
        <v>0</v>
      </c>
      <c r="J2318" s="1">
        <f t="shared" si="338"/>
        <v>1097.8800000000001</v>
      </c>
      <c r="K2318" s="9" t="e">
        <f t="shared" si="328"/>
        <v>#DIV/0!</v>
      </c>
    </row>
    <row r="2319" spans="1:11" x14ac:dyDescent="0.35">
      <c r="A2319" s="2" t="s">
        <v>286</v>
      </c>
      <c r="B2319" t="s">
        <v>287</v>
      </c>
      <c r="C2319" s="21" t="s">
        <v>275</v>
      </c>
      <c r="D2319" s="4">
        <v>14</v>
      </c>
      <c r="E2319" s="1">
        <v>4940.04</v>
      </c>
      <c r="I2319" s="1">
        <f t="shared" si="334"/>
        <v>0</v>
      </c>
      <c r="J2319" s="1">
        <f t="shared" si="338"/>
        <v>1097.8800000000001</v>
      </c>
      <c r="K2319" s="9" t="e">
        <f t="shared" si="328"/>
        <v>#DIV/0!</v>
      </c>
    </row>
    <row r="2320" spans="1:11" x14ac:dyDescent="0.35">
      <c r="A2320" s="2" t="s">
        <v>286</v>
      </c>
      <c r="B2320" t="s">
        <v>287</v>
      </c>
      <c r="C2320" s="21" t="s">
        <v>275</v>
      </c>
      <c r="D2320" s="4">
        <v>15</v>
      </c>
      <c r="E2320" s="1">
        <v>4940.04</v>
      </c>
      <c r="I2320" s="1">
        <f t="shared" si="334"/>
        <v>0</v>
      </c>
      <c r="J2320" s="1">
        <f t="shared" si="338"/>
        <v>1097.8800000000001</v>
      </c>
      <c r="K2320" s="9" t="e">
        <f t="shared" si="328"/>
        <v>#DIV/0!</v>
      </c>
    </row>
    <row r="2321" spans="1:11" ht="15" thickBot="1" x14ac:dyDescent="0.4">
      <c r="A2321" s="12" t="s">
        <v>286</v>
      </c>
      <c r="B2321" s="13" t="s">
        <v>287</v>
      </c>
      <c r="C2321" s="22" t="s">
        <v>275</v>
      </c>
      <c r="D2321" s="14">
        <v>16</v>
      </c>
      <c r="E2321" s="13"/>
      <c r="F2321" s="13"/>
      <c r="G2321" s="13"/>
      <c r="H2321" s="13"/>
      <c r="I2321" s="15">
        <f t="shared" si="334"/>
        <v>0</v>
      </c>
      <c r="J2321" s="15">
        <f t="shared" si="338"/>
        <v>1097.8800000000001</v>
      </c>
      <c r="K2321" s="16" t="e">
        <f t="shared" si="328"/>
        <v>#DIV/0!</v>
      </c>
    </row>
    <row r="2322" spans="1:11" x14ac:dyDescent="0.35">
      <c r="A2322" s="2" t="s">
        <v>283</v>
      </c>
      <c r="B2322" t="s">
        <v>282</v>
      </c>
      <c r="C2322" s="21" t="s">
        <v>275</v>
      </c>
      <c r="D2322" s="4">
        <v>1</v>
      </c>
      <c r="F2322" s="3">
        <v>45951</v>
      </c>
      <c r="G2322">
        <v>4338</v>
      </c>
      <c r="H2322">
        <v>4110</v>
      </c>
      <c r="I2322" s="1">
        <f>G2322-H2322</f>
        <v>228</v>
      </c>
      <c r="J2322" s="1">
        <f>I2322</f>
        <v>228</v>
      </c>
      <c r="K2322" s="9">
        <f t="shared" si="328"/>
        <v>5.5474452554744529E-2</v>
      </c>
    </row>
    <row r="2323" spans="1:11" x14ac:dyDescent="0.35">
      <c r="A2323" s="2" t="s">
        <v>283</v>
      </c>
      <c r="B2323" t="s">
        <v>282</v>
      </c>
      <c r="C2323" s="21" t="s">
        <v>275</v>
      </c>
      <c r="D2323" s="4">
        <v>2</v>
      </c>
      <c r="F2323" s="3">
        <v>45958</v>
      </c>
      <c r="G2323">
        <v>4338</v>
      </c>
      <c r="H2323">
        <v>4110</v>
      </c>
      <c r="I2323" s="1">
        <f>G2323-H2323</f>
        <v>228</v>
      </c>
      <c r="J2323" s="1">
        <f>J2322+I2323</f>
        <v>456</v>
      </c>
      <c r="K2323" s="9">
        <f t="shared" si="328"/>
        <v>5.5474452554744529E-2</v>
      </c>
    </row>
    <row r="2324" spans="1:11" x14ac:dyDescent="0.35">
      <c r="A2324" s="2" t="s">
        <v>283</v>
      </c>
      <c r="B2324" t="s">
        <v>282</v>
      </c>
      <c r="C2324" s="21" t="s">
        <v>275</v>
      </c>
      <c r="D2324" s="4">
        <v>3</v>
      </c>
      <c r="F2324" s="3">
        <v>45965</v>
      </c>
      <c r="G2324">
        <v>4338</v>
      </c>
      <c r="H2324">
        <v>4110</v>
      </c>
      <c r="I2324" s="1">
        <f t="shared" ref="I2324:I2450" si="339">G2324-H2324</f>
        <v>228</v>
      </c>
      <c r="J2324" s="1">
        <f t="shared" ref="J2324:J2337" si="340">J2323+I2324</f>
        <v>684</v>
      </c>
      <c r="K2324" s="9">
        <f t="shared" ref="K2324:K2450" si="341">I2324/H2324</f>
        <v>5.5474452554744529E-2</v>
      </c>
    </row>
    <row r="2325" spans="1:11" x14ac:dyDescent="0.35">
      <c r="A2325" s="2" t="s">
        <v>283</v>
      </c>
      <c r="B2325" t="s">
        <v>282</v>
      </c>
      <c r="C2325" s="21" t="s">
        <v>275</v>
      </c>
      <c r="D2325" s="4">
        <v>4</v>
      </c>
      <c r="I2325" s="1">
        <f t="shared" si="339"/>
        <v>0</v>
      </c>
      <c r="J2325" s="1">
        <f t="shared" si="340"/>
        <v>684</v>
      </c>
      <c r="K2325" s="9" t="e">
        <f t="shared" si="341"/>
        <v>#DIV/0!</v>
      </c>
    </row>
    <row r="2326" spans="1:11" x14ac:dyDescent="0.35">
      <c r="A2326" s="2" t="s">
        <v>283</v>
      </c>
      <c r="B2326" t="s">
        <v>282</v>
      </c>
      <c r="C2326" s="21" t="s">
        <v>275</v>
      </c>
      <c r="D2326" s="4">
        <v>5</v>
      </c>
      <c r="I2326" s="1">
        <f t="shared" si="339"/>
        <v>0</v>
      </c>
      <c r="J2326" s="1">
        <f t="shared" si="340"/>
        <v>684</v>
      </c>
      <c r="K2326" s="9" t="e">
        <f t="shared" si="341"/>
        <v>#DIV/0!</v>
      </c>
    </row>
    <row r="2327" spans="1:11" x14ac:dyDescent="0.35">
      <c r="A2327" s="2" t="s">
        <v>283</v>
      </c>
      <c r="B2327" t="s">
        <v>282</v>
      </c>
      <c r="C2327" s="21" t="s">
        <v>275</v>
      </c>
      <c r="D2327" s="4">
        <v>6</v>
      </c>
      <c r="I2327" s="1">
        <f t="shared" si="339"/>
        <v>0</v>
      </c>
      <c r="J2327" s="1">
        <f t="shared" si="340"/>
        <v>684</v>
      </c>
      <c r="K2327" s="9" t="e">
        <f t="shared" si="341"/>
        <v>#DIV/0!</v>
      </c>
    </row>
    <row r="2328" spans="1:11" x14ac:dyDescent="0.35">
      <c r="A2328" s="2" t="s">
        <v>283</v>
      </c>
      <c r="B2328" t="s">
        <v>282</v>
      </c>
      <c r="C2328" s="21" t="s">
        <v>275</v>
      </c>
      <c r="D2328" s="4">
        <v>7</v>
      </c>
      <c r="I2328" s="1">
        <f t="shared" si="339"/>
        <v>0</v>
      </c>
      <c r="J2328" s="1">
        <f t="shared" si="340"/>
        <v>684</v>
      </c>
      <c r="K2328" s="9" t="e">
        <f t="shared" si="341"/>
        <v>#DIV/0!</v>
      </c>
    </row>
    <row r="2329" spans="1:11" x14ac:dyDescent="0.35">
      <c r="A2329" s="2" t="s">
        <v>283</v>
      </c>
      <c r="B2329" t="s">
        <v>282</v>
      </c>
      <c r="C2329" s="21" t="s">
        <v>275</v>
      </c>
      <c r="D2329" s="4">
        <v>8</v>
      </c>
      <c r="I2329" s="1">
        <f t="shared" si="339"/>
        <v>0</v>
      </c>
      <c r="J2329" s="1">
        <f t="shared" si="340"/>
        <v>684</v>
      </c>
      <c r="K2329" s="9" t="e">
        <f t="shared" si="341"/>
        <v>#DIV/0!</v>
      </c>
    </row>
    <row r="2330" spans="1:11" x14ac:dyDescent="0.35">
      <c r="A2330" s="2" t="s">
        <v>283</v>
      </c>
      <c r="B2330" t="s">
        <v>282</v>
      </c>
      <c r="C2330" s="21" t="s">
        <v>275</v>
      </c>
      <c r="D2330" s="4">
        <v>9</v>
      </c>
      <c r="I2330" s="1">
        <f t="shared" si="339"/>
        <v>0</v>
      </c>
      <c r="J2330" s="1">
        <f t="shared" si="340"/>
        <v>684</v>
      </c>
      <c r="K2330" s="9" t="e">
        <f t="shared" si="341"/>
        <v>#DIV/0!</v>
      </c>
    </row>
    <row r="2331" spans="1:11" x14ac:dyDescent="0.35">
      <c r="A2331" s="2" t="s">
        <v>283</v>
      </c>
      <c r="B2331" t="s">
        <v>282</v>
      </c>
      <c r="C2331" s="21" t="s">
        <v>275</v>
      </c>
      <c r="D2331" s="4">
        <v>10</v>
      </c>
      <c r="I2331" s="1">
        <f t="shared" si="339"/>
        <v>0</v>
      </c>
      <c r="J2331" s="1">
        <f t="shared" si="340"/>
        <v>684</v>
      </c>
      <c r="K2331" s="9" t="e">
        <f t="shared" si="341"/>
        <v>#DIV/0!</v>
      </c>
    </row>
    <row r="2332" spans="1:11" x14ac:dyDescent="0.35">
      <c r="A2332" s="2" t="s">
        <v>283</v>
      </c>
      <c r="B2332" t="s">
        <v>282</v>
      </c>
      <c r="C2332" s="21" t="s">
        <v>275</v>
      </c>
      <c r="D2332" s="4">
        <v>11</v>
      </c>
      <c r="I2332" s="1">
        <f t="shared" si="339"/>
        <v>0</v>
      </c>
      <c r="J2332" s="1">
        <f t="shared" si="340"/>
        <v>684</v>
      </c>
      <c r="K2332" s="9" t="e">
        <f t="shared" si="341"/>
        <v>#DIV/0!</v>
      </c>
    </row>
    <row r="2333" spans="1:11" x14ac:dyDescent="0.35">
      <c r="A2333" s="2" t="s">
        <v>283</v>
      </c>
      <c r="B2333" t="s">
        <v>282</v>
      </c>
      <c r="C2333" s="21" t="s">
        <v>275</v>
      </c>
      <c r="D2333" s="4">
        <v>12</v>
      </c>
      <c r="I2333" s="1">
        <f t="shared" si="339"/>
        <v>0</v>
      </c>
      <c r="J2333" s="1">
        <f t="shared" si="340"/>
        <v>684</v>
      </c>
      <c r="K2333" s="9" t="e">
        <f t="shared" si="341"/>
        <v>#DIV/0!</v>
      </c>
    </row>
    <row r="2334" spans="1:11" x14ac:dyDescent="0.35">
      <c r="A2334" s="2" t="s">
        <v>283</v>
      </c>
      <c r="B2334" t="s">
        <v>282</v>
      </c>
      <c r="C2334" s="21" t="s">
        <v>275</v>
      </c>
      <c r="D2334" s="4">
        <v>13</v>
      </c>
      <c r="I2334" s="1">
        <f t="shared" si="339"/>
        <v>0</v>
      </c>
      <c r="J2334" s="1">
        <f t="shared" si="340"/>
        <v>684</v>
      </c>
      <c r="K2334" s="9" t="e">
        <f t="shared" si="341"/>
        <v>#DIV/0!</v>
      </c>
    </row>
    <row r="2335" spans="1:11" x14ac:dyDescent="0.35">
      <c r="A2335" s="2" t="s">
        <v>283</v>
      </c>
      <c r="B2335" t="s">
        <v>282</v>
      </c>
      <c r="C2335" s="21" t="s">
        <v>275</v>
      </c>
      <c r="D2335" s="4">
        <v>14</v>
      </c>
      <c r="I2335" s="1">
        <f t="shared" si="339"/>
        <v>0</v>
      </c>
      <c r="J2335" s="1">
        <f t="shared" si="340"/>
        <v>684</v>
      </c>
      <c r="K2335" s="9" t="e">
        <f t="shared" si="341"/>
        <v>#DIV/0!</v>
      </c>
    </row>
    <row r="2336" spans="1:11" x14ac:dyDescent="0.35">
      <c r="A2336" s="2" t="s">
        <v>283</v>
      </c>
      <c r="B2336" t="s">
        <v>282</v>
      </c>
      <c r="C2336" s="21" t="s">
        <v>275</v>
      </c>
      <c r="D2336" s="4">
        <v>15</v>
      </c>
      <c r="I2336" s="1">
        <f t="shared" si="339"/>
        <v>0</v>
      </c>
      <c r="J2336" s="1">
        <f t="shared" si="340"/>
        <v>684</v>
      </c>
      <c r="K2336" s="9" t="e">
        <f t="shared" si="341"/>
        <v>#DIV/0!</v>
      </c>
    </row>
    <row r="2337" spans="1:11" ht="15" thickBot="1" x14ac:dyDescent="0.4">
      <c r="A2337" s="12" t="s">
        <v>283</v>
      </c>
      <c r="B2337" s="13" t="s">
        <v>282</v>
      </c>
      <c r="C2337" s="22" t="s">
        <v>275</v>
      </c>
      <c r="D2337" s="14">
        <v>16</v>
      </c>
      <c r="E2337" s="13"/>
      <c r="F2337" s="13"/>
      <c r="G2337" s="13"/>
      <c r="H2337" s="13"/>
      <c r="I2337" s="15">
        <f t="shared" si="339"/>
        <v>0</v>
      </c>
      <c r="J2337" s="15">
        <f t="shared" si="340"/>
        <v>684</v>
      </c>
      <c r="K2337" s="16" t="e">
        <f t="shared" si="341"/>
        <v>#DIV/0!</v>
      </c>
    </row>
    <row r="2338" spans="1:11" x14ac:dyDescent="0.35">
      <c r="A2338" s="2" t="s">
        <v>295</v>
      </c>
      <c r="B2338" t="s">
        <v>296</v>
      </c>
      <c r="C2338" s="21" t="s">
        <v>275</v>
      </c>
      <c r="D2338" s="4">
        <v>1</v>
      </c>
      <c r="F2338" s="3">
        <v>45951</v>
      </c>
      <c r="G2338">
        <v>12222</v>
      </c>
      <c r="H2338">
        <v>11400.1</v>
      </c>
      <c r="I2338" s="1">
        <f t="shared" si="339"/>
        <v>821.89999999999964</v>
      </c>
      <c r="J2338" s="1">
        <f>I2338</f>
        <v>821.89999999999964</v>
      </c>
      <c r="K2338" s="9">
        <f t="shared" si="341"/>
        <v>7.209585880825603E-2</v>
      </c>
    </row>
    <row r="2339" spans="1:11" x14ac:dyDescent="0.35">
      <c r="A2339" s="2" t="s">
        <v>295</v>
      </c>
      <c r="B2339" t="s">
        <v>296</v>
      </c>
      <c r="C2339" s="21" t="s">
        <v>275</v>
      </c>
      <c r="D2339" s="4">
        <v>2</v>
      </c>
      <c r="F2339" s="3">
        <v>45958</v>
      </c>
      <c r="G2339">
        <v>12222</v>
      </c>
      <c r="H2339">
        <v>11400.1</v>
      </c>
      <c r="I2339" s="1">
        <f t="shared" si="339"/>
        <v>821.89999999999964</v>
      </c>
      <c r="J2339" s="1">
        <f>J2338+I2339</f>
        <v>1643.7999999999993</v>
      </c>
      <c r="K2339" s="9">
        <f t="shared" si="341"/>
        <v>7.209585880825603E-2</v>
      </c>
    </row>
    <row r="2340" spans="1:11" x14ac:dyDescent="0.35">
      <c r="A2340" s="2" t="s">
        <v>295</v>
      </c>
      <c r="B2340" t="s">
        <v>296</v>
      </c>
      <c r="C2340" s="21" t="s">
        <v>275</v>
      </c>
      <c r="D2340" s="4">
        <v>3</v>
      </c>
      <c r="F2340" s="3">
        <v>45965</v>
      </c>
      <c r="G2340">
        <v>12222</v>
      </c>
      <c r="H2340">
        <v>11400.1</v>
      </c>
      <c r="I2340" s="1">
        <f t="shared" si="339"/>
        <v>821.89999999999964</v>
      </c>
      <c r="J2340" s="1">
        <f t="shared" ref="J2340:J2353" si="342">J2339+I2340</f>
        <v>2465.6999999999989</v>
      </c>
      <c r="K2340" s="9">
        <f t="shared" si="341"/>
        <v>7.209585880825603E-2</v>
      </c>
    </row>
    <row r="2341" spans="1:11" x14ac:dyDescent="0.35">
      <c r="A2341" s="2" t="s">
        <v>295</v>
      </c>
      <c r="B2341" t="s">
        <v>296</v>
      </c>
      <c r="C2341" s="21" t="s">
        <v>275</v>
      </c>
      <c r="D2341" s="4">
        <v>4</v>
      </c>
      <c r="I2341" s="1">
        <f t="shared" si="339"/>
        <v>0</v>
      </c>
      <c r="J2341" s="1">
        <f t="shared" si="342"/>
        <v>2465.6999999999989</v>
      </c>
      <c r="K2341" s="9" t="e">
        <f t="shared" si="341"/>
        <v>#DIV/0!</v>
      </c>
    </row>
    <row r="2342" spans="1:11" x14ac:dyDescent="0.35">
      <c r="A2342" s="2" t="s">
        <v>295</v>
      </c>
      <c r="B2342" t="s">
        <v>296</v>
      </c>
      <c r="C2342" s="21" t="s">
        <v>275</v>
      </c>
      <c r="D2342" s="4">
        <v>5</v>
      </c>
      <c r="I2342" s="1">
        <f t="shared" si="339"/>
        <v>0</v>
      </c>
      <c r="J2342" s="1">
        <f t="shared" si="342"/>
        <v>2465.6999999999989</v>
      </c>
      <c r="K2342" s="9" t="e">
        <f t="shared" si="341"/>
        <v>#DIV/0!</v>
      </c>
    </row>
    <row r="2343" spans="1:11" x14ac:dyDescent="0.35">
      <c r="A2343" s="2" t="s">
        <v>295</v>
      </c>
      <c r="B2343" t="s">
        <v>296</v>
      </c>
      <c r="C2343" s="21" t="s">
        <v>275</v>
      </c>
      <c r="D2343" s="4">
        <v>6</v>
      </c>
      <c r="I2343" s="1">
        <f t="shared" si="339"/>
        <v>0</v>
      </c>
      <c r="J2343" s="1">
        <f t="shared" si="342"/>
        <v>2465.6999999999989</v>
      </c>
      <c r="K2343" s="9" t="e">
        <f t="shared" si="341"/>
        <v>#DIV/0!</v>
      </c>
    </row>
    <row r="2344" spans="1:11" x14ac:dyDescent="0.35">
      <c r="A2344" s="2" t="s">
        <v>295</v>
      </c>
      <c r="B2344" t="s">
        <v>296</v>
      </c>
      <c r="C2344" s="21" t="s">
        <v>275</v>
      </c>
      <c r="D2344" s="4">
        <v>7</v>
      </c>
      <c r="I2344" s="1">
        <f t="shared" si="339"/>
        <v>0</v>
      </c>
      <c r="J2344" s="1">
        <f t="shared" si="342"/>
        <v>2465.6999999999989</v>
      </c>
      <c r="K2344" s="9" t="e">
        <f t="shared" si="341"/>
        <v>#DIV/0!</v>
      </c>
    </row>
    <row r="2345" spans="1:11" x14ac:dyDescent="0.35">
      <c r="A2345" s="2" t="s">
        <v>295</v>
      </c>
      <c r="B2345" t="s">
        <v>296</v>
      </c>
      <c r="C2345" s="21" t="s">
        <v>275</v>
      </c>
      <c r="D2345" s="4">
        <v>8</v>
      </c>
      <c r="I2345" s="1">
        <f t="shared" si="339"/>
        <v>0</v>
      </c>
      <c r="J2345" s="1">
        <f t="shared" si="342"/>
        <v>2465.6999999999989</v>
      </c>
      <c r="K2345" s="9" t="e">
        <f t="shared" si="341"/>
        <v>#DIV/0!</v>
      </c>
    </row>
    <row r="2346" spans="1:11" x14ac:dyDescent="0.35">
      <c r="A2346" s="2" t="s">
        <v>295</v>
      </c>
      <c r="B2346" t="s">
        <v>296</v>
      </c>
      <c r="C2346" s="21" t="s">
        <v>275</v>
      </c>
      <c r="D2346" s="4">
        <v>9</v>
      </c>
      <c r="I2346" s="1">
        <f t="shared" si="339"/>
        <v>0</v>
      </c>
      <c r="J2346" s="1">
        <f t="shared" si="342"/>
        <v>2465.6999999999989</v>
      </c>
      <c r="K2346" s="9" t="e">
        <f t="shared" si="341"/>
        <v>#DIV/0!</v>
      </c>
    </row>
    <row r="2347" spans="1:11" x14ac:dyDescent="0.35">
      <c r="A2347" s="2" t="s">
        <v>295</v>
      </c>
      <c r="B2347" t="s">
        <v>296</v>
      </c>
      <c r="C2347" s="21" t="s">
        <v>275</v>
      </c>
      <c r="D2347" s="4">
        <v>10</v>
      </c>
      <c r="I2347" s="1">
        <f t="shared" si="339"/>
        <v>0</v>
      </c>
      <c r="J2347" s="1">
        <f t="shared" si="342"/>
        <v>2465.6999999999989</v>
      </c>
      <c r="K2347" s="9" t="e">
        <f t="shared" si="341"/>
        <v>#DIV/0!</v>
      </c>
    </row>
    <row r="2348" spans="1:11" x14ac:dyDescent="0.35">
      <c r="A2348" s="2" t="s">
        <v>295</v>
      </c>
      <c r="B2348" t="s">
        <v>296</v>
      </c>
      <c r="C2348" s="21" t="s">
        <v>275</v>
      </c>
      <c r="D2348" s="4">
        <v>11</v>
      </c>
      <c r="I2348" s="1">
        <f t="shared" si="339"/>
        <v>0</v>
      </c>
      <c r="J2348" s="1">
        <f t="shared" si="342"/>
        <v>2465.6999999999989</v>
      </c>
      <c r="K2348" s="9" t="e">
        <f t="shared" si="341"/>
        <v>#DIV/0!</v>
      </c>
    </row>
    <row r="2349" spans="1:11" x14ac:dyDescent="0.35">
      <c r="A2349" s="2" t="s">
        <v>295</v>
      </c>
      <c r="B2349" t="s">
        <v>296</v>
      </c>
      <c r="C2349" s="21" t="s">
        <v>275</v>
      </c>
      <c r="D2349" s="4">
        <v>12</v>
      </c>
      <c r="I2349" s="1">
        <f t="shared" si="339"/>
        <v>0</v>
      </c>
      <c r="J2349" s="1">
        <f t="shared" si="342"/>
        <v>2465.6999999999989</v>
      </c>
      <c r="K2349" s="9" t="e">
        <f t="shared" si="341"/>
        <v>#DIV/0!</v>
      </c>
    </row>
    <row r="2350" spans="1:11" x14ac:dyDescent="0.35">
      <c r="A2350" s="2" t="s">
        <v>295</v>
      </c>
      <c r="B2350" t="s">
        <v>296</v>
      </c>
      <c r="C2350" s="21" t="s">
        <v>275</v>
      </c>
      <c r="D2350" s="4">
        <v>13</v>
      </c>
      <c r="I2350" s="1">
        <f t="shared" si="339"/>
        <v>0</v>
      </c>
      <c r="J2350" s="1">
        <f t="shared" si="342"/>
        <v>2465.6999999999989</v>
      </c>
      <c r="K2350" s="9" t="e">
        <f t="shared" si="341"/>
        <v>#DIV/0!</v>
      </c>
    </row>
    <row r="2351" spans="1:11" x14ac:dyDescent="0.35">
      <c r="A2351" s="2" t="s">
        <v>295</v>
      </c>
      <c r="B2351" t="s">
        <v>296</v>
      </c>
      <c r="C2351" s="21" t="s">
        <v>275</v>
      </c>
      <c r="D2351" s="4">
        <v>14</v>
      </c>
      <c r="I2351" s="1">
        <f t="shared" si="339"/>
        <v>0</v>
      </c>
      <c r="J2351" s="1">
        <f t="shared" si="342"/>
        <v>2465.6999999999989</v>
      </c>
      <c r="K2351" s="9" t="e">
        <f t="shared" si="341"/>
        <v>#DIV/0!</v>
      </c>
    </row>
    <row r="2352" spans="1:11" x14ac:dyDescent="0.35">
      <c r="A2352" s="2" t="s">
        <v>295</v>
      </c>
      <c r="B2352" t="s">
        <v>296</v>
      </c>
      <c r="C2352" s="21" t="s">
        <v>275</v>
      </c>
      <c r="D2352" s="4">
        <v>15</v>
      </c>
      <c r="I2352" s="1">
        <f t="shared" si="339"/>
        <v>0</v>
      </c>
      <c r="J2352" s="1">
        <f t="shared" si="342"/>
        <v>2465.6999999999989</v>
      </c>
      <c r="K2352" s="9" t="e">
        <f t="shared" si="341"/>
        <v>#DIV/0!</v>
      </c>
    </row>
    <row r="2353" spans="1:11" ht="15" thickBot="1" x14ac:dyDescent="0.4">
      <c r="A2353" s="12" t="s">
        <v>295</v>
      </c>
      <c r="B2353" s="13" t="s">
        <v>296</v>
      </c>
      <c r="C2353" s="22" t="s">
        <v>275</v>
      </c>
      <c r="D2353" s="14">
        <v>16</v>
      </c>
      <c r="E2353" s="13"/>
      <c r="F2353" s="13"/>
      <c r="G2353" s="13"/>
      <c r="H2353" s="13"/>
      <c r="I2353" s="15">
        <f t="shared" si="339"/>
        <v>0</v>
      </c>
      <c r="J2353" s="15">
        <f t="shared" si="342"/>
        <v>2465.6999999999989</v>
      </c>
      <c r="K2353" s="9" t="e">
        <f t="shared" si="341"/>
        <v>#DIV/0!</v>
      </c>
    </row>
    <row r="2354" spans="1:11" x14ac:dyDescent="0.35">
      <c r="A2354" s="2" t="s">
        <v>297</v>
      </c>
      <c r="B2354" t="s">
        <v>298</v>
      </c>
      <c r="C2354" s="21" t="s">
        <v>275</v>
      </c>
      <c r="D2354" s="4">
        <v>1</v>
      </c>
      <c r="F2354" s="3">
        <v>45952</v>
      </c>
      <c r="G2354">
        <v>10055</v>
      </c>
      <c r="H2354">
        <v>9577</v>
      </c>
      <c r="I2354" s="1">
        <f t="shared" si="339"/>
        <v>478</v>
      </c>
      <c r="J2354" s="1">
        <f>I2354</f>
        <v>478</v>
      </c>
      <c r="K2354" s="9">
        <f t="shared" si="341"/>
        <v>4.9911245692805681E-2</v>
      </c>
    </row>
    <row r="2355" spans="1:11" x14ac:dyDescent="0.35">
      <c r="A2355" s="2" t="s">
        <v>297</v>
      </c>
      <c r="B2355" t="s">
        <v>298</v>
      </c>
      <c r="C2355" s="21" t="s">
        <v>275</v>
      </c>
      <c r="D2355" s="4">
        <v>2</v>
      </c>
      <c r="F2355" s="3">
        <v>45959</v>
      </c>
      <c r="G2355">
        <v>10071</v>
      </c>
      <c r="H2355">
        <v>9584</v>
      </c>
      <c r="I2355" s="1">
        <f t="shared" si="339"/>
        <v>487</v>
      </c>
      <c r="J2355" s="1">
        <f>J2354+I2355</f>
        <v>965</v>
      </c>
      <c r="K2355" s="9">
        <f t="shared" si="341"/>
        <v>5.0813856427378963E-2</v>
      </c>
    </row>
    <row r="2356" spans="1:11" x14ac:dyDescent="0.35">
      <c r="A2356" s="2" t="s">
        <v>297</v>
      </c>
      <c r="B2356" t="s">
        <v>298</v>
      </c>
      <c r="C2356" s="21" t="s">
        <v>275</v>
      </c>
      <c r="D2356" s="4">
        <v>3</v>
      </c>
      <c r="F2356" s="3">
        <v>45966</v>
      </c>
      <c r="G2356">
        <v>10063</v>
      </c>
      <c r="H2356">
        <v>9584</v>
      </c>
      <c r="I2356" s="1">
        <f t="shared" si="339"/>
        <v>479</v>
      </c>
      <c r="J2356" s="1">
        <f t="shared" ref="J2356:J2369" si="343">J2355+I2356</f>
        <v>1444</v>
      </c>
      <c r="K2356" s="9">
        <f t="shared" si="341"/>
        <v>4.9979131886477464E-2</v>
      </c>
    </row>
    <row r="2357" spans="1:11" x14ac:dyDescent="0.35">
      <c r="A2357" s="2" t="s">
        <v>297</v>
      </c>
      <c r="B2357" t="s">
        <v>298</v>
      </c>
      <c r="C2357" s="21" t="s">
        <v>275</v>
      </c>
      <c r="D2357" s="4">
        <v>4</v>
      </c>
      <c r="I2357" s="1">
        <f t="shared" si="339"/>
        <v>0</v>
      </c>
      <c r="J2357" s="1">
        <f t="shared" si="343"/>
        <v>1444</v>
      </c>
      <c r="K2357" s="9" t="e">
        <f t="shared" si="341"/>
        <v>#DIV/0!</v>
      </c>
    </row>
    <row r="2358" spans="1:11" x14ac:dyDescent="0.35">
      <c r="A2358" s="2" t="s">
        <v>297</v>
      </c>
      <c r="B2358" t="s">
        <v>298</v>
      </c>
      <c r="C2358" s="21" t="s">
        <v>275</v>
      </c>
      <c r="D2358" s="4">
        <v>5</v>
      </c>
      <c r="I2358" s="1">
        <f t="shared" si="339"/>
        <v>0</v>
      </c>
      <c r="J2358" s="1">
        <f t="shared" si="343"/>
        <v>1444</v>
      </c>
      <c r="K2358" s="9" t="e">
        <f t="shared" si="341"/>
        <v>#DIV/0!</v>
      </c>
    </row>
    <row r="2359" spans="1:11" x14ac:dyDescent="0.35">
      <c r="A2359" s="2" t="s">
        <v>297</v>
      </c>
      <c r="B2359" t="s">
        <v>298</v>
      </c>
      <c r="C2359" s="21" t="s">
        <v>275</v>
      </c>
      <c r="D2359" s="4">
        <v>6</v>
      </c>
      <c r="I2359" s="1">
        <f t="shared" si="339"/>
        <v>0</v>
      </c>
      <c r="J2359" s="1">
        <f t="shared" si="343"/>
        <v>1444</v>
      </c>
      <c r="K2359" s="9" t="e">
        <f t="shared" si="341"/>
        <v>#DIV/0!</v>
      </c>
    </row>
    <row r="2360" spans="1:11" x14ac:dyDescent="0.35">
      <c r="A2360" s="2" t="s">
        <v>297</v>
      </c>
      <c r="B2360" t="s">
        <v>298</v>
      </c>
      <c r="C2360" s="21" t="s">
        <v>275</v>
      </c>
      <c r="D2360" s="4">
        <v>7</v>
      </c>
      <c r="I2360" s="1">
        <f t="shared" si="339"/>
        <v>0</v>
      </c>
      <c r="J2360" s="1">
        <f t="shared" si="343"/>
        <v>1444</v>
      </c>
      <c r="K2360" s="9" t="e">
        <f t="shared" si="341"/>
        <v>#DIV/0!</v>
      </c>
    </row>
    <row r="2361" spans="1:11" x14ac:dyDescent="0.35">
      <c r="A2361" s="2" t="s">
        <v>297</v>
      </c>
      <c r="B2361" t="s">
        <v>298</v>
      </c>
      <c r="C2361" s="21" t="s">
        <v>275</v>
      </c>
      <c r="D2361" s="4">
        <v>8</v>
      </c>
      <c r="I2361" s="1">
        <f t="shared" si="339"/>
        <v>0</v>
      </c>
      <c r="J2361" s="1">
        <f t="shared" si="343"/>
        <v>1444</v>
      </c>
      <c r="K2361" s="9" t="e">
        <f t="shared" si="341"/>
        <v>#DIV/0!</v>
      </c>
    </row>
    <row r="2362" spans="1:11" x14ac:dyDescent="0.35">
      <c r="A2362" s="2" t="s">
        <v>297</v>
      </c>
      <c r="B2362" t="s">
        <v>298</v>
      </c>
      <c r="C2362" s="21" t="s">
        <v>275</v>
      </c>
      <c r="D2362" s="4">
        <v>9</v>
      </c>
      <c r="I2362" s="1">
        <f t="shared" si="339"/>
        <v>0</v>
      </c>
      <c r="J2362" s="1">
        <f t="shared" si="343"/>
        <v>1444</v>
      </c>
      <c r="K2362" s="9" t="e">
        <f t="shared" si="341"/>
        <v>#DIV/0!</v>
      </c>
    </row>
    <row r="2363" spans="1:11" x14ac:dyDescent="0.35">
      <c r="A2363" s="2" t="s">
        <v>297</v>
      </c>
      <c r="B2363" t="s">
        <v>298</v>
      </c>
      <c r="C2363" s="21" t="s">
        <v>275</v>
      </c>
      <c r="D2363" s="4">
        <v>10</v>
      </c>
      <c r="I2363" s="1">
        <f t="shared" si="339"/>
        <v>0</v>
      </c>
      <c r="J2363" s="1">
        <f t="shared" si="343"/>
        <v>1444</v>
      </c>
      <c r="K2363" s="9" t="e">
        <f t="shared" si="341"/>
        <v>#DIV/0!</v>
      </c>
    </row>
    <row r="2364" spans="1:11" x14ac:dyDescent="0.35">
      <c r="A2364" s="2" t="s">
        <v>297</v>
      </c>
      <c r="B2364" t="s">
        <v>298</v>
      </c>
      <c r="C2364" s="21" t="s">
        <v>275</v>
      </c>
      <c r="D2364" s="4">
        <v>11</v>
      </c>
      <c r="I2364" s="1">
        <f t="shared" si="339"/>
        <v>0</v>
      </c>
      <c r="J2364" s="1">
        <f t="shared" si="343"/>
        <v>1444</v>
      </c>
      <c r="K2364" s="9" t="e">
        <f t="shared" si="341"/>
        <v>#DIV/0!</v>
      </c>
    </row>
    <row r="2365" spans="1:11" x14ac:dyDescent="0.35">
      <c r="A2365" s="2" t="s">
        <v>297</v>
      </c>
      <c r="B2365" t="s">
        <v>298</v>
      </c>
      <c r="C2365" s="21" t="s">
        <v>275</v>
      </c>
      <c r="D2365" s="4">
        <v>12</v>
      </c>
      <c r="I2365" s="1">
        <f t="shared" si="339"/>
        <v>0</v>
      </c>
      <c r="J2365" s="1">
        <f t="shared" si="343"/>
        <v>1444</v>
      </c>
      <c r="K2365" s="9" t="e">
        <f t="shared" si="341"/>
        <v>#DIV/0!</v>
      </c>
    </row>
    <row r="2366" spans="1:11" x14ac:dyDescent="0.35">
      <c r="A2366" s="2" t="s">
        <v>297</v>
      </c>
      <c r="B2366" t="s">
        <v>298</v>
      </c>
      <c r="C2366" s="21" t="s">
        <v>275</v>
      </c>
      <c r="D2366" s="4">
        <v>13</v>
      </c>
      <c r="I2366" s="1">
        <f t="shared" si="339"/>
        <v>0</v>
      </c>
      <c r="J2366" s="1">
        <f t="shared" si="343"/>
        <v>1444</v>
      </c>
      <c r="K2366" s="9" t="e">
        <f t="shared" si="341"/>
        <v>#DIV/0!</v>
      </c>
    </row>
    <row r="2367" spans="1:11" x14ac:dyDescent="0.35">
      <c r="A2367" s="2" t="s">
        <v>297</v>
      </c>
      <c r="B2367" t="s">
        <v>298</v>
      </c>
      <c r="C2367" s="21" t="s">
        <v>275</v>
      </c>
      <c r="D2367" s="4">
        <v>14</v>
      </c>
      <c r="I2367" s="1">
        <f t="shared" si="339"/>
        <v>0</v>
      </c>
      <c r="J2367" s="1">
        <f t="shared" si="343"/>
        <v>1444</v>
      </c>
      <c r="K2367" s="9" t="e">
        <f t="shared" si="341"/>
        <v>#DIV/0!</v>
      </c>
    </row>
    <row r="2368" spans="1:11" x14ac:dyDescent="0.35">
      <c r="A2368" s="2" t="s">
        <v>297</v>
      </c>
      <c r="B2368" t="s">
        <v>298</v>
      </c>
      <c r="C2368" s="21" t="s">
        <v>275</v>
      </c>
      <c r="D2368" s="4">
        <v>15</v>
      </c>
      <c r="I2368" s="1">
        <f t="shared" si="339"/>
        <v>0</v>
      </c>
      <c r="J2368" s="1">
        <f t="shared" si="343"/>
        <v>1444</v>
      </c>
      <c r="K2368" s="9" t="e">
        <f t="shared" si="341"/>
        <v>#DIV/0!</v>
      </c>
    </row>
    <row r="2369" spans="1:11" ht="15" thickBot="1" x14ac:dyDescent="0.4">
      <c r="A2369" s="12" t="s">
        <v>297</v>
      </c>
      <c r="B2369" s="13" t="s">
        <v>298</v>
      </c>
      <c r="C2369" s="22" t="s">
        <v>275</v>
      </c>
      <c r="D2369" s="14">
        <v>16</v>
      </c>
      <c r="E2369" s="13"/>
      <c r="F2369" s="13"/>
      <c r="G2369" s="13"/>
      <c r="H2369" s="13"/>
      <c r="I2369" s="15">
        <f t="shared" si="339"/>
        <v>0</v>
      </c>
      <c r="J2369" s="15">
        <f t="shared" si="343"/>
        <v>1444</v>
      </c>
      <c r="K2369" s="16" t="e">
        <f t="shared" si="341"/>
        <v>#DIV/0!</v>
      </c>
    </row>
    <row r="2370" spans="1:11" x14ac:dyDescent="0.35">
      <c r="A2370" s="2" t="s">
        <v>303</v>
      </c>
      <c r="B2370" t="s">
        <v>304</v>
      </c>
      <c r="C2370" s="21" t="s">
        <v>275</v>
      </c>
      <c r="D2370" s="4">
        <v>1</v>
      </c>
      <c r="F2370" s="3">
        <v>45953</v>
      </c>
      <c r="G2370">
        <v>8720</v>
      </c>
      <c r="H2370">
        <v>8136</v>
      </c>
      <c r="I2370" s="1">
        <f t="shared" si="339"/>
        <v>584</v>
      </c>
      <c r="J2370" s="1">
        <f>I2370</f>
        <v>584</v>
      </c>
      <c r="K2370" s="9">
        <f t="shared" si="341"/>
        <v>7.1779744346116031E-2</v>
      </c>
    </row>
    <row r="2371" spans="1:11" x14ac:dyDescent="0.35">
      <c r="A2371" s="2" t="s">
        <v>303</v>
      </c>
      <c r="B2371" t="s">
        <v>304</v>
      </c>
      <c r="C2371" s="21" t="s">
        <v>275</v>
      </c>
      <c r="D2371" s="4">
        <v>2</v>
      </c>
      <c r="F2371" s="3">
        <v>45960</v>
      </c>
      <c r="G2371">
        <v>8720</v>
      </c>
      <c r="H2371">
        <v>8136</v>
      </c>
      <c r="I2371" s="1">
        <f t="shared" si="339"/>
        <v>584</v>
      </c>
      <c r="J2371" s="1">
        <f>J2370+I2371</f>
        <v>1168</v>
      </c>
      <c r="K2371" s="9">
        <f t="shared" si="341"/>
        <v>7.1779744346116031E-2</v>
      </c>
    </row>
    <row r="2372" spans="1:11" x14ac:dyDescent="0.35">
      <c r="A2372" s="2" t="s">
        <v>303</v>
      </c>
      <c r="B2372" t="s">
        <v>304</v>
      </c>
      <c r="C2372" s="21" t="s">
        <v>275</v>
      </c>
      <c r="D2372" s="4">
        <v>3</v>
      </c>
      <c r="F2372" s="3">
        <v>45967</v>
      </c>
      <c r="G2372" s="32">
        <v>8720</v>
      </c>
      <c r="H2372" s="32">
        <v>8136</v>
      </c>
      <c r="I2372" s="1">
        <f t="shared" si="339"/>
        <v>584</v>
      </c>
      <c r="J2372" s="1">
        <f t="shared" ref="J2372:J2385" si="344">J2371+I2372</f>
        <v>1752</v>
      </c>
      <c r="K2372" s="9">
        <f t="shared" si="341"/>
        <v>7.1779744346116031E-2</v>
      </c>
    </row>
    <row r="2373" spans="1:11" x14ac:dyDescent="0.35">
      <c r="A2373" s="2" t="s">
        <v>303</v>
      </c>
      <c r="B2373" t="s">
        <v>304</v>
      </c>
      <c r="C2373" s="21" t="s">
        <v>275</v>
      </c>
      <c r="D2373" s="4">
        <v>4</v>
      </c>
      <c r="I2373" s="1">
        <f t="shared" si="339"/>
        <v>0</v>
      </c>
      <c r="J2373" s="1">
        <f t="shared" si="344"/>
        <v>1752</v>
      </c>
      <c r="K2373" s="9" t="e">
        <f t="shared" si="341"/>
        <v>#DIV/0!</v>
      </c>
    </row>
    <row r="2374" spans="1:11" x14ac:dyDescent="0.35">
      <c r="A2374" s="2" t="s">
        <v>303</v>
      </c>
      <c r="B2374" t="s">
        <v>304</v>
      </c>
      <c r="C2374" s="21" t="s">
        <v>275</v>
      </c>
      <c r="D2374" s="4">
        <v>5</v>
      </c>
      <c r="I2374" s="1">
        <f t="shared" si="339"/>
        <v>0</v>
      </c>
      <c r="J2374" s="1">
        <f t="shared" si="344"/>
        <v>1752</v>
      </c>
      <c r="K2374" s="9" t="e">
        <f t="shared" si="341"/>
        <v>#DIV/0!</v>
      </c>
    </row>
    <row r="2375" spans="1:11" x14ac:dyDescent="0.35">
      <c r="A2375" s="2" t="s">
        <v>303</v>
      </c>
      <c r="B2375" t="s">
        <v>304</v>
      </c>
      <c r="C2375" s="21" t="s">
        <v>275</v>
      </c>
      <c r="D2375" s="4">
        <v>6</v>
      </c>
      <c r="I2375" s="1">
        <f t="shared" si="339"/>
        <v>0</v>
      </c>
      <c r="J2375" s="1">
        <f t="shared" si="344"/>
        <v>1752</v>
      </c>
      <c r="K2375" s="9" t="e">
        <f t="shared" si="341"/>
        <v>#DIV/0!</v>
      </c>
    </row>
    <row r="2376" spans="1:11" x14ac:dyDescent="0.35">
      <c r="A2376" s="2" t="s">
        <v>303</v>
      </c>
      <c r="B2376" t="s">
        <v>304</v>
      </c>
      <c r="C2376" s="21" t="s">
        <v>275</v>
      </c>
      <c r="D2376" s="4">
        <v>7</v>
      </c>
      <c r="I2376" s="1">
        <f t="shared" si="339"/>
        <v>0</v>
      </c>
      <c r="J2376" s="1">
        <f t="shared" si="344"/>
        <v>1752</v>
      </c>
      <c r="K2376" s="9" t="e">
        <f t="shared" si="341"/>
        <v>#DIV/0!</v>
      </c>
    </row>
    <row r="2377" spans="1:11" x14ac:dyDescent="0.35">
      <c r="A2377" s="2" t="s">
        <v>303</v>
      </c>
      <c r="B2377" t="s">
        <v>304</v>
      </c>
      <c r="C2377" s="21" t="s">
        <v>275</v>
      </c>
      <c r="D2377" s="4">
        <v>8</v>
      </c>
      <c r="I2377" s="1">
        <f t="shared" si="339"/>
        <v>0</v>
      </c>
      <c r="J2377" s="1">
        <f t="shared" si="344"/>
        <v>1752</v>
      </c>
      <c r="K2377" s="9" t="e">
        <f t="shared" si="341"/>
        <v>#DIV/0!</v>
      </c>
    </row>
    <row r="2378" spans="1:11" x14ac:dyDescent="0.35">
      <c r="A2378" s="2" t="s">
        <v>303</v>
      </c>
      <c r="B2378" t="s">
        <v>304</v>
      </c>
      <c r="C2378" s="21" t="s">
        <v>275</v>
      </c>
      <c r="D2378" s="4">
        <v>9</v>
      </c>
      <c r="I2378" s="1">
        <f t="shared" si="339"/>
        <v>0</v>
      </c>
      <c r="J2378" s="1">
        <f t="shared" si="344"/>
        <v>1752</v>
      </c>
      <c r="K2378" s="9" t="e">
        <f t="shared" si="341"/>
        <v>#DIV/0!</v>
      </c>
    </row>
    <row r="2379" spans="1:11" x14ac:dyDescent="0.35">
      <c r="A2379" s="2" t="s">
        <v>303</v>
      </c>
      <c r="B2379" t="s">
        <v>304</v>
      </c>
      <c r="C2379" s="21" t="s">
        <v>275</v>
      </c>
      <c r="D2379" s="4">
        <v>10</v>
      </c>
      <c r="I2379" s="1">
        <f t="shared" si="339"/>
        <v>0</v>
      </c>
      <c r="J2379" s="1">
        <f t="shared" si="344"/>
        <v>1752</v>
      </c>
      <c r="K2379" s="9" t="e">
        <f t="shared" si="341"/>
        <v>#DIV/0!</v>
      </c>
    </row>
    <row r="2380" spans="1:11" x14ac:dyDescent="0.35">
      <c r="A2380" s="2" t="s">
        <v>303</v>
      </c>
      <c r="B2380" t="s">
        <v>304</v>
      </c>
      <c r="C2380" s="21" t="s">
        <v>275</v>
      </c>
      <c r="D2380" s="4">
        <v>11</v>
      </c>
      <c r="I2380" s="1">
        <f t="shared" si="339"/>
        <v>0</v>
      </c>
      <c r="J2380" s="1">
        <f t="shared" si="344"/>
        <v>1752</v>
      </c>
      <c r="K2380" s="9" t="e">
        <f t="shared" si="341"/>
        <v>#DIV/0!</v>
      </c>
    </row>
    <row r="2381" spans="1:11" x14ac:dyDescent="0.35">
      <c r="A2381" s="2" t="s">
        <v>303</v>
      </c>
      <c r="B2381" t="s">
        <v>304</v>
      </c>
      <c r="C2381" s="21" t="s">
        <v>275</v>
      </c>
      <c r="D2381" s="4">
        <v>12</v>
      </c>
      <c r="I2381" s="1">
        <f t="shared" si="339"/>
        <v>0</v>
      </c>
      <c r="J2381" s="1">
        <f t="shared" si="344"/>
        <v>1752</v>
      </c>
      <c r="K2381" s="9" t="e">
        <f t="shared" si="341"/>
        <v>#DIV/0!</v>
      </c>
    </row>
    <row r="2382" spans="1:11" x14ac:dyDescent="0.35">
      <c r="A2382" s="2" t="s">
        <v>303</v>
      </c>
      <c r="B2382" t="s">
        <v>304</v>
      </c>
      <c r="C2382" s="21" t="s">
        <v>275</v>
      </c>
      <c r="D2382" s="4">
        <v>13</v>
      </c>
      <c r="I2382" s="1">
        <f t="shared" si="339"/>
        <v>0</v>
      </c>
      <c r="J2382" s="1">
        <f t="shared" si="344"/>
        <v>1752</v>
      </c>
      <c r="K2382" s="9" t="e">
        <f t="shared" si="341"/>
        <v>#DIV/0!</v>
      </c>
    </row>
    <row r="2383" spans="1:11" x14ac:dyDescent="0.35">
      <c r="A2383" s="2" t="s">
        <v>303</v>
      </c>
      <c r="B2383" t="s">
        <v>304</v>
      </c>
      <c r="C2383" s="21" t="s">
        <v>275</v>
      </c>
      <c r="D2383" s="4">
        <v>14</v>
      </c>
      <c r="I2383" s="1">
        <f t="shared" si="339"/>
        <v>0</v>
      </c>
      <c r="J2383" s="1">
        <f t="shared" si="344"/>
        <v>1752</v>
      </c>
      <c r="K2383" s="9" t="e">
        <f t="shared" si="341"/>
        <v>#DIV/0!</v>
      </c>
    </row>
    <row r="2384" spans="1:11" x14ac:dyDescent="0.35">
      <c r="A2384" s="2" t="s">
        <v>303</v>
      </c>
      <c r="B2384" t="s">
        <v>304</v>
      </c>
      <c r="C2384" s="21" t="s">
        <v>275</v>
      </c>
      <c r="D2384" s="4">
        <v>15</v>
      </c>
      <c r="I2384" s="1">
        <f t="shared" si="339"/>
        <v>0</v>
      </c>
      <c r="J2384" s="1">
        <f t="shared" si="344"/>
        <v>1752</v>
      </c>
      <c r="K2384" s="9" t="e">
        <f t="shared" si="341"/>
        <v>#DIV/0!</v>
      </c>
    </row>
    <row r="2385" spans="1:11" ht="15" thickBot="1" x14ac:dyDescent="0.4">
      <c r="A2385" s="12" t="s">
        <v>303</v>
      </c>
      <c r="B2385" s="13" t="s">
        <v>304</v>
      </c>
      <c r="C2385" s="22" t="s">
        <v>275</v>
      </c>
      <c r="D2385" s="14">
        <v>16</v>
      </c>
      <c r="E2385" s="13"/>
      <c r="F2385" s="13"/>
      <c r="G2385" s="13"/>
      <c r="H2385" s="13"/>
      <c r="I2385" s="15">
        <f t="shared" si="339"/>
        <v>0</v>
      </c>
      <c r="J2385" s="15">
        <f t="shared" si="344"/>
        <v>1752</v>
      </c>
      <c r="K2385" s="16" t="e">
        <f t="shared" si="341"/>
        <v>#DIV/0!</v>
      </c>
    </row>
    <row r="2386" spans="1:11" x14ac:dyDescent="0.35">
      <c r="A2386" s="2" t="s">
        <v>305</v>
      </c>
      <c r="B2386" t="s">
        <v>306</v>
      </c>
      <c r="C2386" s="21" t="s">
        <v>275</v>
      </c>
      <c r="D2386" s="4">
        <v>1</v>
      </c>
      <c r="F2386" s="3">
        <v>45953</v>
      </c>
      <c r="G2386">
        <v>8722</v>
      </c>
      <c r="H2386">
        <v>8285</v>
      </c>
      <c r="I2386" s="1">
        <f t="shared" si="339"/>
        <v>437</v>
      </c>
      <c r="J2386" s="1">
        <f>I2386</f>
        <v>437</v>
      </c>
      <c r="K2386" s="9">
        <f t="shared" si="341"/>
        <v>5.2745926372963187E-2</v>
      </c>
    </row>
    <row r="2387" spans="1:11" x14ac:dyDescent="0.35">
      <c r="A2387" s="2" t="s">
        <v>305</v>
      </c>
      <c r="B2387" t="s">
        <v>306</v>
      </c>
      <c r="C2387" s="21" t="s">
        <v>275</v>
      </c>
      <c r="D2387" s="4">
        <v>2</v>
      </c>
      <c r="F2387" s="3">
        <v>45960</v>
      </c>
      <c r="G2387">
        <v>8720</v>
      </c>
      <c r="H2387">
        <v>8285</v>
      </c>
      <c r="I2387" s="1">
        <f t="shared" si="339"/>
        <v>435</v>
      </c>
      <c r="J2387" s="1">
        <f>J2386+I2387</f>
        <v>872</v>
      </c>
      <c r="K2387" s="9">
        <f t="shared" si="341"/>
        <v>5.2504526252263123E-2</v>
      </c>
    </row>
    <row r="2388" spans="1:11" x14ac:dyDescent="0.35">
      <c r="A2388" s="2" t="s">
        <v>305</v>
      </c>
      <c r="B2388" t="s">
        <v>306</v>
      </c>
      <c r="C2388" s="21" t="s">
        <v>275</v>
      </c>
      <c r="D2388" s="4">
        <v>3</v>
      </c>
      <c r="F2388" s="3">
        <v>45967</v>
      </c>
      <c r="G2388">
        <v>8720</v>
      </c>
      <c r="H2388">
        <v>8285</v>
      </c>
      <c r="I2388" s="1">
        <f t="shared" si="339"/>
        <v>435</v>
      </c>
      <c r="J2388" s="1">
        <f t="shared" ref="J2388:J2401" si="345">J2387+I2388</f>
        <v>1307</v>
      </c>
      <c r="K2388" s="9">
        <f t="shared" si="341"/>
        <v>5.2504526252263123E-2</v>
      </c>
    </row>
    <row r="2389" spans="1:11" x14ac:dyDescent="0.35">
      <c r="A2389" s="2" t="s">
        <v>305</v>
      </c>
      <c r="B2389" t="s">
        <v>306</v>
      </c>
      <c r="C2389" s="21" t="s">
        <v>275</v>
      </c>
      <c r="D2389" s="4">
        <v>4</v>
      </c>
      <c r="I2389" s="1">
        <f t="shared" si="339"/>
        <v>0</v>
      </c>
      <c r="J2389" s="1">
        <f t="shared" si="345"/>
        <v>1307</v>
      </c>
      <c r="K2389" s="9" t="e">
        <f t="shared" si="341"/>
        <v>#DIV/0!</v>
      </c>
    </row>
    <row r="2390" spans="1:11" x14ac:dyDescent="0.35">
      <c r="A2390" s="2" t="s">
        <v>305</v>
      </c>
      <c r="B2390" t="s">
        <v>306</v>
      </c>
      <c r="C2390" s="21" t="s">
        <v>275</v>
      </c>
      <c r="D2390" s="4">
        <v>5</v>
      </c>
      <c r="I2390" s="1">
        <f t="shared" si="339"/>
        <v>0</v>
      </c>
      <c r="J2390" s="1">
        <f t="shared" si="345"/>
        <v>1307</v>
      </c>
      <c r="K2390" s="9" t="e">
        <f t="shared" si="341"/>
        <v>#DIV/0!</v>
      </c>
    </row>
    <row r="2391" spans="1:11" x14ac:dyDescent="0.35">
      <c r="A2391" s="2" t="s">
        <v>305</v>
      </c>
      <c r="B2391" t="s">
        <v>306</v>
      </c>
      <c r="C2391" s="21" t="s">
        <v>275</v>
      </c>
      <c r="D2391" s="4">
        <v>6</v>
      </c>
      <c r="I2391" s="1">
        <f t="shared" si="339"/>
        <v>0</v>
      </c>
      <c r="J2391" s="1">
        <f t="shared" si="345"/>
        <v>1307</v>
      </c>
      <c r="K2391" s="9" t="e">
        <f t="shared" si="341"/>
        <v>#DIV/0!</v>
      </c>
    </row>
    <row r="2392" spans="1:11" x14ac:dyDescent="0.35">
      <c r="A2392" s="2" t="s">
        <v>305</v>
      </c>
      <c r="B2392" t="s">
        <v>306</v>
      </c>
      <c r="C2392" s="21" t="s">
        <v>275</v>
      </c>
      <c r="D2392" s="4">
        <v>7</v>
      </c>
      <c r="I2392" s="1">
        <f t="shared" si="339"/>
        <v>0</v>
      </c>
      <c r="J2392" s="1">
        <f t="shared" si="345"/>
        <v>1307</v>
      </c>
      <c r="K2392" s="9" t="e">
        <f t="shared" si="341"/>
        <v>#DIV/0!</v>
      </c>
    </row>
    <row r="2393" spans="1:11" x14ac:dyDescent="0.35">
      <c r="A2393" s="2" t="s">
        <v>305</v>
      </c>
      <c r="B2393" t="s">
        <v>306</v>
      </c>
      <c r="C2393" s="21" t="s">
        <v>275</v>
      </c>
      <c r="D2393" s="4">
        <v>8</v>
      </c>
      <c r="I2393" s="1">
        <f t="shared" si="339"/>
        <v>0</v>
      </c>
      <c r="J2393" s="1">
        <f t="shared" si="345"/>
        <v>1307</v>
      </c>
      <c r="K2393" s="9" t="e">
        <f t="shared" si="341"/>
        <v>#DIV/0!</v>
      </c>
    </row>
    <row r="2394" spans="1:11" x14ac:dyDescent="0.35">
      <c r="A2394" s="2" t="s">
        <v>305</v>
      </c>
      <c r="B2394" t="s">
        <v>306</v>
      </c>
      <c r="C2394" s="21" t="s">
        <v>275</v>
      </c>
      <c r="D2394" s="4">
        <v>9</v>
      </c>
      <c r="I2394" s="1">
        <f t="shared" si="339"/>
        <v>0</v>
      </c>
      <c r="J2394" s="1">
        <f t="shared" si="345"/>
        <v>1307</v>
      </c>
      <c r="K2394" s="9" t="e">
        <f t="shared" si="341"/>
        <v>#DIV/0!</v>
      </c>
    </row>
    <row r="2395" spans="1:11" x14ac:dyDescent="0.35">
      <c r="A2395" s="2" t="s">
        <v>305</v>
      </c>
      <c r="B2395" t="s">
        <v>306</v>
      </c>
      <c r="C2395" s="21" t="s">
        <v>275</v>
      </c>
      <c r="D2395" s="4">
        <v>10</v>
      </c>
      <c r="I2395" s="1">
        <f t="shared" si="339"/>
        <v>0</v>
      </c>
      <c r="J2395" s="1">
        <f t="shared" si="345"/>
        <v>1307</v>
      </c>
      <c r="K2395" s="9" t="e">
        <f t="shared" si="341"/>
        <v>#DIV/0!</v>
      </c>
    </row>
    <row r="2396" spans="1:11" x14ac:dyDescent="0.35">
      <c r="A2396" s="2" t="s">
        <v>305</v>
      </c>
      <c r="B2396" t="s">
        <v>306</v>
      </c>
      <c r="C2396" s="21" t="s">
        <v>275</v>
      </c>
      <c r="D2396" s="4">
        <v>11</v>
      </c>
      <c r="I2396" s="1">
        <f t="shared" si="339"/>
        <v>0</v>
      </c>
      <c r="J2396" s="1">
        <f t="shared" si="345"/>
        <v>1307</v>
      </c>
      <c r="K2396" s="9" t="e">
        <f t="shared" si="341"/>
        <v>#DIV/0!</v>
      </c>
    </row>
    <row r="2397" spans="1:11" x14ac:dyDescent="0.35">
      <c r="A2397" s="2" t="s">
        <v>305</v>
      </c>
      <c r="B2397" t="s">
        <v>306</v>
      </c>
      <c r="C2397" s="21" t="s">
        <v>275</v>
      </c>
      <c r="D2397" s="4">
        <v>12</v>
      </c>
      <c r="I2397" s="1">
        <f t="shared" si="339"/>
        <v>0</v>
      </c>
      <c r="J2397" s="1">
        <f t="shared" si="345"/>
        <v>1307</v>
      </c>
      <c r="K2397" s="9" t="e">
        <f t="shared" si="341"/>
        <v>#DIV/0!</v>
      </c>
    </row>
    <row r="2398" spans="1:11" x14ac:dyDescent="0.35">
      <c r="A2398" s="2" t="s">
        <v>305</v>
      </c>
      <c r="B2398" t="s">
        <v>306</v>
      </c>
      <c r="C2398" s="21" t="s">
        <v>275</v>
      </c>
      <c r="D2398" s="4">
        <v>13</v>
      </c>
      <c r="I2398" s="1">
        <f t="shared" si="339"/>
        <v>0</v>
      </c>
      <c r="J2398" s="1">
        <f t="shared" si="345"/>
        <v>1307</v>
      </c>
      <c r="K2398" s="9" t="e">
        <f t="shared" si="341"/>
        <v>#DIV/0!</v>
      </c>
    </row>
    <row r="2399" spans="1:11" x14ac:dyDescent="0.35">
      <c r="A2399" s="2" t="s">
        <v>305</v>
      </c>
      <c r="B2399" t="s">
        <v>306</v>
      </c>
      <c r="C2399" s="21" t="s">
        <v>275</v>
      </c>
      <c r="D2399" s="4">
        <v>14</v>
      </c>
      <c r="I2399" s="1">
        <f t="shared" si="339"/>
        <v>0</v>
      </c>
      <c r="J2399" s="1">
        <f t="shared" si="345"/>
        <v>1307</v>
      </c>
      <c r="K2399" s="9" t="e">
        <f t="shared" si="341"/>
        <v>#DIV/0!</v>
      </c>
    </row>
    <row r="2400" spans="1:11" x14ac:dyDescent="0.35">
      <c r="A2400" s="2" t="s">
        <v>305</v>
      </c>
      <c r="B2400" t="s">
        <v>306</v>
      </c>
      <c r="C2400" s="21" t="s">
        <v>275</v>
      </c>
      <c r="D2400" s="4">
        <v>15</v>
      </c>
      <c r="I2400" s="1">
        <f t="shared" si="339"/>
        <v>0</v>
      </c>
      <c r="J2400" s="1">
        <f t="shared" si="345"/>
        <v>1307</v>
      </c>
      <c r="K2400" s="9" t="e">
        <f t="shared" si="341"/>
        <v>#DIV/0!</v>
      </c>
    </row>
    <row r="2401" spans="1:11" ht="15" thickBot="1" x14ac:dyDescent="0.4">
      <c r="A2401" s="12" t="s">
        <v>305</v>
      </c>
      <c r="B2401" s="13" t="s">
        <v>306</v>
      </c>
      <c r="C2401" s="22" t="s">
        <v>275</v>
      </c>
      <c r="D2401" s="14">
        <v>16</v>
      </c>
      <c r="E2401" s="13"/>
      <c r="F2401" s="13"/>
      <c r="G2401" s="13"/>
      <c r="H2401" s="13"/>
      <c r="I2401" s="15">
        <f t="shared" si="339"/>
        <v>0</v>
      </c>
      <c r="J2401" s="15">
        <f t="shared" si="345"/>
        <v>1307</v>
      </c>
      <c r="K2401" s="16" t="e">
        <f t="shared" si="341"/>
        <v>#DIV/0!</v>
      </c>
    </row>
    <row r="2402" spans="1:11" x14ac:dyDescent="0.35">
      <c r="A2402" s="2" t="s">
        <v>302</v>
      </c>
      <c r="B2402" t="s">
        <v>301</v>
      </c>
      <c r="C2402" s="21" t="s">
        <v>275</v>
      </c>
      <c r="D2402" s="4">
        <v>1</v>
      </c>
      <c r="F2402" s="3">
        <v>45953</v>
      </c>
      <c r="G2402">
        <v>9676</v>
      </c>
      <c r="H2402">
        <v>8741</v>
      </c>
      <c r="I2402" s="1">
        <f t="shared" si="339"/>
        <v>935</v>
      </c>
      <c r="J2402" s="1">
        <v>0</v>
      </c>
      <c r="K2402" s="9">
        <f t="shared" si="341"/>
        <v>0.10696716622812036</v>
      </c>
    </row>
    <row r="2403" spans="1:11" x14ac:dyDescent="0.35">
      <c r="A2403" s="2" t="s">
        <v>302</v>
      </c>
      <c r="B2403" t="s">
        <v>301</v>
      </c>
      <c r="C2403" s="21" t="s">
        <v>275</v>
      </c>
      <c r="D2403" s="4">
        <v>2</v>
      </c>
      <c r="F2403" s="3">
        <v>45960</v>
      </c>
      <c r="G2403">
        <v>9680</v>
      </c>
      <c r="H2403">
        <v>8741</v>
      </c>
      <c r="I2403" s="1">
        <f t="shared" si="339"/>
        <v>939</v>
      </c>
      <c r="J2403" s="1">
        <f>J2402+I2403</f>
        <v>939</v>
      </c>
      <c r="K2403" s="9">
        <f t="shared" si="341"/>
        <v>0.10742477977348129</v>
      </c>
    </row>
    <row r="2404" spans="1:11" x14ac:dyDescent="0.35">
      <c r="A2404" s="2" t="s">
        <v>302</v>
      </c>
      <c r="B2404" t="s">
        <v>301</v>
      </c>
      <c r="C2404" s="21" t="s">
        <v>275</v>
      </c>
      <c r="D2404" s="4">
        <v>3</v>
      </c>
      <c r="F2404" s="3">
        <v>45967</v>
      </c>
      <c r="G2404">
        <v>9684</v>
      </c>
      <c r="H2404">
        <v>8741</v>
      </c>
      <c r="I2404" s="1">
        <f t="shared" si="339"/>
        <v>943</v>
      </c>
      <c r="J2404" s="1">
        <f t="shared" ref="J2404:J2417" si="346">J2403+I2404</f>
        <v>1882</v>
      </c>
      <c r="K2404" s="9">
        <f t="shared" si="341"/>
        <v>0.10788239331884224</v>
      </c>
    </row>
    <row r="2405" spans="1:11" x14ac:dyDescent="0.35">
      <c r="A2405" s="2" t="s">
        <v>302</v>
      </c>
      <c r="B2405" t="s">
        <v>301</v>
      </c>
      <c r="C2405" s="21" t="s">
        <v>275</v>
      </c>
      <c r="D2405" s="4">
        <v>4</v>
      </c>
      <c r="I2405" s="1">
        <f t="shared" si="339"/>
        <v>0</v>
      </c>
      <c r="J2405" s="1">
        <f t="shared" si="346"/>
        <v>1882</v>
      </c>
      <c r="K2405" s="9" t="e">
        <f t="shared" si="341"/>
        <v>#DIV/0!</v>
      </c>
    </row>
    <row r="2406" spans="1:11" x14ac:dyDescent="0.35">
      <c r="A2406" s="2" t="s">
        <v>302</v>
      </c>
      <c r="B2406" t="s">
        <v>301</v>
      </c>
      <c r="C2406" s="21" t="s">
        <v>275</v>
      </c>
      <c r="D2406" s="4">
        <v>5</v>
      </c>
      <c r="I2406" s="1">
        <f t="shared" si="339"/>
        <v>0</v>
      </c>
      <c r="J2406" s="1">
        <f t="shared" si="346"/>
        <v>1882</v>
      </c>
      <c r="K2406" s="9" t="e">
        <f t="shared" si="341"/>
        <v>#DIV/0!</v>
      </c>
    </row>
    <row r="2407" spans="1:11" x14ac:dyDescent="0.35">
      <c r="A2407" s="2" t="s">
        <v>302</v>
      </c>
      <c r="B2407" t="s">
        <v>301</v>
      </c>
      <c r="C2407" s="21" t="s">
        <v>275</v>
      </c>
      <c r="D2407" s="4">
        <v>6</v>
      </c>
      <c r="I2407" s="1">
        <f t="shared" si="339"/>
        <v>0</v>
      </c>
      <c r="J2407" s="1">
        <f t="shared" si="346"/>
        <v>1882</v>
      </c>
      <c r="K2407" s="9" t="e">
        <f t="shared" si="341"/>
        <v>#DIV/0!</v>
      </c>
    </row>
    <row r="2408" spans="1:11" x14ac:dyDescent="0.35">
      <c r="A2408" s="2" t="s">
        <v>302</v>
      </c>
      <c r="B2408" t="s">
        <v>301</v>
      </c>
      <c r="C2408" s="21" t="s">
        <v>275</v>
      </c>
      <c r="D2408" s="4">
        <v>7</v>
      </c>
      <c r="I2408" s="1">
        <f t="shared" si="339"/>
        <v>0</v>
      </c>
      <c r="J2408" s="1">
        <f t="shared" si="346"/>
        <v>1882</v>
      </c>
      <c r="K2408" s="9" t="e">
        <f t="shared" si="341"/>
        <v>#DIV/0!</v>
      </c>
    </row>
    <row r="2409" spans="1:11" x14ac:dyDescent="0.35">
      <c r="A2409" s="2" t="s">
        <v>302</v>
      </c>
      <c r="B2409" t="s">
        <v>301</v>
      </c>
      <c r="C2409" s="21" t="s">
        <v>275</v>
      </c>
      <c r="D2409" s="4">
        <v>8</v>
      </c>
      <c r="I2409" s="1">
        <f t="shared" si="339"/>
        <v>0</v>
      </c>
      <c r="J2409" s="1">
        <f t="shared" si="346"/>
        <v>1882</v>
      </c>
      <c r="K2409" s="9" t="e">
        <f t="shared" si="341"/>
        <v>#DIV/0!</v>
      </c>
    </row>
    <row r="2410" spans="1:11" x14ac:dyDescent="0.35">
      <c r="A2410" s="2" t="s">
        <v>302</v>
      </c>
      <c r="B2410" t="s">
        <v>301</v>
      </c>
      <c r="C2410" s="21" t="s">
        <v>275</v>
      </c>
      <c r="D2410" s="4">
        <v>9</v>
      </c>
      <c r="I2410" s="1">
        <f t="shared" si="339"/>
        <v>0</v>
      </c>
      <c r="J2410" s="1">
        <f t="shared" si="346"/>
        <v>1882</v>
      </c>
      <c r="K2410" s="9" t="e">
        <f t="shared" si="341"/>
        <v>#DIV/0!</v>
      </c>
    </row>
    <row r="2411" spans="1:11" x14ac:dyDescent="0.35">
      <c r="A2411" s="2" t="s">
        <v>302</v>
      </c>
      <c r="B2411" t="s">
        <v>301</v>
      </c>
      <c r="C2411" s="21" t="s">
        <v>275</v>
      </c>
      <c r="D2411" s="4">
        <v>10</v>
      </c>
      <c r="I2411" s="1">
        <f t="shared" si="339"/>
        <v>0</v>
      </c>
      <c r="J2411" s="1">
        <f t="shared" si="346"/>
        <v>1882</v>
      </c>
      <c r="K2411" s="9" t="e">
        <f t="shared" si="341"/>
        <v>#DIV/0!</v>
      </c>
    </row>
    <row r="2412" spans="1:11" x14ac:dyDescent="0.35">
      <c r="A2412" s="2" t="s">
        <v>302</v>
      </c>
      <c r="B2412" t="s">
        <v>301</v>
      </c>
      <c r="C2412" s="21" t="s">
        <v>275</v>
      </c>
      <c r="D2412" s="4">
        <v>11</v>
      </c>
      <c r="I2412" s="1">
        <f t="shared" si="339"/>
        <v>0</v>
      </c>
      <c r="J2412" s="1">
        <f t="shared" si="346"/>
        <v>1882</v>
      </c>
      <c r="K2412" s="9" t="e">
        <f t="shared" si="341"/>
        <v>#DIV/0!</v>
      </c>
    </row>
    <row r="2413" spans="1:11" x14ac:dyDescent="0.35">
      <c r="A2413" s="2" t="s">
        <v>302</v>
      </c>
      <c r="B2413" t="s">
        <v>301</v>
      </c>
      <c r="C2413" s="21" t="s">
        <v>275</v>
      </c>
      <c r="D2413" s="4">
        <v>12</v>
      </c>
      <c r="I2413" s="1">
        <f t="shared" si="339"/>
        <v>0</v>
      </c>
      <c r="J2413" s="1">
        <f t="shared" si="346"/>
        <v>1882</v>
      </c>
      <c r="K2413" s="9" t="e">
        <f t="shared" si="341"/>
        <v>#DIV/0!</v>
      </c>
    </row>
    <row r="2414" spans="1:11" x14ac:dyDescent="0.35">
      <c r="A2414" s="2" t="s">
        <v>302</v>
      </c>
      <c r="B2414" t="s">
        <v>301</v>
      </c>
      <c r="C2414" s="21" t="s">
        <v>275</v>
      </c>
      <c r="D2414" s="4">
        <v>13</v>
      </c>
      <c r="I2414" s="1">
        <f t="shared" si="339"/>
        <v>0</v>
      </c>
      <c r="J2414" s="1">
        <f t="shared" si="346"/>
        <v>1882</v>
      </c>
      <c r="K2414" s="9" t="e">
        <f t="shared" si="341"/>
        <v>#DIV/0!</v>
      </c>
    </row>
    <row r="2415" spans="1:11" x14ac:dyDescent="0.35">
      <c r="A2415" s="2" t="s">
        <v>302</v>
      </c>
      <c r="B2415" t="s">
        <v>301</v>
      </c>
      <c r="C2415" s="21" t="s">
        <v>275</v>
      </c>
      <c r="D2415" s="4">
        <v>14</v>
      </c>
      <c r="I2415" s="1">
        <f t="shared" si="339"/>
        <v>0</v>
      </c>
      <c r="J2415" s="1">
        <f t="shared" si="346"/>
        <v>1882</v>
      </c>
      <c r="K2415" s="9" t="e">
        <f t="shared" si="341"/>
        <v>#DIV/0!</v>
      </c>
    </row>
    <row r="2416" spans="1:11" x14ac:dyDescent="0.35">
      <c r="A2416" s="2" t="s">
        <v>302</v>
      </c>
      <c r="B2416" t="s">
        <v>301</v>
      </c>
      <c r="C2416" s="21" t="s">
        <v>275</v>
      </c>
      <c r="D2416" s="4">
        <v>15</v>
      </c>
      <c r="I2416" s="1">
        <f t="shared" si="339"/>
        <v>0</v>
      </c>
      <c r="J2416" s="1">
        <f t="shared" si="346"/>
        <v>1882</v>
      </c>
      <c r="K2416" s="9" t="e">
        <f t="shared" si="341"/>
        <v>#DIV/0!</v>
      </c>
    </row>
    <row r="2417" spans="1:11" ht="15" thickBot="1" x14ac:dyDescent="0.4">
      <c r="A2417" s="12" t="s">
        <v>302</v>
      </c>
      <c r="B2417" s="13" t="s">
        <v>301</v>
      </c>
      <c r="C2417" s="22" t="s">
        <v>275</v>
      </c>
      <c r="D2417" s="14">
        <v>16</v>
      </c>
      <c r="E2417" s="13"/>
      <c r="F2417" s="13"/>
      <c r="G2417" s="13"/>
      <c r="H2417" s="13"/>
      <c r="I2417" s="15">
        <f t="shared" si="339"/>
        <v>0</v>
      </c>
      <c r="J2417" s="15">
        <f t="shared" si="346"/>
        <v>1882</v>
      </c>
      <c r="K2417" s="16" t="e">
        <f t="shared" si="341"/>
        <v>#DIV/0!</v>
      </c>
    </row>
    <row r="2418" spans="1:11" x14ac:dyDescent="0.35">
      <c r="A2418" s="2" t="s">
        <v>307</v>
      </c>
      <c r="B2418" t="s">
        <v>308</v>
      </c>
      <c r="C2418" s="21" t="s">
        <v>275</v>
      </c>
      <c r="D2418" s="4">
        <v>1</v>
      </c>
      <c r="F2418" s="3">
        <v>45953</v>
      </c>
      <c r="G2418">
        <v>3626</v>
      </c>
      <c r="H2418">
        <v>3497</v>
      </c>
      <c r="I2418" s="1">
        <f t="shared" si="339"/>
        <v>129</v>
      </c>
      <c r="J2418" s="1">
        <f>I2418</f>
        <v>129</v>
      </c>
      <c r="K2418" s="9">
        <f t="shared" si="341"/>
        <v>3.6888761795824995E-2</v>
      </c>
    </row>
    <row r="2419" spans="1:11" x14ac:dyDescent="0.35">
      <c r="A2419" s="2" t="s">
        <v>307</v>
      </c>
      <c r="B2419" t="s">
        <v>308</v>
      </c>
      <c r="C2419" s="21" t="s">
        <v>275</v>
      </c>
      <c r="D2419" s="4">
        <v>2</v>
      </c>
      <c r="F2419" s="3">
        <v>45960</v>
      </c>
      <c r="G2419">
        <v>3557</v>
      </c>
      <c r="H2419">
        <v>3497</v>
      </c>
      <c r="I2419" s="1">
        <f t="shared" si="339"/>
        <v>60</v>
      </c>
      <c r="J2419" s="1">
        <f>J2418+I2419</f>
        <v>189</v>
      </c>
      <c r="K2419" s="9">
        <f t="shared" si="341"/>
        <v>1.7157563625965114E-2</v>
      </c>
    </row>
    <row r="2420" spans="1:11" x14ac:dyDescent="0.35">
      <c r="A2420" s="2" t="s">
        <v>307</v>
      </c>
      <c r="B2420" t="s">
        <v>308</v>
      </c>
      <c r="C2420" s="21" t="s">
        <v>275</v>
      </c>
      <c r="D2420" s="4">
        <v>3</v>
      </c>
      <c r="F2420" s="3">
        <v>45967</v>
      </c>
      <c r="G2420">
        <v>3594</v>
      </c>
      <c r="H2420">
        <v>3497</v>
      </c>
      <c r="I2420" s="1">
        <f t="shared" si="339"/>
        <v>97</v>
      </c>
      <c r="J2420" s="1">
        <f t="shared" ref="J2420:J2433" si="347">J2419+I2420</f>
        <v>286</v>
      </c>
      <c r="K2420" s="9">
        <f t="shared" si="341"/>
        <v>2.7738061195310266E-2</v>
      </c>
    </row>
    <row r="2421" spans="1:11" x14ac:dyDescent="0.35">
      <c r="A2421" s="2" t="s">
        <v>307</v>
      </c>
      <c r="B2421" t="s">
        <v>308</v>
      </c>
      <c r="C2421" s="21" t="s">
        <v>275</v>
      </c>
      <c r="D2421" s="4">
        <v>4</v>
      </c>
      <c r="I2421" s="1">
        <f t="shared" si="339"/>
        <v>0</v>
      </c>
      <c r="J2421" s="1">
        <f t="shared" si="347"/>
        <v>286</v>
      </c>
      <c r="K2421" s="9" t="e">
        <f t="shared" si="341"/>
        <v>#DIV/0!</v>
      </c>
    </row>
    <row r="2422" spans="1:11" x14ac:dyDescent="0.35">
      <c r="A2422" s="2" t="s">
        <v>307</v>
      </c>
      <c r="B2422" t="s">
        <v>308</v>
      </c>
      <c r="C2422" s="21" t="s">
        <v>275</v>
      </c>
      <c r="D2422" s="4">
        <v>5</v>
      </c>
      <c r="I2422" s="1">
        <f t="shared" si="339"/>
        <v>0</v>
      </c>
      <c r="J2422" s="1">
        <f t="shared" si="347"/>
        <v>286</v>
      </c>
      <c r="K2422" s="9" t="e">
        <f t="shared" si="341"/>
        <v>#DIV/0!</v>
      </c>
    </row>
    <row r="2423" spans="1:11" x14ac:dyDescent="0.35">
      <c r="A2423" s="2" t="s">
        <v>307</v>
      </c>
      <c r="B2423" t="s">
        <v>308</v>
      </c>
      <c r="C2423" s="21" t="s">
        <v>275</v>
      </c>
      <c r="D2423" s="4">
        <v>6</v>
      </c>
      <c r="I2423" s="1">
        <f t="shared" si="339"/>
        <v>0</v>
      </c>
      <c r="J2423" s="1">
        <f t="shared" si="347"/>
        <v>286</v>
      </c>
      <c r="K2423" s="9" t="e">
        <f t="shared" si="341"/>
        <v>#DIV/0!</v>
      </c>
    </row>
    <row r="2424" spans="1:11" x14ac:dyDescent="0.35">
      <c r="A2424" s="2" t="s">
        <v>307</v>
      </c>
      <c r="B2424" t="s">
        <v>308</v>
      </c>
      <c r="C2424" s="21" t="s">
        <v>275</v>
      </c>
      <c r="D2424" s="4">
        <v>7</v>
      </c>
      <c r="I2424" s="1">
        <f t="shared" si="339"/>
        <v>0</v>
      </c>
      <c r="J2424" s="1">
        <f t="shared" si="347"/>
        <v>286</v>
      </c>
      <c r="K2424" s="9" t="e">
        <f t="shared" si="341"/>
        <v>#DIV/0!</v>
      </c>
    </row>
    <row r="2425" spans="1:11" x14ac:dyDescent="0.35">
      <c r="A2425" s="2" t="s">
        <v>307</v>
      </c>
      <c r="B2425" t="s">
        <v>308</v>
      </c>
      <c r="C2425" s="21" t="s">
        <v>275</v>
      </c>
      <c r="D2425" s="4">
        <v>8</v>
      </c>
      <c r="I2425" s="1">
        <f t="shared" si="339"/>
        <v>0</v>
      </c>
      <c r="J2425" s="1">
        <f t="shared" si="347"/>
        <v>286</v>
      </c>
      <c r="K2425" s="9" t="e">
        <f t="shared" si="341"/>
        <v>#DIV/0!</v>
      </c>
    </row>
    <row r="2426" spans="1:11" x14ac:dyDescent="0.35">
      <c r="A2426" s="2" t="s">
        <v>307</v>
      </c>
      <c r="B2426" t="s">
        <v>308</v>
      </c>
      <c r="C2426" s="21" t="s">
        <v>275</v>
      </c>
      <c r="D2426" s="4">
        <v>9</v>
      </c>
      <c r="I2426" s="1">
        <f t="shared" si="339"/>
        <v>0</v>
      </c>
      <c r="J2426" s="1">
        <f t="shared" si="347"/>
        <v>286</v>
      </c>
      <c r="K2426" s="9" t="e">
        <f t="shared" si="341"/>
        <v>#DIV/0!</v>
      </c>
    </row>
    <row r="2427" spans="1:11" x14ac:dyDescent="0.35">
      <c r="A2427" s="2" t="s">
        <v>307</v>
      </c>
      <c r="B2427" t="s">
        <v>308</v>
      </c>
      <c r="C2427" s="21" t="s">
        <v>275</v>
      </c>
      <c r="D2427" s="4">
        <v>10</v>
      </c>
      <c r="I2427" s="1">
        <f t="shared" si="339"/>
        <v>0</v>
      </c>
      <c r="J2427" s="1">
        <f t="shared" si="347"/>
        <v>286</v>
      </c>
      <c r="K2427" s="9" t="e">
        <f t="shared" si="341"/>
        <v>#DIV/0!</v>
      </c>
    </row>
    <row r="2428" spans="1:11" x14ac:dyDescent="0.35">
      <c r="A2428" s="2" t="s">
        <v>307</v>
      </c>
      <c r="B2428" t="s">
        <v>308</v>
      </c>
      <c r="C2428" s="21" t="s">
        <v>275</v>
      </c>
      <c r="D2428" s="4">
        <v>11</v>
      </c>
      <c r="I2428" s="1">
        <f t="shared" si="339"/>
        <v>0</v>
      </c>
      <c r="J2428" s="1">
        <f t="shared" si="347"/>
        <v>286</v>
      </c>
      <c r="K2428" s="9" t="e">
        <f t="shared" si="341"/>
        <v>#DIV/0!</v>
      </c>
    </row>
    <row r="2429" spans="1:11" x14ac:dyDescent="0.35">
      <c r="A2429" s="2" t="s">
        <v>307</v>
      </c>
      <c r="B2429" t="s">
        <v>308</v>
      </c>
      <c r="C2429" s="21" t="s">
        <v>275</v>
      </c>
      <c r="D2429" s="4">
        <v>12</v>
      </c>
      <c r="I2429" s="1">
        <f t="shared" si="339"/>
        <v>0</v>
      </c>
      <c r="J2429" s="1">
        <f t="shared" si="347"/>
        <v>286</v>
      </c>
      <c r="K2429" s="9" t="e">
        <f t="shared" si="341"/>
        <v>#DIV/0!</v>
      </c>
    </row>
    <row r="2430" spans="1:11" x14ac:dyDescent="0.35">
      <c r="A2430" s="2" t="s">
        <v>307</v>
      </c>
      <c r="B2430" t="s">
        <v>308</v>
      </c>
      <c r="C2430" s="21" t="s">
        <v>275</v>
      </c>
      <c r="D2430" s="4">
        <v>13</v>
      </c>
      <c r="I2430" s="1">
        <f t="shared" si="339"/>
        <v>0</v>
      </c>
      <c r="J2430" s="1">
        <f t="shared" si="347"/>
        <v>286</v>
      </c>
      <c r="K2430" s="9" t="e">
        <f t="shared" si="341"/>
        <v>#DIV/0!</v>
      </c>
    </row>
    <row r="2431" spans="1:11" x14ac:dyDescent="0.35">
      <c r="A2431" s="2" t="s">
        <v>307</v>
      </c>
      <c r="B2431" t="s">
        <v>308</v>
      </c>
      <c r="C2431" s="21" t="s">
        <v>275</v>
      </c>
      <c r="D2431" s="4">
        <v>14</v>
      </c>
      <c r="I2431" s="1">
        <f t="shared" si="339"/>
        <v>0</v>
      </c>
      <c r="J2431" s="1">
        <f t="shared" si="347"/>
        <v>286</v>
      </c>
      <c r="K2431" s="9" t="e">
        <f t="shared" si="341"/>
        <v>#DIV/0!</v>
      </c>
    </row>
    <row r="2432" spans="1:11" x14ac:dyDescent="0.35">
      <c r="A2432" s="2" t="s">
        <v>307</v>
      </c>
      <c r="B2432" t="s">
        <v>308</v>
      </c>
      <c r="C2432" s="21" t="s">
        <v>275</v>
      </c>
      <c r="D2432" s="4">
        <v>15</v>
      </c>
      <c r="I2432" s="1">
        <f t="shared" si="339"/>
        <v>0</v>
      </c>
      <c r="J2432" s="1">
        <f t="shared" si="347"/>
        <v>286</v>
      </c>
      <c r="K2432" s="9" t="e">
        <f t="shared" si="341"/>
        <v>#DIV/0!</v>
      </c>
    </row>
    <row r="2433" spans="1:11" ht="15" thickBot="1" x14ac:dyDescent="0.4">
      <c r="A2433" s="12" t="s">
        <v>307</v>
      </c>
      <c r="B2433" s="13" t="s">
        <v>308</v>
      </c>
      <c r="C2433" s="22" t="s">
        <v>275</v>
      </c>
      <c r="D2433" s="14">
        <v>16</v>
      </c>
      <c r="E2433" s="13"/>
      <c r="F2433" s="13"/>
      <c r="G2433" s="13"/>
      <c r="H2433" s="13"/>
      <c r="I2433" s="15">
        <f t="shared" si="339"/>
        <v>0</v>
      </c>
      <c r="J2433" s="15">
        <f t="shared" si="347"/>
        <v>286</v>
      </c>
      <c r="K2433" s="16" t="e">
        <f t="shared" si="341"/>
        <v>#DIV/0!</v>
      </c>
    </row>
    <row r="2434" spans="1:11" x14ac:dyDescent="0.35">
      <c r="A2434" s="2" t="s">
        <v>299</v>
      </c>
      <c r="B2434" t="s">
        <v>300</v>
      </c>
      <c r="C2434" s="21" t="s">
        <v>275</v>
      </c>
      <c r="D2434" s="4">
        <v>1</v>
      </c>
      <c r="F2434" s="3">
        <v>45953</v>
      </c>
      <c r="G2434">
        <v>4810</v>
      </c>
      <c r="H2434">
        <v>4560</v>
      </c>
      <c r="I2434" s="1">
        <f t="shared" si="339"/>
        <v>250</v>
      </c>
      <c r="J2434" s="1">
        <f>I2434</f>
        <v>250</v>
      </c>
      <c r="K2434" s="9">
        <f t="shared" si="341"/>
        <v>5.4824561403508769E-2</v>
      </c>
    </row>
    <row r="2435" spans="1:11" x14ac:dyDescent="0.35">
      <c r="A2435" s="2" t="s">
        <v>299</v>
      </c>
      <c r="B2435" t="s">
        <v>300</v>
      </c>
      <c r="C2435" s="21" t="s">
        <v>275</v>
      </c>
      <c r="D2435" s="4">
        <v>2</v>
      </c>
      <c r="F2435" s="3">
        <v>45960</v>
      </c>
      <c r="G2435">
        <v>4788</v>
      </c>
      <c r="H2435">
        <v>4560</v>
      </c>
      <c r="I2435" s="1">
        <f t="shared" si="339"/>
        <v>228</v>
      </c>
      <c r="J2435" s="1">
        <f>J2434+I2435</f>
        <v>478</v>
      </c>
      <c r="K2435" s="9">
        <f t="shared" si="341"/>
        <v>0.05</v>
      </c>
    </row>
    <row r="2436" spans="1:11" x14ac:dyDescent="0.35">
      <c r="A2436" s="2" t="s">
        <v>299</v>
      </c>
      <c r="B2436" t="s">
        <v>300</v>
      </c>
      <c r="C2436" s="21" t="s">
        <v>275</v>
      </c>
      <c r="D2436" s="4">
        <v>3</v>
      </c>
      <c r="F2436" s="3">
        <v>45961</v>
      </c>
      <c r="G2436">
        <v>5602</v>
      </c>
      <c r="H2436">
        <v>5321</v>
      </c>
      <c r="I2436" s="1">
        <f t="shared" si="339"/>
        <v>281</v>
      </c>
      <c r="J2436" s="1">
        <f t="shared" ref="J2436:J2449" si="348">J2435+I2436</f>
        <v>759</v>
      </c>
      <c r="K2436" s="9">
        <f t="shared" si="341"/>
        <v>5.2809622251456495E-2</v>
      </c>
    </row>
    <row r="2437" spans="1:11" x14ac:dyDescent="0.35">
      <c r="A2437" s="2" t="s">
        <v>299</v>
      </c>
      <c r="B2437" t="s">
        <v>300</v>
      </c>
      <c r="C2437" s="21" t="s">
        <v>275</v>
      </c>
      <c r="D2437" s="4">
        <v>4</v>
      </c>
      <c r="F2437" s="3">
        <v>45967</v>
      </c>
      <c r="G2437">
        <v>4788</v>
      </c>
      <c r="H2437">
        <v>4560</v>
      </c>
      <c r="I2437" s="1">
        <f t="shared" si="339"/>
        <v>228</v>
      </c>
      <c r="J2437" s="1">
        <f t="shared" si="348"/>
        <v>987</v>
      </c>
      <c r="K2437" s="9">
        <f t="shared" si="341"/>
        <v>0.05</v>
      </c>
    </row>
    <row r="2438" spans="1:11" x14ac:dyDescent="0.35">
      <c r="A2438" s="2" t="s">
        <v>299</v>
      </c>
      <c r="B2438" t="s">
        <v>300</v>
      </c>
      <c r="C2438" s="21" t="s">
        <v>275</v>
      </c>
      <c r="D2438" s="4">
        <v>5</v>
      </c>
      <c r="I2438" s="1">
        <f t="shared" si="339"/>
        <v>0</v>
      </c>
      <c r="J2438" s="1">
        <f t="shared" si="348"/>
        <v>987</v>
      </c>
      <c r="K2438" s="9" t="e">
        <f t="shared" si="341"/>
        <v>#DIV/0!</v>
      </c>
    </row>
    <row r="2439" spans="1:11" x14ac:dyDescent="0.35">
      <c r="A2439" s="2" t="s">
        <v>299</v>
      </c>
      <c r="B2439" t="s">
        <v>300</v>
      </c>
      <c r="C2439" s="21" t="s">
        <v>275</v>
      </c>
      <c r="D2439" s="4">
        <v>6</v>
      </c>
      <c r="I2439" s="1">
        <f t="shared" si="339"/>
        <v>0</v>
      </c>
      <c r="J2439" s="1">
        <f t="shared" si="348"/>
        <v>987</v>
      </c>
      <c r="K2439" s="9" t="e">
        <f t="shared" si="341"/>
        <v>#DIV/0!</v>
      </c>
    </row>
    <row r="2440" spans="1:11" x14ac:dyDescent="0.35">
      <c r="A2440" s="2" t="s">
        <v>299</v>
      </c>
      <c r="B2440" t="s">
        <v>300</v>
      </c>
      <c r="C2440" s="21" t="s">
        <v>275</v>
      </c>
      <c r="D2440" s="4">
        <v>7</v>
      </c>
      <c r="I2440" s="1">
        <f t="shared" si="339"/>
        <v>0</v>
      </c>
      <c r="J2440" s="1">
        <f t="shared" si="348"/>
        <v>987</v>
      </c>
      <c r="K2440" s="9" t="e">
        <f t="shared" si="341"/>
        <v>#DIV/0!</v>
      </c>
    </row>
    <row r="2441" spans="1:11" x14ac:dyDescent="0.35">
      <c r="A2441" s="2" t="s">
        <v>299</v>
      </c>
      <c r="B2441" t="s">
        <v>300</v>
      </c>
      <c r="C2441" s="21" t="s">
        <v>275</v>
      </c>
      <c r="D2441" s="4">
        <v>8</v>
      </c>
      <c r="I2441" s="1">
        <f t="shared" si="339"/>
        <v>0</v>
      </c>
      <c r="J2441" s="1">
        <f t="shared" si="348"/>
        <v>987</v>
      </c>
      <c r="K2441" s="9" t="e">
        <f t="shared" si="341"/>
        <v>#DIV/0!</v>
      </c>
    </row>
    <row r="2442" spans="1:11" x14ac:dyDescent="0.35">
      <c r="A2442" s="2" t="s">
        <v>299</v>
      </c>
      <c r="B2442" t="s">
        <v>300</v>
      </c>
      <c r="C2442" s="21" t="s">
        <v>275</v>
      </c>
      <c r="D2442" s="4">
        <v>9</v>
      </c>
      <c r="I2442" s="1">
        <f t="shared" si="339"/>
        <v>0</v>
      </c>
      <c r="J2442" s="1">
        <f t="shared" si="348"/>
        <v>987</v>
      </c>
      <c r="K2442" s="9" t="e">
        <f t="shared" si="341"/>
        <v>#DIV/0!</v>
      </c>
    </row>
    <row r="2443" spans="1:11" x14ac:dyDescent="0.35">
      <c r="A2443" s="2" t="s">
        <v>299</v>
      </c>
      <c r="B2443" t="s">
        <v>300</v>
      </c>
      <c r="C2443" s="21" t="s">
        <v>275</v>
      </c>
      <c r="D2443" s="4">
        <v>10</v>
      </c>
      <c r="I2443" s="1">
        <f t="shared" si="339"/>
        <v>0</v>
      </c>
      <c r="J2443" s="1">
        <f t="shared" si="348"/>
        <v>987</v>
      </c>
      <c r="K2443" s="9" t="e">
        <f t="shared" si="341"/>
        <v>#DIV/0!</v>
      </c>
    </row>
    <row r="2444" spans="1:11" x14ac:dyDescent="0.35">
      <c r="A2444" s="2" t="s">
        <v>299</v>
      </c>
      <c r="B2444" t="s">
        <v>300</v>
      </c>
      <c r="C2444" s="21" t="s">
        <v>275</v>
      </c>
      <c r="D2444" s="4">
        <v>11</v>
      </c>
      <c r="I2444" s="1">
        <f t="shared" si="339"/>
        <v>0</v>
      </c>
      <c r="J2444" s="1">
        <f t="shared" si="348"/>
        <v>987</v>
      </c>
      <c r="K2444" s="9" t="e">
        <f t="shared" si="341"/>
        <v>#DIV/0!</v>
      </c>
    </row>
    <row r="2445" spans="1:11" x14ac:dyDescent="0.35">
      <c r="A2445" s="2" t="s">
        <v>299</v>
      </c>
      <c r="B2445" t="s">
        <v>300</v>
      </c>
      <c r="C2445" s="21" t="s">
        <v>275</v>
      </c>
      <c r="D2445" s="4">
        <v>12</v>
      </c>
      <c r="I2445" s="1">
        <f t="shared" si="339"/>
        <v>0</v>
      </c>
      <c r="J2445" s="1">
        <f t="shared" si="348"/>
        <v>987</v>
      </c>
      <c r="K2445" s="9" t="e">
        <f t="shared" si="341"/>
        <v>#DIV/0!</v>
      </c>
    </row>
    <row r="2446" spans="1:11" x14ac:dyDescent="0.35">
      <c r="A2446" s="2" t="s">
        <v>299</v>
      </c>
      <c r="B2446" t="s">
        <v>300</v>
      </c>
      <c r="C2446" s="21" t="s">
        <v>275</v>
      </c>
      <c r="D2446" s="4">
        <v>13</v>
      </c>
      <c r="I2446" s="1">
        <f t="shared" si="339"/>
        <v>0</v>
      </c>
      <c r="J2446" s="1">
        <f t="shared" si="348"/>
        <v>987</v>
      </c>
      <c r="K2446" s="9" t="e">
        <f t="shared" si="341"/>
        <v>#DIV/0!</v>
      </c>
    </row>
    <row r="2447" spans="1:11" x14ac:dyDescent="0.35">
      <c r="A2447" s="2" t="s">
        <v>299</v>
      </c>
      <c r="B2447" t="s">
        <v>300</v>
      </c>
      <c r="C2447" s="21" t="s">
        <v>275</v>
      </c>
      <c r="D2447" s="4">
        <v>14</v>
      </c>
      <c r="I2447" s="1">
        <f t="shared" si="339"/>
        <v>0</v>
      </c>
      <c r="J2447" s="1">
        <f t="shared" si="348"/>
        <v>987</v>
      </c>
      <c r="K2447" s="9" t="e">
        <f t="shared" si="341"/>
        <v>#DIV/0!</v>
      </c>
    </row>
    <row r="2448" spans="1:11" x14ac:dyDescent="0.35">
      <c r="A2448" s="2" t="s">
        <v>299</v>
      </c>
      <c r="B2448" t="s">
        <v>300</v>
      </c>
      <c r="C2448" s="21" t="s">
        <v>275</v>
      </c>
      <c r="D2448" s="4">
        <v>15</v>
      </c>
      <c r="I2448" s="1">
        <f t="shared" si="339"/>
        <v>0</v>
      </c>
      <c r="J2448" s="1">
        <f t="shared" si="348"/>
        <v>987</v>
      </c>
      <c r="K2448" s="9" t="e">
        <f t="shared" si="341"/>
        <v>#DIV/0!</v>
      </c>
    </row>
    <row r="2449" spans="1:11" ht="15" thickBot="1" x14ac:dyDescent="0.4">
      <c r="A2449" s="12" t="s">
        <v>299</v>
      </c>
      <c r="B2449" s="13" t="s">
        <v>300</v>
      </c>
      <c r="C2449" s="22" t="s">
        <v>275</v>
      </c>
      <c r="D2449" s="14">
        <v>16</v>
      </c>
      <c r="E2449" s="13"/>
      <c r="F2449" s="13"/>
      <c r="G2449" s="13"/>
      <c r="H2449" s="13"/>
      <c r="I2449" s="15">
        <f t="shared" si="339"/>
        <v>0</v>
      </c>
      <c r="J2449" s="15">
        <f t="shared" si="348"/>
        <v>987</v>
      </c>
      <c r="K2449" s="16" t="e">
        <f t="shared" si="341"/>
        <v>#DIV/0!</v>
      </c>
    </row>
    <row r="2450" spans="1:11" x14ac:dyDescent="0.35">
      <c r="A2450" s="2" t="s">
        <v>310</v>
      </c>
      <c r="B2450" t="s">
        <v>309</v>
      </c>
      <c r="C2450" s="21" t="s">
        <v>275</v>
      </c>
      <c r="D2450" s="4">
        <v>1</v>
      </c>
      <c r="F2450" s="3">
        <v>45954</v>
      </c>
      <c r="G2450">
        <v>6929</v>
      </c>
      <c r="H2450">
        <v>6465</v>
      </c>
      <c r="I2450" s="1">
        <f t="shared" si="339"/>
        <v>464</v>
      </c>
      <c r="J2450" s="1">
        <f>I2450</f>
        <v>464</v>
      </c>
      <c r="K2450" s="9">
        <f t="shared" si="341"/>
        <v>7.1771075019334885E-2</v>
      </c>
    </row>
    <row r="2451" spans="1:11" x14ac:dyDescent="0.35">
      <c r="A2451" s="2" t="s">
        <v>310</v>
      </c>
      <c r="B2451" t="s">
        <v>309</v>
      </c>
      <c r="C2451" s="21" t="s">
        <v>275</v>
      </c>
      <c r="D2451" s="4">
        <v>2</v>
      </c>
      <c r="F2451" s="3">
        <v>45961</v>
      </c>
      <c r="G2451">
        <v>6929</v>
      </c>
      <c r="H2451">
        <v>6465</v>
      </c>
      <c r="I2451" s="1">
        <f t="shared" ref="I2451:I2514" si="349">G2451-H2451</f>
        <v>464</v>
      </c>
      <c r="J2451" s="1">
        <f>J2450+I2451</f>
        <v>928</v>
      </c>
      <c r="K2451" s="9">
        <f t="shared" ref="K2451:K2514" si="350">I2451/H2451</f>
        <v>7.1771075019334885E-2</v>
      </c>
    </row>
    <row r="2452" spans="1:11" x14ac:dyDescent="0.35">
      <c r="A2452" s="2" t="s">
        <v>310</v>
      </c>
      <c r="B2452" t="s">
        <v>309</v>
      </c>
      <c r="C2452" s="21" t="s">
        <v>275</v>
      </c>
      <c r="D2452" s="4">
        <v>3</v>
      </c>
      <c r="I2452" s="1">
        <f t="shared" si="349"/>
        <v>0</v>
      </c>
      <c r="J2452" s="1">
        <f t="shared" ref="J2452:J2465" si="351">J2451+I2452</f>
        <v>928</v>
      </c>
      <c r="K2452" s="9" t="e">
        <f t="shared" si="350"/>
        <v>#DIV/0!</v>
      </c>
    </row>
    <row r="2453" spans="1:11" x14ac:dyDescent="0.35">
      <c r="A2453" s="2" t="s">
        <v>310</v>
      </c>
      <c r="B2453" t="s">
        <v>309</v>
      </c>
      <c r="C2453" s="21" t="s">
        <v>275</v>
      </c>
      <c r="D2453" s="4">
        <v>4</v>
      </c>
      <c r="I2453" s="1">
        <f t="shared" si="349"/>
        <v>0</v>
      </c>
      <c r="J2453" s="1">
        <f t="shared" si="351"/>
        <v>928</v>
      </c>
      <c r="K2453" s="9" t="e">
        <f t="shared" si="350"/>
        <v>#DIV/0!</v>
      </c>
    </row>
    <row r="2454" spans="1:11" x14ac:dyDescent="0.35">
      <c r="A2454" s="2" t="s">
        <v>310</v>
      </c>
      <c r="B2454" t="s">
        <v>309</v>
      </c>
      <c r="C2454" s="21" t="s">
        <v>275</v>
      </c>
      <c r="D2454" s="4">
        <v>5</v>
      </c>
      <c r="I2454" s="1">
        <f t="shared" si="349"/>
        <v>0</v>
      </c>
      <c r="J2454" s="1">
        <f t="shared" si="351"/>
        <v>928</v>
      </c>
      <c r="K2454" s="9" t="e">
        <f t="shared" si="350"/>
        <v>#DIV/0!</v>
      </c>
    </row>
    <row r="2455" spans="1:11" x14ac:dyDescent="0.35">
      <c r="A2455" s="2" t="s">
        <v>310</v>
      </c>
      <c r="B2455" t="s">
        <v>309</v>
      </c>
      <c r="C2455" s="21" t="s">
        <v>275</v>
      </c>
      <c r="D2455" s="4">
        <v>6</v>
      </c>
      <c r="I2455" s="1">
        <f t="shared" si="349"/>
        <v>0</v>
      </c>
      <c r="J2455" s="1">
        <f t="shared" si="351"/>
        <v>928</v>
      </c>
      <c r="K2455" s="9" t="e">
        <f t="shared" si="350"/>
        <v>#DIV/0!</v>
      </c>
    </row>
    <row r="2456" spans="1:11" x14ac:dyDescent="0.35">
      <c r="A2456" s="2" t="s">
        <v>310</v>
      </c>
      <c r="B2456" t="s">
        <v>309</v>
      </c>
      <c r="C2456" s="21" t="s">
        <v>275</v>
      </c>
      <c r="D2456" s="4">
        <v>7</v>
      </c>
      <c r="I2456" s="1">
        <f t="shared" si="349"/>
        <v>0</v>
      </c>
      <c r="J2456" s="1">
        <f t="shared" si="351"/>
        <v>928</v>
      </c>
      <c r="K2456" s="9" t="e">
        <f t="shared" si="350"/>
        <v>#DIV/0!</v>
      </c>
    </row>
    <row r="2457" spans="1:11" x14ac:dyDescent="0.35">
      <c r="A2457" s="2" t="s">
        <v>310</v>
      </c>
      <c r="B2457" t="s">
        <v>309</v>
      </c>
      <c r="C2457" s="21" t="s">
        <v>275</v>
      </c>
      <c r="D2457" s="4">
        <v>8</v>
      </c>
      <c r="I2457" s="1">
        <f t="shared" si="349"/>
        <v>0</v>
      </c>
      <c r="J2457" s="1">
        <f t="shared" si="351"/>
        <v>928</v>
      </c>
      <c r="K2457" s="9" t="e">
        <f t="shared" si="350"/>
        <v>#DIV/0!</v>
      </c>
    </row>
    <row r="2458" spans="1:11" x14ac:dyDescent="0.35">
      <c r="A2458" s="2" t="s">
        <v>310</v>
      </c>
      <c r="B2458" t="s">
        <v>309</v>
      </c>
      <c r="C2458" s="21" t="s">
        <v>275</v>
      </c>
      <c r="D2458" s="4">
        <v>9</v>
      </c>
      <c r="I2458" s="1">
        <f t="shared" si="349"/>
        <v>0</v>
      </c>
      <c r="J2458" s="1">
        <f t="shared" si="351"/>
        <v>928</v>
      </c>
      <c r="K2458" s="9" t="e">
        <f t="shared" si="350"/>
        <v>#DIV/0!</v>
      </c>
    </row>
    <row r="2459" spans="1:11" x14ac:dyDescent="0.35">
      <c r="A2459" s="2" t="s">
        <v>310</v>
      </c>
      <c r="B2459" t="s">
        <v>309</v>
      </c>
      <c r="C2459" s="21" t="s">
        <v>275</v>
      </c>
      <c r="D2459" s="4">
        <v>10</v>
      </c>
      <c r="I2459" s="1">
        <f t="shared" si="349"/>
        <v>0</v>
      </c>
      <c r="J2459" s="1">
        <f t="shared" si="351"/>
        <v>928</v>
      </c>
      <c r="K2459" s="9" t="e">
        <f t="shared" si="350"/>
        <v>#DIV/0!</v>
      </c>
    </row>
    <row r="2460" spans="1:11" x14ac:dyDescent="0.35">
      <c r="A2460" s="2" t="s">
        <v>310</v>
      </c>
      <c r="B2460" t="s">
        <v>309</v>
      </c>
      <c r="C2460" s="21" t="s">
        <v>275</v>
      </c>
      <c r="D2460" s="4">
        <v>11</v>
      </c>
      <c r="I2460" s="1">
        <f t="shared" si="349"/>
        <v>0</v>
      </c>
      <c r="J2460" s="1">
        <f t="shared" si="351"/>
        <v>928</v>
      </c>
      <c r="K2460" s="9" t="e">
        <f t="shared" si="350"/>
        <v>#DIV/0!</v>
      </c>
    </row>
    <row r="2461" spans="1:11" x14ac:dyDescent="0.35">
      <c r="A2461" s="2" t="s">
        <v>310</v>
      </c>
      <c r="B2461" t="s">
        <v>309</v>
      </c>
      <c r="C2461" s="21" t="s">
        <v>275</v>
      </c>
      <c r="D2461" s="4">
        <v>12</v>
      </c>
      <c r="I2461" s="1">
        <f t="shared" si="349"/>
        <v>0</v>
      </c>
      <c r="J2461" s="1">
        <f t="shared" si="351"/>
        <v>928</v>
      </c>
      <c r="K2461" s="9" t="e">
        <f t="shared" si="350"/>
        <v>#DIV/0!</v>
      </c>
    </row>
    <row r="2462" spans="1:11" x14ac:dyDescent="0.35">
      <c r="A2462" s="2" t="s">
        <v>310</v>
      </c>
      <c r="B2462" t="s">
        <v>309</v>
      </c>
      <c r="C2462" s="21" t="s">
        <v>275</v>
      </c>
      <c r="D2462" s="4">
        <v>13</v>
      </c>
      <c r="I2462" s="1">
        <f t="shared" si="349"/>
        <v>0</v>
      </c>
      <c r="J2462" s="1">
        <f t="shared" si="351"/>
        <v>928</v>
      </c>
      <c r="K2462" s="9" t="e">
        <f t="shared" si="350"/>
        <v>#DIV/0!</v>
      </c>
    </row>
    <row r="2463" spans="1:11" x14ac:dyDescent="0.35">
      <c r="A2463" s="2" t="s">
        <v>310</v>
      </c>
      <c r="B2463" t="s">
        <v>309</v>
      </c>
      <c r="C2463" s="21" t="s">
        <v>275</v>
      </c>
      <c r="D2463" s="4">
        <v>14</v>
      </c>
      <c r="I2463" s="1">
        <f t="shared" si="349"/>
        <v>0</v>
      </c>
      <c r="J2463" s="1">
        <f t="shared" si="351"/>
        <v>928</v>
      </c>
      <c r="K2463" s="9" t="e">
        <f t="shared" si="350"/>
        <v>#DIV/0!</v>
      </c>
    </row>
    <row r="2464" spans="1:11" x14ac:dyDescent="0.35">
      <c r="A2464" s="2" t="s">
        <v>310</v>
      </c>
      <c r="B2464" t="s">
        <v>309</v>
      </c>
      <c r="C2464" s="21" t="s">
        <v>275</v>
      </c>
      <c r="D2464" s="4">
        <v>15</v>
      </c>
      <c r="I2464" s="1">
        <f t="shared" si="349"/>
        <v>0</v>
      </c>
      <c r="J2464" s="1">
        <f t="shared" si="351"/>
        <v>928</v>
      </c>
      <c r="K2464" s="9" t="e">
        <f t="shared" si="350"/>
        <v>#DIV/0!</v>
      </c>
    </row>
    <row r="2465" spans="1:11" ht="15" thickBot="1" x14ac:dyDescent="0.4">
      <c r="A2465" s="12" t="s">
        <v>310</v>
      </c>
      <c r="B2465" s="13" t="s">
        <v>309</v>
      </c>
      <c r="C2465" s="22" t="s">
        <v>275</v>
      </c>
      <c r="D2465" s="14">
        <v>16</v>
      </c>
      <c r="E2465" s="13"/>
      <c r="F2465" s="13"/>
      <c r="G2465" s="13"/>
      <c r="H2465" s="13"/>
      <c r="I2465" s="15">
        <f t="shared" si="349"/>
        <v>0</v>
      </c>
      <c r="J2465" s="15">
        <f t="shared" si="351"/>
        <v>928</v>
      </c>
      <c r="K2465" s="16" t="e">
        <f t="shared" si="350"/>
        <v>#DIV/0!</v>
      </c>
    </row>
    <row r="2466" spans="1:11" x14ac:dyDescent="0.35">
      <c r="A2466" s="2" t="s">
        <v>311</v>
      </c>
      <c r="B2466" t="s">
        <v>259</v>
      </c>
      <c r="C2466" s="21" t="s">
        <v>275</v>
      </c>
      <c r="D2466" s="4">
        <v>1</v>
      </c>
      <c r="F2466" s="3">
        <v>45954</v>
      </c>
      <c r="G2466">
        <v>5602</v>
      </c>
      <c r="H2466">
        <v>5320</v>
      </c>
      <c r="I2466" s="1">
        <f t="shared" si="349"/>
        <v>282</v>
      </c>
      <c r="J2466" s="1">
        <f>I2466</f>
        <v>282</v>
      </c>
      <c r="K2466" s="9">
        <f t="shared" si="350"/>
        <v>5.3007518796992482E-2</v>
      </c>
    </row>
    <row r="2467" spans="1:11" x14ac:dyDescent="0.35">
      <c r="A2467" s="2" t="s">
        <v>311</v>
      </c>
      <c r="B2467" t="s">
        <v>259</v>
      </c>
      <c r="C2467" s="21" t="s">
        <v>275</v>
      </c>
      <c r="D2467" s="4">
        <v>2</v>
      </c>
      <c r="F2467" s="3">
        <v>45968</v>
      </c>
      <c r="G2467" s="32">
        <v>5602</v>
      </c>
      <c r="H2467">
        <v>5321</v>
      </c>
      <c r="I2467" s="1">
        <f t="shared" si="349"/>
        <v>281</v>
      </c>
      <c r="J2467" s="1">
        <f>J2466+I2467</f>
        <v>563</v>
      </c>
      <c r="K2467" s="9">
        <f t="shared" si="350"/>
        <v>5.2809622251456495E-2</v>
      </c>
    </row>
    <row r="2468" spans="1:11" x14ac:dyDescent="0.35">
      <c r="A2468" s="2" t="s">
        <v>311</v>
      </c>
      <c r="B2468" t="s">
        <v>259</v>
      </c>
      <c r="C2468" s="21" t="s">
        <v>275</v>
      </c>
      <c r="D2468" s="4">
        <v>3</v>
      </c>
      <c r="I2468" s="1">
        <f t="shared" si="349"/>
        <v>0</v>
      </c>
      <c r="J2468" s="1">
        <f t="shared" ref="J2468:J2481" si="352">J2467+I2468</f>
        <v>563</v>
      </c>
      <c r="K2468" s="9" t="e">
        <f t="shared" si="350"/>
        <v>#DIV/0!</v>
      </c>
    </row>
    <row r="2469" spans="1:11" x14ac:dyDescent="0.35">
      <c r="A2469" s="2" t="s">
        <v>311</v>
      </c>
      <c r="B2469" t="s">
        <v>259</v>
      </c>
      <c r="C2469" s="21" t="s">
        <v>275</v>
      </c>
      <c r="D2469" s="4">
        <v>4</v>
      </c>
      <c r="I2469" s="1">
        <f t="shared" si="349"/>
        <v>0</v>
      </c>
      <c r="J2469" s="1">
        <f t="shared" si="352"/>
        <v>563</v>
      </c>
      <c r="K2469" s="9" t="e">
        <f t="shared" si="350"/>
        <v>#DIV/0!</v>
      </c>
    </row>
    <row r="2470" spans="1:11" x14ac:dyDescent="0.35">
      <c r="A2470" s="2" t="s">
        <v>311</v>
      </c>
      <c r="B2470" t="s">
        <v>259</v>
      </c>
      <c r="C2470" s="21" t="s">
        <v>275</v>
      </c>
      <c r="D2470" s="4">
        <v>5</v>
      </c>
      <c r="I2470" s="1">
        <f t="shared" si="349"/>
        <v>0</v>
      </c>
      <c r="J2470" s="1">
        <f t="shared" si="352"/>
        <v>563</v>
      </c>
      <c r="K2470" s="9" t="e">
        <f t="shared" si="350"/>
        <v>#DIV/0!</v>
      </c>
    </row>
    <row r="2471" spans="1:11" x14ac:dyDescent="0.35">
      <c r="A2471" s="2" t="s">
        <v>311</v>
      </c>
      <c r="B2471" t="s">
        <v>259</v>
      </c>
      <c r="C2471" s="21" t="s">
        <v>275</v>
      </c>
      <c r="D2471" s="4">
        <v>6</v>
      </c>
      <c r="I2471" s="1">
        <f t="shared" si="349"/>
        <v>0</v>
      </c>
      <c r="J2471" s="1">
        <f t="shared" si="352"/>
        <v>563</v>
      </c>
      <c r="K2471" s="9" t="e">
        <f t="shared" si="350"/>
        <v>#DIV/0!</v>
      </c>
    </row>
    <row r="2472" spans="1:11" x14ac:dyDescent="0.35">
      <c r="A2472" s="2" t="s">
        <v>311</v>
      </c>
      <c r="B2472" t="s">
        <v>259</v>
      </c>
      <c r="C2472" s="21" t="s">
        <v>275</v>
      </c>
      <c r="D2472" s="4">
        <v>7</v>
      </c>
      <c r="I2472" s="1">
        <f t="shared" si="349"/>
        <v>0</v>
      </c>
      <c r="J2472" s="1">
        <f t="shared" si="352"/>
        <v>563</v>
      </c>
      <c r="K2472" s="9" t="e">
        <f t="shared" si="350"/>
        <v>#DIV/0!</v>
      </c>
    </row>
    <row r="2473" spans="1:11" x14ac:dyDescent="0.35">
      <c r="A2473" s="2" t="s">
        <v>311</v>
      </c>
      <c r="B2473" t="s">
        <v>259</v>
      </c>
      <c r="C2473" s="21" t="s">
        <v>275</v>
      </c>
      <c r="D2473" s="4">
        <v>8</v>
      </c>
      <c r="I2473" s="1">
        <f t="shared" si="349"/>
        <v>0</v>
      </c>
      <c r="J2473" s="1">
        <f t="shared" si="352"/>
        <v>563</v>
      </c>
      <c r="K2473" s="9" t="e">
        <f t="shared" si="350"/>
        <v>#DIV/0!</v>
      </c>
    </row>
    <row r="2474" spans="1:11" x14ac:dyDescent="0.35">
      <c r="A2474" s="2" t="s">
        <v>311</v>
      </c>
      <c r="B2474" t="s">
        <v>259</v>
      </c>
      <c r="C2474" s="21" t="s">
        <v>275</v>
      </c>
      <c r="D2474" s="4">
        <v>9</v>
      </c>
      <c r="I2474" s="1">
        <f t="shared" si="349"/>
        <v>0</v>
      </c>
      <c r="J2474" s="1">
        <f t="shared" si="352"/>
        <v>563</v>
      </c>
      <c r="K2474" s="9" t="e">
        <f t="shared" si="350"/>
        <v>#DIV/0!</v>
      </c>
    </row>
    <row r="2475" spans="1:11" x14ac:dyDescent="0.35">
      <c r="A2475" s="2" t="s">
        <v>311</v>
      </c>
      <c r="B2475" t="s">
        <v>259</v>
      </c>
      <c r="C2475" s="21" t="s">
        <v>275</v>
      </c>
      <c r="D2475" s="4">
        <v>10</v>
      </c>
      <c r="I2475" s="1">
        <f t="shared" si="349"/>
        <v>0</v>
      </c>
      <c r="J2475" s="1">
        <f t="shared" si="352"/>
        <v>563</v>
      </c>
      <c r="K2475" s="9" t="e">
        <f t="shared" si="350"/>
        <v>#DIV/0!</v>
      </c>
    </row>
    <row r="2476" spans="1:11" x14ac:dyDescent="0.35">
      <c r="A2476" s="2" t="s">
        <v>311</v>
      </c>
      <c r="B2476" t="s">
        <v>259</v>
      </c>
      <c r="C2476" s="21" t="s">
        <v>275</v>
      </c>
      <c r="D2476" s="4">
        <v>11</v>
      </c>
      <c r="I2476" s="1">
        <f t="shared" si="349"/>
        <v>0</v>
      </c>
      <c r="J2476" s="1">
        <f t="shared" si="352"/>
        <v>563</v>
      </c>
      <c r="K2476" s="9" t="e">
        <f t="shared" si="350"/>
        <v>#DIV/0!</v>
      </c>
    </row>
    <row r="2477" spans="1:11" x14ac:dyDescent="0.35">
      <c r="A2477" s="2" t="s">
        <v>311</v>
      </c>
      <c r="B2477" t="s">
        <v>259</v>
      </c>
      <c r="C2477" s="21" t="s">
        <v>275</v>
      </c>
      <c r="D2477" s="4">
        <v>12</v>
      </c>
      <c r="I2477" s="1">
        <f t="shared" si="349"/>
        <v>0</v>
      </c>
      <c r="J2477" s="1">
        <f t="shared" si="352"/>
        <v>563</v>
      </c>
      <c r="K2477" s="9" t="e">
        <f t="shared" si="350"/>
        <v>#DIV/0!</v>
      </c>
    </row>
    <row r="2478" spans="1:11" x14ac:dyDescent="0.35">
      <c r="A2478" s="2" t="s">
        <v>311</v>
      </c>
      <c r="B2478" t="s">
        <v>259</v>
      </c>
      <c r="C2478" s="21" t="s">
        <v>275</v>
      </c>
      <c r="D2478" s="4">
        <v>13</v>
      </c>
      <c r="I2478" s="1">
        <f t="shared" si="349"/>
        <v>0</v>
      </c>
      <c r="J2478" s="1">
        <f t="shared" si="352"/>
        <v>563</v>
      </c>
      <c r="K2478" s="9" t="e">
        <f t="shared" si="350"/>
        <v>#DIV/0!</v>
      </c>
    </row>
    <row r="2479" spans="1:11" x14ac:dyDescent="0.35">
      <c r="A2479" s="2" t="s">
        <v>311</v>
      </c>
      <c r="B2479" t="s">
        <v>259</v>
      </c>
      <c r="C2479" s="21" t="s">
        <v>275</v>
      </c>
      <c r="D2479" s="4">
        <v>14</v>
      </c>
      <c r="I2479" s="1">
        <f t="shared" si="349"/>
        <v>0</v>
      </c>
      <c r="J2479" s="1">
        <f t="shared" si="352"/>
        <v>563</v>
      </c>
      <c r="K2479" s="9" t="e">
        <f t="shared" si="350"/>
        <v>#DIV/0!</v>
      </c>
    </row>
    <row r="2480" spans="1:11" x14ac:dyDescent="0.35">
      <c r="A2480" s="2" t="s">
        <v>311</v>
      </c>
      <c r="B2480" t="s">
        <v>259</v>
      </c>
      <c r="C2480" s="21" t="s">
        <v>275</v>
      </c>
      <c r="D2480" s="4">
        <v>15</v>
      </c>
      <c r="I2480" s="1">
        <f t="shared" si="349"/>
        <v>0</v>
      </c>
      <c r="J2480" s="1">
        <f t="shared" si="352"/>
        <v>563</v>
      </c>
      <c r="K2480" s="9" t="e">
        <f t="shared" si="350"/>
        <v>#DIV/0!</v>
      </c>
    </row>
    <row r="2481" spans="1:12" ht="15" thickBot="1" x14ac:dyDescent="0.4">
      <c r="A2481" s="12" t="s">
        <v>311</v>
      </c>
      <c r="B2481" s="13" t="s">
        <v>259</v>
      </c>
      <c r="C2481" s="22" t="s">
        <v>275</v>
      </c>
      <c r="D2481" s="14">
        <v>16</v>
      </c>
      <c r="E2481" s="13"/>
      <c r="F2481" s="13"/>
      <c r="G2481" s="13"/>
      <c r="H2481" s="13"/>
      <c r="I2481" s="15">
        <f t="shared" si="349"/>
        <v>0</v>
      </c>
      <c r="J2481" s="15">
        <f t="shared" si="352"/>
        <v>563</v>
      </c>
      <c r="K2481" s="16" t="e">
        <f t="shared" si="350"/>
        <v>#DIV/0!</v>
      </c>
      <c r="L2481" s="13"/>
    </row>
    <row r="2482" spans="1:12" x14ac:dyDescent="0.35">
      <c r="A2482" s="2" t="s">
        <v>312</v>
      </c>
      <c r="B2482" t="s">
        <v>313</v>
      </c>
      <c r="C2482" s="21" t="s">
        <v>275</v>
      </c>
      <c r="D2482" s="4">
        <v>1</v>
      </c>
      <c r="F2482" s="3">
        <v>45957</v>
      </c>
      <c r="G2482">
        <v>9856</v>
      </c>
      <c r="H2482">
        <v>9386</v>
      </c>
      <c r="I2482" s="1">
        <f t="shared" si="349"/>
        <v>470</v>
      </c>
      <c r="J2482" s="1">
        <f>I2482</f>
        <v>470</v>
      </c>
      <c r="K2482" s="9">
        <f t="shared" si="350"/>
        <v>5.0074579160451736E-2</v>
      </c>
    </row>
    <row r="2483" spans="1:12" x14ac:dyDescent="0.35">
      <c r="A2483" s="2" t="s">
        <v>312</v>
      </c>
      <c r="B2483" t="s">
        <v>313</v>
      </c>
      <c r="C2483" s="21" t="s">
        <v>275</v>
      </c>
      <c r="D2483" s="4">
        <v>2</v>
      </c>
      <c r="F2483" s="3">
        <v>45964</v>
      </c>
      <c r="G2483">
        <v>9856</v>
      </c>
      <c r="H2483">
        <v>9387</v>
      </c>
      <c r="I2483" s="1">
        <f t="shared" si="349"/>
        <v>469</v>
      </c>
      <c r="J2483" s="1">
        <f>J2482+I2483</f>
        <v>939</v>
      </c>
      <c r="K2483" s="9">
        <f t="shared" si="350"/>
        <v>4.9962714392244596E-2</v>
      </c>
    </row>
    <row r="2484" spans="1:12" x14ac:dyDescent="0.35">
      <c r="A2484" s="2" t="s">
        <v>312</v>
      </c>
      <c r="B2484" t="s">
        <v>313</v>
      </c>
      <c r="C2484" s="21" t="s">
        <v>275</v>
      </c>
      <c r="D2484" s="4">
        <v>3</v>
      </c>
      <c r="I2484" s="1">
        <f t="shared" si="349"/>
        <v>0</v>
      </c>
      <c r="J2484" s="1">
        <f t="shared" ref="J2484:J2497" si="353">J2483+I2484</f>
        <v>939</v>
      </c>
      <c r="K2484" s="9" t="e">
        <f t="shared" si="350"/>
        <v>#DIV/0!</v>
      </c>
    </row>
    <row r="2485" spans="1:12" x14ac:dyDescent="0.35">
      <c r="A2485" s="2" t="s">
        <v>312</v>
      </c>
      <c r="B2485" t="s">
        <v>313</v>
      </c>
      <c r="C2485" s="21" t="s">
        <v>275</v>
      </c>
      <c r="D2485" s="4">
        <v>4</v>
      </c>
      <c r="I2485" s="1">
        <f t="shared" si="349"/>
        <v>0</v>
      </c>
      <c r="J2485" s="1">
        <f t="shared" si="353"/>
        <v>939</v>
      </c>
      <c r="K2485" s="9" t="e">
        <f t="shared" si="350"/>
        <v>#DIV/0!</v>
      </c>
    </row>
    <row r="2486" spans="1:12" x14ac:dyDescent="0.35">
      <c r="A2486" s="2" t="s">
        <v>312</v>
      </c>
      <c r="B2486" t="s">
        <v>313</v>
      </c>
      <c r="C2486" s="21" t="s">
        <v>275</v>
      </c>
      <c r="D2486" s="4">
        <v>5</v>
      </c>
      <c r="I2486" s="1">
        <f t="shared" si="349"/>
        <v>0</v>
      </c>
      <c r="J2486" s="1">
        <f t="shared" si="353"/>
        <v>939</v>
      </c>
      <c r="K2486" s="9" t="e">
        <f t="shared" si="350"/>
        <v>#DIV/0!</v>
      </c>
    </row>
    <row r="2487" spans="1:12" x14ac:dyDescent="0.35">
      <c r="A2487" s="2" t="s">
        <v>312</v>
      </c>
      <c r="B2487" t="s">
        <v>313</v>
      </c>
      <c r="C2487" s="21" t="s">
        <v>275</v>
      </c>
      <c r="D2487" s="4">
        <v>6</v>
      </c>
      <c r="I2487" s="1">
        <f t="shared" si="349"/>
        <v>0</v>
      </c>
      <c r="J2487" s="1">
        <f t="shared" si="353"/>
        <v>939</v>
      </c>
      <c r="K2487" s="9" t="e">
        <f t="shared" si="350"/>
        <v>#DIV/0!</v>
      </c>
    </row>
    <row r="2488" spans="1:12" x14ac:dyDescent="0.35">
      <c r="A2488" s="2" t="s">
        <v>312</v>
      </c>
      <c r="B2488" t="s">
        <v>313</v>
      </c>
      <c r="C2488" s="21" t="s">
        <v>275</v>
      </c>
      <c r="D2488" s="4">
        <v>7</v>
      </c>
      <c r="I2488" s="1">
        <f t="shared" si="349"/>
        <v>0</v>
      </c>
      <c r="J2488" s="1">
        <f t="shared" si="353"/>
        <v>939</v>
      </c>
      <c r="K2488" s="9" t="e">
        <f t="shared" si="350"/>
        <v>#DIV/0!</v>
      </c>
    </row>
    <row r="2489" spans="1:12" x14ac:dyDescent="0.35">
      <c r="A2489" s="2" t="s">
        <v>312</v>
      </c>
      <c r="B2489" t="s">
        <v>313</v>
      </c>
      <c r="C2489" s="21" t="s">
        <v>275</v>
      </c>
      <c r="D2489" s="4">
        <v>8</v>
      </c>
      <c r="I2489" s="1">
        <f t="shared" si="349"/>
        <v>0</v>
      </c>
      <c r="J2489" s="1">
        <f t="shared" si="353"/>
        <v>939</v>
      </c>
      <c r="K2489" s="9" t="e">
        <f t="shared" si="350"/>
        <v>#DIV/0!</v>
      </c>
    </row>
    <row r="2490" spans="1:12" x14ac:dyDescent="0.35">
      <c r="A2490" s="2" t="s">
        <v>312</v>
      </c>
      <c r="B2490" t="s">
        <v>313</v>
      </c>
      <c r="C2490" s="21" t="s">
        <v>275</v>
      </c>
      <c r="D2490" s="4">
        <v>9</v>
      </c>
      <c r="I2490" s="1">
        <f t="shared" si="349"/>
        <v>0</v>
      </c>
      <c r="J2490" s="1">
        <f t="shared" si="353"/>
        <v>939</v>
      </c>
      <c r="K2490" s="9" t="e">
        <f t="shared" si="350"/>
        <v>#DIV/0!</v>
      </c>
    </row>
    <row r="2491" spans="1:12" x14ac:dyDescent="0.35">
      <c r="A2491" s="2" t="s">
        <v>312</v>
      </c>
      <c r="B2491" t="s">
        <v>313</v>
      </c>
      <c r="C2491" s="21" t="s">
        <v>275</v>
      </c>
      <c r="D2491" s="4">
        <v>10</v>
      </c>
      <c r="I2491" s="1">
        <f t="shared" si="349"/>
        <v>0</v>
      </c>
      <c r="J2491" s="1">
        <f t="shared" si="353"/>
        <v>939</v>
      </c>
      <c r="K2491" s="9" t="e">
        <f t="shared" si="350"/>
        <v>#DIV/0!</v>
      </c>
    </row>
    <row r="2492" spans="1:12" x14ac:dyDescent="0.35">
      <c r="A2492" s="2" t="s">
        <v>312</v>
      </c>
      <c r="B2492" t="s">
        <v>313</v>
      </c>
      <c r="C2492" s="21" t="s">
        <v>275</v>
      </c>
      <c r="D2492" s="4">
        <v>11</v>
      </c>
      <c r="I2492" s="1">
        <f t="shared" si="349"/>
        <v>0</v>
      </c>
      <c r="J2492" s="1">
        <f t="shared" si="353"/>
        <v>939</v>
      </c>
      <c r="K2492" s="9" t="e">
        <f t="shared" si="350"/>
        <v>#DIV/0!</v>
      </c>
    </row>
    <row r="2493" spans="1:12" x14ac:dyDescent="0.35">
      <c r="A2493" s="2" t="s">
        <v>312</v>
      </c>
      <c r="B2493" t="s">
        <v>313</v>
      </c>
      <c r="C2493" s="21" t="s">
        <v>275</v>
      </c>
      <c r="D2493" s="4">
        <v>12</v>
      </c>
      <c r="I2493" s="1">
        <f t="shared" si="349"/>
        <v>0</v>
      </c>
      <c r="J2493" s="1">
        <f t="shared" si="353"/>
        <v>939</v>
      </c>
      <c r="K2493" s="9" t="e">
        <f t="shared" si="350"/>
        <v>#DIV/0!</v>
      </c>
    </row>
    <row r="2494" spans="1:12" x14ac:dyDescent="0.35">
      <c r="A2494" s="2" t="s">
        <v>312</v>
      </c>
      <c r="B2494" t="s">
        <v>313</v>
      </c>
      <c r="C2494" s="21" t="s">
        <v>275</v>
      </c>
      <c r="D2494" s="4">
        <v>13</v>
      </c>
      <c r="I2494" s="1">
        <f t="shared" si="349"/>
        <v>0</v>
      </c>
      <c r="J2494" s="1">
        <f t="shared" si="353"/>
        <v>939</v>
      </c>
      <c r="K2494" s="9" t="e">
        <f t="shared" si="350"/>
        <v>#DIV/0!</v>
      </c>
    </row>
    <row r="2495" spans="1:12" x14ac:dyDescent="0.35">
      <c r="A2495" s="2" t="s">
        <v>312</v>
      </c>
      <c r="B2495" t="s">
        <v>313</v>
      </c>
      <c r="C2495" s="21" t="s">
        <v>275</v>
      </c>
      <c r="D2495" s="4">
        <v>14</v>
      </c>
      <c r="I2495" s="1">
        <f t="shared" si="349"/>
        <v>0</v>
      </c>
      <c r="J2495" s="1">
        <f t="shared" si="353"/>
        <v>939</v>
      </c>
      <c r="K2495" s="9" t="e">
        <f t="shared" si="350"/>
        <v>#DIV/0!</v>
      </c>
    </row>
    <row r="2496" spans="1:12" x14ac:dyDescent="0.35">
      <c r="A2496" s="2" t="s">
        <v>312</v>
      </c>
      <c r="B2496" t="s">
        <v>313</v>
      </c>
      <c r="C2496" s="21" t="s">
        <v>275</v>
      </c>
      <c r="D2496" s="4">
        <v>15</v>
      </c>
      <c r="I2496" s="1">
        <f t="shared" si="349"/>
        <v>0</v>
      </c>
      <c r="J2496" s="1">
        <f t="shared" si="353"/>
        <v>939</v>
      </c>
      <c r="K2496" s="9" t="e">
        <f t="shared" si="350"/>
        <v>#DIV/0!</v>
      </c>
    </row>
    <row r="2497" spans="1:12" ht="15" thickBot="1" x14ac:dyDescent="0.4">
      <c r="A2497" s="12" t="s">
        <v>312</v>
      </c>
      <c r="B2497" s="13" t="s">
        <v>313</v>
      </c>
      <c r="C2497" s="22" t="s">
        <v>275</v>
      </c>
      <c r="D2497" s="14">
        <v>16</v>
      </c>
      <c r="E2497" s="13"/>
      <c r="F2497" s="13"/>
      <c r="G2497" s="13"/>
      <c r="H2497" s="13"/>
      <c r="I2497" s="15">
        <f t="shared" si="349"/>
        <v>0</v>
      </c>
      <c r="J2497" s="15">
        <f t="shared" si="353"/>
        <v>939</v>
      </c>
      <c r="K2497" s="16" t="e">
        <f t="shared" si="350"/>
        <v>#DIV/0!</v>
      </c>
      <c r="L2497" s="13"/>
    </row>
    <row r="2498" spans="1:12" x14ac:dyDescent="0.35">
      <c r="A2498" s="2" t="s">
        <v>314</v>
      </c>
      <c r="B2498" t="s">
        <v>315</v>
      </c>
      <c r="C2498" s="21" t="s">
        <v>275</v>
      </c>
      <c r="D2498" s="4">
        <v>1</v>
      </c>
      <c r="F2498" s="3">
        <v>45957</v>
      </c>
      <c r="G2498">
        <v>12629</v>
      </c>
      <c r="H2498">
        <v>11787</v>
      </c>
      <c r="I2498" s="1">
        <f t="shared" si="349"/>
        <v>842</v>
      </c>
      <c r="J2498" s="1">
        <f>I2498</f>
        <v>842</v>
      </c>
      <c r="K2498" s="9">
        <f t="shared" si="350"/>
        <v>7.1434631373547122E-2</v>
      </c>
    </row>
    <row r="2499" spans="1:12" x14ac:dyDescent="0.35">
      <c r="A2499" s="2" t="s">
        <v>314</v>
      </c>
      <c r="B2499" t="s">
        <v>315</v>
      </c>
      <c r="C2499" s="21" t="s">
        <v>275</v>
      </c>
      <c r="D2499" s="4">
        <v>2</v>
      </c>
      <c r="F2499" s="3">
        <v>45964</v>
      </c>
      <c r="G2499">
        <v>12629</v>
      </c>
      <c r="H2499">
        <v>11787</v>
      </c>
      <c r="I2499" s="1">
        <f t="shared" si="349"/>
        <v>842</v>
      </c>
      <c r="J2499" s="1">
        <f>J2498+I2499</f>
        <v>1684</v>
      </c>
      <c r="K2499" s="9">
        <f t="shared" si="350"/>
        <v>7.1434631373547122E-2</v>
      </c>
    </row>
    <row r="2500" spans="1:12" x14ac:dyDescent="0.35">
      <c r="A2500" s="2" t="s">
        <v>314</v>
      </c>
      <c r="B2500" t="s">
        <v>315</v>
      </c>
      <c r="C2500" s="21" t="s">
        <v>275</v>
      </c>
      <c r="D2500" s="4">
        <v>3</v>
      </c>
      <c r="I2500" s="1">
        <f t="shared" si="349"/>
        <v>0</v>
      </c>
      <c r="J2500" s="1">
        <f t="shared" ref="J2500:J2513" si="354">J2499+I2500</f>
        <v>1684</v>
      </c>
      <c r="K2500" s="9" t="e">
        <f t="shared" si="350"/>
        <v>#DIV/0!</v>
      </c>
    </row>
    <row r="2501" spans="1:12" x14ac:dyDescent="0.35">
      <c r="A2501" s="2" t="s">
        <v>314</v>
      </c>
      <c r="B2501" t="s">
        <v>315</v>
      </c>
      <c r="C2501" s="21" t="s">
        <v>275</v>
      </c>
      <c r="D2501" s="4">
        <v>4</v>
      </c>
      <c r="I2501" s="1">
        <f t="shared" si="349"/>
        <v>0</v>
      </c>
      <c r="J2501" s="1">
        <f t="shared" si="354"/>
        <v>1684</v>
      </c>
      <c r="K2501" s="9" t="e">
        <f t="shared" si="350"/>
        <v>#DIV/0!</v>
      </c>
    </row>
    <row r="2502" spans="1:12" x14ac:dyDescent="0.35">
      <c r="A2502" s="2" t="s">
        <v>314</v>
      </c>
      <c r="B2502" t="s">
        <v>315</v>
      </c>
      <c r="C2502" s="21" t="s">
        <v>275</v>
      </c>
      <c r="D2502" s="4">
        <v>5</v>
      </c>
      <c r="I2502" s="1">
        <f t="shared" si="349"/>
        <v>0</v>
      </c>
      <c r="J2502" s="1">
        <f t="shared" si="354"/>
        <v>1684</v>
      </c>
      <c r="K2502" s="9" t="e">
        <f t="shared" si="350"/>
        <v>#DIV/0!</v>
      </c>
    </row>
    <row r="2503" spans="1:12" x14ac:dyDescent="0.35">
      <c r="A2503" s="2" t="s">
        <v>314</v>
      </c>
      <c r="B2503" t="s">
        <v>315</v>
      </c>
      <c r="C2503" s="21" t="s">
        <v>275</v>
      </c>
      <c r="D2503" s="4">
        <v>6</v>
      </c>
      <c r="I2503" s="1">
        <f t="shared" si="349"/>
        <v>0</v>
      </c>
      <c r="J2503" s="1">
        <f t="shared" si="354"/>
        <v>1684</v>
      </c>
      <c r="K2503" s="9" t="e">
        <f t="shared" si="350"/>
        <v>#DIV/0!</v>
      </c>
    </row>
    <row r="2504" spans="1:12" x14ac:dyDescent="0.35">
      <c r="A2504" s="2" t="s">
        <v>314</v>
      </c>
      <c r="B2504" t="s">
        <v>315</v>
      </c>
      <c r="C2504" s="21" t="s">
        <v>275</v>
      </c>
      <c r="D2504" s="4">
        <v>7</v>
      </c>
      <c r="I2504" s="1">
        <f t="shared" si="349"/>
        <v>0</v>
      </c>
      <c r="J2504" s="1">
        <f t="shared" si="354"/>
        <v>1684</v>
      </c>
      <c r="K2504" s="9" t="e">
        <f t="shared" si="350"/>
        <v>#DIV/0!</v>
      </c>
    </row>
    <row r="2505" spans="1:12" x14ac:dyDescent="0.35">
      <c r="A2505" s="2" t="s">
        <v>314</v>
      </c>
      <c r="B2505" t="s">
        <v>315</v>
      </c>
      <c r="C2505" s="21" t="s">
        <v>275</v>
      </c>
      <c r="D2505" s="4">
        <v>8</v>
      </c>
      <c r="I2505" s="1">
        <f t="shared" si="349"/>
        <v>0</v>
      </c>
      <c r="J2505" s="1">
        <f t="shared" si="354"/>
        <v>1684</v>
      </c>
      <c r="K2505" s="9" t="e">
        <f t="shared" si="350"/>
        <v>#DIV/0!</v>
      </c>
    </row>
    <row r="2506" spans="1:12" x14ac:dyDescent="0.35">
      <c r="A2506" s="2" t="s">
        <v>314</v>
      </c>
      <c r="B2506" t="s">
        <v>315</v>
      </c>
      <c r="C2506" s="21" t="s">
        <v>275</v>
      </c>
      <c r="D2506" s="4">
        <v>9</v>
      </c>
      <c r="I2506" s="1">
        <f t="shared" si="349"/>
        <v>0</v>
      </c>
      <c r="J2506" s="1">
        <f t="shared" si="354"/>
        <v>1684</v>
      </c>
      <c r="K2506" s="9" t="e">
        <f t="shared" si="350"/>
        <v>#DIV/0!</v>
      </c>
    </row>
    <row r="2507" spans="1:12" x14ac:dyDescent="0.35">
      <c r="A2507" s="2" t="s">
        <v>314</v>
      </c>
      <c r="B2507" t="s">
        <v>315</v>
      </c>
      <c r="C2507" s="21" t="s">
        <v>275</v>
      </c>
      <c r="D2507" s="4">
        <v>10</v>
      </c>
      <c r="I2507" s="1">
        <f t="shared" si="349"/>
        <v>0</v>
      </c>
      <c r="J2507" s="1">
        <f t="shared" si="354"/>
        <v>1684</v>
      </c>
      <c r="K2507" s="9" t="e">
        <f t="shared" si="350"/>
        <v>#DIV/0!</v>
      </c>
    </row>
    <row r="2508" spans="1:12" x14ac:dyDescent="0.35">
      <c r="A2508" s="2" t="s">
        <v>314</v>
      </c>
      <c r="B2508" t="s">
        <v>315</v>
      </c>
      <c r="C2508" s="21" t="s">
        <v>275</v>
      </c>
      <c r="D2508" s="4">
        <v>11</v>
      </c>
      <c r="I2508" s="1">
        <f t="shared" si="349"/>
        <v>0</v>
      </c>
      <c r="J2508" s="1">
        <f t="shared" si="354"/>
        <v>1684</v>
      </c>
      <c r="K2508" s="9" t="e">
        <f t="shared" si="350"/>
        <v>#DIV/0!</v>
      </c>
    </row>
    <row r="2509" spans="1:12" x14ac:dyDescent="0.35">
      <c r="A2509" s="2" t="s">
        <v>314</v>
      </c>
      <c r="B2509" t="s">
        <v>315</v>
      </c>
      <c r="C2509" s="21" t="s">
        <v>275</v>
      </c>
      <c r="D2509" s="4">
        <v>12</v>
      </c>
      <c r="I2509" s="1">
        <f t="shared" si="349"/>
        <v>0</v>
      </c>
      <c r="J2509" s="1">
        <f t="shared" si="354"/>
        <v>1684</v>
      </c>
      <c r="K2509" s="9" t="e">
        <f t="shared" si="350"/>
        <v>#DIV/0!</v>
      </c>
    </row>
    <row r="2510" spans="1:12" x14ac:dyDescent="0.35">
      <c r="A2510" s="2" t="s">
        <v>314</v>
      </c>
      <c r="B2510" t="s">
        <v>315</v>
      </c>
      <c r="C2510" s="21" t="s">
        <v>275</v>
      </c>
      <c r="D2510" s="4">
        <v>13</v>
      </c>
      <c r="I2510" s="1">
        <f t="shared" si="349"/>
        <v>0</v>
      </c>
      <c r="J2510" s="1">
        <f t="shared" si="354"/>
        <v>1684</v>
      </c>
      <c r="K2510" s="9" t="e">
        <f t="shared" si="350"/>
        <v>#DIV/0!</v>
      </c>
    </row>
    <row r="2511" spans="1:12" x14ac:dyDescent="0.35">
      <c r="A2511" s="2" t="s">
        <v>314</v>
      </c>
      <c r="B2511" t="s">
        <v>315</v>
      </c>
      <c r="C2511" s="21" t="s">
        <v>275</v>
      </c>
      <c r="D2511" s="4">
        <v>14</v>
      </c>
      <c r="I2511" s="1">
        <f t="shared" si="349"/>
        <v>0</v>
      </c>
      <c r="J2511" s="1">
        <f t="shared" si="354"/>
        <v>1684</v>
      </c>
      <c r="K2511" s="9" t="e">
        <f t="shared" si="350"/>
        <v>#DIV/0!</v>
      </c>
    </row>
    <row r="2512" spans="1:12" x14ac:dyDescent="0.35">
      <c r="A2512" s="2" t="s">
        <v>314</v>
      </c>
      <c r="B2512" t="s">
        <v>315</v>
      </c>
      <c r="C2512" s="21" t="s">
        <v>275</v>
      </c>
      <c r="D2512" s="4">
        <v>15</v>
      </c>
      <c r="I2512" s="1">
        <f t="shared" si="349"/>
        <v>0</v>
      </c>
      <c r="J2512" s="1">
        <f t="shared" si="354"/>
        <v>1684</v>
      </c>
      <c r="K2512" s="9" t="e">
        <f t="shared" si="350"/>
        <v>#DIV/0!</v>
      </c>
    </row>
    <row r="2513" spans="1:12" ht="15" thickBot="1" x14ac:dyDescent="0.4">
      <c r="A2513" s="12" t="s">
        <v>314</v>
      </c>
      <c r="B2513" s="13" t="s">
        <v>315</v>
      </c>
      <c r="C2513" s="22" t="s">
        <v>275</v>
      </c>
      <c r="D2513" s="14">
        <v>16</v>
      </c>
      <c r="E2513" s="13"/>
      <c r="F2513" s="13"/>
      <c r="G2513" s="13"/>
      <c r="H2513" s="13"/>
      <c r="I2513" s="15">
        <f t="shared" si="349"/>
        <v>0</v>
      </c>
      <c r="J2513" s="15">
        <f t="shared" si="354"/>
        <v>1684</v>
      </c>
      <c r="K2513" s="16" t="e">
        <f t="shared" si="350"/>
        <v>#DIV/0!</v>
      </c>
      <c r="L2513" s="13"/>
    </row>
    <row r="2514" spans="1:12" x14ac:dyDescent="0.35">
      <c r="A2514" s="2" t="s">
        <v>317</v>
      </c>
      <c r="B2514" s="2" t="s">
        <v>316</v>
      </c>
      <c r="C2514" s="21" t="s">
        <v>275</v>
      </c>
      <c r="D2514" s="4">
        <v>1</v>
      </c>
      <c r="F2514" s="3">
        <v>45957</v>
      </c>
      <c r="G2514">
        <v>11202</v>
      </c>
      <c r="H2514">
        <v>10184</v>
      </c>
      <c r="I2514" s="1">
        <f t="shared" si="349"/>
        <v>1018</v>
      </c>
      <c r="J2514" s="1">
        <f>I2514</f>
        <v>1018</v>
      </c>
      <c r="K2514" s="9">
        <f t="shared" si="350"/>
        <v>9.9960722702278085E-2</v>
      </c>
    </row>
    <row r="2515" spans="1:12" x14ac:dyDescent="0.35">
      <c r="A2515" s="2" t="s">
        <v>317</v>
      </c>
      <c r="B2515" s="2" t="s">
        <v>316</v>
      </c>
      <c r="C2515" s="21" t="s">
        <v>275</v>
      </c>
      <c r="D2515" s="4">
        <v>2</v>
      </c>
      <c r="F2515" s="3">
        <v>45964</v>
      </c>
      <c r="G2515">
        <v>11203</v>
      </c>
      <c r="H2515">
        <v>10184</v>
      </c>
      <c r="I2515" s="1">
        <f t="shared" ref="I2515:I2610" si="355">G2515-H2515</f>
        <v>1019</v>
      </c>
      <c r="J2515" s="1">
        <f>J2514+I2515</f>
        <v>2037</v>
      </c>
      <c r="K2515" s="9">
        <f t="shared" ref="K2515:K2610" si="356">I2515/H2515</f>
        <v>0.10005891594658288</v>
      </c>
    </row>
    <row r="2516" spans="1:12" x14ac:dyDescent="0.35">
      <c r="A2516" s="2" t="s">
        <v>317</v>
      </c>
      <c r="B2516" s="2" t="s">
        <v>316</v>
      </c>
      <c r="C2516" s="21" t="s">
        <v>275</v>
      </c>
      <c r="D2516" s="4">
        <v>3</v>
      </c>
      <c r="I2516" s="1">
        <f t="shared" si="355"/>
        <v>0</v>
      </c>
      <c r="J2516" s="1">
        <f t="shared" ref="J2516:J2529" si="357">J2515+I2516</f>
        <v>2037</v>
      </c>
      <c r="K2516" s="9" t="e">
        <f t="shared" si="356"/>
        <v>#DIV/0!</v>
      </c>
    </row>
    <row r="2517" spans="1:12" x14ac:dyDescent="0.35">
      <c r="A2517" s="2" t="s">
        <v>317</v>
      </c>
      <c r="B2517" s="2" t="s">
        <v>316</v>
      </c>
      <c r="C2517" s="21" t="s">
        <v>275</v>
      </c>
      <c r="D2517" s="4">
        <v>4</v>
      </c>
      <c r="I2517" s="1">
        <f t="shared" si="355"/>
        <v>0</v>
      </c>
      <c r="J2517" s="1">
        <f t="shared" si="357"/>
        <v>2037</v>
      </c>
      <c r="K2517" s="9" t="e">
        <f t="shared" si="356"/>
        <v>#DIV/0!</v>
      </c>
    </row>
    <row r="2518" spans="1:12" x14ac:dyDescent="0.35">
      <c r="A2518" s="2" t="s">
        <v>317</v>
      </c>
      <c r="B2518" s="2" t="s">
        <v>316</v>
      </c>
      <c r="C2518" s="21" t="s">
        <v>275</v>
      </c>
      <c r="D2518" s="4">
        <v>5</v>
      </c>
      <c r="I2518" s="1">
        <f t="shared" si="355"/>
        <v>0</v>
      </c>
      <c r="J2518" s="1">
        <f t="shared" si="357"/>
        <v>2037</v>
      </c>
      <c r="K2518" s="9" t="e">
        <f t="shared" si="356"/>
        <v>#DIV/0!</v>
      </c>
    </row>
    <row r="2519" spans="1:12" x14ac:dyDescent="0.35">
      <c r="A2519" s="2" t="s">
        <v>317</v>
      </c>
      <c r="B2519" s="2" t="s">
        <v>316</v>
      </c>
      <c r="C2519" s="21" t="s">
        <v>275</v>
      </c>
      <c r="D2519" s="4">
        <v>6</v>
      </c>
      <c r="I2519" s="1">
        <f t="shared" si="355"/>
        <v>0</v>
      </c>
      <c r="J2519" s="1">
        <f t="shared" si="357"/>
        <v>2037</v>
      </c>
      <c r="K2519" s="9" t="e">
        <f t="shared" si="356"/>
        <v>#DIV/0!</v>
      </c>
    </row>
    <row r="2520" spans="1:12" x14ac:dyDescent="0.35">
      <c r="A2520" s="2" t="s">
        <v>317</v>
      </c>
      <c r="B2520" s="2" t="s">
        <v>316</v>
      </c>
      <c r="C2520" s="21" t="s">
        <v>275</v>
      </c>
      <c r="D2520" s="4">
        <v>7</v>
      </c>
      <c r="I2520" s="1">
        <f t="shared" si="355"/>
        <v>0</v>
      </c>
      <c r="J2520" s="1">
        <f t="shared" si="357"/>
        <v>2037</v>
      </c>
      <c r="K2520" s="9" t="e">
        <f t="shared" si="356"/>
        <v>#DIV/0!</v>
      </c>
    </row>
    <row r="2521" spans="1:12" x14ac:dyDescent="0.35">
      <c r="A2521" s="2" t="s">
        <v>317</v>
      </c>
      <c r="B2521" s="2" t="s">
        <v>316</v>
      </c>
      <c r="C2521" s="21" t="s">
        <v>275</v>
      </c>
      <c r="D2521" s="4">
        <v>8</v>
      </c>
      <c r="I2521" s="1">
        <f t="shared" si="355"/>
        <v>0</v>
      </c>
      <c r="J2521" s="1">
        <f t="shared" si="357"/>
        <v>2037</v>
      </c>
      <c r="K2521" s="9" t="e">
        <f t="shared" si="356"/>
        <v>#DIV/0!</v>
      </c>
    </row>
    <row r="2522" spans="1:12" x14ac:dyDescent="0.35">
      <c r="A2522" s="2" t="s">
        <v>317</v>
      </c>
      <c r="B2522" s="2" t="s">
        <v>316</v>
      </c>
      <c r="C2522" s="21" t="s">
        <v>275</v>
      </c>
      <c r="D2522" s="4">
        <v>9</v>
      </c>
      <c r="I2522" s="1">
        <f t="shared" si="355"/>
        <v>0</v>
      </c>
      <c r="J2522" s="1">
        <f t="shared" si="357"/>
        <v>2037</v>
      </c>
      <c r="K2522" s="9" t="e">
        <f t="shared" si="356"/>
        <v>#DIV/0!</v>
      </c>
    </row>
    <row r="2523" spans="1:12" x14ac:dyDescent="0.35">
      <c r="A2523" s="2" t="s">
        <v>317</v>
      </c>
      <c r="B2523" s="2" t="s">
        <v>316</v>
      </c>
      <c r="C2523" s="21" t="s">
        <v>275</v>
      </c>
      <c r="D2523" s="4">
        <v>10</v>
      </c>
      <c r="I2523" s="1">
        <f t="shared" si="355"/>
        <v>0</v>
      </c>
      <c r="J2523" s="1">
        <f t="shared" si="357"/>
        <v>2037</v>
      </c>
      <c r="K2523" s="9" t="e">
        <f t="shared" si="356"/>
        <v>#DIV/0!</v>
      </c>
    </row>
    <row r="2524" spans="1:12" x14ac:dyDescent="0.35">
      <c r="A2524" s="2" t="s">
        <v>317</v>
      </c>
      <c r="B2524" s="2" t="s">
        <v>316</v>
      </c>
      <c r="C2524" s="21" t="s">
        <v>275</v>
      </c>
      <c r="D2524" s="4">
        <v>11</v>
      </c>
      <c r="I2524" s="1">
        <f t="shared" si="355"/>
        <v>0</v>
      </c>
      <c r="J2524" s="1">
        <f t="shared" si="357"/>
        <v>2037</v>
      </c>
      <c r="K2524" s="9" t="e">
        <f t="shared" si="356"/>
        <v>#DIV/0!</v>
      </c>
    </row>
    <row r="2525" spans="1:12" x14ac:dyDescent="0.35">
      <c r="A2525" s="2" t="s">
        <v>317</v>
      </c>
      <c r="B2525" s="2" t="s">
        <v>316</v>
      </c>
      <c r="C2525" s="21" t="s">
        <v>275</v>
      </c>
      <c r="D2525" s="4">
        <v>12</v>
      </c>
      <c r="I2525" s="1">
        <f t="shared" si="355"/>
        <v>0</v>
      </c>
      <c r="J2525" s="1">
        <f t="shared" si="357"/>
        <v>2037</v>
      </c>
      <c r="K2525" s="9" t="e">
        <f t="shared" si="356"/>
        <v>#DIV/0!</v>
      </c>
    </row>
    <row r="2526" spans="1:12" x14ac:dyDescent="0.35">
      <c r="A2526" s="2" t="s">
        <v>317</v>
      </c>
      <c r="B2526" s="2" t="s">
        <v>316</v>
      </c>
      <c r="C2526" s="21" t="s">
        <v>275</v>
      </c>
      <c r="D2526" s="4">
        <v>13</v>
      </c>
      <c r="I2526" s="1">
        <f t="shared" si="355"/>
        <v>0</v>
      </c>
      <c r="J2526" s="1">
        <f t="shared" si="357"/>
        <v>2037</v>
      </c>
      <c r="K2526" s="9" t="e">
        <f t="shared" si="356"/>
        <v>#DIV/0!</v>
      </c>
    </row>
    <row r="2527" spans="1:12" x14ac:dyDescent="0.35">
      <c r="A2527" s="2" t="s">
        <v>317</v>
      </c>
      <c r="B2527" s="2" t="s">
        <v>316</v>
      </c>
      <c r="C2527" s="21" t="s">
        <v>275</v>
      </c>
      <c r="D2527" s="4">
        <v>14</v>
      </c>
      <c r="I2527" s="1">
        <f t="shared" si="355"/>
        <v>0</v>
      </c>
      <c r="J2527" s="1">
        <f t="shared" si="357"/>
        <v>2037</v>
      </c>
      <c r="K2527" s="9" t="e">
        <f t="shared" si="356"/>
        <v>#DIV/0!</v>
      </c>
    </row>
    <row r="2528" spans="1:12" x14ac:dyDescent="0.35">
      <c r="A2528" s="2" t="s">
        <v>317</v>
      </c>
      <c r="B2528" s="2" t="s">
        <v>316</v>
      </c>
      <c r="C2528" s="21" t="s">
        <v>275</v>
      </c>
      <c r="D2528" s="4">
        <v>15</v>
      </c>
      <c r="I2528" s="1">
        <f t="shared" si="355"/>
        <v>0</v>
      </c>
      <c r="J2528" s="1">
        <f t="shared" si="357"/>
        <v>2037</v>
      </c>
      <c r="K2528" s="9" t="e">
        <f t="shared" si="356"/>
        <v>#DIV/0!</v>
      </c>
    </row>
    <row r="2529" spans="1:12" ht="15" thickBot="1" x14ac:dyDescent="0.4">
      <c r="A2529" s="12" t="s">
        <v>317</v>
      </c>
      <c r="B2529" s="12" t="s">
        <v>316</v>
      </c>
      <c r="C2529" s="22" t="s">
        <v>275</v>
      </c>
      <c r="D2529" s="14">
        <v>16</v>
      </c>
      <c r="E2529" s="13"/>
      <c r="F2529" s="13"/>
      <c r="G2529" s="13"/>
      <c r="H2529" s="13"/>
      <c r="I2529" s="15">
        <f t="shared" si="355"/>
        <v>0</v>
      </c>
      <c r="J2529" s="15">
        <f t="shared" si="357"/>
        <v>2037</v>
      </c>
      <c r="K2529" s="16" t="e">
        <f t="shared" si="356"/>
        <v>#DIV/0!</v>
      </c>
      <c r="L2529" s="13"/>
    </row>
    <row r="2530" spans="1:12" x14ac:dyDescent="0.35">
      <c r="A2530" s="2" t="s">
        <v>318</v>
      </c>
      <c r="B2530" s="2" t="s">
        <v>319</v>
      </c>
      <c r="C2530" s="21" t="s">
        <v>275</v>
      </c>
      <c r="D2530" s="4">
        <v>1</v>
      </c>
      <c r="F2530" s="3">
        <v>45957</v>
      </c>
      <c r="G2530">
        <v>5906</v>
      </c>
      <c r="H2530">
        <v>5624</v>
      </c>
      <c r="I2530" s="1">
        <f t="shared" si="355"/>
        <v>282</v>
      </c>
      <c r="J2530" s="1">
        <f>I2530</f>
        <v>282</v>
      </c>
      <c r="K2530" s="9">
        <f t="shared" si="356"/>
        <v>5.0142247510668564E-2</v>
      </c>
    </row>
    <row r="2531" spans="1:12" x14ac:dyDescent="0.35">
      <c r="A2531" s="2" t="s">
        <v>318</v>
      </c>
      <c r="B2531" s="2" t="s">
        <v>319</v>
      </c>
      <c r="C2531" s="21" t="s">
        <v>275</v>
      </c>
      <c r="D2531" s="4">
        <v>2</v>
      </c>
      <c r="F2531" s="3">
        <v>45964</v>
      </c>
      <c r="G2531">
        <v>5906</v>
      </c>
      <c r="H2531">
        <v>5624</v>
      </c>
      <c r="I2531" s="1">
        <f t="shared" si="355"/>
        <v>282</v>
      </c>
      <c r="J2531" s="1">
        <f>J2530+I2531</f>
        <v>564</v>
      </c>
      <c r="K2531" s="9">
        <f t="shared" si="356"/>
        <v>5.0142247510668564E-2</v>
      </c>
    </row>
    <row r="2532" spans="1:12" x14ac:dyDescent="0.35">
      <c r="A2532" s="2" t="s">
        <v>318</v>
      </c>
      <c r="B2532" s="2" t="s">
        <v>319</v>
      </c>
      <c r="C2532" s="21" t="s">
        <v>275</v>
      </c>
      <c r="D2532" s="4">
        <v>3</v>
      </c>
      <c r="I2532" s="1">
        <f t="shared" si="355"/>
        <v>0</v>
      </c>
      <c r="J2532" s="1">
        <f t="shared" ref="J2532:J2545" si="358">J2531+I2532</f>
        <v>564</v>
      </c>
      <c r="K2532" s="9" t="e">
        <f t="shared" si="356"/>
        <v>#DIV/0!</v>
      </c>
    </row>
    <row r="2533" spans="1:12" x14ac:dyDescent="0.35">
      <c r="A2533" s="2" t="s">
        <v>318</v>
      </c>
      <c r="B2533" s="2" t="s">
        <v>319</v>
      </c>
      <c r="C2533" s="21" t="s">
        <v>275</v>
      </c>
      <c r="D2533" s="4">
        <v>4</v>
      </c>
      <c r="I2533" s="1">
        <f t="shared" si="355"/>
        <v>0</v>
      </c>
      <c r="J2533" s="1">
        <f t="shared" si="358"/>
        <v>564</v>
      </c>
      <c r="K2533" s="9" t="e">
        <f t="shared" si="356"/>
        <v>#DIV/0!</v>
      </c>
    </row>
    <row r="2534" spans="1:12" x14ac:dyDescent="0.35">
      <c r="A2534" s="2" t="s">
        <v>318</v>
      </c>
      <c r="B2534" s="2" t="s">
        <v>319</v>
      </c>
      <c r="C2534" s="21" t="s">
        <v>275</v>
      </c>
      <c r="D2534" s="4">
        <v>5</v>
      </c>
      <c r="I2534" s="1">
        <f t="shared" si="355"/>
        <v>0</v>
      </c>
      <c r="J2534" s="1">
        <f t="shared" si="358"/>
        <v>564</v>
      </c>
      <c r="K2534" s="9" t="e">
        <f t="shared" si="356"/>
        <v>#DIV/0!</v>
      </c>
    </row>
    <row r="2535" spans="1:12" x14ac:dyDescent="0.35">
      <c r="A2535" s="2" t="s">
        <v>318</v>
      </c>
      <c r="B2535" s="2" t="s">
        <v>319</v>
      </c>
      <c r="C2535" s="21" t="s">
        <v>275</v>
      </c>
      <c r="D2535" s="4">
        <v>6</v>
      </c>
      <c r="I2535" s="1">
        <f t="shared" si="355"/>
        <v>0</v>
      </c>
      <c r="J2535" s="1">
        <f t="shared" si="358"/>
        <v>564</v>
      </c>
      <c r="K2535" s="9" t="e">
        <f t="shared" si="356"/>
        <v>#DIV/0!</v>
      </c>
    </row>
    <row r="2536" spans="1:12" x14ac:dyDescent="0.35">
      <c r="A2536" s="2" t="s">
        <v>318</v>
      </c>
      <c r="B2536" s="2" t="s">
        <v>319</v>
      </c>
      <c r="C2536" s="21" t="s">
        <v>275</v>
      </c>
      <c r="D2536" s="4">
        <v>7</v>
      </c>
      <c r="I2536" s="1">
        <f t="shared" si="355"/>
        <v>0</v>
      </c>
      <c r="J2536" s="1">
        <f t="shared" si="358"/>
        <v>564</v>
      </c>
      <c r="K2536" s="9" t="e">
        <f t="shared" si="356"/>
        <v>#DIV/0!</v>
      </c>
    </row>
    <row r="2537" spans="1:12" x14ac:dyDescent="0.35">
      <c r="A2537" s="2" t="s">
        <v>318</v>
      </c>
      <c r="B2537" s="2" t="s">
        <v>319</v>
      </c>
      <c r="C2537" s="21" t="s">
        <v>275</v>
      </c>
      <c r="D2537" s="4">
        <v>8</v>
      </c>
      <c r="I2537" s="1">
        <f t="shared" si="355"/>
        <v>0</v>
      </c>
      <c r="J2537" s="1">
        <f t="shared" si="358"/>
        <v>564</v>
      </c>
      <c r="K2537" s="9" t="e">
        <f t="shared" si="356"/>
        <v>#DIV/0!</v>
      </c>
    </row>
    <row r="2538" spans="1:12" x14ac:dyDescent="0.35">
      <c r="A2538" s="2" t="s">
        <v>318</v>
      </c>
      <c r="B2538" s="2" t="s">
        <v>319</v>
      </c>
      <c r="C2538" s="21" t="s">
        <v>275</v>
      </c>
      <c r="D2538" s="4">
        <v>9</v>
      </c>
      <c r="I2538" s="1">
        <f t="shared" si="355"/>
        <v>0</v>
      </c>
      <c r="J2538" s="1">
        <f t="shared" si="358"/>
        <v>564</v>
      </c>
      <c r="K2538" s="9" t="e">
        <f t="shared" si="356"/>
        <v>#DIV/0!</v>
      </c>
    </row>
    <row r="2539" spans="1:12" x14ac:dyDescent="0.35">
      <c r="A2539" s="2" t="s">
        <v>318</v>
      </c>
      <c r="B2539" s="2" t="s">
        <v>319</v>
      </c>
      <c r="C2539" s="21" t="s">
        <v>275</v>
      </c>
      <c r="D2539" s="4">
        <v>10</v>
      </c>
      <c r="I2539" s="1">
        <f t="shared" si="355"/>
        <v>0</v>
      </c>
      <c r="J2539" s="1">
        <f t="shared" si="358"/>
        <v>564</v>
      </c>
      <c r="K2539" s="9" t="e">
        <f t="shared" si="356"/>
        <v>#DIV/0!</v>
      </c>
    </row>
    <row r="2540" spans="1:12" x14ac:dyDescent="0.35">
      <c r="A2540" s="2" t="s">
        <v>318</v>
      </c>
      <c r="B2540" s="2" t="s">
        <v>319</v>
      </c>
      <c r="C2540" s="21" t="s">
        <v>275</v>
      </c>
      <c r="D2540" s="4">
        <v>11</v>
      </c>
      <c r="I2540" s="1">
        <f t="shared" si="355"/>
        <v>0</v>
      </c>
      <c r="J2540" s="1">
        <f t="shared" si="358"/>
        <v>564</v>
      </c>
      <c r="K2540" s="9" t="e">
        <f t="shared" si="356"/>
        <v>#DIV/0!</v>
      </c>
    </row>
    <row r="2541" spans="1:12" x14ac:dyDescent="0.35">
      <c r="A2541" s="2" t="s">
        <v>318</v>
      </c>
      <c r="B2541" s="2" t="s">
        <v>319</v>
      </c>
      <c r="C2541" s="21" t="s">
        <v>275</v>
      </c>
      <c r="D2541" s="4">
        <v>12</v>
      </c>
      <c r="I2541" s="1">
        <f t="shared" si="355"/>
        <v>0</v>
      </c>
      <c r="J2541" s="1">
        <f t="shared" si="358"/>
        <v>564</v>
      </c>
      <c r="K2541" s="9" t="e">
        <f t="shared" si="356"/>
        <v>#DIV/0!</v>
      </c>
    </row>
    <row r="2542" spans="1:12" x14ac:dyDescent="0.35">
      <c r="A2542" s="2" t="s">
        <v>318</v>
      </c>
      <c r="B2542" s="2" t="s">
        <v>319</v>
      </c>
      <c r="C2542" s="21" t="s">
        <v>275</v>
      </c>
      <c r="D2542" s="4">
        <v>13</v>
      </c>
      <c r="I2542" s="1">
        <f t="shared" si="355"/>
        <v>0</v>
      </c>
      <c r="J2542" s="1">
        <f t="shared" si="358"/>
        <v>564</v>
      </c>
      <c r="K2542" s="9" t="e">
        <f t="shared" si="356"/>
        <v>#DIV/0!</v>
      </c>
    </row>
    <row r="2543" spans="1:12" x14ac:dyDescent="0.35">
      <c r="A2543" s="2" t="s">
        <v>318</v>
      </c>
      <c r="B2543" s="2" t="s">
        <v>319</v>
      </c>
      <c r="C2543" s="21" t="s">
        <v>275</v>
      </c>
      <c r="D2543" s="4">
        <v>14</v>
      </c>
      <c r="I2543" s="1">
        <f t="shared" si="355"/>
        <v>0</v>
      </c>
      <c r="J2543" s="1">
        <f t="shared" si="358"/>
        <v>564</v>
      </c>
      <c r="K2543" s="9" t="e">
        <f t="shared" si="356"/>
        <v>#DIV/0!</v>
      </c>
    </row>
    <row r="2544" spans="1:12" x14ac:dyDescent="0.35">
      <c r="A2544" s="2" t="s">
        <v>318</v>
      </c>
      <c r="B2544" s="2" t="s">
        <v>319</v>
      </c>
      <c r="C2544" s="21" t="s">
        <v>275</v>
      </c>
      <c r="D2544" s="4">
        <v>15</v>
      </c>
      <c r="I2544" s="1">
        <f t="shared" si="355"/>
        <v>0</v>
      </c>
      <c r="J2544" s="1">
        <f t="shared" si="358"/>
        <v>564</v>
      </c>
      <c r="K2544" s="9" t="e">
        <f t="shared" si="356"/>
        <v>#DIV/0!</v>
      </c>
    </row>
    <row r="2545" spans="1:12" ht="15" thickBot="1" x14ac:dyDescent="0.4">
      <c r="A2545" s="12" t="s">
        <v>318</v>
      </c>
      <c r="B2545" s="12" t="s">
        <v>319</v>
      </c>
      <c r="C2545" s="22" t="s">
        <v>275</v>
      </c>
      <c r="D2545" s="14">
        <v>16</v>
      </c>
      <c r="E2545" s="13"/>
      <c r="F2545" s="13"/>
      <c r="G2545" s="13"/>
      <c r="H2545" s="13"/>
      <c r="I2545" s="15">
        <f t="shared" si="355"/>
        <v>0</v>
      </c>
      <c r="J2545" s="15">
        <f t="shared" si="358"/>
        <v>564</v>
      </c>
      <c r="K2545" s="16" t="e">
        <f t="shared" si="356"/>
        <v>#DIV/0!</v>
      </c>
      <c r="L2545" s="13"/>
    </row>
    <row r="2546" spans="1:12" x14ac:dyDescent="0.35">
      <c r="A2546" s="2" t="s">
        <v>320</v>
      </c>
      <c r="B2546" s="2" t="s">
        <v>329</v>
      </c>
      <c r="C2546" s="21" t="s">
        <v>275</v>
      </c>
      <c r="D2546" s="4">
        <v>1</v>
      </c>
      <c r="F2546" s="3">
        <v>45957</v>
      </c>
      <c r="G2546">
        <v>4150</v>
      </c>
      <c r="H2546">
        <v>3955</v>
      </c>
      <c r="I2546" s="1">
        <f t="shared" si="355"/>
        <v>195</v>
      </c>
      <c r="J2546" s="1">
        <f>I2546</f>
        <v>195</v>
      </c>
      <c r="K2546" s="9">
        <f t="shared" si="356"/>
        <v>4.9304677623261697E-2</v>
      </c>
    </row>
    <row r="2547" spans="1:12" x14ac:dyDescent="0.35">
      <c r="A2547" s="2" t="s">
        <v>320</v>
      </c>
      <c r="B2547" s="2" t="s">
        <v>329</v>
      </c>
      <c r="C2547" s="21" t="s">
        <v>275</v>
      </c>
      <c r="D2547" s="4">
        <v>2</v>
      </c>
      <c r="F2547" s="3">
        <v>45964</v>
      </c>
      <c r="G2547">
        <v>4154</v>
      </c>
      <c r="H2547">
        <v>3956</v>
      </c>
      <c r="I2547" s="1">
        <f t="shared" si="355"/>
        <v>198</v>
      </c>
      <c r="J2547" s="1">
        <f>J2546+I2547</f>
        <v>393</v>
      </c>
      <c r="K2547" s="9">
        <f t="shared" si="356"/>
        <v>5.0050556117290194E-2</v>
      </c>
    </row>
    <row r="2548" spans="1:12" x14ac:dyDescent="0.35">
      <c r="A2548" s="2" t="s">
        <v>320</v>
      </c>
      <c r="B2548" s="2" t="s">
        <v>329</v>
      </c>
      <c r="C2548" s="21" t="s">
        <v>275</v>
      </c>
      <c r="D2548" s="4">
        <v>3</v>
      </c>
      <c r="I2548" s="1">
        <f t="shared" si="355"/>
        <v>0</v>
      </c>
      <c r="J2548" s="1">
        <f t="shared" ref="J2548:J2561" si="359">J2547+I2548</f>
        <v>393</v>
      </c>
      <c r="K2548" s="9" t="e">
        <f t="shared" si="356"/>
        <v>#DIV/0!</v>
      </c>
    </row>
    <row r="2549" spans="1:12" x14ac:dyDescent="0.35">
      <c r="A2549" s="2" t="s">
        <v>320</v>
      </c>
      <c r="B2549" s="2" t="s">
        <v>329</v>
      </c>
      <c r="C2549" s="21" t="s">
        <v>275</v>
      </c>
      <c r="D2549" s="4">
        <v>4</v>
      </c>
      <c r="I2549" s="1">
        <f t="shared" si="355"/>
        <v>0</v>
      </c>
      <c r="J2549" s="1">
        <f t="shared" si="359"/>
        <v>393</v>
      </c>
      <c r="K2549" s="9" t="e">
        <f t="shared" si="356"/>
        <v>#DIV/0!</v>
      </c>
    </row>
    <row r="2550" spans="1:12" x14ac:dyDescent="0.35">
      <c r="A2550" s="2" t="s">
        <v>320</v>
      </c>
      <c r="B2550" s="2" t="s">
        <v>329</v>
      </c>
      <c r="C2550" s="21" t="s">
        <v>275</v>
      </c>
      <c r="D2550" s="4">
        <v>5</v>
      </c>
      <c r="I2550" s="1">
        <f t="shared" si="355"/>
        <v>0</v>
      </c>
      <c r="J2550" s="1">
        <f t="shared" si="359"/>
        <v>393</v>
      </c>
      <c r="K2550" s="9" t="e">
        <f t="shared" si="356"/>
        <v>#DIV/0!</v>
      </c>
    </row>
    <row r="2551" spans="1:12" x14ac:dyDescent="0.35">
      <c r="A2551" s="2" t="s">
        <v>320</v>
      </c>
      <c r="B2551" s="2" t="s">
        <v>329</v>
      </c>
      <c r="C2551" s="21" t="s">
        <v>275</v>
      </c>
      <c r="D2551" s="4">
        <v>6</v>
      </c>
      <c r="I2551" s="1">
        <f t="shared" si="355"/>
        <v>0</v>
      </c>
      <c r="J2551" s="1">
        <f t="shared" si="359"/>
        <v>393</v>
      </c>
      <c r="K2551" s="9" t="e">
        <f t="shared" si="356"/>
        <v>#DIV/0!</v>
      </c>
    </row>
    <row r="2552" spans="1:12" x14ac:dyDescent="0.35">
      <c r="A2552" s="2" t="s">
        <v>320</v>
      </c>
      <c r="B2552" s="2" t="s">
        <v>329</v>
      </c>
      <c r="C2552" s="21" t="s">
        <v>275</v>
      </c>
      <c r="D2552" s="4">
        <v>7</v>
      </c>
      <c r="I2552" s="1">
        <f t="shared" si="355"/>
        <v>0</v>
      </c>
      <c r="J2552" s="1">
        <f t="shared" si="359"/>
        <v>393</v>
      </c>
      <c r="K2552" s="9" t="e">
        <f t="shared" si="356"/>
        <v>#DIV/0!</v>
      </c>
    </row>
    <row r="2553" spans="1:12" x14ac:dyDescent="0.35">
      <c r="A2553" s="2" t="s">
        <v>320</v>
      </c>
      <c r="B2553" s="2" t="s">
        <v>329</v>
      </c>
      <c r="C2553" s="21" t="s">
        <v>275</v>
      </c>
      <c r="D2553" s="4">
        <v>8</v>
      </c>
      <c r="I2553" s="1">
        <f t="shared" si="355"/>
        <v>0</v>
      </c>
      <c r="J2553" s="1">
        <f t="shared" si="359"/>
        <v>393</v>
      </c>
      <c r="K2553" s="9" t="e">
        <f t="shared" si="356"/>
        <v>#DIV/0!</v>
      </c>
    </row>
    <row r="2554" spans="1:12" x14ac:dyDescent="0.35">
      <c r="A2554" s="2" t="s">
        <v>320</v>
      </c>
      <c r="B2554" s="2" t="s">
        <v>329</v>
      </c>
      <c r="C2554" s="21" t="s">
        <v>275</v>
      </c>
      <c r="D2554" s="4">
        <v>9</v>
      </c>
      <c r="I2554" s="1">
        <f t="shared" si="355"/>
        <v>0</v>
      </c>
      <c r="J2554" s="1">
        <f t="shared" si="359"/>
        <v>393</v>
      </c>
      <c r="K2554" s="9" t="e">
        <f t="shared" si="356"/>
        <v>#DIV/0!</v>
      </c>
    </row>
    <row r="2555" spans="1:12" x14ac:dyDescent="0.35">
      <c r="A2555" s="2" t="s">
        <v>320</v>
      </c>
      <c r="B2555" s="2" t="s">
        <v>329</v>
      </c>
      <c r="C2555" s="21" t="s">
        <v>275</v>
      </c>
      <c r="D2555" s="4">
        <v>10</v>
      </c>
      <c r="I2555" s="1">
        <f t="shared" si="355"/>
        <v>0</v>
      </c>
      <c r="J2555" s="1">
        <f t="shared" si="359"/>
        <v>393</v>
      </c>
      <c r="K2555" s="9" t="e">
        <f t="shared" si="356"/>
        <v>#DIV/0!</v>
      </c>
    </row>
    <row r="2556" spans="1:12" x14ac:dyDescent="0.35">
      <c r="A2556" s="2" t="s">
        <v>320</v>
      </c>
      <c r="B2556" s="2" t="s">
        <v>329</v>
      </c>
      <c r="C2556" s="21" t="s">
        <v>275</v>
      </c>
      <c r="D2556" s="4">
        <v>11</v>
      </c>
      <c r="I2556" s="1">
        <f t="shared" si="355"/>
        <v>0</v>
      </c>
      <c r="J2556" s="1">
        <f t="shared" si="359"/>
        <v>393</v>
      </c>
      <c r="K2556" s="9" t="e">
        <f t="shared" si="356"/>
        <v>#DIV/0!</v>
      </c>
    </row>
    <row r="2557" spans="1:12" x14ac:dyDescent="0.35">
      <c r="A2557" s="2" t="s">
        <v>320</v>
      </c>
      <c r="B2557" s="2" t="s">
        <v>329</v>
      </c>
      <c r="C2557" s="21" t="s">
        <v>275</v>
      </c>
      <c r="D2557" s="4">
        <v>12</v>
      </c>
      <c r="I2557" s="1">
        <f t="shared" si="355"/>
        <v>0</v>
      </c>
      <c r="J2557" s="1">
        <f t="shared" si="359"/>
        <v>393</v>
      </c>
      <c r="K2557" s="9" t="e">
        <f t="shared" si="356"/>
        <v>#DIV/0!</v>
      </c>
    </row>
    <row r="2558" spans="1:12" x14ac:dyDescent="0.35">
      <c r="A2558" s="2" t="s">
        <v>320</v>
      </c>
      <c r="B2558" s="2" t="s">
        <v>329</v>
      </c>
      <c r="C2558" s="21" t="s">
        <v>275</v>
      </c>
      <c r="D2558" s="4">
        <v>13</v>
      </c>
      <c r="I2558" s="1">
        <f t="shared" si="355"/>
        <v>0</v>
      </c>
      <c r="J2558" s="1">
        <f t="shared" si="359"/>
        <v>393</v>
      </c>
      <c r="K2558" s="9" t="e">
        <f t="shared" si="356"/>
        <v>#DIV/0!</v>
      </c>
    </row>
    <row r="2559" spans="1:12" x14ac:dyDescent="0.35">
      <c r="A2559" s="2" t="s">
        <v>320</v>
      </c>
      <c r="B2559" s="2" t="s">
        <v>329</v>
      </c>
      <c r="C2559" s="21" t="s">
        <v>275</v>
      </c>
      <c r="D2559" s="4">
        <v>14</v>
      </c>
      <c r="I2559" s="1">
        <f t="shared" si="355"/>
        <v>0</v>
      </c>
      <c r="J2559" s="1">
        <f t="shared" si="359"/>
        <v>393</v>
      </c>
      <c r="K2559" s="9" t="e">
        <f t="shared" si="356"/>
        <v>#DIV/0!</v>
      </c>
    </row>
    <row r="2560" spans="1:12" x14ac:dyDescent="0.35">
      <c r="A2560" s="2" t="s">
        <v>320</v>
      </c>
      <c r="B2560" s="2" t="s">
        <v>329</v>
      </c>
      <c r="C2560" s="21" t="s">
        <v>275</v>
      </c>
      <c r="D2560" s="4">
        <v>15</v>
      </c>
      <c r="I2560" s="1">
        <f t="shared" si="355"/>
        <v>0</v>
      </c>
      <c r="J2560" s="1">
        <f t="shared" si="359"/>
        <v>393</v>
      </c>
      <c r="K2560" s="9" t="e">
        <f t="shared" si="356"/>
        <v>#DIV/0!</v>
      </c>
    </row>
    <row r="2561" spans="1:12" ht="15" thickBot="1" x14ac:dyDescent="0.4">
      <c r="A2561" s="12" t="s">
        <v>320</v>
      </c>
      <c r="B2561" s="12" t="s">
        <v>329</v>
      </c>
      <c r="C2561" s="22" t="s">
        <v>275</v>
      </c>
      <c r="D2561" s="14">
        <v>16</v>
      </c>
      <c r="E2561" s="13"/>
      <c r="F2561" s="13"/>
      <c r="G2561" s="13"/>
      <c r="H2561" s="13"/>
      <c r="I2561" s="15">
        <f t="shared" si="355"/>
        <v>0</v>
      </c>
      <c r="J2561" s="15">
        <f t="shared" si="359"/>
        <v>393</v>
      </c>
      <c r="K2561" s="16" t="e">
        <f t="shared" si="356"/>
        <v>#DIV/0!</v>
      </c>
      <c r="L2561" s="13"/>
    </row>
    <row r="2562" spans="1:12" x14ac:dyDescent="0.35">
      <c r="A2562" s="2" t="s">
        <v>321</v>
      </c>
      <c r="B2562" s="2" t="s">
        <v>330</v>
      </c>
      <c r="C2562" s="21" t="s">
        <v>275</v>
      </c>
      <c r="D2562" s="4">
        <v>1</v>
      </c>
      <c r="F2562" s="3">
        <v>45960</v>
      </c>
      <c r="G2562">
        <v>4980</v>
      </c>
      <c r="H2562">
        <v>4561</v>
      </c>
      <c r="I2562" s="1">
        <f t="shared" si="355"/>
        <v>419</v>
      </c>
      <c r="J2562" s="1">
        <f>I2562</f>
        <v>419</v>
      </c>
      <c r="K2562" s="9">
        <f t="shared" si="356"/>
        <v>9.1865818899364168E-2</v>
      </c>
    </row>
    <row r="2563" spans="1:12" x14ac:dyDescent="0.35">
      <c r="A2563" s="2" t="s">
        <v>321</v>
      </c>
      <c r="B2563" s="2" t="s">
        <v>330</v>
      </c>
      <c r="C2563" s="21" t="s">
        <v>275</v>
      </c>
      <c r="D2563" s="4">
        <v>2</v>
      </c>
      <c r="F2563" s="3">
        <v>45967</v>
      </c>
      <c r="G2563">
        <v>5038</v>
      </c>
      <c r="H2563">
        <v>4561</v>
      </c>
      <c r="I2563" s="1">
        <f t="shared" si="355"/>
        <v>477</v>
      </c>
      <c r="J2563" s="1">
        <f>J2562+I2563</f>
        <v>896</v>
      </c>
      <c r="K2563" s="9">
        <f t="shared" si="356"/>
        <v>0.10458232843674632</v>
      </c>
    </row>
    <row r="2564" spans="1:12" x14ac:dyDescent="0.35">
      <c r="A2564" s="2" t="s">
        <v>321</v>
      </c>
      <c r="B2564" s="2" t="s">
        <v>330</v>
      </c>
      <c r="C2564" s="21" t="s">
        <v>275</v>
      </c>
      <c r="D2564" s="4">
        <v>3</v>
      </c>
      <c r="I2564" s="1">
        <f t="shared" si="355"/>
        <v>0</v>
      </c>
      <c r="J2564" s="1">
        <f t="shared" ref="J2564:J2577" si="360">J2563+I2564</f>
        <v>896</v>
      </c>
      <c r="K2564" s="9" t="e">
        <f t="shared" si="356"/>
        <v>#DIV/0!</v>
      </c>
    </row>
    <row r="2565" spans="1:12" x14ac:dyDescent="0.35">
      <c r="A2565" s="2" t="s">
        <v>321</v>
      </c>
      <c r="B2565" s="2" t="s">
        <v>330</v>
      </c>
      <c r="C2565" s="21" t="s">
        <v>275</v>
      </c>
      <c r="D2565" s="4">
        <v>4</v>
      </c>
      <c r="I2565" s="1">
        <f t="shared" si="355"/>
        <v>0</v>
      </c>
      <c r="J2565" s="1">
        <f t="shared" si="360"/>
        <v>896</v>
      </c>
      <c r="K2565" s="9" t="e">
        <f t="shared" si="356"/>
        <v>#DIV/0!</v>
      </c>
    </row>
    <row r="2566" spans="1:12" x14ac:dyDescent="0.35">
      <c r="A2566" s="2" t="s">
        <v>321</v>
      </c>
      <c r="B2566" s="2" t="s">
        <v>330</v>
      </c>
      <c r="C2566" s="21" t="s">
        <v>275</v>
      </c>
      <c r="D2566" s="4">
        <v>5</v>
      </c>
      <c r="I2566" s="1">
        <f t="shared" si="355"/>
        <v>0</v>
      </c>
      <c r="J2566" s="1">
        <f t="shared" si="360"/>
        <v>896</v>
      </c>
      <c r="K2566" s="9" t="e">
        <f t="shared" si="356"/>
        <v>#DIV/0!</v>
      </c>
    </row>
    <row r="2567" spans="1:12" x14ac:dyDescent="0.35">
      <c r="A2567" s="2" t="s">
        <v>321</v>
      </c>
      <c r="B2567" s="2" t="s">
        <v>330</v>
      </c>
      <c r="C2567" s="21" t="s">
        <v>275</v>
      </c>
      <c r="D2567" s="4">
        <v>6</v>
      </c>
      <c r="I2567" s="1">
        <f t="shared" si="355"/>
        <v>0</v>
      </c>
      <c r="J2567" s="1">
        <f t="shared" si="360"/>
        <v>896</v>
      </c>
      <c r="K2567" s="9" t="e">
        <f t="shared" si="356"/>
        <v>#DIV/0!</v>
      </c>
    </row>
    <row r="2568" spans="1:12" x14ac:dyDescent="0.35">
      <c r="A2568" s="2" t="s">
        <v>321</v>
      </c>
      <c r="B2568" s="2" t="s">
        <v>330</v>
      </c>
      <c r="C2568" s="21" t="s">
        <v>275</v>
      </c>
      <c r="D2568" s="4">
        <v>7</v>
      </c>
      <c r="I2568" s="1">
        <f t="shared" si="355"/>
        <v>0</v>
      </c>
      <c r="J2568" s="1">
        <f t="shared" si="360"/>
        <v>896</v>
      </c>
      <c r="K2568" s="9" t="e">
        <f t="shared" si="356"/>
        <v>#DIV/0!</v>
      </c>
    </row>
    <row r="2569" spans="1:12" x14ac:dyDescent="0.35">
      <c r="A2569" s="2" t="s">
        <v>321</v>
      </c>
      <c r="B2569" s="2" t="s">
        <v>330</v>
      </c>
      <c r="C2569" s="21" t="s">
        <v>275</v>
      </c>
      <c r="D2569" s="4">
        <v>8</v>
      </c>
      <c r="I2569" s="1">
        <f t="shared" si="355"/>
        <v>0</v>
      </c>
      <c r="J2569" s="1">
        <f t="shared" si="360"/>
        <v>896</v>
      </c>
      <c r="K2569" s="9" t="e">
        <f t="shared" si="356"/>
        <v>#DIV/0!</v>
      </c>
    </row>
    <row r="2570" spans="1:12" x14ac:dyDescent="0.35">
      <c r="A2570" s="2" t="s">
        <v>321</v>
      </c>
      <c r="B2570" s="2" t="s">
        <v>330</v>
      </c>
      <c r="C2570" s="21" t="s">
        <v>275</v>
      </c>
      <c r="D2570" s="4">
        <v>9</v>
      </c>
      <c r="I2570" s="1">
        <f t="shared" si="355"/>
        <v>0</v>
      </c>
      <c r="J2570" s="1">
        <f t="shared" si="360"/>
        <v>896</v>
      </c>
      <c r="K2570" s="9" t="e">
        <f t="shared" si="356"/>
        <v>#DIV/0!</v>
      </c>
    </row>
    <row r="2571" spans="1:12" x14ac:dyDescent="0.35">
      <c r="A2571" s="2" t="s">
        <v>321</v>
      </c>
      <c r="B2571" s="2" t="s">
        <v>330</v>
      </c>
      <c r="C2571" s="21" t="s">
        <v>275</v>
      </c>
      <c r="D2571" s="4">
        <v>10</v>
      </c>
      <c r="I2571" s="1">
        <f t="shared" si="355"/>
        <v>0</v>
      </c>
      <c r="J2571" s="1">
        <f t="shared" si="360"/>
        <v>896</v>
      </c>
      <c r="K2571" s="9" t="e">
        <f t="shared" si="356"/>
        <v>#DIV/0!</v>
      </c>
    </row>
    <row r="2572" spans="1:12" x14ac:dyDescent="0.35">
      <c r="A2572" s="2" t="s">
        <v>321</v>
      </c>
      <c r="B2572" s="2" t="s">
        <v>330</v>
      </c>
      <c r="C2572" s="21" t="s">
        <v>275</v>
      </c>
      <c r="D2572" s="4">
        <v>11</v>
      </c>
      <c r="I2572" s="1">
        <f t="shared" si="355"/>
        <v>0</v>
      </c>
      <c r="J2572" s="1">
        <f t="shared" si="360"/>
        <v>896</v>
      </c>
      <c r="K2572" s="9" t="e">
        <f t="shared" si="356"/>
        <v>#DIV/0!</v>
      </c>
    </row>
    <row r="2573" spans="1:12" x14ac:dyDescent="0.35">
      <c r="A2573" s="2" t="s">
        <v>321</v>
      </c>
      <c r="B2573" s="2" t="s">
        <v>330</v>
      </c>
      <c r="C2573" s="21" t="s">
        <v>275</v>
      </c>
      <c r="D2573" s="4">
        <v>12</v>
      </c>
      <c r="I2573" s="1">
        <f t="shared" si="355"/>
        <v>0</v>
      </c>
      <c r="J2573" s="1">
        <f t="shared" si="360"/>
        <v>896</v>
      </c>
      <c r="K2573" s="9" t="e">
        <f t="shared" si="356"/>
        <v>#DIV/0!</v>
      </c>
    </row>
    <row r="2574" spans="1:12" x14ac:dyDescent="0.35">
      <c r="A2574" s="2" t="s">
        <v>321</v>
      </c>
      <c r="B2574" s="2" t="s">
        <v>330</v>
      </c>
      <c r="C2574" s="21" t="s">
        <v>275</v>
      </c>
      <c r="D2574" s="4">
        <v>13</v>
      </c>
      <c r="I2574" s="1">
        <f t="shared" si="355"/>
        <v>0</v>
      </c>
      <c r="J2574" s="1">
        <f t="shared" si="360"/>
        <v>896</v>
      </c>
      <c r="K2574" s="9" t="e">
        <f t="shared" si="356"/>
        <v>#DIV/0!</v>
      </c>
    </row>
    <row r="2575" spans="1:12" x14ac:dyDescent="0.35">
      <c r="A2575" s="2" t="s">
        <v>321</v>
      </c>
      <c r="B2575" s="2" t="s">
        <v>330</v>
      </c>
      <c r="C2575" s="21" t="s">
        <v>275</v>
      </c>
      <c r="D2575" s="4">
        <v>14</v>
      </c>
      <c r="I2575" s="1">
        <f t="shared" si="355"/>
        <v>0</v>
      </c>
      <c r="J2575" s="1">
        <f t="shared" si="360"/>
        <v>896</v>
      </c>
      <c r="K2575" s="9" t="e">
        <f t="shared" si="356"/>
        <v>#DIV/0!</v>
      </c>
    </row>
    <row r="2576" spans="1:12" x14ac:dyDescent="0.35">
      <c r="A2576" s="2" t="s">
        <v>321</v>
      </c>
      <c r="B2576" s="2" t="s">
        <v>330</v>
      </c>
      <c r="C2576" s="21" t="s">
        <v>275</v>
      </c>
      <c r="D2576" s="4">
        <v>15</v>
      </c>
      <c r="I2576" s="1">
        <f t="shared" si="355"/>
        <v>0</v>
      </c>
      <c r="J2576" s="1">
        <f t="shared" si="360"/>
        <v>896</v>
      </c>
      <c r="K2576" s="9" t="e">
        <f t="shared" si="356"/>
        <v>#DIV/0!</v>
      </c>
    </row>
    <row r="2577" spans="1:12" ht="15" thickBot="1" x14ac:dyDescent="0.4">
      <c r="A2577" s="12" t="s">
        <v>321</v>
      </c>
      <c r="B2577" s="12" t="s">
        <v>330</v>
      </c>
      <c r="C2577" s="22" t="s">
        <v>275</v>
      </c>
      <c r="D2577" s="14">
        <v>16</v>
      </c>
      <c r="E2577" s="13"/>
      <c r="F2577" s="13"/>
      <c r="G2577" s="13"/>
      <c r="H2577" s="13"/>
      <c r="I2577" s="15">
        <f t="shared" si="355"/>
        <v>0</v>
      </c>
      <c r="J2577" s="15">
        <f t="shared" si="360"/>
        <v>896</v>
      </c>
      <c r="K2577" s="16" t="e">
        <f t="shared" si="356"/>
        <v>#DIV/0!</v>
      </c>
      <c r="L2577" s="13"/>
    </row>
    <row r="2578" spans="1:12" x14ac:dyDescent="0.35">
      <c r="A2578" s="2" t="s">
        <v>396</v>
      </c>
      <c r="B2578" s="2" t="s">
        <v>387</v>
      </c>
      <c r="C2578" s="21" t="s">
        <v>275</v>
      </c>
      <c r="D2578" s="4">
        <v>1</v>
      </c>
      <c r="F2578" s="3">
        <v>45961</v>
      </c>
      <c r="G2578">
        <v>7580</v>
      </c>
      <c r="H2578">
        <v>6536</v>
      </c>
      <c r="I2578" s="1">
        <f t="shared" si="355"/>
        <v>1044</v>
      </c>
      <c r="J2578" s="1">
        <f>I2578</f>
        <v>1044</v>
      </c>
      <c r="K2578" s="9">
        <f t="shared" si="356"/>
        <v>0.15973072215422277</v>
      </c>
    </row>
    <row r="2579" spans="1:12" x14ac:dyDescent="0.35">
      <c r="A2579" s="2" t="s">
        <v>396</v>
      </c>
      <c r="B2579" s="2" t="s">
        <v>387</v>
      </c>
      <c r="C2579" s="21" t="s">
        <v>275</v>
      </c>
      <c r="D2579" s="4">
        <v>2</v>
      </c>
      <c r="I2579" s="1">
        <f t="shared" si="355"/>
        <v>0</v>
      </c>
      <c r="J2579" s="1">
        <f>J2578+I2579</f>
        <v>1044</v>
      </c>
      <c r="K2579" s="9" t="e">
        <f t="shared" si="356"/>
        <v>#DIV/0!</v>
      </c>
    </row>
    <row r="2580" spans="1:12" x14ac:dyDescent="0.35">
      <c r="A2580" s="2" t="s">
        <v>396</v>
      </c>
      <c r="B2580" s="2" t="s">
        <v>387</v>
      </c>
      <c r="C2580" s="21" t="s">
        <v>275</v>
      </c>
      <c r="D2580" s="4">
        <v>3</v>
      </c>
      <c r="I2580" s="1">
        <f t="shared" si="355"/>
        <v>0</v>
      </c>
      <c r="J2580" s="1">
        <f t="shared" ref="J2580:J2593" si="361">J2579+I2580</f>
        <v>1044</v>
      </c>
      <c r="K2580" s="9" t="e">
        <f t="shared" si="356"/>
        <v>#DIV/0!</v>
      </c>
    </row>
    <row r="2581" spans="1:12" x14ac:dyDescent="0.35">
      <c r="A2581" s="2" t="s">
        <v>396</v>
      </c>
      <c r="B2581" s="2" t="s">
        <v>387</v>
      </c>
      <c r="C2581" s="21" t="s">
        <v>275</v>
      </c>
      <c r="D2581" s="4">
        <v>4</v>
      </c>
      <c r="I2581" s="1">
        <f t="shared" si="355"/>
        <v>0</v>
      </c>
      <c r="J2581" s="1">
        <f t="shared" si="361"/>
        <v>1044</v>
      </c>
      <c r="K2581" s="9" t="e">
        <f t="shared" si="356"/>
        <v>#DIV/0!</v>
      </c>
    </row>
    <row r="2582" spans="1:12" x14ac:dyDescent="0.35">
      <c r="A2582" s="2" t="s">
        <v>396</v>
      </c>
      <c r="B2582" s="2" t="s">
        <v>387</v>
      </c>
      <c r="C2582" s="21" t="s">
        <v>275</v>
      </c>
      <c r="D2582" s="4">
        <v>5</v>
      </c>
      <c r="I2582" s="1">
        <f t="shared" si="355"/>
        <v>0</v>
      </c>
      <c r="J2582" s="1">
        <f t="shared" si="361"/>
        <v>1044</v>
      </c>
      <c r="K2582" s="9" t="e">
        <f t="shared" si="356"/>
        <v>#DIV/0!</v>
      </c>
    </row>
    <row r="2583" spans="1:12" x14ac:dyDescent="0.35">
      <c r="A2583" s="2" t="s">
        <v>396</v>
      </c>
      <c r="B2583" s="2" t="s">
        <v>387</v>
      </c>
      <c r="C2583" s="21" t="s">
        <v>275</v>
      </c>
      <c r="D2583" s="4">
        <v>6</v>
      </c>
      <c r="I2583" s="1">
        <f t="shared" si="355"/>
        <v>0</v>
      </c>
      <c r="J2583" s="1">
        <f t="shared" si="361"/>
        <v>1044</v>
      </c>
      <c r="K2583" s="9" t="e">
        <f t="shared" si="356"/>
        <v>#DIV/0!</v>
      </c>
    </row>
    <row r="2584" spans="1:12" x14ac:dyDescent="0.35">
      <c r="A2584" s="2" t="s">
        <v>396</v>
      </c>
      <c r="B2584" s="2" t="s">
        <v>387</v>
      </c>
      <c r="C2584" s="21" t="s">
        <v>275</v>
      </c>
      <c r="D2584" s="4">
        <v>7</v>
      </c>
      <c r="I2584" s="1">
        <f t="shared" si="355"/>
        <v>0</v>
      </c>
      <c r="J2584" s="1">
        <f t="shared" si="361"/>
        <v>1044</v>
      </c>
      <c r="K2584" s="9" t="e">
        <f t="shared" si="356"/>
        <v>#DIV/0!</v>
      </c>
    </row>
    <row r="2585" spans="1:12" x14ac:dyDescent="0.35">
      <c r="A2585" s="2" t="s">
        <v>396</v>
      </c>
      <c r="B2585" s="2" t="s">
        <v>387</v>
      </c>
      <c r="C2585" s="21" t="s">
        <v>275</v>
      </c>
      <c r="D2585" s="4">
        <v>8</v>
      </c>
      <c r="I2585" s="1">
        <f t="shared" si="355"/>
        <v>0</v>
      </c>
      <c r="J2585" s="1">
        <f t="shared" si="361"/>
        <v>1044</v>
      </c>
      <c r="K2585" s="9" t="e">
        <f t="shared" si="356"/>
        <v>#DIV/0!</v>
      </c>
    </row>
    <row r="2586" spans="1:12" x14ac:dyDescent="0.35">
      <c r="A2586" s="2" t="s">
        <v>396</v>
      </c>
      <c r="B2586" s="2" t="s">
        <v>387</v>
      </c>
      <c r="C2586" s="21" t="s">
        <v>275</v>
      </c>
      <c r="D2586" s="4">
        <v>9</v>
      </c>
      <c r="I2586" s="1">
        <f t="shared" si="355"/>
        <v>0</v>
      </c>
      <c r="J2586" s="1">
        <f t="shared" si="361"/>
        <v>1044</v>
      </c>
      <c r="K2586" s="9" t="e">
        <f t="shared" si="356"/>
        <v>#DIV/0!</v>
      </c>
    </row>
    <row r="2587" spans="1:12" x14ac:dyDescent="0.35">
      <c r="A2587" s="2" t="s">
        <v>396</v>
      </c>
      <c r="B2587" s="2" t="s">
        <v>387</v>
      </c>
      <c r="C2587" s="21" t="s">
        <v>275</v>
      </c>
      <c r="D2587" s="4">
        <v>10</v>
      </c>
      <c r="I2587" s="1">
        <f t="shared" si="355"/>
        <v>0</v>
      </c>
      <c r="J2587" s="1">
        <f t="shared" si="361"/>
        <v>1044</v>
      </c>
      <c r="K2587" s="9" t="e">
        <f t="shared" si="356"/>
        <v>#DIV/0!</v>
      </c>
    </row>
    <row r="2588" spans="1:12" x14ac:dyDescent="0.35">
      <c r="A2588" s="2" t="s">
        <v>396</v>
      </c>
      <c r="B2588" s="2" t="s">
        <v>387</v>
      </c>
      <c r="C2588" s="21" t="s">
        <v>275</v>
      </c>
      <c r="D2588" s="4">
        <v>11</v>
      </c>
      <c r="I2588" s="1">
        <f t="shared" si="355"/>
        <v>0</v>
      </c>
      <c r="J2588" s="1">
        <f t="shared" si="361"/>
        <v>1044</v>
      </c>
      <c r="K2588" s="9" t="e">
        <f t="shared" si="356"/>
        <v>#DIV/0!</v>
      </c>
    </row>
    <row r="2589" spans="1:12" x14ac:dyDescent="0.35">
      <c r="A2589" s="2" t="s">
        <v>396</v>
      </c>
      <c r="B2589" s="2" t="s">
        <v>387</v>
      </c>
      <c r="C2589" s="21" t="s">
        <v>275</v>
      </c>
      <c r="D2589" s="4">
        <v>12</v>
      </c>
      <c r="I2589" s="1">
        <f t="shared" si="355"/>
        <v>0</v>
      </c>
      <c r="J2589" s="1">
        <f t="shared" si="361"/>
        <v>1044</v>
      </c>
      <c r="K2589" s="9" t="e">
        <f t="shared" si="356"/>
        <v>#DIV/0!</v>
      </c>
    </row>
    <row r="2590" spans="1:12" x14ac:dyDescent="0.35">
      <c r="A2590" s="2" t="s">
        <v>396</v>
      </c>
      <c r="B2590" s="2" t="s">
        <v>387</v>
      </c>
      <c r="C2590" s="21" t="s">
        <v>275</v>
      </c>
      <c r="D2590" s="4">
        <v>13</v>
      </c>
      <c r="I2590" s="1">
        <f t="shared" si="355"/>
        <v>0</v>
      </c>
      <c r="J2590" s="1">
        <f t="shared" si="361"/>
        <v>1044</v>
      </c>
      <c r="K2590" s="9" t="e">
        <f t="shared" si="356"/>
        <v>#DIV/0!</v>
      </c>
    </row>
    <row r="2591" spans="1:12" x14ac:dyDescent="0.35">
      <c r="A2591" s="2" t="s">
        <v>396</v>
      </c>
      <c r="B2591" s="2" t="s">
        <v>387</v>
      </c>
      <c r="C2591" s="21" t="s">
        <v>275</v>
      </c>
      <c r="D2591" s="4">
        <v>14</v>
      </c>
      <c r="I2591" s="1">
        <f t="shared" si="355"/>
        <v>0</v>
      </c>
      <c r="J2591" s="1">
        <f t="shared" si="361"/>
        <v>1044</v>
      </c>
      <c r="K2591" s="9" t="e">
        <f t="shared" si="356"/>
        <v>#DIV/0!</v>
      </c>
    </row>
    <row r="2592" spans="1:12" x14ac:dyDescent="0.35">
      <c r="A2592" s="2" t="s">
        <v>396</v>
      </c>
      <c r="B2592" s="2" t="s">
        <v>387</v>
      </c>
      <c r="C2592" s="21" t="s">
        <v>275</v>
      </c>
      <c r="D2592" s="4">
        <v>15</v>
      </c>
      <c r="I2592" s="1">
        <f t="shared" si="355"/>
        <v>0</v>
      </c>
      <c r="J2592" s="1">
        <f t="shared" si="361"/>
        <v>1044</v>
      </c>
      <c r="K2592" s="9" t="e">
        <f t="shared" si="356"/>
        <v>#DIV/0!</v>
      </c>
    </row>
    <row r="2593" spans="1:12" ht="15" thickBot="1" x14ac:dyDescent="0.4">
      <c r="A2593" s="12" t="s">
        <v>396</v>
      </c>
      <c r="B2593" s="12" t="s">
        <v>387</v>
      </c>
      <c r="C2593" s="22" t="s">
        <v>275</v>
      </c>
      <c r="D2593" s="14">
        <v>16</v>
      </c>
      <c r="E2593" s="13"/>
      <c r="F2593" s="13"/>
      <c r="G2593" s="13"/>
      <c r="H2593" s="13"/>
      <c r="I2593" s="15">
        <f t="shared" si="355"/>
        <v>0</v>
      </c>
      <c r="J2593" s="15">
        <f t="shared" si="361"/>
        <v>1044</v>
      </c>
      <c r="K2593" s="16" t="e">
        <f t="shared" si="356"/>
        <v>#DIV/0!</v>
      </c>
      <c r="L2593" s="13"/>
    </row>
    <row r="2594" spans="1:12" x14ac:dyDescent="0.35">
      <c r="A2594" s="2" t="s">
        <v>400</v>
      </c>
      <c r="B2594" s="2" t="s">
        <v>401</v>
      </c>
      <c r="C2594" s="21" t="s">
        <v>275</v>
      </c>
      <c r="D2594" s="4">
        <v>1</v>
      </c>
      <c r="F2594" s="3">
        <v>45961</v>
      </c>
      <c r="G2594">
        <v>11538</v>
      </c>
      <c r="H2594">
        <v>10798</v>
      </c>
      <c r="I2594" s="1">
        <f t="shared" si="355"/>
        <v>740</v>
      </c>
      <c r="J2594" s="1">
        <f>I2594</f>
        <v>740</v>
      </c>
      <c r="K2594" s="9">
        <f t="shared" si="356"/>
        <v>6.853120948323764E-2</v>
      </c>
    </row>
    <row r="2595" spans="1:12" x14ac:dyDescent="0.35">
      <c r="A2595" s="2" t="s">
        <v>400</v>
      </c>
      <c r="B2595" s="2" t="s">
        <v>401</v>
      </c>
      <c r="C2595" s="21" t="s">
        <v>275</v>
      </c>
      <c r="D2595" s="4">
        <v>2</v>
      </c>
      <c r="I2595" s="1">
        <f t="shared" si="355"/>
        <v>0</v>
      </c>
      <c r="J2595" s="1">
        <f>J2594+I2595</f>
        <v>740</v>
      </c>
      <c r="K2595" s="9" t="e">
        <f t="shared" si="356"/>
        <v>#DIV/0!</v>
      </c>
    </row>
    <row r="2596" spans="1:12" x14ac:dyDescent="0.35">
      <c r="A2596" s="2" t="s">
        <v>400</v>
      </c>
      <c r="B2596" s="2" t="s">
        <v>401</v>
      </c>
      <c r="C2596" s="21" t="s">
        <v>275</v>
      </c>
      <c r="D2596" s="4">
        <v>3</v>
      </c>
      <c r="I2596" s="1">
        <f t="shared" si="355"/>
        <v>0</v>
      </c>
      <c r="J2596" s="1">
        <f t="shared" ref="J2596:J2609" si="362">J2595+I2596</f>
        <v>740</v>
      </c>
      <c r="K2596" s="9" t="e">
        <f t="shared" si="356"/>
        <v>#DIV/0!</v>
      </c>
    </row>
    <row r="2597" spans="1:12" x14ac:dyDescent="0.35">
      <c r="A2597" s="2" t="s">
        <v>400</v>
      </c>
      <c r="B2597" s="2" t="s">
        <v>401</v>
      </c>
      <c r="C2597" s="21" t="s">
        <v>275</v>
      </c>
      <c r="D2597" s="4">
        <v>4</v>
      </c>
      <c r="I2597" s="1">
        <f t="shared" si="355"/>
        <v>0</v>
      </c>
      <c r="J2597" s="1">
        <f t="shared" si="362"/>
        <v>740</v>
      </c>
      <c r="K2597" s="9" t="e">
        <f t="shared" si="356"/>
        <v>#DIV/0!</v>
      </c>
    </row>
    <row r="2598" spans="1:12" x14ac:dyDescent="0.35">
      <c r="A2598" s="2" t="s">
        <v>400</v>
      </c>
      <c r="B2598" s="2" t="s">
        <v>401</v>
      </c>
      <c r="C2598" s="21" t="s">
        <v>275</v>
      </c>
      <c r="D2598" s="4">
        <v>5</v>
      </c>
      <c r="I2598" s="1">
        <f t="shared" si="355"/>
        <v>0</v>
      </c>
      <c r="J2598" s="1">
        <f t="shared" si="362"/>
        <v>740</v>
      </c>
      <c r="K2598" s="9" t="e">
        <f t="shared" si="356"/>
        <v>#DIV/0!</v>
      </c>
    </row>
    <row r="2599" spans="1:12" x14ac:dyDescent="0.35">
      <c r="A2599" s="2" t="s">
        <v>400</v>
      </c>
      <c r="B2599" s="2" t="s">
        <v>401</v>
      </c>
      <c r="C2599" s="21" t="s">
        <v>275</v>
      </c>
      <c r="D2599" s="4">
        <v>6</v>
      </c>
      <c r="I2599" s="1">
        <f t="shared" si="355"/>
        <v>0</v>
      </c>
      <c r="J2599" s="1">
        <f t="shared" si="362"/>
        <v>740</v>
      </c>
      <c r="K2599" s="9" t="e">
        <f t="shared" si="356"/>
        <v>#DIV/0!</v>
      </c>
    </row>
    <row r="2600" spans="1:12" x14ac:dyDescent="0.35">
      <c r="A2600" s="2" t="s">
        <v>400</v>
      </c>
      <c r="B2600" s="2" t="s">
        <v>401</v>
      </c>
      <c r="C2600" s="21" t="s">
        <v>275</v>
      </c>
      <c r="D2600" s="4">
        <v>7</v>
      </c>
      <c r="I2600" s="1">
        <f t="shared" si="355"/>
        <v>0</v>
      </c>
      <c r="J2600" s="1">
        <f t="shared" si="362"/>
        <v>740</v>
      </c>
      <c r="K2600" s="9" t="e">
        <f t="shared" si="356"/>
        <v>#DIV/0!</v>
      </c>
    </row>
    <row r="2601" spans="1:12" x14ac:dyDescent="0.35">
      <c r="A2601" s="2" t="s">
        <v>400</v>
      </c>
      <c r="B2601" s="2" t="s">
        <v>401</v>
      </c>
      <c r="C2601" s="21" t="s">
        <v>275</v>
      </c>
      <c r="D2601" s="4">
        <v>8</v>
      </c>
      <c r="I2601" s="1">
        <f t="shared" si="355"/>
        <v>0</v>
      </c>
      <c r="J2601" s="1">
        <f t="shared" si="362"/>
        <v>740</v>
      </c>
      <c r="K2601" s="9" t="e">
        <f t="shared" si="356"/>
        <v>#DIV/0!</v>
      </c>
    </row>
    <row r="2602" spans="1:12" x14ac:dyDescent="0.35">
      <c r="A2602" s="2" t="s">
        <v>400</v>
      </c>
      <c r="B2602" s="2" t="s">
        <v>401</v>
      </c>
      <c r="C2602" s="21" t="s">
        <v>275</v>
      </c>
      <c r="D2602" s="4">
        <v>9</v>
      </c>
      <c r="I2602" s="1">
        <f t="shared" si="355"/>
        <v>0</v>
      </c>
      <c r="J2602" s="1">
        <f t="shared" si="362"/>
        <v>740</v>
      </c>
      <c r="K2602" s="9" t="e">
        <f t="shared" si="356"/>
        <v>#DIV/0!</v>
      </c>
    </row>
    <row r="2603" spans="1:12" x14ac:dyDescent="0.35">
      <c r="A2603" s="2" t="s">
        <v>400</v>
      </c>
      <c r="B2603" s="2" t="s">
        <v>401</v>
      </c>
      <c r="C2603" s="21" t="s">
        <v>275</v>
      </c>
      <c r="D2603" s="4">
        <v>10</v>
      </c>
      <c r="I2603" s="1">
        <f t="shared" si="355"/>
        <v>0</v>
      </c>
      <c r="J2603" s="1">
        <f t="shared" si="362"/>
        <v>740</v>
      </c>
      <c r="K2603" s="9" t="e">
        <f t="shared" si="356"/>
        <v>#DIV/0!</v>
      </c>
    </row>
    <row r="2604" spans="1:12" x14ac:dyDescent="0.35">
      <c r="A2604" s="2" t="s">
        <v>400</v>
      </c>
      <c r="B2604" s="2" t="s">
        <v>401</v>
      </c>
      <c r="C2604" s="21" t="s">
        <v>275</v>
      </c>
      <c r="D2604" s="4">
        <v>11</v>
      </c>
      <c r="I2604" s="1">
        <f t="shared" si="355"/>
        <v>0</v>
      </c>
      <c r="J2604" s="1">
        <f t="shared" si="362"/>
        <v>740</v>
      </c>
      <c r="K2604" s="9" t="e">
        <f t="shared" si="356"/>
        <v>#DIV/0!</v>
      </c>
    </row>
    <row r="2605" spans="1:12" x14ac:dyDescent="0.35">
      <c r="A2605" s="2" t="s">
        <v>400</v>
      </c>
      <c r="B2605" s="2" t="s">
        <v>401</v>
      </c>
      <c r="C2605" s="21" t="s">
        <v>275</v>
      </c>
      <c r="D2605" s="4">
        <v>12</v>
      </c>
      <c r="I2605" s="1">
        <f t="shared" si="355"/>
        <v>0</v>
      </c>
      <c r="J2605" s="1">
        <f t="shared" si="362"/>
        <v>740</v>
      </c>
      <c r="K2605" s="9" t="e">
        <f t="shared" si="356"/>
        <v>#DIV/0!</v>
      </c>
    </row>
    <row r="2606" spans="1:12" x14ac:dyDescent="0.35">
      <c r="A2606" s="2" t="s">
        <v>400</v>
      </c>
      <c r="B2606" s="2" t="s">
        <v>401</v>
      </c>
      <c r="C2606" s="21" t="s">
        <v>275</v>
      </c>
      <c r="D2606" s="4">
        <v>13</v>
      </c>
      <c r="I2606" s="1">
        <f t="shared" si="355"/>
        <v>0</v>
      </c>
      <c r="J2606" s="1">
        <f t="shared" si="362"/>
        <v>740</v>
      </c>
      <c r="K2606" s="9" t="e">
        <f t="shared" si="356"/>
        <v>#DIV/0!</v>
      </c>
    </row>
    <row r="2607" spans="1:12" x14ac:dyDescent="0.35">
      <c r="A2607" s="2" t="s">
        <v>400</v>
      </c>
      <c r="B2607" s="2" t="s">
        <v>401</v>
      </c>
      <c r="C2607" s="21" t="s">
        <v>275</v>
      </c>
      <c r="D2607" s="4">
        <v>14</v>
      </c>
      <c r="I2607" s="1">
        <f t="shared" si="355"/>
        <v>0</v>
      </c>
      <c r="J2607" s="1">
        <f t="shared" si="362"/>
        <v>740</v>
      </c>
      <c r="K2607" s="9" t="e">
        <f t="shared" si="356"/>
        <v>#DIV/0!</v>
      </c>
    </row>
    <row r="2608" spans="1:12" x14ac:dyDescent="0.35">
      <c r="A2608" s="2" t="s">
        <v>400</v>
      </c>
      <c r="B2608" s="2" t="s">
        <v>401</v>
      </c>
      <c r="C2608" s="21" t="s">
        <v>275</v>
      </c>
      <c r="D2608" s="4">
        <v>15</v>
      </c>
      <c r="I2608" s="1">
        <f t="shared" si="355"/>
        <v>0</v>
      </c>
      <c r="J2608" s="1">
        <f t="shared" si="362"/>
        <v>740</v>
      </c>
      <c r="K2608" s="9" t="e">
        <f t="shared" si="356"/>
        <v>#DIV/0!</v>
      </c>
    </row>
    <row r="2609" spans="1:12" ht="15" thickBot="1" x14ac:dyDescent="0.4">
      <c r="A2609" s="12" t="s">
        <v>400</v>
      </c>
      <c r="B2609" s="12" t="s">
        <v>401</v>
      </c>
      <c r="C2609" s="22" t="s">
        <v>275</v>
      </c>
      <c r="D2609" s="14">
        <v>16</v>
      </c>
      <c r="E2609" s="13"/>
      <c r="F2609" s="13"/>
      <c r="G2609" s="13"/>
      <c r="H2609" s="13"/>
      <c r="I2609" s="15">
        <f t="shared" si="355"/>
        <v>0</v>
      </c>
      <c r="J2609" s="15">
        <f t="shared" si="362"/>
        <v>740</v>
      </c>
      <c r="K2609" s="16"/>
      <c r="L2609" s="13"/>
    </row>
    <row r="2610" spans="1:12" x14ac:dyDescent="0.35">
      <c r="A2610" s="2" t="s">
        <v>322</v>
      </c>
      <c r="B2610" s="2" t="s">
        <v>331</v>
      </c>
      <c r="C2610" s="21" t="s">
        <v>275</v>
      </c>
      <c r="D2610" s="4">
        <v>1</v>
      </c>
      <c r="F2610" s="3">
        <v>45959</v>
      </c>
      <c r="G2610">
        <v>4000</v>
      </c>
      <c r="H2610">
        <v>3805</v>
      </c>
      <c r="I2610" s="1">
        <f t="shared" si="355"/>
        <v>195</v>
      </c>
      <c r="J2610" s="1">
        <f>I2610</f>
        <v>195</v>
      </c>
      <c r="K2610" s="9">
        <f t="shared" si="356"/>
        <v>5.1248357424441525E-2</v>
      </c>
    </row>
    <row r="2611" spans="1:12" x14ac:dyDescent="0.35">
      <c r="A2611" s="2" t="s">
        <v>322</v>
      </c>
      <c r="B2611" s="2" t="s">
        <v>331</v>
      </c>
      <c r="C2611" s="21" t="s">
        <v>275</v>
      </c>
      <c r="D2611" s="4">
        <v>2</v>
      </c>
      <c r="F2611" s="3">
        <v>45966</v>
      </c>
      <c r="G2611">
        <v>4000</v>
      </c>
      <c r="H2611">
        <v>3805</v>
      </c>
      <c r="I2611" s="1">
        <f t="shared" ref="I2611:I2674" si="363">G2611-H2611</f>
        <v>195</v>
      </c>
      <c r="J2611" s="1">
        <f>J2610+I2611</f>
        <v>390</v>
      </c>
      <c r="K2611" s="9">
        <f t="shared" ref="K2611:K2674" si="364">I2611/H2611</f>
        <v>5.1248357424441525E-2</v>
      </c>
    </row>
    <row r="2612" spans="1:12" x14ac:dyDescent="0.35">
      <c r="A2612" s="2" t="s">
        <v>322</v>
      </c>
      <c r="B2612" s="2" t="s">
        <v>331</v>
      </c>
      <c r="C2612" s="21" t="s">
        <v>275</v>
      </c>
      <c r="D2612" s="4">
        <v>3</v>
      </c>
      <c r="I2612" s="1">
        <f t="shared" si="363"/>
        <v>0</v>
      </c>
      <c r="J2612" s="1">
        <f t="shared" ref="J2612:J2625" si="365">J2611+I2612</f>
        <v>390</v>
      </c>
      <c r="K2612" s="9" t="e">
        <f t="shared" si="364"/>
        <v>#DIV/0!</v>
      </c>
    </row>
    <row r="2613" spans="1:12" x14ac:dyDescent="0.35">
      <c r="A2613" s="2" t="s">
        <v>322</v>
      </c>
      <c r="B2613" s="2" t="s">
        <v>331</v>
      </c>
      <c r="C2613" s="21" t="s">
        <v>275</v>
      </c>
      <c r="D2613" s="4">
        <v>4</v>
      </c>
      <c r="I2613" s="1">
        <f t="shared" si="363"/>
        <v>0</v>
      </c>
      <c r="J2613" s="1">
        <f t="shared" si="365"/>
        <v>390</v>
      </c>
      <c r="K2613" s="9" t="e">
        <f t="shared" si="364"/>
        <v>#DIV/0!</v>
      </c>
    </row>
    <row r="2614" spans="1:12" x14ac:dyDescent="0.35">
      <c r="A2614" s="2" t="s">
        <v>322</v>
      </c>
      <c r="B2614" s="2" t="s">
        <v>331</v>
      </c>
      <c r="C2614" s="21" t="s">
        <v>275</v>
      </c>
      <c r="D2614" s="4">
        <v>5</v>
      </c>
      <c r="I2614" s="1">
        <f t="shared" si="363"/>
        <v>0</v>
      </c>
      <c r="J2614" s="1">
        <f t="shared" si="365"/>
        <v>390</v>
      </c>
      <c r="K2614" s="9" t="e">
        <f t="shared" si="364"/>
        <v>#DIV/0!</v>
      </c>
    </row>
    <row r="2615" spans="1:12" x14ac:dyDescent="0.35">
      <c r="A2615" s="2" t="s">
        <v>322</v>
      </c>
      <c r="B2615" s="2" t="s">
        <v>331</v>
      </c>
      <c r="C2615" s="21" t="s">
        <v>275</v>
      </c>
      <c r="D2615" s="4">
        <v>6</v>
      </c>
      <c r="I2615" s="1">
        <f t="shared" si="363"/>
        <v>0</v>
      </c>
      <c r="J2615" s="1">
        <f t="shared" si="365"/>
        <v>390</v>
      </c>
      <c r="K2615" s="9" t="e">
        <f t="shared" si="364"/>
        <v>#DIV/0!</v>
      </c>
    </row>
    <row r="2616" spans="1:12" x14ac:dyDescent="0.35">
      <c r="A2616" s="2" t="s">
        <v>322</v>
      </c>
      <c r="B2616" s="2" t="s">
        <v>331</v>
      </c>
      <c r="C2616" s="21" t="s">
        <v>275</v>
      </c>
      <c r="D2616" s="4">
        <v>7</v>
      </c>
      <c r="I2616" s="1">
        <f t="shared" si="363"/>
        <v>0</v>
      </c>
      <c r="J2616" s="1">
        <f t="shared" si="365"/>
        <v>390</v>
      </c>
      <c r="K2616" s="9" t="e">
        <f t="shared" si="364"/>
        <v>#DIV/0!</v>
      </c>
    </row>
    <row r="2617" spans="1:12" x14ac:dyDescent="0.35">
      <c r="A2617" s="2" t="s">
        <v>322</v>
      </c>
      <c r="B2617" s="2" t="s">
        <v>331</v>
      </c>
      <c r="C2617" s="21" t="s">
        <v>275</v>
      </c>
      <c r="D2617" s="4">
        <v>8</v>
      </c>
      <c r="I2617" s="1">
        <f t="shared" si="363"/>
        <v>0</v>
      </c>
      <c r="J2617" s="1">
        <f t="shared" si="365"/>
        <v>390</v>
      </c>
      <c r="K2617" s="9" t="e">
        <f t="shared" si="364"/>
        <v>#DIV/0!</v>
      </c>
    </row>
    <row r="2618" spans="1:12" x14ac:dyDescent="0.35">
      <c r="A2618" s="2" t="s">
        <v>322</v>
      </c>
      <c r="B2618" s="2" t="s">
        <v>331</v>
      </c>
      <c r="C2618" s="21" t="s">
        <v>275</v>
      </c>
      <c r="D2618" s="4">
        <v>9</v>
      </c>
      <c r="I2618" s="1">
        <f t="shared" si="363"/>
        <v>0</v>
      </c>
      <c r="J2618" s="1">
        <f t="shared" si="365"/>
        <v>390</v>
      </c>
      <c r="K2618" s="9" t="e">
        <f t="shared" si="364"/>
        <v>#DIV/0!</v>
      </c>
    </row>
    <row r="2619" spans="1:12" x14ac:dyDescent="0.35">
      <c r="A2619" s="2" t="s">
        <v>322</v>
      </c>
      <c r="B2619" s="2" t="s">
        <v>331</v>
      </c>
      <c r="C2619" s="21" t="s">
        <v>275</v>
      </c>
      <c r="D2619" s="4">
        <v>10</v>
      </c>
      <c r="I2619" s="1">
        <f t="shared" si="363"/>
        <v>0</v>
      </c>
      <c r="J2619" s="1">
        <f t="shared" si="365"/>
        <v>390</v>
      </c>
      <c r="K2619" s="9" t="e">
        <f t="shared" si="364"/>
        <v>#DIV/0!</v>
      </c>
    </row>
    <row r="2620" spans="1:12" x14ac:dyDescent="0.35">
      <c r="A2620" s="2" t="s">
        <v>322</v>
      </c>
      <c r="B2620" s="2" t="s">
        <v>331</v>
      </c>
      <c r="C2620" s="21" t="s">
        <v>275</v>
      </c>
      <c r="D2620" s="4">
        <v>11</v>
      </c>
      <c r="I2620" s="1">
        <f t="shared" si="363"/>
        <v>0</v>
      </c>
      <c r="J2620" s="1">
        <f t="shared" si="365"/>
        <v>390</v>
      </c>
      <c r="K2620" s="9" t="e">
        <f t="shared" si="364"/>
        <v>#DIV/0!</v>
      </c>
    </row>
    <row r="2621" spans="1:12" x14ac:dyDescent="0.35">
      <c r="A2621" s="2" t="s">
        <v>322</v>
      </c>
      <c r="B2621" s="2" t="s">
        <v>331</v>
      </c>
      <c r="C2621" s="21" t="s">
        <v>275</v>
      </c>
      <c r="D2621" s="4">
        <v>12</v>
      </c>
      <c r="I2621" s="1">
        <f t="shared" si="363"/>
        <v>0</v>
      </c>
      <c r="J2621" s="1">
        <f t="shared" si="365"/>
        <v>390</v>
      </c>
      <c r="K2621" s="9" t="e">
        <f t="shared" si="364"/>
        <v>#DIV/0!</v>
      </c>
    </row>
    <row r="2622" spans="1:12" x14ac:dyDescent="0.35">
      <c r="A2622" s="2" t="s">
        <v>322</v>
      </c>
      <c r="B2622" s="2" t="s">
        <v>331</v>
      </c>
      <c r="C2622" s="21" t="s">
        <v>275</v>
      </c>
      <c r="D2622" s="4">
        <v>13</v>
      </c>
      <c r="I2622" s="1">
        <f t="shared" si="363"/>
        <v>0</v>
      </c>
      <c r="J2622" s="1">
        <f t="shared" si="365"/>
        <v>390</v>
      </c>
      <c r="K2622" s="9" t="e">
        <f t="shared" si="364"/>
        <v>#DIV/0!</v>
      </c>
    </row>
    <row r="2623" spans="1:12" x14ac:dyDescent="0.35">
      <c r="A2623" s="2" t="s">
        <v>322</v>
      </c>
      <c r="B2623" s="2" t="s">
        <v>331</v>
      </c>
      <c r="C2623" s="21" t="s">
        <v>275</v>
      </c>
      <c r="D2623" s="4">
        <v>14</v>
      </c>
      <c r="I2623" s="1">
        <f t="shared" si="363"/>
        <v>0</v>
      </c>
      <c r="J2623" s="1">
        <f t="shared" si="365"/>
        <v>390</v>
      </c>
      <c r="K2623" s="9" t="e">
        <f t="shared" si="364"/>
        <v>#DIV/0!</v>
      </c>
    </row>
    <row r="2624" spans="1:12" x14ac:dyDescent="0.35">
      <c r="A2624" s="2" t="s">
        <v>322</v>
      </c>
      <c r="B2624" s="2" t="s">
        <v>331</v>
      </c>
      <c r="C2624" s="21" t="s">
        <v>275</v>
      </c>
      <c r="D2624" s="4">
        <v>15</v>
      </c>
      <c r="I2624" s="1">
        <f t="shared" si="363"/>
        <v>0</v>
      </c>
      <c r="J2624" s="1">
        <f t="shared" si="365"/>
        <v>390</v>
      </c>
      <c r="K2624" s="9" t="e">
        <f t="shared" si="364"/>
        <v>#DIV/0!</v>
      </c>
    </row>
    <row r="2625" spans="1:12" ht="15" thickBot="1" x14ac:dyDescent="0.4">
      <c r="A2625" s="12" t="s">
        <v>322</v>
      </c>
      <c r="B2625" s="12" t="s">
        <v>331</v>
      </c>
      <c r="C2625" s="22" t="s">
        <v>275</v>
      </c>
      <c r="D2625" s="14">
        <v>16</v>
      </c>
      <c r="E2625" s="13"/>
      <c r="F2625" s="13"/>
      <c r="G2625" s="13"/>
      <c r="H2625" s="13"/>
      <c r="I2625" s="15">
        <f t="shared" si="363"/>
        <v>0</v>
      </c>
      <c r="J2625" s="15">
        <f t="shared" si="365"/>
        <v>390</v>
      </c>
      <c r="K2625" s="16" t="e">
        <f t="shared" si="364"/>
        <v>#DIV/0!</v>
      </c>
      <c r="L2625" s="13"/>
    </row>
    <row r="2626" spans="1:12" x14ac:dyDescent="0.35">
      <c r="A2626" s="2" t="s">
        <v>323</v>
      </c>
      <c r="B2626" s="2" t="s">
        <v>332</v>
      </c>
      <c r="C2626" s="21" t="s">
        <v>275</v>
      </c>
      <c r="D2626" s="4">
        <v>1</v>
      </c>
      <c r="F2626" s="3">
        <v>45961</v>
      </c>
      <c r="G2626">
        <v>2609</v>
      </c>
      <c r="H2626">
        <v>2432.02</v>
      </c>
      <c r="I2626" s="1">
        <f t="shared" si="363"/>
        <v>176.98000000000002</v>
      </c>
      <c r="J2626" s="1">
        <f>I2626</f>
        <v>176.98000000000002</v>
      </c>
      <c r="K2626" s="9">
        <f t="shared" si="364"/>
        <v>7.2770783135007122E-2</v>
      </c>
    </row>
    <row r="2627" spans="1:12" x14ac:dyDescent="0.35">
      <c r="A2627" s="2" t="s">
        <v>323</v>
      </c>
      <c r="B2627" s="2" t="s">
        <v>332</v>
      </c>
      <c r="C2627" s="21" t="s">
        <v>275</v>
      </c>
      <c r="D2627" s="4">
        <v>2</v>
      </c>
      <c r="F2627" s="3">
        <v>45967</v>
      </c>
      <c r="G2627" s="32">
        <v>2609</v>
      </c>
      <c r="H2627" s="32">
        <v>2432.02</v>
      </c>
      <c r="I2627" s="1">
        <f t="shared" si="363"/>
        <v>176.98000000000002</v>
      </c>
      <c r="J2627" s="1">
        <f>J2626+I2627</f>
        <v>353.96000000000004</v>
      </c>
      <c r="K2627" s="9">
        <f t="shared" si="364"/>
        <v>7.2770783135007122E-2</v>
      </c>
    </row>
    <row r="2628" spans="1:12" x14ac:dyDescent="0.35">
      <c r="A2628" s="2" t="s">
        <v>323</v>
      </c>
      <c r="B2628" s="2" t="s">
        <v>332</v>
      </c>
      <c r="C2628" s="21" t="s">
        <v>275</v>
      </c>
      <c r="D2628" s="4">
        <v>3</v>
      </c>
      <c r="G2628" s="32"/>
      <c r="I2628" s="1">
        <f t="shared" si="363"/>
        <v>0</v>
      </c>
      <c r="J2628" s="1">
        <f t="shared" ref="J2628:J2641" si="366">J2627+I2628</f>
        <v>353.96000000000004</v>
      </c>
      <c r="K2628" s="9" t="e">
        <f t="shared" si="364"/>
        <v>#DIV/0!</v>
      </c>
    </row>
    <row r="2629" spans="1:12" x14ac:dyDescent="0.35">
      <c r="A2629" s="2" t="s">
        <v>323</v>
      </c>
      <c r="B2629" s="2" t="s">
        <v>332</v>
      </c>
      <c r="C2629" s="21" t="s">
        <v>275</v>
      </c>
      <c r="D2629" s="4">
        <v>4</v>
      </c>
      <c r="I2629" s="1">
        <f t="shared" si="363"/>
        <v>0</v>
      </c>
      <c r="J2629" s="1">
        <f t="shared" si="366"/>
        <v>353.96000000000004</v>
      </c>
      <c r="K2629" s="9" t="e">
        <f t="shared" si="364"/>
        <v>#DIV/0!</v>
      </c>
    </row>
    <row r="2630" spans="1:12" x14ac:dyDescent="0.35">
      <c r="A2630" s="2" t="s">
        <v>323</v>
      </c>
      <c r="B2630" s="2" t="s">
        <v>332</v>
      </c>
      <c r="C2630" s="21" t="s">
        <v>275</v>
      </c>
      <c r="D2630" s="4">
        <v>5</v>
      </c>
      <c r="I2630" s="1">
        <f t="shared" si="363"/>
        <v>0</v>
      </c>
      <c r="J2630" s="1">
        <f t="shared" si="366"/>
        <v>353.96000000000004</v>
      </c>
      <c r="K2630" s="9" t="e">
        <f t="shared" si="364"/>
        <v>#DIV/0!</v>
      </c>
    </row>
    <row r="2631" spans="1:12" x14ac:dyDescent="0.35">
      <c r="A2631" s="2" t="s">
        <v>323</v>
      </c>
      <c r="B2631" s="2" t="s">
        <v>332</v>
      </c>
      <c r="C2631" s="21" t="s">
        <v>275</v>
      </c>
      <c r="D2631" s="4">
        <v>6</v>
      </c>
      <c r="I2631" s="1">
        <f t="shared" si="363"/>
        <v>0</v>
      </c>
      <c r="J2631" s="1">
        <f t="shared" si="366"/>
        <v>353.96000000000004</v>
      </c>
      <c r="K2631" s="9" t="e">
        <f t="shared" si="364"/>
        <v>#DIV/0!</v>
      </c>
    </row>
    <row r="2632" spans="1:12" x14ac:dyDescent="0.35">
      <c r="A2632" s="2" t="s">
        <v>323</v>
      </c>
      <c r="B2632" s="2" t="s">
        <v>332</v>
      </c>
      <c r="C2632" s="21" t="s">
        <v>275</v>
      </c>
      <c r="D2632" s="4">
        <v>7</v>
      </c>
      <c r="I2632" s="1">
        <f t="shared" si="363"/>
        <v>0</v>
      </c>
      <c r="J2632" s="1">
        <f t="shared" si="366"/>
        <v>353.96000000000004</v>
      </c>
      <c r="K2632" s="9" t="e">
        <f t="shared" si="364"/>
        <v>#DIV/0!</v>
      </c>
    </row>
    <row r="2633" spans="1:12" x14ac:dyDescent="0.35">
      <c r="A2633" s="2" t="s">
        <v>323</v>
      </c>
      <c r="B2633" s="2" t="s">
        <v>332</v>
      </c>
      <c r="C2633" s="21" t="s">
        <v>275</v>
      </c>
      <c r="D2633" s="4">
        <v>8</v>
      </c>
      <c r="I2633" s="1">
        <f t="shared" si="363"/>
        <v>0</v>
      </c>
      <c r="J2633" s="1">
        <f t="shared" si="366"/>
        <v>353.96000000000004</v>
      </c>
      <c r="K2633" s="9" t="e">
        <f t="shared" si="364"/>
        <v>#DIV/0!</v>
      </c>
    </row>
    <row r="2634" spans="1:12" x14ac:dyDescent="0.35">
      <c r="A2634" s="2" t="s">
        <v>323</v>
      </c>
      <c r="B2634" s="2" t="s">
        <v>332</v>
      </c>
      <c r="C2634" s="21" t="s">
        <v>275</v>
      </c>
      <c r="D2634" s="4">
        <v>9</v>
      </c>
      <c r="I2634" s="1">
        <f t="shared" si="363"/>
        <v>0</v>
      </c>
      <c r="J2634" s="1">
        <f t="shared" si="366"/>
        <v>353.96000000000004</v>
      </c>
      <c r="K2634" s="9" t="e">
        <f t="shared" si="364"/>
        <v>#DIV/0!</v>
      </c>
    </row>
    <row r="2635" spans="1:12" x14ac:dyDescent="0.35">
      <c r="A2635" s="2" t="s">
        <v>323</v>
      </c>
      <c r="B2635" s="2" t="s">
        <v>332</v>
      </c>
      <c r="C2635" s="21" t="s">
        <v>275</v>
      </c>
      <c r="D2635" s="4">
        <v>10</v>
      </c>
      <c r="I2635" s="1">
        <f t="shared" si="363"/>
        <v>0</v>
      </c>
      <c r="J2635" s="1">
        <f t="shared" si="366"/>
        <v>353.96000000000004</v>
      </c>
      <c r="K2635" s="9" t="e">
        <f t="shared" si="364"/>
        <v>#DIV/0!</v>
      </c>
    </row>
    <row r="2636" spans="1:12" x14ac:dyDescent="0.35">
      <c r="A2636" s="2" t="s">
        <v>323</v>
      </c>
      <c r="B2636" s="2" t="s">
        <v>332</v>
      </c>
      <c r="C2636" s="21" t="s">
        <v>275</v>
      </c>
      <c r="D2636" s="4">
        <v>11</v>
      </c>
      <c r="I2636" s="1">
        <f t="shared" si="363"/>
        <v>0</v>
      </c>
      <c r="J2636" s="1">
        <f t="shared" si="366"/>
        <v>353.96000000000004</v>
      </c>
      <c r="K2636" s="9" t="e">
        <f t="shared" si="364"/>
        <v>#DIV/0!</v>
      </c>
    </row>
    <row r="2637" spans="1:12" x14ac:dyDescent="0.35">
      <c r="A2637" s="2" t="s">
        <v>323</v>
      </c>
      <c r="B2637" s="2" t="s">
        <v>332</v>
      </c>
      <c r="C2637" s="21" t="s">
        <v>275</v>
      </c>
      <c r="D2637" s="4">
        <v>12</v>
      </c>
      <c r="I2637" s="1">
        <f t="shared" si="363"/>
        <v>0</v>
      </c>
      <c r="J2637" s="1">
        <f t="shared" si="366"/>
        <v>353.96000000000004</v>
      </c>
      <c r="K2637" s="9" t="e">
        <f t="shared" si="364"/>
        <v>#DIV/0!</v>
      </c>
    </row>
    <row r="2638" spans="1:12" x14ac:dyDescent="0.35">
      <c r="A2638" s="2" t="s">
        <v>323</v>
      </c>
      <c r="B2638" s="2" t="s">
        <v>332</v>
      </c>
      <c r="C2638" s="21" t="s">
        <v>275</v>
      </c>
      <c r="D2638" s="4">
        <v>13</v>
      </c>
      <c r="I2638" s="1">
        <f t="shared" si="363"/>
        <v>0</v>
      </c>
      <c r="J2638" s="1">
        <f t="shared" si="366"/>
        <v>353.96000000000004</v>
      </c>
      <c r="K2638" s="9" t="e">
        <f t="shared" si="364"/>
        <v>#DIV/0!</v>
      </c>
    </row>
    <row r="2639" spans="1:12" x14ac:dyDescent="0.35">
      <c r="A2639" s="2" t="s">
        <v>323</v>
      </c>
      <c r="B2639" s="2" t="s">
        <v>332</v>
      </c>
      <c r="C2639" s="21" t="s">
        <v>275</v>
      </c>
      <c r="D2639" s="4">
        <v>14</v>
      </c>
      <c r="I2639" s="1">
        <f t="shared" si="363"/>
        <v>0</v>
      </c>
      <c r="J2639" s="1">
        <f t="shared" si="366"/>
        <v>353.96000000000004</v>
      </c>
      <c r="K2639" s="9" t="e">
        <f t="shared" si="364"/>
        <v>#DIV/0!</v>
      </c>
    </row>
    <row r="2640" spans="1:12" x14ac:dyDescent="0.35">
      <c r="A2640" s="2" t="s">
        <v>323</v>
      </c>
      <c r="B2640" s="2" t="s">
        <v>332</v>
      </c>
      <c r="C2640" s="21" t="s">
        <v>275</v>
      </c>
      <c r="D2640" s="4">
        <v>15</v>
      </c>
      <c r="I2640" s="1">
        <f t="shared" si="363"/>
        <v>0</v>
      </c>
      <c r="J2640" s="1">
        <f t="shared" si="366"/>
        <v>353.96000000000004</v>
      </c>
      <c r="K2640" s="9" t="e">
        <f t="shared" si="364"/>
        <v>#DIV/0!</v>
      </c>
    </row>
    <row r="2641" spans="1:12" ht="15" thickBot="1" x14ac:dyDescent="0.4">
      <c r="A2641" s="12" t="s">
        <v>323</v>
      </c>
      <c r="B2641" s="12" t="s">
        <v>332</v>
      </c>
      <c r="C2641" s="22" t="s">
        <v>275</v>
      </c>
      <c r="D2641" s="14">
        <v>16</v>
      </c>
      <c r="E2641" s="13"/>
      <c r="F2641" s="13"/>
      <c r="G2641" s="13"/>
      <c r="H2641" s="13"/>
      <c r="I2641" s="15">
        <f t="shared" si="363"/>
        <v>0</v>
      </c>
      <c r="J2641" s="15">
        <f t="shared" si="366"/>
        <v>353.96000000000004</v>
      </c>
      <c r="K2641" s="16" t="e">
        <f t="shared" si="364"/>
        <v>#DIV/0!</v>
      </c>
      <c r="L2641" s="13"/>
    </row>
    <row r="2642" spans="1:12" x14ac:dyDescent="0.35">
      <c r="A2642" s="2" t="s">
        <v>324</v>
      </c>
      <c r="B2642" s="2" t="s">
        <v>333</v>
      </c>
      <c r="C2642" s="21" t="s">
        <v>275</v>
      </c>
      <c r="D2642" s="4">
        <v>1</v>
      </c>
      <c r="F2642" s="3">
        <v>45959</v>
      </c>
      <c r="G2642">
        <v>5592</v>
      </c>
      <c r="H2642">
        <v>5326</v>
      </c>
      <c r="I2642" s="1">
        <f t="shared" si="363"/>
        <v>266</v>
      </c>
      <c r="J2642" s="1">
        <f>I2642</f>
        <v>266</v>
      </c>
      <c r="K2642" s="9">
        <f t="shared" si="364"/>
        <v>4.9943672549755916E-2</v>
      </c>
    </row>
    <row r="2643" spans="1:12" x14ac:dyDescent="0.35">
      <c r="A2643" s="2" t="s">
        <v>324</v>
      </c>
      <c r="B2643" s="2" t="s">
        <v>333</v>
      </c>
      <c r="C2643" s="21" t="s">
        <v>275</v>
      </c>
      <c r="D2643" s="4">
        <v>2</v>
      </c>
      <c r="F2643" s="3">
        <v>45966</v>
      </c>
      <c r="G2643">
        <v>5592</v>
      </c>
      <c r="H2643">
        <v>5326</v>
      </c>
      <c r="I2643" s="1">
        <f t="shared" si="363"/>
        <v>266</v>
      </c>
      <c r="J2643" s="1">
        <f>J2642+I2643</f>
        <v>532</v>
      </c>
      <c r="K2643" s="9">
        <f t="shared" si="364"/>
        <v>4.9943672549755916E-2</v>
      </c>
    </row>
    <row r="2644" spans="1:12" x14ac:dyDescent="0.35">
      <c r="A2644" s="2" t="s">
        <v>324</v>
      </c>
      <c r="B2644" s="2" t="s">
        <v>333</v>
      </c>
      <c r="C2644" s="21" t="s">
        <v>275</v>
      </c>
      <c r="D2644" s="4">
        <v>3</v>
      </c>
      <c r="F2644" s="3"/>
      <c r="I2644" s="1">
        <f t="shared" si="363"/>
        <v>0</v>
      </c>
      <c r="J2644" s="1">
        <f t="shared" ref="J2644:J2657" si="367">J2643+I2644</f>
        <v>532</v>
      </c>
      <c r="K2644" s="9" t="e">
        <f t="shared" si="364"/>
        <v>#DIV/0!</v>
      </c>
    </row>
    <row r="2645" spans="1:12" x14ac:dyDescent="0.35">
      <c r="A2645" s="2" t="s">
        <v>324</v>
      </c>
      <c r="B2645" s="2" t="s">
        <v>333</v>
      </c>
      <c r="C2645" s="21" t="s">
        <v>275</v>
      </c>
      <c r="D2645" s="4">
        <v>4</v>
      </c>
      <c r="F2645" s="3"/>
      <c r="I2645" s="1">
        <f t="shared" si="363"/>
        <v>0</v>
      </c>
      <c r="J2645" s="1">
        <f t="shared" si="367"/>
        <v>532</v>
      </c>
      <c r="K2645" s="9" t="e">
        <f t="shared" si="364"/>
        <v>#DIV/0!</v>
      </c>
    </row>
    <row r="2646" spans="1:12" x14ac:dyDescent="0.35">
      <c r="A2646" s="2" t="s">
        <v>324</v>
      </c>
      <c r="B2646" s="2" t="s">
        <v>333</v>
      </c>
      <c r="C2646" s="21" t="s">
        <v>275</v>
      </c>
      <c r="D2646" s="4">
        <v>5</v>
      </c>
      <c r="F2646" s="3"/>
      <c r="I2646" s="1">
        <f t="shared" si="363"/>
        <v>0</v>
      </c>
      <c r="J2646" s="1">
        <f t="shared" si="367"/>
        <v>532</v>
      </c>
      <c r="K2646" s="9" t="e">
        <f t="shared" si="364"/>
        <v>#DIV/0!</v>
      </c>
    </row>
    <row r="2647" spans="1:12" x14ac:dyDescent="0.35">
      <c r="A2647" s="2" t="s">
        <v>324</v>
      </c>
      <c r="B2647" s="2" t="s">
        <v>333</v>
      </c>
      <c r="C2647" s="21" t="s">
        <v>275</v>
      </c>
      <c r="D2647" s="4">
        <v>6</v>
      </c>
      <c r="F2647" s="3"/>
      <c r="I2647" s="1">
        <f t="shared" si="363"/>
        <v>0</v>
      </c>
      <c r="J2647" s="1">
        <f t="shared" si="367"/>
        <v>532</v>
      </c>
      <c r="K2647" s="9" t="e">
        <f t="shared" si="364"/>
        <v>#DIV/0!</v>
      </c>
    </row>
    <row r="2648" spans="1:12" x14ac:dyDescent="0.35">
      <c r="A2648" s="2" t="s">
        <v>324</v>
      </c>
      <c r="B2648" s="2" t="s">
        <v>333</v>
      </c>
      <c r="C2648" s="21" t="s">
        <v>275</v>
      </c>
      <c r="D2648" s="4">
        <v>7</v>
      </c>
      <c r="F2648" s="3"/>
      <c r="I2648" s="1">
        <f t="shared" si="363"/>
        <v>0</v>
      </c>
      <c r="J2648" s="1">
        <f t="shared" si="367"/>
        <v>532</v>
      </c>
      <c r="K2648" s="9" t="e">
        <f t="shared" si="364"/>
        <v>#DIV/0!</v>
      </c>
    </row>
    <row r="2649" spans="1:12" x14ac:dyDescent="0.35">
      <c r="A2649" s="2" t="s">
        <v>324</v>
      </c>
      <c r="B2649" s="2" t="s">
        <v>333</v>
      </c>
      <c r="C2649" s="21" t="s">
        <v>275</v>
      </c>
      <c r="D2649" s="4">
        <v>8</v>
      </c>
      <c r="F2649" s="3"/>
      <c r="I2649" s="1">
        <f t="shared" si="363"/>
        <v>0</v>
      </c>
      <c r="J2649" s="1">
        <f t="shared" si="367"/>
        <v>532</v>
      </c>
      <c r="K2649" s="9" t="e">
        <f t="shared" si="364"/>
        <v>#DIV/0!</v>
      </c>
    </row>
    <row r="2650" spans="1:12" x14ac:dyDescent="0.35">
      <c r="A2650" s="2" t="s">
        <v>324</v>
      </c>
      <c r="B2650" s="2" t="s">
        <v>333</v>
      </c>
      <c r="C2650" s="21" t="s">
        <v>275</v>
      </c>
      <c r="D2650" s="4">
        <v>9</v>
      </c>
      <c r="F2650" s="3"/>
      <c r="I2650" s="1">
        <f t="shared" si="363"/>
        <v>0</v>
      </c>
      <c r="J2650" s="1">
        <f t="shared" si="367"/>
        <v>532</v>
      </c>
      <c r="K2650" s="9" t="e">
        <f t="shared" si="364"/>
        <v>#DIV/0!</v>
      </c>
    </row>
    <row r="2651" spans="1:12" x14ac:dyDescent="0.35">
      <c r="A2651" s="2" t="s">
        <v>324</v>
      </c>
      <c r="B2651" s="2" t="s">
        <v>333</v>
      </c>
      <c r="C2651" s="21" t="s">
        <v>275</v>
      </c>
      <c r="D2651" s="4">
        <v>10</v>
      </c>
      <c r="F2651" s="3"/>
      <c r="I2651" s="1">
        <f t="shared" si="363"/>
        <v>0</v>
      </c>
      <c r="J2651" s="1">
        <f t="shared" si="367"/>
        <v>532</v>
      </c>
      <c r="K2651" s="9" t="e">
        <f t="shared" si="364"/>
        <v>#DIV/0!</v>
      </c>
    </row>
    <row r="2652" spans="1:12" x14ac:dyDescent="0.35">
      <c r="A2652" s="2" t="s">
        <v>324</v>
      </c>
      <c r="B2652" s="2" t="s">
        <v>333</v>
      </c>
      <c r="C2652" s="21" t="s">
        <v>275</v>
      </c>
      <c r="D2652" s="4">
        <v>11</v>
      </c>
      <c r="F2652" s="3"/>
      <c r="I2652" s="1">
        <f t="shared" si="363"/>
        <v>0</v>
      </c>
      <c r="J2652" s="1">
        <f t="shared" si="367"/>
        <v>532</v>
      </c>
      <c r="K2652" s="9" t="e">
        <f t="shared" si="364"/>
        <v>#DIV/0!</v>
      </c>
    </row>
    <row r="2653" spans="1:12" x14ac:dyDescent="0.35">
      <c r="A2653" s="2" t="s">
        <v>324</v>
      </c>
      <c r="B2653" s="2" t="s">
        <v>333</v>
      </c>
      <c r="C2653" s="21" t="s">
        <v>275</v>
      </c>
      <c r="D2653" s="4">
        <v>12</v>
      </c>
      <c r="F2653" s="3"/>
      <c r="I2653" s="1">
        <f t="shared" si="363"/>
        <v>0</v>
      </c>
      <c r="J2653" s="1">
        <f t="shared" si="367"/>
        <v>532</v>
      </c>
      <c r="K2653" s="9" t="e">
        <f t="shared" si="364"/>
        <v>#DIV/0!</v>
      </c>
    </row>
    <row r="2654" spans="1:12" x14ac:dyDescent="0.35">
      <c r="A2654" s="2" t="s">
        <v>324</v>
      </c>
      <c r="B2654" s="2" t="s">
        <v>333</v>
      </c>
      <c r="C2654" s="21" t="s">
        <v>275</v>
      </c>
      <c r="D2654" s="4">
        <v>13</v>
      </c>
      <c r="F2654" s="3"/>
      <c r="I2654" s="1">
        <f t="shared" si="363"/>
        <v>0</v>
      </c>
      <c r="J2654" s="1">
        <f t="shared" si="367"/>
        <v>532</v>
      </c>
      <c r="K2654" s="9" t="e">
        <f t="shared" si="364"/>
        <v>#DIV/0!</v>
      </c>
    </row>
    <row r="2655" spans="1:12" x14ac:dyDescent="0.35">
      <c r="A2655" s="2" t="s">
        <v>324</v>
      </c>
      <c r="B2655" s="2" t="s">
        <v>333</v>
      </c>
      <c r="C2655" s="21" t="s">
        <v>275</v>
      </c>
      <c r="D2655" s="4">
        <v>14</v>
      </c>
      <c r="F2655" s="3"/>
      <c r="I2655" s="1">
        <f t="shared" si="363"/>
        <v>0</v>
      </c>
      <c r="J2655" s="1">
        <f t="shared" si="367"/>
        <v>532</v>
      </c>
      <c r="K2655" s="9" t="e">
        <f t="shared" si="364"/>
        <v>#DIV/0!</v>
      </c>
    </row>
    <row r="2656" spans="1:12" x14ac:dyDescent="0.35">
      <c r="A2656" s="2" t="s">
        <v>324</v>
      </c>
      <c r="B2656" s="2" t="s">
        <v>333</v>
      </c>
      <c r="C2656" s="21" t="s">
        <v>275</v>
      </c>
      <c r="D2656" s="4">
        <v>15</v>
      </c>
      <c r="F2656" s="3"/>
      <c r="I2656" s="1">
        <f t="shared" si="363"/>
        <v>0</v>
      </c>
      <c r="J2656" s="1">
        <f t="shared" si="367"/>
        <v>532</v>
      </c>
      <c r="K2656" s="9" t="e">
        <f t="shared" si="364"/>
        <v>#DIV/0!</v>
      </c>
    </row>
    <row r="2657" spans="1:12" ht="15" thickBot="1" x14ac:dyDescent="0.4">
      <c r="A2657" s="12" t="s">
        <v>324</v>
      </c>
      <c r="B2657" s="12" t="s">
        <v>333</v>
      </c>
      <c r="C2657" s="22" t="s">
        <v>275</v>
      </c>
      <c r="D2657" s="14">
        <v>16</v>
      </c>
      <c r="E2657" s="13"/>
      <c r="F2657" s="26"/>
      <c r="G2657" s="13"/>
      <c r="H2657" s="13"/>
      <c r="I2657" s="15">
        <f t="shared" si="363"/>
        <v>0</v>
      </c>
      <c r="J2657" s="15">
        <f t="shared" si="367"/>
        <v>532</v>
      </c>
      <c r="K2657" s="16" t="e">
        <f t="shared" si="364"/>
        <v>#DIV/0!</v>
      </c>
      <c r="L2657" s="13"/>
    </row>
    <row r="2658" spans="1:12" x14ac:dyDescent="0.35">
      <c r="A2658" s="2" t="s">
        <v>325</v>
      </c>
      <c r="B2658" s="2" t="s">
        <v>334</v>
      </c>
      <c r="C2658" s="21" t="s">
        <v>275</v>
      </c>
      <c r="D2658" s="4">
        <v>1</v>
      </c>
      <c r="F2658" s="3">
        <v>45960</v>
      </c>
      <c r="G2658">
        <v>4879</v>
      </c>
      <c r="H2658">
        <v>4333</v>
      </c>
      <c r="I2658" s="1">
        <f t="shared" si="363"/>
        <v>546</v>
      </c>
      <c r="J2658" s="1">
        <f>I2658</f>
        <v>546</v>
      </c>
      <c r="K2658" s="9">
        <f t="shared" si="364"/>
        <v>0.12600969305331181</v>
      </c>
    </row>
    <row r="2659" spans="1:12" x14ac:dyDescent="0.35">
      <c r="A2659" s="2" t="s">
        <v>325</v>
      </c>
      <c r="B2659" s="2" t="s">
        <v>334</v>
      </c>
      <c r="C2659" s="21" t="s">
        <v>275</v>
      </c>
      <c r="D2659" s="4">
        <v>2</v>
      </c>
      <c r="F2659" s="3">
        <v>45967</v>
      </c>
      <c r="G2659">
        <v>4819</v>
      </c>
      <c r="H2659">
        <v>4333</v>
      </c>
      <c r="I2659" s="1">
        <f t="shared" si="363"/>
        <v>486</v>
      </c>
      <c r="J2659" s="1">
        <f>J2658+I2659</f>
        <v>1032</v>
      </c>
      <c r="K2659" s="9">
        <f t="shared" si="364"/>
        <v>0.11216247403646434</v>
      </c>
    </row>
    <row r="2660" spans="1:12" x14ac:dyDescent="0.35">
      <c r="A2660" s="2" t="s">
        <v>325</v>
      </c>
      <c r="B2660" s="2" t="s">
        <v>334</v>
      </c>
      <c r="C2660" s="21" t="s">
        <v>275</v>
      </c>
      <c r="D2660" s="4">
        <v>3</v>
      </c>
      <c r="I2660" s="1">
        <f t="shared" si="363"/>
        <v>0</v>
      </c>
      <c r="J2660" s="1">
        <f t="shared" ref="J2660:J2673" si="368">J2659+I2660</f>
        <v>1032</v>
      </c>
      <c r="K2660" s="9" t="e">
        <f t="shared" si="364"/>
        <v>#DIV/0!</v>
      </c>
    </row>
    <row r="2661" spans="1:12" x14ac:dyDescent="0.35">
      <c r="A2661" s="2" t="s">
        <v>325</v>
      </c>
      <c r="B2661" s="2" t="s">
        <v>334</v>
      </c>
      <c r="C2661" s="21" t="s">
        <v>275</v>
      </c>
      <c r="D2661" s="4">
        <v>4</v>
      </c>
      <c r="I2661" s="1">
        <f t="shared" si="363"/>
        <v>0</v>
      </c>
      <c r="J2661" s="1">
        <f t="shared" si="368"/>
        <v>1032</v>
      </c>
      <c r="K2661" s="9" t="e">
        <f t="shared" si="364"/>
        <v>#DIV/0!</v>
      </c>
    </row>
    <row r="2662" spans="1:12" x14ac:dyDescent="0.35">
      <c r="A2662" s="2" t="s">
        <v>325</v>
      </c>
      <c r="B2662" s="2" t="s">
        <v>334</v>
      </c>
      <c r="C2662" s="21" t="s">
        <v>275</v>
      </c>
      <c r="D2662" s="4">
        <v>5</v>
      </c>
      <c r="I2662" s="1">
        <f t="shared" si="363"/>
        <v>0</v>
      </c>
      <c r="J2662" s="1">
        <f t="shared" si="368"/>
        <v>1032</v>
      </c>
      <c r="K2662" s="9" t="e">
        <f t="shared" si="364"/>
        <v>#DIV/0!</v>
      </c>
    </row>
    <row r="2663" spans="1:12" x14ac:dyDescent="0.35">
      <c r="A2663" s="2" t="s">
        <v>325</v>
      </c>
      <c r="B2663" s="2" t="s">
        <v>334</v>
      </c>
      <c r="C2663" s="21" t="s">
        <v>275</v>
      </c>
      <c r="D2663" s="4">
        <v>6</v>
      </c>
      <c r="I2663" s="1">
        <f t="shared" si="363"/>
        <v>0</v>
      </c>
      <c r="J2663" s="1">
        <f t="shared" si="368"/>
        <v>1032</v>
      </c>
      <c r="K2663" s="9" t="e">
        <f t="shared" si="364"/>
        <v>#DIV/0!</v>
      </c>
    </row>
    <row r="2664" spans="1:12" x14ac:dyDescent="0.35">
      <c r="A2664" s="2" t="s">
        <v>325</v>
      </c>
      <c r="B2664" s="2" t="s">
        <v>334</v>
      </c>
      <c r="C2664" s="21" t="s">
        <v>275</v>
      </c>
      <c r="D2664" s="4">
        <v>7</v>
      </c>
      <c r="I2664" s="1">
        <f t="shared" si="363"/>
        <v>0</v>
      </c>
      <c r="J2664" s="1">
        <f t="shared" si="368"/>
        <v>1032</v>
      </c>
      <c r="K2664" s="9" t="e">
        <f t="shared" si="364"/>
        <v>#DIV/0!</v>
      </c>
    </row>
    <row r="2665" spans="1:12" x14ac:dyDescent="0.35">
      <c r="A2665" s="2" t="s">
        <v>325</v>
      </c>
      <c r="B2665" s="2" t="s">
        <v>334</v>
      </c>
      <c r="C2665" s="21" t="s">
        <v>275</v>
      </c>
      <c r="D2665" s="4">
        <v>8</v>
      </c>
      <c r="I2665" s="1">
        <f t="shared" si="363"/>
        <v>0</v>
      </c>
      <c r="J2665" s="1">
        <f t="shared" si="368"/>
        <v>1032</v>
      </c>
      <c r="K2665" s="9" t="e">
        <f t="shared" si="364"/>
        <v>#DIV/0!</v>
      </c>
    </row>
    <row r="2666" spans="1:12" x14ac:dyDescent="0.35">
      <c r="A2666" s="2" t="s">
        <v>325</v>
      </c>
      <c r="B2666" s="2" t="s">
        <v>334</v>
      </c>
      <c r="C2666" s="21" t="s">
        <v>275</v>
      </c>
      <c r="D2666" s="4">
        <v>9</v>
      </c>
      <c r="I2666" s="1">
        <f t="shared" si="363"/>
        <v>0</v>
      </c>
      <c r="J2666" s="1">
        <f t="shared" si="368"/>
        <v>1032</v>
      </c>
      <c r="K2666" s="9" t="e">
        <f t="shared" si="364"/>
        <v>#DIV/0!</v>
      </c>
    </row>
    <row r="2667" spans="1:12" x14ac:dyDescent="0.35">
      <c r="A2667" s="2" t="s">
        <v>325</v>
      </c>
      <c r="B2667" s="2" t="s">
        <v>334</v>
      </c>
      <c r="C2667" s="21" t="s">
        <v>275</v>
      </c>
      <c r="D2667" s="4">
        <v>10</v>
      </c>
      <c r="I2667" s="1">
        <f t="shared" si="363"/>
        <v>0</v>
      </c>
      <c r="J2667" s="1">
        <f t="shared" si="368"/>
        <v>1032</v>
      </c>
      <c r="K2667" s="9" t="e">
        <f t="shared" si="364"/>
        <v>#DIV/0!</v>
      </c>
    </row>
    <row r="2668" spans="1:12" x14ac:dyDescent="0.35">
      <c r="A2668" s="2" t="s">
        <v>325</v>
      </c>
      <c r="B2668" s="2" t="s">
        <v>334</v>
      </c>
      <c r="C2668" s="21" t="s">
        <v>275</v>
      </c>
      <c r="D2668" s="4">
        <v>11</v>
      </c>
      <c r="I2668" s="1">
        <f t="shared" si="363"/>
        <v>0</v>
      </c>
      <c r="J2668" s="1">
        <f t="shared" si="368"/>
        <v>1032</v>
      </c>
      <c r="K2668" s="9" t="e">
        <f t="shared" si="364"/>
        <v>#DIV/0!</v>
      </c>
    </row>
    <row r="2669" spans="1:12" x14ac:dyDescent="0.35">
      <c r="A2669" s="2" t="s">
        <v>325</v>
      </c>
      <c r="B2669" s="2" t="s">
        <v>334</v>
      </c>
      <c r="C2669" s="21" t="s">
        <v>275</v>
      </c>
      <c r="D2669" s="4">
        <v>12</v>
      </c>
      <c r="I2669" s="1">
        <f t="shared" si="363"/>
        <v>0</v>
      </c>
      <c r="J2669" s="1">
        <f t="shared" si="368"/>
        <v>1032</v>
      </c>
      <c r="K2669" s="9" t="e">
        <f t="shared" si="364"/>
        <v>#DIV/0!</v>
      </c>
    </row>
    <row r="2670" spans="1:12" x14ac:dyDescent="0.35">
      <c r="A2670" s="2" t="s">
        <v>325</v>
      </c>
      <c r="B2670" s="2" t="s">
        <v>334</v>
      </c>
      <c r="C2670" s="21" t="s">
        <v>275</v>
      </c>
      <c r="D2670" s="4">
        <v>13</v>
      </c>
      <c r="I2670" s="1">
        <f t="shared" si="363"/>
        <v>0</v>
      </c>
      <c r="J2670" s="1">
        <f t="shared" si="368"/>
        <v>1032</v>
      </c>
      <c r="K2670" s="9" t="e">
        <f t="shared" si="364"/>
        <v>#DIV/0!</v>
      </c>
    </row>
    <row r="2671" spans="1:12" x14ac:dyDescent="0.35">
      <c r="A2671" s="2" t="s">
        <v>325</v>
      </c>
      <c r="B2671" s="2" t="s">
        <v>334</v>
      </c>
      <c r="C2671" s="21" t="s">
        <v>275</v>
      </c>
      <c r="D2671" s="4">
        <v>14</v>
      </c>
      <c r="I2671" s="1">
        <f t="shared" si="363"/>
        <v>0</v>
      </c>
      <c r="J2671" s="1">
        <f t="shared" si="368"/>
        <v>1032</v>
      </c>
      <c r="K2671" s="9" t="e">
        <f t="shared" si="364"/>
        <v>#DIV/0!</v>
      </c>
    </row>
    <row r="2672" spans="1:12" x14ac:dyDescent="0.35">
      <c r="A2672" s="2" t="s">
        <v>325</v>
      </c>
      <c r="B2672" s="2" t="s">
        <v>334</v>
      </c>
      <c r="C2672" s="21" t="s">
        <v>275</v>
      </c>
      <c r="D2672" s="4">
        <v>15</v>
      </c>
      <c r="I2672" s="1">
        <f t="shared" si="363"/>
        <v>0</v>
      </c>
      <c r="J2672" s="1">
        <f t="shared" si="368"/>
        <v>1032</v>
      </c>
      <c r="K2672" s="9" t="e">
        <f t="shared" si="364"/>
        <v>#DIV/0!</v>
      </c>
    </row>
    <row r="2673" spans="1:12" ht="15" thickBot="1" x14ac:dyDescent="0.4">
      <c r="A2673" s="12" t="s">
        <v>325</v>
      </c>
      <c r="B2673" s="12" t="s">
        <v>334</v>
      </c>
      <c r="C2673" s="22" t="s">
        <v>275</v>
      </c>
      <c r="D2673" s="14">
        <v>16</v>
      </c>
      <c r="E2673" s="13"/>
      <c r="F2673" s="13"/>
      <c r="G2673" s="13"/>
      <c r="H2673" s="13"/>
      <c r="I2673" s="15">
        <f t="shared" si="363"/>
        <v>0</v>
      </c>
      <c r="J2673" s="15">
        <f t="shared" si="368"/>
        <v>1032</v>
      </c>
      <c r="K2673" s="16" t="e">
        <f t="shared" si="364"/>
        <v>#DIV/0!</v>
      </c>
      <c r="L2673" s="13"/>
    </row>
    <row r="2674" spans="1:12" x14ac:dyDescent="0.35">
      <c r="A2674" s="2" t="s">
        <v>326</v>
      </c>
      <c r="B2674" s="2" t="s">
        <v>335</v>
      </c>
      <c r="C2674" s="21" t="s">
        <v>275</v>
      </c>
      <c r="D2674" s="4">
        <v>1</v>
      </c>
      <c r="F2674" s="3">
        <v>45960</v>
      </c>
      <c r="G2674">
        <v>8145</v>
      </c>
      <c r="H2674">
        <v>7600.07</v>
      </c>
      <c r="I2674" s="1">
        <f t="shared" si="363"/>
        <v>544.93000000000029</v>
      </c>
      <c r="J2674" s="1">
        <f>I2674</f>
        <v>544.93000000000029</v>
      </c>
      <c r="K2674" s="9">
        <f t="shared" si="364"/>
        <v>7.1700655388700407E-2</v>
      </c>
    </row>
    <row r="2675" spans="1:12" x14ac:dyDescent="0.35">
      <c r="A2675" s="2" t="s">
        <v>326</v>
      </c>
      <c r="B2675" s="2" t="s">
        <v>335</v>
      </c>
      <c r="C2675" s="21" t="s">
        <v>275</v>
      </c>
      <c r="D2675" s="4">
        <v>2</v>
      </c>
      <c r="F2675" s="3">
        <v>45967</v>
      </c>
      <c r="G2675" s="32">
        <v>8145</v>
      </c>
      <c r="H2675" s="32">
        <v>7600.07</v>
      </c>
      <c r="I2675" s="1">
        <f t="shared" ref="I2675:I2738" si="369">G2675-H2675</f>
        <v>544.93000000000029</v>
      </c>
      <c r="J2675" s="1">
        <f>J2674+I2675</f>
        <v>1089.8600000000006</v>
      </c>
      <c r="K2675" s="9">
        <f t="shared" ref="K2675:K2738" si="370">I2675/H2675</f>
        <v>7.1700655388700407E-2</v>
      </c>
    </row>
    <row r="2676" spans="1:12" x14ac:dyDescent="0.35">
      <c r="A2676" s="2" t="s">
        <v>326</v>
      </c>
      <c r="B2676" s="2" t="s">
        <v>335</v>
      </c>
      <c r="C2676" s="21" t="s">
        <v>275</v>
      </c>
      <c r="D2676" s="4">
        <v>3</v>
      </c>
      <c r="I2676" s="1">
        <f t="shared" si="369"/>
        <v>0</v>
      </c>
      <c r="J2676" s="1">
        <f t="shared" ref="J2676:J2689" si="371">J2675+I2676</f>
        <v>1089.8600000000006</v>
      </c>
      <c r="K2676" s="9" t="e">
        <f t="shared" si="370"/>
        <v>#DIV/0!</v>
      </c>
    </row>
    <row r="2677" spans="1:12" x14ac:dyDescent="0.35">
      <c r="A2677" s="2" t="s">
        <v>326</v>
      </c>
      <c r="B2677" s="2" t="s">
        <v>335</v>
      </c>
      <c r="C2677" s="21" t="s">
        <v>275</v>
      </c>
      <c r="D2677" s="4">
        <v>4</v>
      </c>
      <c r="I2677" s="1">
        <f t="shared" si="369"/>
        <v>0</v>
      </c>
      <c r="J2677" s="1">
        <f t="shared" si="371"/>
        <v>1089.8600000000006</v>
      </c>
      <c r="K2677" s="9" t="e">
        <f t="shared" si="370"/>
        <v>#DIV/0!</v>
      </c>
    </row>
    <row r="2678" spans="1:12" x14ac:dyDescent="0.35">
      <c r="A2678" s="2" t="s">
        <v>326</v>
      </c>
      <c r="B2678" s="2" t="s">
        <v>335</v>
      </c>
      <c r="C2678" s="21" t="s">
        <v>275</v>
      </c>
      <c r="D2678" s="4">
        <v>5</v>
      </c>
      <c r="I2678" s="1">
        <f t="shared" si="369"/>
        <v>0</v>
      </c>
      <c r="J2678" s="1">
        <f t="shared" si="371"/>
        <v>1089.8600000000006</v>
      </c>
      <c r="K2678" s="9" t="e">
        <f t="shared" si="370"/>
        <v>#DIV/0!</v>
      </c>
    </row>
    <row r="2679" spans="1:12" x14ac:dyDescent="0.35">
      <c r="A2679" s="2" t="s">
        <v>326</v>
      </c>
      <c r="B2679" s="2" t="s">
        <v>335</v>
      </c>
      <c r="C2679" s="21" t="s">
        <v>275</v>
      </c>
      <c r="D2679" s="4">
        <v>6</v>
      </c>
      <c r="I2679" s="1">
        <f t="shared" si="369"/>
        <v>0</v>
      </c>
      <c r="J2679" s="1">
        <f t="shared" si="371"/>
        <v>1089.8600000000006</v>
      </c>
      <c r="K2679" s="9" t="e">
        <f t="shared" si="370"/>
        <v>#DIV/0!</v>
      </c>
    </row>
    <row r="2680" spans="1:12" x14ac:dyDescent="0.35">
      <c r="A2680" s="2" t="s">
        <v>326</v>
      </c>
      <c r="B2680" s="2" t="s">
        <v>335</v>
      </c>
      <c r="C2680" s="21" t="s">
        <v>275</v>
      </c>
      <c r="D2680" s="4">
        <v>7</v>
      </c>
      <c r="I2680" s="1">
        <f t="shared" si="369"/>
        <v>0</v>
      </c>
      <c r="J2680" s="1">
        <f t="shared" si="371"/>
        <v>1089.8600000000006</v>
      </c>
      <c r="K2680" s="9" t="e">
        <f t="shared" si="370"/>
        <v>#DIV/0!</v>
      </c>
    </row>
    <row r="2681" spans="1:12" x14ac:dyDescent="0.35">
      <c r="A2681" s="2" t="s">
        <v>326</v>
      </c>
      <c r="B2681" s="2" t="s">
        <v>335</v>
      </c>
      <c r="C2681" s="21" t="s">
        <v>275</v>
      </c>
      <c r="D2681" s="4">
        <v>8</v>
      </c>
      <c r="I2681" s="1">
        <f t="shared" si="369"/>
        <v>0</v>
      </c>
      <c r="J2681" s="1">
        <f t="shared" si="371"/>
        <v>1089.8600000000006</v>
      </c>
      <c r="K2681" s="9" t="e">
        <f t="shared" si="370"/>
        <v>#DIV/0!</v>
      </c>
    </row>
    <row r="2682" spans="1:12" x14ac:dyDescent="0.35">
      <c r="A2682" s="2" t="s">
        <v>326</v>
      </c>
      <c r="B2682" s="2" t="s">
        <v>335</v>
      </c>
      <c r="C2682" s="21" t="s">
        <v>275</v>
      </c>
      <c r="D2682" s="4">
        <v>9</v>
      </c>
      <c r="I2682" s="1">
        <f t="shared" si="369"/>
        <v>0</v>
      </c>
      <c r="J2682" s="1">
        <f t="shared" si="371"/>
        <v>1089.8600000000006</v>
      </c>
      <c r="K2682" s="9" t="e">
        <f t="shared" si="370"/>
        <v>#DIV/0!</v>
      </c>
    </row>
    <row r="2683" spans="1:12" x14ac:dyDescent="0.35">
      <c r="A2683" s="2" t="s">
        <v>326</v>
      </c>
      <c r="B2683" s="2" t="s">
        <v>335</v>
      </c>
      <c r="C2683" s="21" t="s">
        <v>275</v>
      </c>
      <c r="D2683" s="4">
        <v>10</v>
      </c>
      <c r="I2683" s="1">
        <f t="shared" si="369"/>
        <v>0</v>
      </c>
      <c r="J2683" s="1">
        <f t="shared" si="371"/>
        <v>1089.8600000000006</v>
      </c>
      <c r="K2683" s="9" t="e">
        <f t="shared" si="370"/>
        <v>#DIV/0!</v>
      </c>
    </row>
    <row r="2684" spans="1:12" x14ac:dyDescent="0.35">
      <c r="A2684" s="2" t="s">
        <v>326</v>
      </c>
      <c r="B2684" s="2" t="s">
        <v>335</v>
      </c>
      <c r="C2684" s="21" t="s">
        <v>275</v>
      </c>
      <c r="D2684" s="4">
        <v>11</v>
      </c>
      <c r="I2684" s="1">
        <f t="shared" si="369"/>
        <v>0</v>
      </c>
      <c r="J2684" s="1">
        <f t="shared" si="371"/>
        <v>1089.8600000000006</v>
      </c>
      <c r="K2684" s="9" t="e">
        <f t="shared" si="370"/>
        <v>#DIV/0!</v>
      </c>
    </row>
    <row r="2685" spans="1:12" x14ac:dyDescent="0.35">
      <c r="A2685" s="2" t="s">
        <v>326</v>
      </c>
      <c r="B2685" s="2" t="s">
        <v>335</v>
      </c>
      <c r="C2685" s="21" t="s">
        <v>275</v>
      </c>
      <c r="D2685" s="4">
        <v>12</v>
      </c>
      <c r="I2685" s="1">
        <f t="shared" si="369"/>
        <v>0</v>
      </c>
      <c r="J2685" s="1">
        <f t="shared" si="371"/>
        <v>1089.8600000000006</v>
      </c>
      <c r="K2685" s="9" t="e">
        <f t="shared" si="370"/>
        <v>#DIV/0!</v>
      </c>
    </row>
    <row r="2686" spans="1:12" x14ac:dyDescent="0.35">
      <c r="A2686" s="2" t="s">
        <v>326</v>
      </c>
      <c r="B2686" s="2" t="s">
        <v>335</v>
      </c>
      <c r="C2686" s="21" t="s">
        <v>275</v>
      </c>
      <c r="D2686" s="4">
        <v>13</v>
      </c>
      <c r="I2686" s="1">
        <f t="shared" si="369"/>
        <v>0</v>
      </c>
      <c r="J2686" s="1">
        <f t="shared" si="371"/>
        <v>1089.8600000000006</v>
      </c>
      <c r="K2686" s="9" t="e">
        <f t="shared" si="370"/>
        <v>#DIV/0!</v>
      </c>
    </row>
    <row r="2687" spans="1:12" x14ac:dyDescent="0.35">
      <c r="A2687" s="2" t="s">
        <v>326</v>
      </c>
      <c r="B2687" s="2" t="s">
        <v>335</v>
      </c>
      <c r="C2687" s="21" t="s">
        <v>275</v>
      </c>
      <c r="D2687" s="4">
        <v>14</v>
      </c>
      <c r="I2687" s="1">
        <f t="shared" si="369"/>
        <v>0</v>
      </c>
      <c r="J2687" s="1">
        <f t="shared" si="371"/>
        <v>1089.8600000000006</v>
      </c>
      <c r="K2687" s="9" t="e">
        <f t="shared" si="370"/>
        <v>#DIV/0!</v>
      </c>
    </row>
    <row r="2688" spans="1:12" x14ac:dyDescent="0.35">
      <c r="A2688" s="2" t="s">
        <v>326</v>
      </c>
      <c r="B2688" s="2" t="s">
        <v>335</v>
      </c>
      <c r="C2688" s="21" t="s">
        <v>275</v>
      </c>
      <c r="D2688" s="4">
        <v>15</v>
      </c>
      <c r="I2688" s="1">
        <f t="shared" si="369"/>
        <v>0</v>
      </c>
      <c r="J2688" s="1">
        <f t="shared" si="371"/>
        <v>1089.8600000000006</v>
      </c>
      <c r="K2688" s="9" t="e">
        <f t="shared" si="370"/>
        <v>#DIV/0!</v>
      </c>
    </row>
    <row r="2689" spans="1:12" ht="15" thickBot="1" x14ac:dyDescent="0.4">
      <c r="A2689" s="12" t="s">
        <v>326</v>
      </c>
      <c r="B2689" s="12" t="s">
        <v>335</v>
      </c>
      <c r="C2689" s="22" t="s">
        <v>275</v>
      </c>
      <c r="D2689" s="14">
        <v>16</v>
      </c>
      <c r="E2689" s="13"/>
      <c r="F2689" s="13"/>
      <c r="G2689" s="13"/>
      <c r="H2689" s="13"/>
      <c r="I2689" s="15">
        <f t="shared" si="369"/>
        <v>0</v>
      </c>
      <c r="J2689" s="15">
        <f t="shared" si="371"/>
        <v>1089.8600000000006</v>
      </c>
      <c r="K2689" s="16" t="e">
        <f t="shared" si="370"/>
        <v>#DIV/0!</v>
      </c>
      <c r="L2689" s="13"/>
    </row>
    <row r="2690" spans="1:12" x14ac:dyDescent="0.35">
      <c r="A2690" s="2" t="s">
        <v>327</v>
      </c>
      <c r="B2690" s="2" t="s">
        <v>336</v>
      </c>
      <c r="C2690" s="21" t="s">
        <v>275</v>
      </c>
      <c r="D2690" s="4">
        <v>1</v>
      </c>
      <c r="F2690" s="3">
        <v>45960</v>
      </c>
      <c r="G2690">
        <v>13677</v>
      </c>
      <c r="H2690">
        <v>13150</v>
      </c>
      <c r="I2690" s="1">
        <f t="shared" si="369"/>
        <v>527</v>
      </c>
      <c r="J2690" s="1">
        <f>I2690</f>
        <v>527</v>
      </c>
      <c r="K2690" s="9">
        <f t="shared" si="370"/>
        <v>4.0076045627376426E-2</v>
      </c>
    </row>
    <row r="2691" spans="1:12" x14ac:dyDescent="0.35">
      <c r="A2691" s="2" t="s">
        <v>327</v>
      </c>
      <c r="B2691" s="2" t="s">
        <v>336</v>
      </c>
      <c r="C2691" s="21" t="s">
        <v>275</v>
      </c>
      <c r="D2691" s="4">
        <v>2</v>
      </c>
      <c r="F2691" s="3">
        <v>45967</v>
      </c>
      <c r="G2691">
        <v>13677</v>
      </c>
      <c r="H2691">
        <v>13155</v>
      </c>
      <c r="I2691" s="1">
        <f t="shared" si="369"/>
        <v>522</v>
      </c>
      <c r="J2691" s="1">
        <f>J2690+I2691</f>
        <v>1049</v>
      </c>
      <c r="K2691" s="9">
        <f t="shared" si="370"/>
        <v>3.9680729760547317E-2</v>
      </c>
    </row>
    <row r="2692" spans="1:12" x14ac:dyDescent="0.35">
      <c r="A2692" s="2" t="s">
        <v>327</v>
      </c>
      <c r="B2692" s="2" t="s">
        <v>336</v>
      </c>
      <c r="C2692" s="21" t="s">
        <v>275</v>
      </c>
      <c r="D2692" s="4">
        <v>3</v>
      </c>
      <c r="I2692" s="1">
        <f t="shared" si="369"/>
        <v>0</v>
      </c>
      <c r="J2692" s="1">
        <f t="shared" ref="J2692:J2705" si="372">J2691+I2692</f>
        <v>1049</v>
      </c>
      <c r="K2692" s="9" t="e">
        <f t="shared" si="370"/>
        <v>#DIV/0!</v>
      </c>
    </row>
    <row r="2693" spans="1:12" x14ac:dyDescent="0.35">
      <c r="A2693" s="2" t="s">
        <v>327</v>
      </c>
      <c r="B2693" s="2" t="s">
        <v>336</v>
      </c>
      <c r="C2693" s="21" t="s">
        <v>275</v>
      </c>
      <c r="D2693" s="4">
        <v>4</v>
      </c>
      <c r="I2693" s="1">
        <f t="shared" si="369"/>
        <v>0</v>
      </c>
      <c r="J2693" s="1">
        <f t="shared" si="372"/>
        <v>1049</v>
      </c>
      <c r="K2693" s="9" t="e">
        <f t="shared" si="370"/>
        <v>#DIV/0!</v>
      </c>
    </row>
    <row r="2694" spans="1:12" x14ac:dyDescent="0.35">
      <c r="A2694" s="2" t="s">
        <v>327</v>
      </c>
      <c r="B2694" s="2" t="s">
        <v>336</v>
      </c>
      <c r="C2694" s="21" t="s">
        <v>275</v>
      </c>
      <c r="D2694" s="4">
        <v>5</v>
      </c>
      <c r="I2694" s="1">
        <f t="shared" si="369"/>
        <v>0</v>
      </c>
      <c r="J2694" s="1">
        <f t="shared" si="372"/>
        <v>1049</v>
      </c>
      <c r="K2694" s="9" t="e">
        <f t="shared" si="370"/>
        <v>#DIV/0!</v>
      </c>
    </row>
    <row r="2695" spans="1:12" x14ac:dyDescent="0.35">
      <c r="A2695" s="2" t="s">
        <v>327</v>
      </c>
      <c r="B2695" s="2" t="s">
        <v>336</v>
      </c>
      <c r="C2695" s="21" t="s">
        <v>275</v>
      </c>
      <c r="D2695" s="4">
        <v>6</v>
      </c>
      <c r="I2695" s="1">
        <f t="shared" si="369"/>
        <v>0</v>
      </c>
      <c r="J2695" s="1">
        <f t="shared" si="372"/>
        <v>1049</v>
      </c>
      <c r="K2695" s="9" t="e">
        <f t="shared" si="370"/>
        <v>#DIV/0!</v>
      </c>
    </row>
    <row r="2696" spans="1:12" x14ac:dyDescent="0.35">
      <c r="A2696" s="2" t="s">
        <v>327</v>
      </c>
      <c r="B2696" s="2" t="s">
        <v>336</v>
      </c>
      <c r="C2696" s="21" t="s">
        <v>275</v>
      </c>
      <c r="D2696" s="4">
        <v>7</v>
      </c>
      <c r="I2696" s="1">
        <f t="shared" si="369"/>
        <v>0</v>
      </c>
      <c r="J2696" s="1">
        <f t="shared" si="372"/>
        <v>1049</v>
      </c>
      <c r="K2696" s="9" t="e">
        <f t="shared" si="370"/>
        <v>#DIV/0!</v>
      </c>
    </row>
    <row r="2697" spans="1:12" x14ac:dyDescent="0.35">
      <c r="A2697" s="2" t="s">
        <v>327</v>
      </c>
      <c r="B2697" s="2" t="s">
        <v>336</v>
      </c>
      <c r="C2697" s="21" t="s">
        <v>275</v>
      </c>
      <c r="D2697" s="4">
        <v>8</v>
      </c>
      <c r="I2697" s="1">
        <f t="shared" si="369"/>
        <v>0</v>
      </c>
      <c r="J2697" s="1">
        <f t="shared" si="372"/>
        <v>1049</v>
      </c>
      <c r="K2697" s="9" t="e">
        <f t="shared" si="370"/>
        <v>#DIV/0!</v>
      </c>
    </row>
    <row r="2698" spans="1:12" x14ac:dyDescent="0.35">
      <c r="A2698" s="2" t="s">
        <v>327</v>
      </c>
      <c r="B2698" s="2" t="s">
        <v>336</v>
      </c>
      <c r="C2698" s="21" t="s">
        <v>275</v>
      </c>
      <c r="D2698" s="4">
        <v>9</v>
      </c>
      <c r="I2698" s="1">
        <f t="shared" si="369"/>
        <v>0</v>
      </c>
      <c r="J2698" s="1">
        <f t="shared" si="372"/>
        <v>1049</v>
      </c>
      <c r="K2698" s="9" t="e">
        <f t="shared" si="370"/>
        <v>#DIV/0!</v>
      </c>
    </row>
    <row r="2699" spans="1:12" x14ac:dyDescent="0.35">
      <c r="A2699" s="2" t="s">
        <v>327</v>
      </c>
      <c r="B2699" s="2" t="s">
        <v>336</v>
      </c>
      <c r="C2699" s="21" t="s">
        <v>275</v>
      </c>
      <c r="D2699" s="4">
        <v>10</v>
      </c>
      <c r="I2699" s="1">
        <f t="shared" si="369"/>
        <v>0</v>
      </c>
      <c r="J2699" s="1">
        <f t="shared" si="372"/>
        <v>1049</v>
      </c>
      <c r="K2699" s="9" t="e">
        <f t="shared" si="370"/>
        <v>#DIV/0!</v>
      </c>
    </row>
    <row r="2700" spans="1:12" x14ac:dyDescent="0.35">
      <c r="A2700" s="2" t="s">
        <v>327</v>
      </c>
      <c r="B2700" s="2" t="s">
        <v>336</v>
      </c>
      <c r="C2700" s="21" t="s">
        <v>275</v>
      </c>
      <c r="D2700" s="4">
        <v>11</v>
      </c>
      <c r="I2700" s="1">
        <f t="shared" si="369"/>
        <v>0</v>
      </c>
      <c r="J2700" s="1">
        <f t="shared" si="372"/>
        <v>1049</v>
      </c>
      <c r="K2700" s="9" t="e">
        <f t="shared" si="370"/>
        <v>#DIV/0!</v>
      </c>
    </row>
    <row r="2701" spans="1:12" x14ac:dyDescent="0.35">
      <c r="A2701" s="2" t="s">
        <v>327</v>
      </c>
      <c r="B2701" s="2" t="s">
        <v>336</v>
      </c>
      <c r="C2701" s="21" t="s">
        <v>275</v>
      </c>
      <c r="D2701" s="4">
        <v>12</v>
      </c>
      <c r="I2701" s="1">
        <f t="shared" si="369"/>
        <v>0</v>
      </c>
      <c r="J2701" s="1">
        <f t="shared" si="372"/>
        <v>1049</v>
      </c>
      <c r="K2701" s="9" t="e">
        <f t="shared" si="370"/>
        <v>#DIV/0!</v>
      </c>
    </row>
    <row r="2702" spans="1:12" x14ac:dyDescent="0.35">
      <c r="A2702" s="2" t="s">
        <v>327</v>
      </c>
      <c r="B2702" s="2" t="s">
        <v>336</v>
      </c>
      <c r="C2702" s="21" t="s">
        <v>275</v>
      </c>
      <c r="D2702" s="4">
        <v>13</v>
      </c>
      <c r="I2702" s="1">
        <f t="shared" si="369"/>
        <v>0</v>
      </c>
      <c r="J2702" s="1">
        <f t="shared" si="372"/>
        <v>1049</v>
      </c>
      <c r="K2702" s="9" t="e">
        <f t="shared" si="370"/>
        <v>#DIV/0!</v>
      </c>
    </row>
    <row r="2703" spans="1:12" x14ac:dyDescent="0.35">
      <c r="A2703" s="2" t="s">
        <v>327</v>
      </c>
      <c r="B2703" s="2" t="s">
        <v>336</v>
      </c>
      <c r="C2703" s="21" t="s">
        <v>275</v>
      </c>
      <c r="D2703" s="4">
        <v>14</v>
      </c>
      <c r="I2703" s="1">
        <f t="shared" si="369"/>
        <v>0</v>
      </c>
      <c r="J2703" s="1">
        <f t="shared" si="372"/>
        <v>1049</v>
      </c>
      <c r="K2703" s="9" t="e">
        <f t="shared" si="370"/>
        <v>#DIV/0!</v>
      </c>
    </row>
    <row r="2704" spans="1:12" x14ac:dyDescent="0.35">
      <c r="A2704" s="2" t="s">
        <v>327</v>
      </c>
      <c r="B2704" s="2" t="s">
        <v>336</v>
      </c>
      <c r="C2704" s="21" t="s">
        <v>275</v>
      </c>
      <c r="D2704" s="4">
        <v>15</v>
      </c>
      <c r="I2704" s="1">
        <f t="shared" si="369"/>
        <v>0</v>
      </c>
      <c r="J2704" s="1">
        <f t="shared" si="372"/>
        <v>1049</v>
      </c>
      <c r="K2704" s="9" t="e">
        <f t="shared" si="370"/>
        <v>#DIV/0!</v>
      </c>
    </row>
    <row r="2705" spans="1:12" ht="15" thickBot="1" x14ac:dyDescent="0.4">
      <c r="A2705" s="12" t="s">
        <v>327</v>
      </c>
      <c r="B2705" s="12" t="s">
        <v>336</v>
      </c>
      <c r="C2705" s="22" t="s">
        <v>275</v>
      </c>
      <c r="D2705" s="14">
        <v>16</v>
      </c>
      <c r="E2705" s="13"/>
      <c r="F2705" s="13"/>
      <c r="G2705" s="13"/>
      <c r="H2705" s="13"/>
      <c r="I2705" s="15">
        <f t="shared" si="369"/>
        <v>0</v>
      </c>
      <c r="J2705" s="15">
        <f t="shared" si="372"/>
        <v>1049</v>
      </c>
      <c r="K2705" s="16" t="e">
        <f t="shared" si="370"/>
        <v>#DIV/0!</v>
      </c>
      <c r="L2705" s="13"/>
    </row>
    <row r="2706" spans="1:12" x14ac:dyDescent="0.35">
      <c r="A2706" s="2" t="s">
        <v>328</v>
      </c>
      <c r="B2706" s="2" t="s">
        <v>337</v>
      </c>
      <c r="C2706" s="21" t="s">
        <v>275</v>
      </c>
      <c r="D2706" s="4">
        <v>1</v>
      </c>
      <c r="F2706" s="3">
        <v>45960</v>
      </c>
      <c r="G2706">
        <v>20115</v>
      </c>
      <c r="H2706">
        <v>19153</v>
      </c>
      <c r="I2706" s="1">
        <f t="shared" si="369"/>
        <v>962</v>
      </c>
      <c r="J2706" s="1">
        <f>I2706</f>
        <v>962</v>
      </c>
      <c r="K2706" s="9">
        <f t="shared" si="370"/>
        <v>5.0227118467080875E-2</v>
      </c>
    </row>
    <row r="2707" spans="1:12" x14ac:dyDescent="0.35">
      <c r="A2707" s="2" t="s">
        <v>328</v>
      </c>
      <c r="B2707" s="2" t="s">
        <v>337</v>
      </c>
      <c r="C2707" s="21" t="s">
        <v>275</v>
      </c>
      <c r="D2707" s="4">
        <v>2</v>
      </c>
      <c r="F2707" s="3">
        <v>45967</v>
      </c>
      <c r="G2707">
        <v>20159</v>
      </c>
      <c r="H2707">
        <v>19153</v>
      </c>
      <c r="I2707" s="1">
        <f t="shared" si="369"/>
        <v>1006</v>
      </c>
      <c r="J2707" s="1">
        <f>J2706+I2707</f>
        <v>1968</v>
      </c>
      <c r="K2707" s="9">
        <f t="shared" si="370"/>
        <v>5.2524408708818464E-2</v>
      </c>
    </row>
    <row r="2708" spans="1:12" x14ac:dyDescent="0.35">
      <c r="A2708" s="2" t="s">
        <v>328</v>
      </c>
      <c r="B2708" s="2" t="s">
        <v>337</v>
      </c>
      <c r="C2708" s="21" t="s">
        <v>275</v>
      </c>
      <c r="D2708" s="4">
        <v>3</v>
      </c>
      <c r="I2708" s="1">
        <f t="shared" si="369"/>
        <v>0</v>
      </c>
      <c r="J2708" s="1">
        <f t="shared" ref="J2708:J2721" si="373">J2707+I2708</f>
        <v>1968</v>
      </c>
      <c r="K2708" s="9" t="e">
        <f t="shared" si="370"/>
        <v>#DIV/0!</v>
      </c>
    </row>
    <row r="2709" spans="1:12" x14ac:dyDescent="0.35">
      <c r="A2709" s="2" t="s">
        <v>328</v>
      </c>
      <c r="B2709" s="2" t="s">
        <v>337</v>
      </c>
      <c r="C2709" s="21" t="s">
        <v>275</v>
      </c>
      <c r="D2709" s="4">
        <v>4</v>
      </c>
      <c r="I2709" s="1">
        <f t="shared" si="369"/>
        <v>0</v>
      </c>
      <c r="J2709" s="1">
        <f t="shared" si="373"/>
        <v>1968</v>
      </c>
      <c r="K2709" s="9" t="e">
        <f t="shared" si="370"/>
        <v>#DIV/0!</v>
      </c>
    </row>
    <row r="2710" spans="1:12" x14ac:dyDescent="0.35">
      <c r="A2710" s="2" t="s">
        <v>328</v>
      </c>
      <c r="B2710" s="2" t="s">
        <v>337</v>
      </c>
      <c r="C2710" s="21" t="s">
        <v>275</v>
      </c>
      <c r="D2710" s="4">
        <v>5</v>
      </c>
      <c r="I2710" s="1">
        <f t="shared" si="369"/>
        <v>0</v>
      </c>
      <c r="J2710" s="1">
        <f t="shared" si="373"/>
        <v>1968</v>
      </c>
      <c r="K2710" s="9" t="e">
        <f t="shared" si="370"/>
        <v>#DIV/0!</v>
      </c>
    </row>
    <row r="2711" spans="1:12" x14ac:dyDescent="0.35">
      <c r="A2711" s="2" t="s">
        <v>328</v>
      </c>
      <c r="B2711" s="2" t="s">
        <v>337</v>
      </c>
      <c r="C2711" s="21" t="s">
        <v>275</v>
      </c>
      <c r="D2711" s="4">
        <v>6</v>
      </c>
      <c r="I2711" s="1">
        <f t="shared" si="369"/>
        <v>0</v>
      </c>
      <c r="J2711" s="1">
        <f t="shared" si="373"/>
        <v>1968</v>
      </c>
      <c r="K2711" s="9" t="e">
        <f t="shared" si="370"/>
        <v>#DIV/0!</v>
      </c>
    </row>
    <row r="2712" spans="1:12" x14ac:dyDescent="0.35">
      <c r="A2712" s="2" t="s">
        <v>328</v>
      </c>
      <c r="B2712" s="2" t="s">
        <v>337</v>
      </c>
      <c r="C2712" s="21" t="s">
        <v>275</v>
      </c>
      <c r="D2712" s="4">
        <v>7</v>
      </c>
      <c r="I2712" s="1">
        <f t="shared" si="369"/>
        <v>0</v>
      </c>
      <c r="J2712" s="1">
        <f t="shared" si="373"/>
        <v>1968</v>
      </c>
      <c r="K2712" s="9" t="e">
        <f t="shared" si="370"/>
        <v>#DIV/0!</v>
      </c>
    </row>
    <row r="2713" spans="1:12" x14ac:dyDescent="0.35">
      <c r="A2713" s="2" t="s">
        <v>328</v>
      </c>
      <c r="B2713" s="2" t="s">
        <v>337</v>
      </c>
      <c r="C2713" s="21" t="s">
        <v>275</v>
      </c>
      <c r="D2713" s="4">
        <v>8</v>
      </c>
      <c r="I2713" s="1">
        <f t="shared" si="369"/>
        <v>0</v>
      </c>
      <c r="J2713" s="1">
        <f t="shared" si="373"/>
        <v>1968</v>
      </c>
      <c r="K2713" s="9" t="e">
        <f t="shared" si="370"/>
        <v>#DIV/0!</v>
      </c>
    </row>
    <row r="2714" spans="1:12" x14ac:dyDescent="0.35">
      <c r="A2714" s="2" t="s">
        <v>328</v>
      </c>
      <c r="B2714" s="2" t="s">
        <v>337</v>
      </c>
      <c r="C2714" s="21" t="s">
        <v>275</v>
      </c>
      <c r="D2714" s="4">
        <v>9</v>
      </c>
      <c r="I2714" s="1">
        <f t="shared" si="369"/>
        <v>0</v>
      </c>
      <c r="J2714" s="1">
        <f t="shared" si="373"/>
        <v>1968</v>
      </c>
      <c r="K2714" s="9" t="e">
        <f t="shared" si="370"/>
        <v>#DIV/0!</v>
      </c>
    </row>
    <row r="2715" spans="1:12" x14ac:dyDescent="0.35">
      <c r="A2715" s="2" t="s">
        <v>328</v>
      </c>
      <c r="B2715" s="2" t="s">
        <v>337</v>
      </c>
      <c r="C2715" s="21" t="s">
        <v>275</v>
      </c>
      <c r="D2715" s="4">
        <v>10</v>
      </c>
      <c r="I2715" s="1">
        <f t="shared" si="369"/>
        <v>0</v>
      </c>
      <c r="J2715" s="1">
        <f t="shared" si="373"/>
        <v>1968</v>
      </c>
      <c r="K2715" s="9" t="e">
        <f t="shared" si="370"/>
        <v>#DIV/0!</v>
      </c>
    </row>
    <row r="2716" spans="1:12" x14ac:dyDescent="0.35">
      <c r="A2716" s="2" t="s">
        <v>328</v>
      </c>
      <c r="B2716" s="2" t="s">
        <v>337</v>
      </c>
      <c r="C2716" s="21" t="s">
        <v>275</v>
      </c>
      <c r="D2716" s="4">
        <v>11</v>
      </c>
      <c r="I2716" s="1">
        <f t="shared" si="369"/>
        <v>0</v>
      </c>
      <c r="J2716" s="1">
        <f t="shared" si="373"/>
        <v>1968</v>
      </c>
      <c r="K2716" s="9" t="e">
        <f t="shared" si="370"/>
        <v>#DIV/0!</v>
      </c>
    </row>
    <row r="2717" spans="1:12" x14ac:dyDescent="0.35">
      <c r="A2717" s="2" t="s">
        <v>328</v>
      </c>
      <c r="B2717" s="2" t="s">
        <v>337</v>
      </c>
      <c r="C2717" s="21" t="s">
        <v>275</v>
      </c>
      <c r="D2717" s="4">
        <v>12</v>
      </c>
      <c r="I2717" s="1">
        <f t="shared" si="369"/>
        <v>0</v>
      </c>
      <c r="J2717" s="1">
        <f t="shared" si="373"/>
        <v>1968</v>
      </c>
      <c r="K2717" s="9" t="e">
        <f t="shared" si="370"/>
        <v>#DIV/0!</v>
      </c>
    </row>
    <row r="2718" spans="1:12" x14ac:dyDescent="0.35">
      <c r="A2718" s="2" t="s">
        <v>328</v>
      </c>
      <c r="B2718" s="2" t="s">
        <v>337</v>
      </c>
      <c r="C2718" s="21" t="s">
        <v>275</v>
      </c>
      <c r="D2718" s="4">
        <v>13</v>
      </c>
      <c r="I2718" s="1">
        <f t="shared" si="369"/>
        <v>0</v>
      </c>
      <c r="J2718" s="1">
        <f t="shared" si="373"/>
        <v>1968</v>
      </c>
      <c r="K2718" s="9" t="e">
        <f t="shared" si="370"/>
        <v>#DIV/0!</v>
      </c>
    </row>
    <row r="2719" spans="1:12" x14ac:dyDescent="0.35">
      <c r="A2719" s="2" t="s">
        <v>328</v>
      </c>
      <c r="B2719" s="2" t="s">
        <v>337</v>
      </c>
      <c r="C2719" s="21" t="s">
        <v>275</v>
      </c>
      <c r="D2719" s="4">
        <v>14</v>
      </c>
      <c r="I2719" s="1">
        <f t="shared" si="369"/>
        <v>0</v>
      </c>
      <c r="J2719" s="1">
        <f t="shared" si="373"/>
        <v>1968</v>
      </c>
      <c r="K2719" s="9" t="e">
        <f t="shared" si="370"/>
        <v>#DIV/0!</v>
      </c>
    </row>
    <row r="2720" spans="1:12" x14ac:dyDescent="0.35">
      <c r="A2720" s="2" t="s">
        <v>328</v>
      </c>
      <c r="B2720" s="2" t="s">
        <v>337</v>
      </c>
      <c r="C2720" s="21" t="s">
        <v>275</v>
      </c>
      <c r="D2720" s="4">
        <v>15</v>
      </c>
      <c r="I2720" s="1">
        <f t="shared" si="369"/>
        <v>0</v>
      </c>
      <c r="J2720" s="1">
        <f t="shared" si="373"/>
        <v>1968</v>
      </c>
      <c r="K2720" s="9" t="e">
        <f t="shared" si="370"/>
        <v>#DIV/0!</v>
      </c>
    </row>
    <row r="2721" spans="1:12" ht="15" thickBot="1" x14ac:dyDescent="0.4">
      <c r="A2721" s="12" t="s">
        <v>328</v>
      </c>
      <c r="B2721" s="12" t="s">
        <v>337</v>
      </c>
      <c r="C2721" s="22" t="s">
        <v>275</v>
      </c>
      <c r="D2721" s="14">
        <v>16</v>
      </c>
      <c r="E2721" s="13"/>
      <c r="F2721" s="13"/>
      <c r="G2721" s="13"/>
      <c r="H2721" s="13"/>
      <c r="I2721" s="15">
        <f t="shared" si="369"/>
        <v>0</v>
      </c>
      <c r="J2721" s="15">
        <f t="shared" si="373"/>
        <v>1968</v>
      </c>
      <c r="K2721" s="16" t="e">
        <f t="shared" si="370"/>
        <v>#DIV/0!</v>
      </c>
      <c r="L2721" s="13"/>
    </row>
    <row r="2722" spans="1:12" x14ac:dyDescent="0.35">
      <c r="A2722" s="2" t="s">
        <v>338</v>
      </c>
      <c r="B2722" s="2" t="s">
        <v>339</v>
      </c>
      <c r="C2722" s="21" t="s">
        <v>275</v>
      </c>
      <c r="D2722" s="4">
        <v>1</v>
      </c>
      <c r="F2722" s="3">
        <v>45961</v>
      </c>
      <c r="G2722">
        <v>9457</v>
      </c>
      <c r="H2722">
        <v>9007</v>
      </c>
      <c r="I2722" s="1">
        <f t="shared" si="369"/>
        <v>450</v>
      </c>
      <c r="J2722" s="1">
        <f>I2722</f>
        <v>450</v>
      </c>
      <c r="K2722" s="9">
        <f t="shared" si="370"/>
        <v>4.9961141334517595E-2</v>
      </c>
    </row>
    <row r="2723" spans="1:12" x14ac:dyDescent="0.35">
      <c r="A2723" s="2" t="s">
        <v>338</v>
      </c>
      <c r="B2723" s="2" t="s">
        <v>339</v>
      </c>
      <c r="C2723" s="21" t="s">
        <v>275</v>
      </c>
      <c r="D2723" s="4">
        <v>2</v>
      </c>
      <c r="F2723" s="3">
        <v>45968</v>
      </c>
      <c r="G2723" s="32">
        <v>9457</v>
      </c>
      <c r="H2723" s="32">
        <v>9007</v>
      </c>
      <c r="I2723" s="1">
        <f t="shared" si="369"/>
        <v>450</v>
      </c>
      <c r="J2723" s="1">
        <f>J2722+I2723</f>
        <v>900</v>
      </c>
      <c r="K2723" s="9">
        <f t="shared" si="370"/>
        <v>4.9961141334517595E-2</v>
      </c>
    </row>
    <row r="2724" spans="1:12" x14ac:dyDescent="0.35">
      <c r="A2724" s="2" t="s">
        <v>338</v>
      </c>
      <c r="B2724" s="2" t="s">
        <v>339</v>
      </c>
      <c r="C2724" s="21" t="s">
        <v>275</v>
      </c>
      <c r="D2724" s="4">
        <v>3</v>
      </c>
      <c r="I2724" s="1">
        <f t="shared" si="369"/>
        <v>0</v>
      </c>
      <c r="J2724" s="1">
        <f t="shared" ref="J2724:J2737" si="374">J2723+I2724</f>
        <v>900</v>
      </c>
      <c r="K2724" s="9" t="e">
        <f t="shared" si="370"/>
        <v>#DIV/0!</v>
      </c>
    </row>
    <row r="2725" spans="1:12" x14ac:dyDescent="0.35">
      <c r="A2725" s="2" t="s">
        <v>338</v>
      </c>
      <c r="B2725" s="2" t="s">
        <v>339</v>
      </c>
      <c r="C2725" s="21" t="s">
        <v>275</v>
      </c>
      <c r="D2725" s="4">
        <v>4</v>
      </c>
      <c r="I2725" s="1">
        <f t="shared" si="369"/>
        <v>0</v>
      </c>
      <c r="J2725" s="1">
        <f t="shared" si="374"/>
        <v>900</v>
      </c>
      <c r="K2725" s="9" t="e">
        <f t="shared" si="370"/>
        <v>#DIV/0!</v>
      </c>
    </row>
    <row r="2726" spans="1:12" x14ac:dyDescent="0.35">
      <c r="A2726" s="2" t="s">
        <v>338</v>
      </c>
      <c r="B2726" s="2" t="s">
        <v>339</v>
      </c>
      <c r="C2726" s="21" t="s">
        <v>275</v>
      </c>
      <c r="D2726" s="4">
        <v>5</v>
      </c>
      <c r="I2726" s="1">
        <f t="shared" si="369"/>
        <v>0</v>
      </c>
      <c r="J2726" s="1">
        <f t="shared" si="374"/>
        <v>900</v>
      </c>
      <c r="K2726" s="9" t="e">
        <f t="shared" si="370"/>
        <v>#DIV/0!</v>
      </c>
    </row>
    <row r="2727" spans="1:12" x14ac:dyDescent="0.35">
      <c r="A2727" s="2" t="s">
        <v>338</v>
      </c>
      <c r="B2727" s="2" t="s">
        <v>339</v>
      </c>
      <c r="C2727" s="21" t="s">
        <v>275</v>
      </c>
      <c r="D2727" s="4">
        <v>6</v>
      </c>
      <c r="I2727" s="1">
        <f t="shared" si="369"/>
        <v>0</v>
      </c>
      <c r="J2727" s="1">
        <f t="shared" si="374"/>
        <v>900</v>
      </c>
      <c r="K2727" s="9" t="e">
        <f t="shared" si="370"/>
        <v>#DIV/0!</v>
      </c>
    </row>
    <row r="2728" spans="1:12" x14ac:dyDescent="0.35">
      <c r="A2728" s="2" t="s">
        <v>338</v>
      </c>
      <c r="B2728" s="2" t="s">
        <v>339</v>
      </c>
      <c r="C2728" s="21" t="s">
        <v>275</v>
      </c>
      <c r="D2728" s="4">
        <v>7</v>
      </c>
      <c r="I2728" s="1">
        <f t="shared" si="369"/>
        <v>0</v>
      </c>
      <c r="J2728" s="1">
        <f t="shared" si="374"/>
        <v>900</v>
      </c>
      <c r="K2728" s="9" t="e">
        <f t="shared" si="370"/>
        <v>#DIV/0!</v>
      </c>
    </row>
    <row r="2729" spans="1:12" x14ac:dyDescent="0.35">
      <c r="A2729" s="2" t="s">
        <v>338</v>
      </c>
      <c r="B2729" s="2" t="s">
        <v>339</v>
      </c>
      <c r="C2729" s="21" t="s">
        <v>275</v>
      </c>
      <c r="D2729" s="4">
        <v>8</v>
      </c>
      <c r="I2729" s="1">
        <f t="shared" si="369"/>
        <v>0</v>
      </c>
      <c r="J2729" s="1">
        <f t="shared" si="374"/>
        <v>900</v>
      </c>
      <c r="K2729" s="9" t="e">
        <f t="shared" si="370"/>
        <v>#DIV/0!</v>
      </c>
    </row>
    <row r="2730" spans="1:12" x14ac:dyDescent="0.35">
      <c r="A2730" s="2" t="s">
        <v>338</v>
      </c>
      <c r="B2730" s="2" t="s">
        <v>339</v>
      </c>
      <c r="C2730" s="21" t="s">
        <v>275</v>
      </c>
      <c r="D2730" s="4">
        <v>9</v>
      </c>
      <c r="I2730" s="1">
        <f t="shared" si="369"/>
        <v>0</v>
      </c>
      <c r="J2730" s="1">
        <f t="shared" si="374"/>
        <v>900</v>
      </c>
      <c r="K2730" s="9" t="e">
        <f t="shared" si="370"/>
        <v>#DIV/0!</v>
      </c>
    </row>
    <row r="2731" spans="1:12" x14ac:dyDescent="0.35">
      <c r="A2731" s="2" t="s">
        <v>338</v>
      </c>
      <c r="B2731" s="2" t="s">
        <v>339</v>
      </c>
      <c r="C2731" s="21" t="s">
        <v>275</v>
      </c>
      <c r="D2731" s="4">
        <v>10</v>
      </c>
      <c r="I2731" s="1">
        <f t="shared" si="369"/>
        <v>0</v>
      </c>
      <c r="J2731" s="1">
        <f t="shared" si="374"/>
        <v>900</v>
      </c>
      <c r="K2731" s="9" t="e">
        <f t="shared" si="370"/>
        <v>#DIV/0!</v>
      </c>
    </row>
    <row r="2732" spans="1:12" x14ac:dyDescent="0.35">
      <c r="A2732" s="2" t="s">
        <v>338</v>
      </c>
      <c r="B2732" s="2" t="s">
        <v>339</v>
      </c>
      <c r="C2732" s="21" t="s">
        <v>275</v>
      </c>
      <c r="D2732" s="4">
        <v>11</v>
      </c>
      <c r="I2732" s="1">
        <f t="shared" si="369"/>
        <v>0</v>
      </c>
      <c r="J2732" s="1">
        <f t="shared" si="374"/>
        <v>900</v>
      </c>
      <c r="K2732" s="9" t="e">
        <f t="shared" si="370"/>
        <v>#DIV/0!</v>
      </c>
    </row>
    <row r="2733" spans="1:12" x14ac:dyDescent="0.35">
      <c r="A2733" s="2" t="s">
        <v>338</v>
      </c>
      <c r="B2733" s="2" t="s">
        <v>339</v>
      </c>
      <c r="C2733" s="21" t="s">
        <v>275</v>
      </c>
      <c r="D2733" s="4">
        <v>12</v>
      </c>
      <c r="I2733" s="1">
        <f t="shared" si="369"/>
        <v>0</v>
      </c>
      <c r="J2733" s="1">
        <f t="shared" si="374"/>
        <v>900</v>
      </c>
      <c r="K2733" s="9" t="e">
        <f t="shared" si="370"/>
        <v>#DIV/0!</v>
      </c>
    </row>
    <row r="2734" spans="1:12" x14ac:dyDescent="0.35">
      <c r="A2734" s="2" t="s">
        <v>338</v>
      </c>
      <c r="B2734" s="2" t="s">
        <v>339</v>
      </c>
      <c r="C2734" s="21" t="s">
        <v>275</v>
      </c>
      <c r="D2734" s="4">
        <v>13</v>
      </c>
      <c r="I2734" s="1">
        <f t="shared" si="369"/>
        <v>0</v>
      </c>
      <c r="J2734" s="1">
        <f t="shared" si="374"/>
        <v>900</v>
      </c>
      <c r="K2734" s="9" t="e">
        <f t="shared" si="370"/>
        <v>#DIV/0!</v>
      </c>
    </row>
    <row r="2735" spans="1:12" x14ac:dyDescent="0.35">
      <c r="A2735" s="2" t="s">
        <v>338</v>
      </c>
      <c r="B2735" s="2" t="s">
        <v>339</v>
      </c>
      <c r="C2735" s="21" t="s">
        <v>275</v>
      </c>
      <c r="D2735" s="4">
        <v>14</v>
      </c>
      <c r="I2735" s="1">
        <f t="shared" si="369"/>
        <v>0</v>
      </c>
      <c r="J2735" s="1">
        <f t="shared" si="374"/>
        <v>900</v>
      </c>
      <c r="K2735" s="9" t="e">
        <f t="shared" si="370"/>
        <v>#DIV/0!</v>
      </c>
    </row>
    <row r="2736" spans="1:12" x14ac:dyDescent="0.35">
      <c r="A2736" s="2" t="s">
        <v>338</v>
      </c>
      <c r="B2736" s="2" t="s">
        <v>339</v>
      </c>
      <c r="C2736" s="21" t="s">
        <v>275</v>
      </c>
      <c r="D2736" s="4">
        <v>15</v>
      </c>
      <c r="I2736" s="1">
        <f t="shared" si="369"/>
        <v>0</v>
      </c>
      <c r="J2736" s="1">
        <f t="shared" si="374"/>
        <v>900</v>
      </c>
      <c r="K2736" s="9" t="e">
        <f t="shared" si="370"/>
        <v>#DIV/0!</v>
      </c>
    </row>
    <row r="2737" spans="1:12" ht="15" thickBot="1" x14ac:dyDescent="0.4">
      <c r="A2737" s="12" t="s">
        <v>338</v>
      </c>
      <c r="B2737" s="12" t="s">
        <v>339</v>
      </c>
      <c r="C2737" s="22" t="s">
        <v>275</v>
      </c>
      <c r="D2737" s="14">
        <v>16</v>
      </c>
      <c r="E2737" s="13"/>
      <c r="F2737" s="13"/>
      <c r="G2737" s="13"/>
      <c r="H2737" s="13"/>
      <c r="I2737" s="15">
        <f t="shared" si="369"/>
        <v>0</v>
      </c>
      <c r="J2737" s="15">
        <f t="shared" si="374"/>
        <v>900</v>
      </c>
      <c r="K2737" s="16" t="e">
        <f t="shared" si="370"/>
        <v>#DIV/0!</v>
      </c>
      <c r="L2737" s="13"/>
    </row>
    <row r="2738" spans="1:12" x14ac:dyDescent="0.35">
      <c r="A2738" s="2" t="s">
        <v>340</v>
      </c>
      <c r="B2738" s="2" t="s">
        <v>341</v>
      </c>
      <c r="C2738" s="21" t="s">
        <v>275</v>
      </c>
      <c r="D2738" s="4">
        <v>1</v>
      </c>
      <c r="F2738" s="3">
        <v>45960</v>
      </c>
      <c r="G2738">
        <v>4800</v>
      </c>
      <c r="H2738">
        <v>4409</v>
      </c>
      <c r="I2738" s="1">
        <f t="shared" si="369"/>
        <v>391</v>
      </c>
      <c r="J2738" s="1">
        <f>I2738</f>
        <v>391</v>
      </c>
      <c r="K2738" s="9">
        <f t="shared" si="370"/>
        <v>8.8682240870945797E-2</v>
      </c>
    </row>
    <row r="2739" spans="1:12" x14ac:dyDescent="0.35">
      <c r="A2739" s="2" t="s">
        <v>340</v>
      </c>
      <c r="B2739" s="2" t="s">
        <v>341</v>
      </c>
      <c r="C2739" s="21" t="s">
        <v>275</v>
      </c>
      <c r="D2739" s="4">
        <v>2</v>
      </c>
      <c r="F2739" s="3">
        <v>45968</v>
      </c>
      <c r="G2739">
        <v>4785</v>
      </c>
      <c r="H2739" s="32">
        <v>4409</v>
      </c>
      <c r="I2739" s="1">
        <f t="shared" ref="I2739:I2801" si="375">G2739-H2739</f>
        <v>376</v>
      </c>
      <c r="J2739" s="1">
        <f>J2738+I2739</f>
        <v>767</v>
      </c>
      <c r="K2739" s="9">
        <f t="shared" ref="K2739:K2802" si="376">I2739/H2739</f>
        <v>8.5280108868224083E-2</v>
      </c>
    </row>
    <row r="2740" spans="1:12" x14ac:dyDescent="0.35">
      <c r="A2740" s="2" t="s">
        <v>340</v>
      </c>
      <c r="B2740" s="2" t="s">
        <v>341</v>
      </c>
      <c r="C2740" s="21" t="s">
        <v>275</v>
      </c>
      <c r="D2740" s="4">
        <v>3</v>
      </c>
      <c r="I2740" s="1">
        <f t="shared" si="375"/>
        <v>0</v>
      </c>
      <c r="J2740" s="1">
        <f t="shared" ref="J2740:J2753" si="377">J2739+I2740</f>
        <v>767</v>
      </c>
      <c r="K2740" s="9" t="e">
        <f t="shared" si="376"/>
        <v>#DIV/0!</v>
      </c>
    </row>
    <row r="2741" spans="1:12" x14ac:dyDescent="0.35">
      <c r="A2741" s="2" t="s">
        <v>340</v>
      </c>
      <c r="B2741" s="2" t="s">
        <v>341</v>
      </c>
      <c r="C2741" s="21" t="s">
        <v>275</v>
      </c>
      <c r="D2741" s="4">
        <v>4</v>
      </c>
      <c r="I2741" s="1">
        <f t="shared" si="375"/>
        <v>0</v>
      </c>
      <c r="J2741" s="1">
        <f t="shared" si="377"/>
        <v>767</v>
      </c>
      <c r="K2741" s="9" t="e">
        <f t="shared" si="376"/>
        <v>#DIV/0!</v>
      </c>
    </row>
    <row r="2742" spans="1:12" x14ac:dyDescent="0.35">
      <c r="A2742" s="2" t="s">
        <v>340</v>
      </c>
      <c r="B2742" s="2" t="s">
        <v>341</v>
      </c>
      <c r="C2742" s="21" t="s">
        <v>275</v>
      </c>
      <c r="D2742" s="4">
        <v>5</v>
      </c>
      <c r="I2742" s="1">
        <f t="shared" si="375"/>
        <v>0</v>
      </c>
      <c r="J2742" s="1">
        <f t="shared" si="377"/>
        <v>767</v>
      </c>
      <c r="K2742" s="9" t="e">
        <f t="shared" si="376"/>
        <v>#DIV/0!</v>
      </c>
    </row>
    <row r="2743" spans="1:12" x14ac:dyDescent="0.35">
      <c r="A2743" s="2" t="s">
        <v>340</v>
      </c>
      <c r="B2743" s="2" t="s">
        <v>341</v>
      </c>
      <c r="C2743" s="21" t="s">
        <v>275</v>
      </c>
      <c r="D2743" s="4">
        <v>6</v>
      </c>
      <c r="I2743" s="1">
        <f t="shared" si="375"/>
        <v>0</v>
      </c>
      <c r="J2743" s="1">
        <f t="shared" si="377"/>
        <v>767</v>
      </c>
      <c r="K2743" s="9" t="e">
        <f t="shared" si="376"/>
        <v>#DIV/0!</v>
      </c>
    </row>
    <row r="2744" spans="1:12" x14ac:dyDescent="0.35">
      <c r="A2744" s="2" t="s">
        <v>340</v>
      </c>
      <c r="B2744" s="2" t="s">
        <v>341</v>
      </c>
      <c r="C2744" s="21" t="s">
        <v>275</v>
      </c>
      <c r="D2744" s="4">
        <v>7</v>
      </c>
      <c r="I2744" s="1">
        <f t="shared" si="375"/>
        <v>0</v>
      </c>
      <c r="J2744" s="1">
        <f t="shared" si="377"/>
        <v>767</v>
      </c>
      <c r="K2744" s="9" t="e">
        <f t="shared" si="376"/>
        <v>#DIV/0!</v>
      </c>
    </row>
    <row r="2745" spans="1:12" x14ac:dyDescent="0.35">
      <c r="A2745" s="2" t="s">
        <v>340</v>
      </c>
      <c r="B2745" s="2" t="s">
        <v>341</v>
      </c>
      <c r="C2745" s="21" t="s">
        <v>275</v>
      </c>
      <c r="D2745" s="4">
        <v>8</v>
      </c>
      <c r="I2745" s="1">
        <f t="shared" si="375"/>
        <v>0</v>
      </c>
      <c r="J2745" s="1">
        <f t="shared" si="377"/>
        <v>767</v>
      </c>
      <c r="K2745" s="9" t="e">
        <f t="shared" si="376"/>
        <v>#DIV/0!</v>
      </c>
    </row>
    <row r="2746" spans="1:12" x14ac:dyDescent="0.35">
      <c r="A2746" s="2" t="s">
        <v>340</v>
      </c>
      <c r="B2746" s="2" t="s">
        <v>341</v>
      </c>
      <c r="C2746" s="21" t="s">
        <v>275</v>
      </c>
      <c r="D2746" s="4">
        <v>9</v>
      </c>
      <c r="I2746" s="1">
        <f t="shared" si="375"/>
        <v>0</v>
      </c>
      <c r="J2746" s="1">
        <f t="shared" si="377"/>
        <v>767</v>
      </c>
      <c r="K2746" s="9" t="e">
        <f t="shared" si="376"/>
        <v>#DIV/0!</v>
      </c>
    </row>
    <row r="2747" spans="1:12" x14ac:dyDescent="0.35">
      <c r="A2747" s="2" t="s">
        <v>340</v>
      </c>
      <c r="B2747" s="2" t="s">
        <v>341</v>
      </c>
      <c r="C2747" s="21" t="s">
        <v>275</v>
      </c>
      <c r="D2747" s="4">
        <v>10</v>
      </c>
      <c r="I2747" s="1">
        <f t="shared" si="375"/>
        <v>0</v>
      </c>
      <c r="J2747" s="1">
        <f t="shared" si="377"/>
        <v>767</v>
      </c>
      <c r="K2747" s="9" t="e">
        <f t="shared" si="376"/>
        <v>#DIV/0!</v>
      </c>
    </row>
    <row r="2748" spans="1:12" x14ac:dyDescent="0.35">
      <c r="A2748" s="2" t="s">
        <v>340</v>
      </c>
      <c r="B2748" s="2" t="s">
        <v>341</v>
      </c>
      <c r="C2748" s="21" t="s">
        <v>275</v>
      </c>
      <c r="D2748" s="4">
        <v>11</v>
      </c>
      <c r="I2748" s="1">
        <f t="shared" si="375"/>
        <v>0</v>
      </c>
      <c r="J2748" s="1">
        <f t="shared" si="377"/>
        <v>767</v>
      </c>
      <c r="K2748" s="9" t="e">
        <f t="shared" si="376"/>
        <v>#DIV/0!</v>
      </c>
    </row>
    <row r="2749" spans="1:12" x14ac:dyDescent="0.35">
      <c r="A2749" s="2" t="s">
        <v>340</v>
      </c>
      <c r="B2749" s="2" t="s">
        <v>341</v>
      </c>
      <c r="C2749" s="21" t="s">
        <v>275</v>
      </c>
      <c r="D2749" s="4">
        <v>12</v>
      </c>
      <c r="I2749" s="1">
        <f t="shared" si="375"/>
        <v>0</v>
      </c>
      <c r="J2749" s="1">
        <f t="shared" si="377"/>
        <v>767</v>
      </c>
      <c r="K2749" s="9" t="e">
        <f t="shared" si="376"/>
        <v>#DIV/0!</v>
      </c>
    </row>
    <row r="2750" spans="1:12" x14ac:dyDescent="0.35">
      <c r="A2750" s="2" t="s">
        <v>340</v>
      </c>
      <c r="B2750" s="2" t="s">
        <v>341</v>
      </c>
      <c r="C2750" s="21" t="s">
        <v>275</v>
      </c>
      <c r="D2750" s="4">
        <v>13</v>
      </c>
      <c r="I2750" s="1">
        <f t="shared" si="375"/>
        <v>0</v>
      </c>
      <c r="J2750" s="1">
        <f t="shared" si="377"/>
        <v>767</v>
      </c>
      <c r="K2750" s="9" t="e">
        <f t="shared" si="376"/>
        <v>#DIV/0!</v>
      </c>
    </row>
    <row r="2751" spans="1:12" x14ac:dyDescent="0.35">
      <c r="A2751" s="2" t="s">
        <v>340</v>
      </c>
      <c r="B2751" s="2" t="s">
        <v>341</v>
      </c>
      <c r="C2751" s="21" t="s">
        <v>275</v>
      </c>
      <c r="D2751" s="4">
        <v>14</v>
      </c>
      <c r="I2751" s="1">
        <f t="shared" si="375"/>
        <v>0</v>
      </c>
      <c r="J2751" s="1">
        <f t="shared" si="377"/>
        <v>767</v>
      </c>
      <c r="K2751" s="9" t="e">
        <f t="shared" si="376"/>
        <v>#DIV/0!</v>
      </c>
    </row>
    <row r="2752" spans="1:12" x14ac:dyDescent="0.35">
      <c r="A2752" s="2" t="s">
        <v>340</v>
      </c>
      <c r="B2752" s="2" t="s">
        <v>341</v>
      </c>
      <c r="C2752" s="21" t="s">
        <v>275</v>
      </c>
      <c r="D2752" s="4">
        <v>15</v>
      </c>
      <c r="I2752" s="1">
        <f t="shared" si="375"/>
        <v>0</v>
      </c>
      <c r="J2752" s="1">
        <f t="shared" si="377"/>
        <v>767</v>
      </c>
      <c r="K2752" s="9" t="e">
        <f t="shared" si="376"/>
        <v>#DIV/0!</v>
      </c>
    </row>
    <row r="2753" spans="1:12" ht="15" thickBot="1" x14ac:dyDescent="0.4">
      <c r="A2753" s="12" t="s">
        <v>340</v>
      </c>
      <c r="B2753" s="12" t="s">
        <v>341</v>
      </c>
      <c r="C2753" s="22" t="s">
        <v>275</v>
      </c>
      <c r="D2753" s="14">
        <v>16</v>
      </c>
      <c r="E2753" s="13"/>
      <c r="F2753" s="13"/>
      <c r="G2753" s="13"/>
      <c r="H2753" s="13"/>
      <c r="I2753" s="15">
        <f t="shared" si="375"/>
        <v>0</v>
      </c>
      <c r="J2753" s="15">
        <f t="shared" si="377"/>
        <v>767</v>
      </c>
      <c r="K2753" s="16" t="e">
        <f t="shared" si="376"/>
        <v>#DIV/0!</v>
      </c>
      <c r="L2753" s="13"/>
    </row>
    <row r="2754" spans="1:12" x14ac:dyDescent="0.35">
      <c r="A2754" s="2" t="s">
        <v>342</v>
      </c>
      <c r="B2754" s="2" t="s">
        <v>370</v>
      </c>
      <c r="C2754" s="21" t="s">
        <v>275</v>
      </c>
      <c r="D2754" s="4">
        <v>1</v>
      </c>
      <c r="F2754" s="3">
        <v>45961</v>
      </c>
      <c r="G2754">
        <v>5331.31</v>
      </c>
      <c r="H2754">
        <v>5169</v>
      </c>
      <c r="I2754" s="1">
        <f t="shared" si="375"/>
        <v>162.3100000000004</v>
      </c>
      <c r="J2754" s="1">
        <f>I2754</f>
        <v>162.3100000000004</v>
      </c>
      <c r="K2754" s="9">
        <f t="shared" si="376"/>
        <v>3.1400657767459934E-2</v>
      </c>
    </row>
    <row r="2755" spans="1:12" x14ac:dyDescent="0.35">
      <c r="A2755" s="2" t="s">
        <v>342</v>
      </c>
      <c r="B2755" s="2" t="s">
        <v>370</v>
      </c>
      <c r="C2755" s="21" t="s">
        <v>275</v>
      </c>
      <c r="D2755" s="4">
        <v>2</v>
      </c>
      <c r="F2755" s="3">
        <v>45968</v>
      </c>
      <c r="G2755">
        <v>5432.4</v>
      </c>
      <c r="H2755" s="32">
        <v>5169</v>
      </c>
      <c r="I2755" s="1">
        <f t="shared" si="375"/>
        <v>263.39999999999964</v>
      </c>
      <c r="J2755" s="1">
        <f>J2754+I2755</f>
        <v>425.71000000000004</v>
      </c>
      <c r="K2755" s="9">
        <f t="shared" si="376"/>
        <v>5.0957632037144443E-2</v>
      </c>
    </row>
    <row r="2756" spans="1:12" x14ac:dyDescent="0.35">
      <c r="A2756" s="2" t="s">
        <v>342</v>
      </c>
      <c r="B2756" s="2" t="s">
        <v>370</v>
      </c>
      <c r="C2756" s="21" t="s">
        <v>275</v>
      </c>
      <c r="D2756" s="4">
        <v>3</v>
      </c>
      <c r="I2756" s="1">
        <f t="shared" si="375"/>
        <v>0</v>
      </c>
      <c r="J2756" s="1">
        <f t="shared" ref="J2756:J2769" si="378">J2755+I2756</f>
        <v>425.71000000000004</v>
      </c>
      <c r="K2756" s="9" t="e">
        <f t="shared" si="376"/>
        <v>#DIV/0!</v>
      </c>
    </row>
    <row r="2757" spans="1:12" x14ac:dyDescent="0.35">
      <c r="A2757" s="2" t="s">
        <v>342</v>
      </c>
      <c r="B2757" s="2" t="s">
        <v>370</v>
      </c>
      <c r="C2757" s="21" t="s">
        <v>275</v>
      </c>
      <c r="D2757" s="4">
        <v>4</v>
      </c>
      <c r="I2757" s="1">
        <f t="shared" si="375"/>
        <v>0</v>
      </c>
      <c r="J2757" s="1">
        <f t="shared" si="378"/>
        <v>425.71000000000004</v>
      </c>
      <c r="K2757" s="9" t="e">
        <f t="shared" si="376"/>
        <v>#DIV/0!</v>
      </c>
    </row>
    <row r="2758" spans="1:12" x14ac:dyDescent="0.35">
      <c r="A2758" s="2" t="s">
        <v>342</v>
      </c>
      <c r="B2758" s="2" t="s">
        <v>370</v>
      </c>
      <c r="C2758" s="21" t="s">
        <v>275</v>
      </c>
      <c r="D2758" s="4">
        <v>5</v>
      </c>
      <c r="I2758" s="1">
        <f t="shared" si="375"/>
        <v>0</v>
      </c>
      <c r="J2758" s="1">
        <f t="shared" si="378"/>
        <v>425.71000000000004</v>
      </c>
      <c r="K2758" s="9" t="e">
        <f t="shared" si="376"/>
        <v>#DIV/0!</v>
      </c>
    </row>
    <row r="2759" spans="1:12" x14ac:dyDescent="0.35">
      <c r="A2759" s="2" t="s">
        <v>342</v>
      </c>
      <c r="B2759" s="2" t="s">
        <v>370</v>
      </c>
      <c r="C2759" s="21" t="s">
        <v>275</v>
      </c>
      <c r="D2759" s="4">
        <v>6</v>
      </c>
      <c r="I2759" s="1">
        <f t="shared" si="375"/>
        <v>0</v>
      </c>
      <c r="J2759" s="1">
        <f t="shared" si="378"/>
        <v>425.71000000000004</v>
      </c>
      <c r="K2759" s="9" t="e">
        <f t="shared" si="376"/>
        <v>#DIV/0!</v>
      </c>
    </row>
    <row r="2760" spans="1:12" x14ac:dyDescent="0.35">
      <c r="A2760" s="2" t="s">
        <v>342</v>
      </c>
      <c r="B2760" s="2" t="s">
        <v>370</v>
      </c>
      <c r="C2760" s="21" t="s">
        <v>275</v>
      </c>
      <c r="D2760" s="4">
        <v>7</v>
      </c>
      <c r="I2760" s="1">
        <f t="shared" si="375"/>
        <v>0</v>
      </c>
      <c r="J2760" s="1">
        <f t="shared" si="378"/>
        <v>425.71000000000004</v>
      </c>
      <c r="K2760" s="9" t="e">
        <f t="shared" si="376"/>
        <v>#DIV/0!</v>
      </c>
    </row>
    <row r="2761" spans="1:12" x14ac:dyDescent="0.35">
      <c r="A2761" s="2" t="s">
        <v>342</v>
      </c>
      <c r="B2761" s="2" t="s">
        <v>370</v>
      </c>
      <c r="C2761" s="21" t="s">
        <v>275</v>
      </c>
      <c r="D2761" s="4">
        <v>8</v>
      </c>
      <c r="I2761" s="1">
        <f t="shared" si="375"/>
        <v>0</v>
      </c>
      <c r="J2761" s="1">
        <f t="shared" si="378"/>
        <v>425.71000000000004</v>
      </c>
      <c r="K2761" s="9" t="e">
        <f t="shared" si="376"/>
        <v>#DIV/0!</v>
      </c>
    </row>
    <row r="2762" spans="1:12" x14ac:dyDescent="0.35">
      <c r="A2762" s="2" t="s">
        <v>342</v>
      </c>
      <c r="B2762" s="2" t="s">
        <v>370</v>
      </c>
      <c r="C2762" s="21" t="s">
        <v>275</v>
      </c>
      <c r="D2762" s="4">
        <v>9</v>
      </c>
      <c r="I2762" s="1">
        <f t="shared" si="375"/>
        <v>0</v>
      </c>
      <c r="J2762" s="1">
        <f t="shared" si="378"/>
        <v>425.71000000000004</v>
      </c>
      <c r="K2762" s="9" t="e">
        <f t="shared" si="376"/>
        <v>#DIV/0!</v>
      </c>
    </row>
    <row r="2763" spans="1:12" x14ac:dyDescent="0.35">
      <c r="A2763" s="2" t="s">
        <v>342</v>
      </c>
      <c r="B2763" s="2" t="s">
        <v>370</v>
      </c>
      <c r="C2763" s="21" t="s">
        <v>275</v>
      </c>
      <c r="D2763" s="4">
        <v>10</v>
      </c>
      <c r="I2763" s="1">
        <f t="shared" si="375"/>
        <v>0</v>
      </c>
      <c r="J2763" s="1">
        <f t="shared" si="378"/>
        <v>425.71000000000004</v>
      </c>
      <c r="K2763" s="9" t="e">
        <f t="shared" si="376"/>
        <v>#DIV/0!</v>
      </c>
    </row>
    <row r="2764" spans="1:12" x14ac:dyDescent="0.35">
      <c r="A2764" s="2" t="s">
        <v>342</v>
      </c>
      <c r="B2764" s="2" t="s">
        <v>370</v>
      </c>
      <c r="C2764" s="21" t="s">
        <v>275</v>
      </c>
      <c r="D2764" s="4">
        <v>11</v>
      </c>
      <c r="I2764" s="1">
        <f t="shared" si="375"/>
        <v>0</v>
      </c>
      <c r="J2764" s="1">
        <f t="shared" si="378"/>
        <v>425.71000000000004</v>
      </c>
      <c r="K2764" s="9" t="e">
        <f t="shared" si="376"/>
        <v>#DIV/0!</v>
      </c>
    </row>
    <row r="2765" spans="1:12" x14ac:dyDescent="0.35">
      <c r="A2765" s="2" t="s">
        <v>342</v>
      </c>
      <c r="B2765" s="2" t="s">
        <v>370</v>
      </c>
      <c r="C2765" s="21" t="s">
        <v>275</v>
      </c>
      <c r="D2765" s="4">
        <v>12</v>
      </c>
      <c r="I2765" s="1">
        <f t="shared" si="375"/>
        <v>0</v>
      </c>
      <c r="J2765" s="1">
        <f t="shared" si="378"/>
        <v>425.71000000000004</v>
      </c>
      <c r="K2765" s="9" t="e">
        <f t="shared" si="376"/>
        <v>#DIV/0!</v>
      </c>
    </row>
    <row r="2766" spans="1:12" x14ac:dyDescent="0.35">
      <c r="A2766" s="2" t="s">
        <v>342</v>
      </c>
      <c r="B2766" s="2" t="s">
        <v>370</v>
      </c>
      <c r="C2766" s="21" t="s">
        <v>275</v>
      </c>
      <c r="D2766" s="4">
        <v>13</v>
      </c>
      <c r="I2766" s="1">
        <f t="shared" si="375"/>
        <v>0</v>
      </c>
      <c r="J2766" s="1">
        <f t="shared" si="378"/>
        <v>425.71000000000004</v>
      </c>
      <c r="K2766" s="9" t="e">
        <f t="shared" si="376"/>
        <v>#DIV/0!</v>
      </c>
    </row>
    <row r="2767" spans="1:12" x14ac:dyDescent="0.35">
      <c r="A2767" s="2" t="s">
        <v>342</v>
      </c>
      <c r="B2767" s="2" t="s">
        <v>370</v>
      </c>
      <c r="C2767" s="21" t="s">
        <v>275</v>
      </c>
      <c r="D2767" s="4">
        <v>14</v>
      </c>
      <c r="I2767" s="1">
        <f t="shared" si="375"/>
        <v>0</v>
      </c>
      <c r="J2767" s="1">
        <f t="shared" si="378"/>
        <v>425.71000000000004</v>
      </c>
      <c r="K2767" s="9" t="e">
        <f t="shared" si="376"/>
        <v>#DIV/0!</v>
      </c>
    </row>
    <row r="2768" spans="1:12" x14ac:dyDescent="0.35">
      <c r="A2768" s="2" t="s">
        <v>342</v>
      </c>
      <c r="B2768" s="2" t="s">
        <v>370</v>
      </c>
      <c r="C2768" s="21" t="s">
        <v>275</v>
      </c>
      <c r="D2768" s="4">
        <v>15</v>
      </c>
      <c r="I2768" s="1">
        <f t="shared" si="375"/>
        <v>0</v>
      </c>
      <c r="J2768" s="1">
        <f t="shared" si="378"/>
        <v>425.71000000000004</v>
      </c>
      <c r="K2768" s="9" t="e">
        <f t="shared" si="376"/>
        <v>#DIV/0!</v>
      </c>
    </row>
    <row r="2769" spans="1:12" ht="15" thickBot="1" x14ac:dyDescent="0.4">
      <c r="A2769" s="12" t="s">
        <v>342</v>
      </c>
      <c r="B2769" s="12" t="s">
        <v>370</v>
      </c>
      <c r="C2769" s="22" t="s">
        <v>275</v>
      </c>
      <c r="D2769" s="14">
        <v>16</v>
      </c>
      <c r="E2769" s="13"/>
      <c r="F2769" s="13"/>
      <c r="G2769" s="13"/>
      <c r="H2769" s="13"/>
      <c r="I2769" s="15">
        <f t="shared" si="375"/>
        <v>0</v>
      </c>
      <c r="J2769" s="15">
        <f t="shared" si="378"/>
        <v>425.71000000000004</v>
      </c>
      <c r="K2769" s="16" t="e">
        <f t="shared" si="376"/>
        <v>#DIV/0!</v>
      </c>
      <c r="L2769" s="13"/>
    </row>
    <row r="2770" spans="1:12" x14ac:dyDescent="0.35">
      <c r="A2770" s="2" t="s">
        <v>343</v>
      </c>
      <c r="B2770" s="2" t="s">
        <v>371</v>
      </c>
      <c r="C2770" s="21" t="s">
        <v>275</v>
      </c>
      <c r="D2770" s="4">
        <v>1</v>
      </c>
      <c r="F2770" s="3">
        <v>45964</v>
      </c>
      <c r="G2770">
        <v>38761</v>
      </c>
      <c r="H2770">
        <v>38761</v>
      </c>
      <c r="I2770" s="1">
        <f t="shared" si="375"/>
        <v>0</v>
      </c>
      <c r="J2770" s="1">
        <f>I2770</f>
        <v>0</v>
      </c>
      <c r="K2770" s="9">
        <f t="shared" si="376"/>
        <v>0</v>
      </c>
    </row>
    <row r="2771" spans="1:12" x14ac:dyDescent="0.35">
      <c r="A2771" s="2" t="s">
        <v>343</v>
      </c>
      <c r="B2771" s="2" t="s">
        <v>371</v>
      </c>
      <c r="C2771" s="21" t="s">
        <v>275</v>
      </c>
      <c r="D2771" s="4">
        <v>2</v>
      </c>
      <c r="I2771" s="1">
        <f t="shared" si="375"/>
        <v>0</v>
      </c>
      <c r="J2771" s="1">
        <f>J2770+I2771</f>
        <v>0</v>
      </c>
      <c r="K2771" s="9" t="e">
        <f t="shared" si="376"/>
        <v>#DIV/0!</v>
      </c>
    </row>
    <row r="2772" spans="1:12" x14ac:dyDescent="0.35">
      <c r="A2772" s="2" t="s">
        <v>343</v>
      </c>
      <c r="B2772" s="2" t="s">
        <v>371</v>
      </c>
      <c r="C2772" s="21" t="s">
        <v>275</v>
      </c>
      <c r="D2772" s="4">
        <v>3</v>
      </c>
      <c r="I2772" s="1">
        <f t="shared" si="375"/>
        <v>0</v>
      </c>
      <c r="J2772" s="1">
        <f t="shared" ref="J2772:J2785" si="379">J2771+I2772</f>
        <v>0</v>
      </c>
      <c r="K2772" s="9" t="e">
        <f t="shared" si="376"/>
        <v>#DIV/0!</v>
      </c>
    </row>
    <row r="2773" spans="1:12" x14ac:dyDescent="0.35">
      <c r="A2773" s="2" t="s">
        <v>343</v>
      </c>
      <c r="B2773" s="2" t="s">
        <v>371</v>
      </c>
      <c r="C2773" s="21" t="s">
        <v>275</v>
      </c>
      <c r="D2773" s="4">
        <v>4</v>
      </c>
      <c r="I2773" s="1">
        <f t="shared" si="375"/>
        <v>0</v>
      </c>
      <c r="J2773" s="1">
        <f t="shared" si="379"/>
        <v>0</v>
      </c>
      <c r="K2773" s="9" t="e">
        <f t="shared" si="376"/>
        <v>#DIV/0!</v>
      </c>
    </row>
    <row r="2774" spans="1:12" x14ac:dyDescent="0.35">
      <c r="A2774" s="2" t="s">
        <v>343</v>
      </c>
      <c r="B2774" s="2" t="s">
        <v>371</v>
      </c>
      <c r="C2774" s="21" t="s">
        <v>275</v>
      </c>
      <c r="D2774" s="4">
        <v>5</v>
      </c>
      <c r="I2774" s="1">
        <f t="shared" si="375"/>
        <v>0</v>
      </c>
      <c r="J2774" s="1">
        <f t="shared" si="379"/>
        <v>0</v>
      </c>
      <c r="K2774" s="9" t="e">
        <f t="shared" si="376"/>
        <v>#DIV/0!</v>
      </c>
    </row>
    <row r="2775" spans="1:12" x14ac:dyDescent="0.35">
      <c r="A2775" s="2" t="s">
        <v>343</v>
      </c>
      <c r="B2775" s="2" t="s">
        <v>371</v>
      </c>
      <c r="C2775" s="21" t="s">
        <v>275</v>
      </c>
      <c r="D2775" s="4">
        <v>6</v>
      </c>
      <c r="I2775" s="1">
        <f t="shared" si="375"/>
        <v>0</v>
      </c>
      <c r="J2775" s="1">
        <f t="shared" si="379"/>
        <v>0</v>
      </c>
      <c r="K2775" s="9" t="e">
        <f t="shared" si="376"/>
        <v>#DIV/0!</v>
      </c>
    </row>
    <row r="2776" spans="1:12" x14ac:dyDescent="0.35">
      <c r="A2776" s="2" t="s">
        <v>343</v>
      </c>
      <c r="B2776" s="2" t="s">
        <v>371</v>
      </c>
      <c r="C2776" s="21" t="s">
        <v>275</v>
      </c>
      <c r="D2776" s="4">
        <v>7</v>
      </c>
      <c r="I2776" s="1">
        <f t="shared" si="375"/>
        <v>0</v>
      </c>
      <c r="J2776" s="1">
        <f t="shared" si="379"/>
        <v>0</v>
      </c>
      <c r="K2776" s="9" t="e">
        <f t="shared" si="376"/>
        <v>#DIV/0!</v>
      </c>
    </row>
    <row r="2777" spans="1:12" x14ac:dyDescent="0.35">
      <c r="A2777" s="2" t="s">
        <v>343</v>
      </c>
      <c r="B2777" s="2" t="s">
        <v>371</v>
      </c>
      <c r="C2777" s="21" t="s">
        <v>275</v>
      </c>
      <c r="D2777" s="4">
        <v>8</v>
      </c>
      <c r="I2777" s="1">
        <f t="shared" si="375"/>
        <v>0</v>
      </c>
      <c r="J2777" s="1">
        <f t="shared" si="379"/>
        <v>0</v>
      </c>
      <c r="K2777" s="9" t="e">
        <f t="shared" si="376"/>
        <v>#DIV/0!</v>
      </c>
    </row>
    <row r="2778" spans="1:12" x14ac:dyDescent="0.35">
      <c r="A2778" s="2" t="s">
        <v>343</v>
      </c>
      <c r="B2778" s="2" t="s">
        <v>371</v>
      </c>
      <c r="C2778" s="21" t="s">
        <v>275</v>
      </c>
      <c r="D2778" s="4">
        <v>9</v>
      </c>
      <c r="I2778" s="1">
        <f t="shared" si="375"/>
        <v>0</v>
      </c>
      <c r="J2778" s="1">
        <f t="shared" si="379"/>
        <v>0</v>
      </c>
      <c r="K2778" s="9" t="e">
        <f t="shared" si="376"/>
        <v>#DIV/0!</v>
      </c>
    </row>
    <row r="2779" spans="1:12" x14ac:dyDescent="0.35">
      <c r="A2779" s="2" t="s">
        <v>343</v>
      </c>
      <c r="B2779" s="2" t="s">
        <v>371</v>
      </c>
      <c r="C2779" s="21" t="s">
        <v>275</v>
      </c>
      <c r="D2779" s="4">
        <v>10</v>
      </c>
      <c r="I2779" s="1">
        <f t="shared" si="375"/>
        <v>0</v>
      </c>
      <c r="J2779" s="1">
        <f t="shared" si="379"/>
        <v>0</v>
      </c>
      <c r="K2779" s="9" t="e">
        <f t="shared" si="376"/>
        <v>#DIV/0!</v>
      </c>
    </row>
    <row r="2780" spans="1:12" x14ac:dyDescent="0.35">
      <c r="A2780" s="2" t="s">
        <v>343</v>
      </c>
      <c r="B2780" s="2" t="s">
        <v>371</v>
      </c>
      <c r="C2780" s="21" t="s">
        <v>275</v>
      </c>
      <c r="D2780" s="4">
        <v>11</v>
      </c>
      <c r="I2780" s="1">
        <f t="shared" si="375"/>
        <v>0</v>
      </c>
      <c r="J2780" s="1">
        <f t="shared" si="379"/>
        <v>0</v>
      </c>
      <c r="K2780" s="9" t="e">
        <f t="shared" si="376"/>
        <v>#DIV/0!</v>
      </c>
    </row>
    <row r="2781" spans="1:12" x14ac:dyDescent="0.35">
      <c r="A2781" s="2" t="s">
        <v>343</v>
      </c>
      <c r="B2781" s="2" t="s">
        <v>371</v>
      </c>
      <c r="C2781" s="21" t="s">
        <v>275</v>
      </c>
      <c r="D2781" s="4">
        <v>12</v>
      </c>
      <c r="I2781" s="1">
        <f t="shared" si="375"/>
        <v>0</v>
      </c>
      <c r="J2781" s="1">
        <f t="shared" si="379"/>
        <v>0</v>
      </c>
      <c r="K2781" s="9" t="e">
        <f t="shared" si="376"/>
        <v>#DIV/0!</v>
      </c>
    </row>
    <row r="2782" spans="1:12" x14ac:dyDescent="0.35">
      <c r="A2782" s="2" t="s">
        <v>343</v>
      </c>
      <c r="B2782" s="2" t="s">
        <v>371</v>
      </c>
      <c r="C2782" s="21" t="s">
        <v>275</v>
      </c>
      <c r="D2782" s="4">
        <v>13</v>
      </c>
      <c r="I2782" s="1">
        <f t="shared" si="375"/>
        <v>0</v>
      </c>
      <c r="J2782" s="1">
        <f t="shared" si="379"/>
        <v>0</v>
      </c>
      <c r="K2782" s="9" t="e">
        <f t="shared" si="376"/>
        <v>#DIV/0!</v>
      </c>
    </row>
    <row r="2783" spans="1:12" x14ac:dyDescent="0.35">
      <c r="A2783" s="2" t="s">
        <v>343</v>
      </c>
      <c r="B2783" s="2" t="s">
        <v>371</v>
      </c>
      <c r="C2783" s="21" t="s">
        <v>275</v>
      </c>
      <c r="D2783" s="4">
        <v>14</v>
      </c>
      <c r="I2783" s="1">
        <f t="shared" si="375"/>
        <v>0</v>
      </c>
      <c r="J2783" s="1">
        <f t="shared" si="379"/>
        <v>0</v>
      </c>
      <c r="K2783" s="9" t="e">
        <f t="shared" si="376"/>
        <v>#DIV/0!</v>
      </c>
    </row>
    <row r="2784" spans="1:12" x14ac:dyDescent="0.35">
      <c r="A2784" s="2" t="s">
        <v>343</v>
      </c>
      <c r="B2784" s="2" t="s">
        <v>371</v>
      </c>
      <c r="C2784" s="21" t="s">
        <v>275</v>
      </c>
      <c r="D2784" s="4">
        <v>15</v>
      </c>
      <c r="I2784" s="1">
        <f t="shared" si="375"/>
        <v>0</v>
      </c>
      <c r="J2784" s="1">
        <f t="shared" si="379"/>
        <v>0</v>
      </c>
      <c r="K2784" s="9" t="e">
        <f t="shared" si="376"/>
        <v>#DIV/0!</v>
      </c>
    </row>
    <row r="2785" spans="1:12" ht="15" thickBot="1" x14ac:dyDescent="0.4">
      <c r="A2785" s="12" t="s">
        <v>343</v>
      </c>
      <c r="B2785" s="12" t="s">
        <v>371</v>
      </c>
      <c r="C2785" s="22" t="s">
        <v>275</v>
      </c>
      <c r="D2785" s="14">
        <v>16</v>
      </c>
      <c r="E2785" s="13"/>
      <c r="F2785" s="13"/>
      <c r="G2785" s="13"/>
      <c r="H2785" s="13"/>
      <c r="I2785" s="15">
        <f t="shared" si="375"/>
        <v>0</v>
      </c>
      <c r="J2785" s="15">
        <f t="shared" si="379"/>
        <v>0</v>
      </c>
      <c r="K2785" s="16" t="e">
        <f t="shared" si="376"/>
        <v>#DIV/0!</v>
      </c>
      <c r="L2785" s="13"/>
    </row>
    <row r="2786" spans="1:12" x14ac:dyDescent="0.35">
      <c r="A2786" s="2" t="s">
        <v>344</v>
      </c>
      <c r="B2786" s="2" t="s">
        <v>372</v>
      </c>
      <c r="C2786" s="21" t="s">
        <v>275</v>
      </c>
      <c r="D2786" s="4">
        <v>1</v>
      </c>
      <c r="F2786" s="3">
        <v>45965</v>
      </c>
      <c r="G2786">
        <v>4528</v>
      </c>
      <c r="H2786">
        <v>4105</v>
      </c>
      <c r="I2786" s="1">
        <f t="shared" si="375"/>
        <v>423</v>
      </c>
      <c r="J2786" s="1">
        <f>I2786</f>
        <v>423</v>
      </c>
      <c r="K2786" s="9">
        <f t="shared" si="376"/>
        <v>0.10304506699147381</v>
      </c>
    </row>
    <row r="2787" spans="1:12" x14ac:dyDescent="0.35">
      <c r="A2787" s="2" t="s">
        <v>344</v>
      </c>
      <c r="B2787" s="2" t="s">
        <v>372</v>
      </c>
      <c r="C2787" s="21" t="s">
        <v>275</v>
      </c>
      <c r="D2787" s="4">
        <v>2</v>
      </c>
      <c r="I2787" s="1">
        <f t="shared" si="375"/>
        <v>0</v>
      </c>
      <c r="J2787" s="1">
        <f>J2786+I2787</f>
        <v>423</v>
      </c>
      <c r="K2787" s="9" t="e">
        <f t="shared" si="376"/>
        <v>#DIV/0!</v>
      </c>
    </row>
    <row r="2788" spans="1:12" x14ac:dyDescent="0.35">
      <c r="A2788" s="2" t="s">
        <v>344</v>
      </c>
      <c r="B2788" s="2" t="s">
        <v>372</v>
      </c>
      <c r="C2788" s="21" t="s">
        <v>275</v>
      </c>
      <c r="D2788" s="4">
        <v>3</v>
      </c>
      <c r="I2788" s="1">
        <f t="shared" si="375"/>
        <v>0</v>
      </c>
      <c r="J2788" s="1">
        <f t="shared" ref="J2788:J2801" si="380">J2787+I2788</f>
        <v>423</v>
      </c>
      <c r="K2788" s="9" t="e">
        <f t="shared" si="376"/>
        <v>#DIV/0!</v>
      </c>
    </row>
    <row r="2789" spans="1:12" x14ac:dyDescent="0.35">
      <c r="A2789" s="2" t="s">
        <v>344</v>
      </c>
      <c r="B2789" s="2" t="s">
        <v>372</v>
      </c>
      <c r="C2789" s="21" t="s">
        <v>275</v>
      </c>
      <c r="D2789" s="4">
        <v>4</v>
      </c>
      <c r="I2789" s="1">
        <f t="shared" si="375"/>
        <v>0</v>
      </c>
      <c r="J2789" s="1">
        <f t="shared" si="380"/>
        <v>423</v>
      </c>
      <c r="K2789" s="9" t="e">
        <f t="shared" si="376"/>
        <v>#DIV/0!</v>
      </c>
    </row>
    <row r="2790" spans="1:12" x14ac:dyDescent="0.35">
      <c r="A2790" s="2" t="s">
        <v>344</v>
      </c>
      <c r="B2790" s="2" t="s">
        <v>372</v>
      </c>
      <c r="C2790" s="21" t="s">
        <v>275</v>
      </c>
      <c r="D2790" s="4">
        <v>5</v>
      </c>
      <c r="I2790" s="1">
        <f t="shared" si="375"/>
        <v>0</v>
      </c>
      <c r="J2790" s="1">
        <f t="shared" si="380"/>
        <v>423</v>
      </c>
      <c r="K2790" s="9" t="e">
        <f t="shared" si="376"/>
        <v>#DIV/0!</v>
      </c>
    </row>
    <row r="2791" spans="1:12" x14ac:dyDescent="0.35">
      <c r="A2791" s="2" t="s">
        <v>344</v>
      </c>
      <c r="B2791" s="2" t="s">
        <v>372</v>
      </c>
      <c r="C2791" s="21" t="s">
        <v>275</v>
      </c>
      <c r="D2791" s="4">
        <v>6</v>
      </c>
      <c r="I2791" s="1">
        <f t="shared" si="375"/>
        <v>0</v>
      </c>
      <c r="J2791" s="1">
        <f t="shared" si="380"/>
        <v>423</v>
      </c>
      <c r="K2791" s="9" t="e">
        <f t="shared" si="376"/>
        <v>#DIV/0!</v>
      </c>
    </row>
    <row r="2792" spans="1:12" x14ac:dyDescent="0.35">
      <c r="A2792" s="2" t="s">
        <v>344</v>
      </c>
      <c r="B2792" s="2" t="s">
        <v>372</v>
      </c>
      <c r="C2792" s="21" t="s">
        <v>275</v>
      </c>
      <c r="D2792" s="4">
        <v>7</v>
      </c>
      <c r="I2792" s="1">
        <f t="shared" si="375"/>
        <v>0</v>
      </c>
      <c r="J2792" s="1">
        <f t="shared" si="380"/>
        <v>423</v>
      </c>
      <c r="K2792" s="9" t="e">
        <f t="shared" si="376"/>
        <v>#DIV/0!</v>
      </c>
    </row>
    <row r="2793" spans="1:12" x14ac:dyDescent="0.35">
      <c r="A2793" s="2" t="s">
        <v>344</v>
      </c>
      <c r="B2793" s="2" t="s">
        <v>372</v>
      </c>
      <c r="C2793" s="21" t="s">
        <v>275</v>
      </c>
      <c r="D2793" s="4">
        <v>8</v>
      </c>
      <c r="I2793" s="1">
        <f t="shared" si="375"/>
        <v>0</v>
      </c>
      <c r="J2793" s="1">
        <f t="shared" si="380"/>
        <v>423</v>
      </c>
      <c r="K2793" s="9" t="e">
        <f t="shared" si="376"/>
        <v>#DIV/0!</v>
      </c>
    </row>
    <row r="2794" spans="1:12" x14ac:dyDescent="0.35">
      <c r="A2794" s="2" t="s">
        <v>344</v>
      </c>
      <c r="B2794" s="2" t="s">
        <v>372</v>
      </c>
      <c r="C2794" s="21" t="s">
        <v>275</v>
      </c>
      <c r="D2794" s="4">
        <v>9</v>
      </c>
      <c r="I2794" s="1">
        <f t="shared" si="375"/>
        <v>0</v>
      </c>
      <c r="J2794" s="1">
        <f t="shared" si="380"/>
        <v>423</v>
      </c>
      <c r="K2794" s="9" t="e">
        <f t="shared" si="376"/>
        <v>#DIV/0!</v>
      </c>
    </row>
    <row r="2795" spans="1:12" x14ac:dyDescent="0.35">
      <c r="A2795" s="2" t="s">
        <v>344</v>
      </c>
      <c r="B2795" s="2" t="s">
        <v>372</v>
      </c>
      <c r="C2795" s="21" t="s">
        <v>275</v>
      </c>
      <c r="D2795" s="4">
        <v>10</v>
      </c>
      <c r="I2795" s="1">
        <f t="shared" si="375"/>
        <v>0</v>
      </c>
      <c r="J2795" s="1">
        <f t="shared" si="380"/>
        <v>423</v>
      </c>
      <c r="K2795" s="9" t="e">
        <f t="shared" si="376"/>
        <v>#DIV/0!</v>
      </c>
    </row>
    <row r="2796" spans="1:12" x14ac:dyDescent="0.35">
      <c r="A2796" s="2" t="s">
        <v>344</v>
      </c>
      <c r="B2796" s="2" t="s">
        <v>372</v>
      </c>
      <c r="C2796" s="21" t="s">
        <v>275</v>
      </c>
      <c r="D2796" s="4">
        <v>11</v>
      </c>
      <c r="I2796" s="1">
        <f t="shared" si="375"/>
        <v>0</v>
      </c>
      <c r="J2796" s="1">
        <f t="shared" si="380"/>
        <v>423</v>
      </c>
      <c r="K2796" s="9" t="e">
        <f t="shared" si="376"/>
        <v>#DIV/0!</v>
      </c>
    </row>
    <row r="2797" spans="1:12" x14ac:dyDescent="0.35">
      <c r="A2797" s="2" t="s">
        <v>344</v>
      </c>
      <c r="B2797" s="2" t="s">
        <v>372</v>
      </c>
      <c r="C2797" s="21" t="s">
        <v>275</v>
      </c>
      <c r="D2797" s="4">
        <v>12</v>
      </c>
      <c r="I2797" s="1">
        <f t="shared" si="375"/>
        <v>0</v>
      </c>
      <c r="J2797" s="1">
        <f t="shared" si="380"/>
        <v>423</v>
      </c>
      <c r="K2797" s="9" t="e">
        <f t="shared" si="376"/>
        <v>#DIV/0!</v>
      </c>
    </row>
    <row r="2798" spans="1:12" x14ac:dyDescent="0.35">
      <c r="A2798" s="2" t="s">
        <v>344</v>
      </c>
      <c r="B2798" s="2" t="s">
        <v>372</v>
      </c>
      <c r="C2798" s="21" t="s">
        <v>275</v>
      </c>
      <c r="D2798" s="4">
        <v>13</v>
      </c>
      <c r="I2798" s="1">
        <f t="shared" si="375"/>
        <v>0</v>
      </c>
      <c r="J2798" s="1">
        <f t="shared" si="380"/>
        <v>423</v>
      </c>
      <c r="K2798" s="9" t="e">
        <f t="shared" si="376"/>
        <v>#DIV/0!</v>
      </c>
    </row>
    <row r="2799" spans="1:12" x14ac:dyDescent="0.35">
      <c r="A2799" s="2" t="s">
        <v>344</v>
      </c>
      <c r="B2799" s="2" t="s">
        <v>372</v>
      </c>
      <c r="C2799" s="21" t="s">
        <v>275</v>
      </c>
      <c r="D2799" s="4">
        <v>14</v>
      </c>
      <c r="I2799" s="1">
        <f t="shared" si="375"/>
        <v>0</v>
      </c>
      <c r="J2799" s="1">
        <f t="shared" si="380"/>
        <v>423</v>
      </c>
      <c r="K2799" s="9" t="e">
        <f t="shared" si="376"/>
        <v>#DIV/0!</v>
      </c>
    </row>
    <row r="2800" spans="1:12" x14ac:dyDescent="0.35">
      <c r="A2800" s="2" t="s">
        <v>344</v>
      </c>
      <c r="B2800" s="2" t="s">
        <v>372</v>
      </c>
      <c r="C2800" s="21" t="s">
        <v>275</v>
      </c>
      <c r="D2800" s="4">
        <v>15</v>
      </c>
      <c r="I2800" s="1">
        <f t="shared" si="375"/>
        <v>0</v>
      </c>
      <c r="J2800" s="1">
        <f t="shared" si="380"/>
        <v>423</v>
      </c>
      <c r="K2800" s="9" t="e">
        <f t="shared" si="376"/>
        <v>#DIV/0!</v>
      </c>
    </row>
    <row r="2801" spans="1:12" ht="15" thickBot="1" x14ac:dyDescent="0.4">
      <c r="A2801" s="12" t="s">
        <v>344</v>
      </c>
      <c r="B2801" s="12" t="s">
        <v>372</v>
      </c>
      <c r="C2801" s="22" t="s">
        <v>275</v>
      </c>
      <c r="D2801" s="14">
        <v>16</v>
      </c>
      <c r="E2801" s="13"/>
      <c r="F2801" s="13"/>
      <c r="G2801" s="13"/>
      <c r="H2801" s="13"/>
      <c r="I2801" s="15">
        <f t="shared" si="375"/>
        <v>0</v>
      </c>
      <c r="J2801" s="15">
        <f t="shared" si="380"/>
        <v>423</v>
      </c>
      <c r="K2801" s="16" t="e">
        <f t="shared" si="376"/>
        <v>#DIV/0!</v>
      </c>
      <c r="L2801" s="13"/>
    </row>
    <row r="2802" spans="1:12" x14ac:dyDescent="0.35">
      <c r="A2802" s="2" t="s">
        <v>345</v>
      </c>
      <c r="B2802" s="2" t="s">
        <v>373</v>
      </c>
      <c r="C2802" s="21" t="s">
        <v>275</v>
      </c>
      <c r="D2802" s="4">
        <v>1</v>
      </c>
      <c r="F2802" s="3">
        <v>45965</v>
      </c>
      <c r="G2802">
        <v>4000</v>
      </c>
      <c r="H2802">
        <v>3800</v>
      </c>
      <c r="I2802" s="1">
        <f t="shared" ref="I2802:I2817" si="381">G2802-H2802</f>
        <v>200</v>
      </c>
      <c r="J2802" s="1">
        <f>I2802</f>
        <v>200</v>
      </c>
      <c r="K2802" s="9">
        <f t="shared" si="376"/>
        <v>5.2631578947368418E-2</v>
      </c>
    </row>
    <row r="2803" spans="1:12" x14ac:dyDescent="0.35">
      <c r="A2803" s="2" t="s">
        <v>345</v>
      </c>
      <c r="B2803" s="2" t="s">
        <v>373</v>
      </c>
      <c r="C2803" s="21" t="s">
        <v>275</v>
      </c>
      <c r="D2803" s="4">
        <v>2</v>
      </c>
      <c r="I2803" s="1">
        <f t="shared" si="381"/>
        <v>0</v>
      </c>
      <c r="J2803" s="1">
        <f>J2802+I2803</f>
        <v>200</v>
      </c>
      <c r="K2803" s="9" t="e">
        <f t="shared" ref="K2803:K2818" si="382">I2803/H2803</f>
        <v>#DIV/0!</v>
      </c>
    </row>
    <row r="2804" spans="1:12" x14ac:dyDescent="0.35">
      <c r="A2804" s="2" t="s">
        <v>345</v>
      </c>
      <c r="B2804" s="2" t="s">
        <v>373</v>
      </c>
      <c r="C2804" s="21" t="s">
        <v>275</v>
      </c>
      <c r="D2804" s="4">
        <v>3</v>
      </c>
      <c r="I2804" s="1">
        <f t="shared" si="381"/>
        <v>0</v>
      </c>
      <c r="J2804" s="1">
        <f t="shared" ref="J2804:J2817" si="383">J2803+I2804</f>
        <v>200</v>
      </c>
      <c r="K2804" s="9" t="e">
        <f t="shared" si="382"/>
        <v>#DIV/0!</v>
      </c>
    </row>
    <row r="2805" spans="1:12" x14ac:dyDescent="0.35">
      <c r="A2805" s="2" t="s">
        <v>345</v>
      </c>
      <c r="B2805" s="2" t="s">
        <v>373</v>
      </c>
      <c r="C2805" s="21" t="s">
        <v>275</v>
      </c>
      <c r="D2805" s="4">
        <v>4</v>
      </c>
      <c r="I2805" s="1">
        <f t="shared" si="381"/>
        <v>0</v>
      </c>
      <c r="J2805" s="1">
        <f t="shared" si="383"/>
        <v>200</v>
      </c>
      <c r="K2805" s="9" t="e">
        <f t="shared" si="382"/>
        <v>#DIV/0!</v>
      </c>
    </row>
    <row r="2806" spans="1:12" x14ac:dyDescent="0.35">
      <c r="A2806" s="2" t="s">
        <v>345</v>
      </c>
      <c r="B2806" s="2" t="s">
        <v>373</v>
      </c>
      <c r="C2806" s="21" t="s">
        <v>275</v>
      </c>
      <c r="D2806" s="4">
        <v>5</v>
      </c>
      <c r="I2806" s="1">
        <f t="shared" si="381"/>
        <v>0</v>
      </c>
      <c r="J2806" s="1">
        <f t="shared" si="383"/>
        <v>200</v>
      </c>
      <c r="K2806" s="9" t="e">
        <f t="shared" si="382"/>
        <v>#DIV/0!</v>
      </c>
    </row>
    <row r="2807" spans="1:12" x14ac:dyDescent="0.35">
      <c r="A2807" s="2" t="s">
        <v>345</v>
      </c>
      <c r="B2807" s="2" t="s">
        <v>373</v>
      </c>
      <c r="C2807" s="21" t="s">
        <v>275</v>
      </c>
      <c r="D2807" s="4">
        <v>6</v>
      </c>
      <c r="I2807" s="1">
        <f t="shared" si="381"/>
        <v>0</v>
      </c>
      <c r="J2807" s="1">
        <f t="shared" si="383"/>
        <v>200</v>
      </c>
      <c r="K2807" s="9" t="e">
        <f t="shared" si="382"/>
        <v>#DIV/0!</v>
      </c>
    </row>
    <row r="2808" spans="1:12" x14ac:dyDescent="0.35">
      <c r="A2808" s="2" t="s">
        <v>345</v>
      </c>
      <c r="B2808" s="2" t="s">
        <v>373</v>
      </c>
      <c r="C2808" s="21" t="s">
        <v>275</v>
      </c>
      <c r="D2808" s="4">
        <v>7</v>
      </c>
      <c r="I2808" s="1">
        <f t="shared" si="381"/>
        <v>0</v>
      </c>
      <c r="J2808" s="1">
        <f t="shared" si="383"/>
        <v>200</v>
      </c>
      <c r="K2808" s="9" t="e">
        <f t="shared" si="382"/>
        <v>#DIV/0!</v>
      </c>
    </row>
    <row r="2809" spans="1:12" x14ac:dyDescent="0.35">
      <c r="A2809" s="2" t="s">
        <v>345</v>
      </c>
      <c r="B2809" s="2" t="s">
        <v>373</v>
      </c>
      <c r="C2809" s="21" t="s">
        <v>275</v>
      </c>
      <c r="D2809" s="4">
        <v>8</v>
      </c>
      <c r="I2809" s="1">
        <f t="shared" si="381"/>
        <v>0</v>
      </c>
      <c r="J2809" s="1">
        <f t="shared" si="383"/>
        <v>200</v>
      </c>
      <c r="K2809" s="9" t="e">
        <f t="shared" si="382"/>
        <v>#DIV/0!</v>
      </c>
    </row>
    <row r="2810" spans="1:12" x14ac:dyDescent="0.35">
      <c r="A2810" s="2" t="s">
        <v>345</v>
      </c>
      <c r="B2810" s="2" t="s">
        <v>373</v>
      </c>
      <c r="C2810" s="21" t="s">
        <v>275</v>
      </c>
      <c r="D2810" s="4">
        <v>9</v>
      </c>
      <c r="I2810" s="1">
        <f t="shared" si="381"/>
        <v>0</v>
      </c>
      <c r="J2810" s="1">
        <f t="shared" si="383"/>
        <v>200</v>
      </c>
      <c r="K2810" s="9" t="e">
        <f t="shared" si="382"/>
        <v>#DIV/0!</v>
      </c>
    </row>
    <row r="2811" spans="1:12" x14ac:dyDescent="0.35">
      <c r="A2811" s="2" t="s">
        <v>345</v>
      </c>
      <c r="B2811" s="2" t="s">
        <v>373</v>
      </c>
      <c r="C2811" s="21" t="s">
        <v>275</v>
      </c>
      <c r="D2811" s="4">
        <v>10</v>
      </c>
      <c r="I2811" s="1">
        <f t="shared" si="381"/>
        <v>0</v>
      </c>
      <c r="J2811" s="1">
        <f t="shared" si="383"/>
        <v>200</v>
      </c>
      <c r="K2811" s="9" t="e">
        <f t="shared" si="382"/>
        <v>#DIV/0!</v>
      </c>
    </row>
    <row r="2812" spans="1:12" x14ac:dyDescent="0.35">
      <c r="A2812" s="2" t="s">
        <v>345</v>
      </c>
      <c r="B2812" s="2" t="s">
        <v>373</v>
      </c>
      <c r="C2812" s="21" t="s">
        <v>275</v>
      </c>
      <c r="D2812" s="4">
        <v>11</v>
      </c>
      <c r="I2812" s="1">
        <f t="shared" si="381"/>
        <v>0</v>
      </c>
      <c r="J2812" s="1">
        <f t="shared" si="383"/>
        <v>200</v>
      </c>
      <c r="K2812" s="9" t="e">
        <f t="shared" si="382"/>
        <v>#DIV/0!</v>
      </c>
    </row>
    <row r="2813" spans="1:12" x14ac:dyDescent="0.35">
      <c r="A2813" s="2" t="s">
        <v>345</v>
      </c>
      <c r="B2813" s="2" t="s">
        <v>373</v>
      </c>
      <c r="C2813" s="21" t="s">
        <v>275</v>
      </c>
      <c r="D2813" s="4">
        <v>12</v>
      </c>
      <c r="I2813" s="1">
        <f t="shared" si="381"/>
        <v>0</v>
      </c>
      <c r="J2813" s="1">
        <f t="shared" si="383"/>
        <v>200</v>
      </c>
      <c r="K2813" s="9" t="e">
        <f t="shared" si="382"/>
        <v>#DIV/0!</v>
      </c>
    </row>
    <row r="2814" spans="1:12" x14ac:dyDescent="0.35">
      <c r="A2814" s="2" t="s">
        <v>345</v>
      </c>
      <c r="B2814" s="2" t="s">
        <v>373</v>
      </c>
      <c r="C2814" s="21" t="s">
        <v>275</v>
      </c>
      <c r="D2814" s="4">
        <v>13</v>
      </c>
      <c r="I2814" s="1">
        <f t="shared" si="381"/>
        <v>0</v>
      </c>
      <c r="J2814" s="1">
        <f t="shared" si="383"/>
        <v>200</v>
      </c>
      <c r="K2814" s="9" t="e">
        <f t="shared" si="382"/>
        <v>#DIV/0!</v>
      </c>
    </row>
    <row r="2815" spans="1:12" x14ac:dyDescent="0.35">
      <c r="A2815" s="2" t="s">
        <v>345</v>
      </c>
      <c r="B2815" s="2" t="s">
        <v>373</v>
      </c>
      <c r="C2815" s="21" t="s">
        <v>275</v>
      </c>
      <c r="D2815" s="4">
        <v>14</v>
      </c>
      <c r="I2815" s="1">
        <f t="shared" si="381"/>
        <v>0</v>
      </c>
      <c r="J2815" s="1">
        <f t="shared" si="383"/>
        <v>200</v>
      </c>
      <c r="K2815" s="9" t="e">
        <f t="shared" si="382"/>
        <v>#DIV/0!</v>
      </c>
    </row>
    <row r="2816" spans="1:12" x14ac:dyDescent="0.35">
      <c r="A2816" s="2" t="s">
        <v>345</v>
      </c>
      <c r="B2816" s="2" t="s">
        <v>373</v>
      </c>
      <c r="C2816" s="21" t="s">
        <v>275</v>
      </c>
      <c r="D2816" s="4">
        <v>15</v>
      </c>
      <c r="I2816" s="1">
        <f t="shared" si="381"/>
        <v>0</v>
      </c>
      <c r="J2816" s="1">
        <f t="shared" si="383"/>
        <v>200</v>
      </c>
      <c r="K2816" s="9" t="e">
        <f t="shared" si="382"/>
        <v>#DIV/0!</v>
      </c>
    </row>
    <row r="2817" spans="1:12" ht="15" thickBot="1" x14ac:dyDescent="0.4">
      <c r="A2817" s="12" t="s">
        <v>345</v>
      </c>
      <c r="B2817" s="12" t="s">
        <v>373</v>
      </c>
      <c r="C2817" s="22" t="s">
        <v>275</v>
      </c>
      <c r="D2817" s="14">
        <v>16</v>
      </c>
      <c r="E2817" s="13"/>
      <c r="F2817" s="13"/>
      <c r="G2817" s="13"/>
      <c r="H2817" s="13"/>
      <c r="I2817" s="15">
        <f t="shared" si="381"/>
        <v>0</v>
      </c>
      <c r="J2817" s="15">
        <f t="shared" si="383"/>
        <v>200</v>
      </c>
      <c r="K2817" s="16" t="e">
        <f t="shared" si="382"/>
        <v>#DIV/0!</v>
      </c>
      <c r="L2817" s="13"/>
    </row>
    <row r="2818" spans="1:12" x14ac:dyDescent="0.35">
      <c r="A2818" s="2" t="s">
        <v>346</v>
      </c>
      <c r="B2818" s="2" t="s">
        <v>374</v>
      </c>
      <c r="C2818" s="21" t="s">
        <v>275</v>
      </c>
      <c r="D2818" s="4">
        <v>1</v>
      </c>
      <c r="F2818" s="3">
        <v>45965</v>
      </c>
      <c r="G2818">
        <v>3277</v>
      </c>
      <c r="H2818">
        <v>3116.03</v>
      </c>
      <c r="I2818" s="1">
        <f t="shared" ref="I2818:I2833" si="384">G2818-H2818</f>
        <v>160.9699999999998</v>
      </c>
      <c r="J2818" s="1">
        <f>I2818</f>
        <v>160.9699999999998</v>
      </c>
      <c r="K2818" s="9">
        <f t="shared" si="382"/>
        <v>5.16586810781667E-2</v>
      </c>
    </row>
    <row r="2819" spans="1:12" x14ac:dyDescent="0.35">
      <c r="A2819" s="2" t="s">
        <v>346</v>
      </c>
      <c r="B2819" s="2" t="s">
        <v>374</v>
      </c>
      <c r="C2819" s="21" t="s">
        <v>275</v>
      </c>
      <c r="D2819" s="4">
        <v>2</v>
      </c>
      <c r="I2819" s="1">
        <f t="shared" si="384"/>
        <v>0</v>
      </c>
      <c r="J2819" s="1">
        <f>J2818+I2819</f>
        <v>160.9699999999998</v>
      </c>
      <c r="K2819" s="9" t="e">
        <f t="shared" ref="K2819:K2834" si="385">I2819/H2819</f>
        <v>#DIV/0!</v>
      </c>
    </row>
    <row r="2820" spans="1:12" x14ac:dyDescent="0.35">
      <c r="A2820" s="2" t="s">
        <v>346</v>
      </c>
      <c r="B2820" s="2" t="s">
        <v>374</v>
      </c>
      <c r="C2820" s="21" t="s">
        <v>275</v>
      </c>
      <c r="D2820" s="4">
        <v>3</v>
      </c>
      <c r="I2820" s="1">
        <f t="shared" si="384"/>
        <v>0</v>
      </c>
      <c r="J2820" s="1">
        <f t="shared" ref="J2820:J2833" si="386">J2819+I2820</f>
        <v>160.9699999999998</v>
      </c>
      <c r="K2820" s="9" t="e">
        <f t="shared" si="385"/>
        <v>#DIV/0!</v>
      </c>
    </row>
    <row r="2821" spans="1:12" x14ac:dyDescent="0.35">
      <c r="A2821" s="2" t="s">
        <v>346</v>
      </c>
      <c r="B2821" s="2" t="s">
        <v>374</v>
      </c>
      <c r="C2821" s="21" t="s">
        <v>275</v>
      </c>
      <c r="D2821" s="4">
        <v>4</v>
      </c>
      <c r="I2821" s="1">
        <f t="shared" si="384"/>
        <v>0</v>
      </c>
      <c r="J2821" s="1">
        <f t="shared" si="386"/>
        <v>160.9699999999998</v>
      </c>
      <c r="K2821" s="9" t="e">
        <f t="shared" si="385"/>
        <v>#DIV/0!</v>
      </c>
    </row>
    <row r="2822" spans="1:12" x14ac:dyDescent="0.35">
      <c r="A2822" s="2" t="s">
        <v>346</v>
      </c>
      <c r="B2822" s="2" t="s">
        <v>374</v>
      </c>
      <c r="C2822" s="21" t="s">
        <v>275</v>
      </c>
      <c r="D2822" s="4">
        <v>5</v>
      </c>
      <c r="I2822" s="1">
        <f t="shared" si="384"/>
        <v>0</v>
      </c>
      <c r="J2822" s="1">
        <f t="shared" si="386"/>
        <v>160.9699999999998</v>
      </c>
      <c r="K2822" s="9" t="e">
        <f t="shared" si="385"/>
        <v>#DIV/0!</v>
      </c>
    </row>
    <row r="2823" spans="1:12" x14ac:dyDescent="0.35">
      <c r="A2823" s="2" t="s">
        <v>346</v>
      </c>
      <c r="B2823" s="2" t="s">
        <v>374</v>
      </c>
      <c r="C2823" s="21" t="s">
        <v>275</v>
      </c>
      <c r="D2823" s="4">
        <v>6</v>
      </c>
      <c r="I2823" s="1">
        <f t="shared" si="384"/>
        <v>0</v>
      </c>
      <c r="J2823" s="1">
        <f t="shared" si="386"/>
        <v>160.9699999999998</v>
      </c>
      <c r="K2823" s="9" t="e">
        <f t="shared" si="385"/>
        <v>#DIV/0!</v>
      </c>
    </row>
    <row r="2824" spans="1:12" x14ac:dyDescent="0.35">
      <c r="A2824" s="2" t="s">
        <v>346</v>
      </c>
      <c r="B2824" s="2" t="s">
        <v>374</v>
      </c>
      <c r="C2824" s="21" t="s">
        <v>275</v>
      </c>
      <c r="D2824" s="4">
        <v>7</v>
      </c>
      <c r="I2824" s="1">
        <f t="shared" si="384"/>
        <v>0</v>
      </c>
      <c r="J2824" s="1">
        <f t="shared" si="386"/>
        <v>160.9699999999998</v>
      </c>
      <c r="K2824" s="9" t="e">
        <f t="shared" si="385"/>
        <v>#DIV/0!</v>
      </c>
    </row>
    <row r="2825" spans="1:12" x14ac:dyDescent="0.35">
      <c r="A2825" s="2" t="s">
        <v>346</v>
      </c>
      <c r="B2825" s="2" t="s">
        <v>374</v>
      </c>
      <c r="C2825" s="21" t="s">
        <v>275</v>
      </c>
      <c r="D2825" s="4">
        <v>8</v>
      </c>
      <c r="I2825" s="1">
        <f t="shared" si="384"/>
        <v>0</v>
      </c>
      <c r="J2825" s="1">
        <f t="shared" si="386"/>
        <v>160.9699999999998</v>
      </c>
      <c r="K2825" s="9" t="e">
        <f t="shared" si="385"/>
        <v>#DIV/0!</v>
      </c>
    </row>
    <row r="2826" spans="1:12" x14ac:dyDescent="0.35">
      <c r="A2826" s="2" t="s">
        <v>346</v>
      </c>
      <c r="B2826" s="2" t="s">
        <v>374</v>
      </c>
      <c r="C2826" s="21" t="s">
        <v>275</v>
      </c>
      <c r="D2826" s="4">
        <v>9</v>
      </c>
      <c r="I2826" s="1">
        <f t="shared" si="384"/>
        <v>0</v>
      </c>
      <c r="J2826" s="1">
        <f t="shared" si="386"/>
        <v>160.9699999999998</v>
      </c>
      <c r="K2826" s="9" t="e">
        <f t="shared" si="385"/>
        <v>#DIV/0!</v>
      </c>
    </row>
    <row r="2827" spans="1:12" x14ac:dyDescent="0.35">
      <c r="A2827" s="2" t="s">
        <v>346</v>
      </c>
      <c r="B2827" s="2" t="s">
        <v>374</v>
      </c>
      <c r="C2827" s="21" t="s">
        <v>275</v>
      </c>
      <c r="D2827" s="4">
        <v>10</v>
      </c>
      <c r="I2827" s="1">
        <f t="shared" si="384"/>
        <v>0</v>
      </c>
      <c r="J2827" s="1">
        <f t="shared" si="386"/>
        <v>160.9699999999998</v>
      </c>
      <c r="K2827" s="9" t="e">
        <f t="shared" si="385"/>
        <v>#DIV/0!</v>
      </c>
    </row>
    <row r="2828" spans="1:12" x14ac:dyDescent="0.35">
      <c r="A2828" s="2" t="s">
        <v>346</v>
      </c>
      <c r="B2828" s="2" t="s">
        <v>374</v>
      </c>
      <c r="C2828" s="21" t="s">
        <v>275</v>
      </c>
      <c r="D2828" s="4">
        <v>11</v>
      </c>
      <c r="I2828" s="1">
        <f t="shared" si="384"/>
        <v>0</v>
      </c>
      <c r="J2828" s="1">
        <f t="shared" si="386"/>
        <v>160.9699999999998</v>
      </c>
      <c r="K2828" s="9" t="e">
        <f t="shared" si="385"/>
        <v>#DIV/0!</v>
      </c>
    </row>
    <row r="2829" spans="1:12" x14ac:dyDescent="0.35">
      <c r="A2829" s="2" t="s">
        <v>346</v>
      </c>
      <c r="B2829" s="2" t="s">
        <v>374</v>
      </c>
      <c r="C2829" s="21" t="s">
        <v>275</v>
      </c>
      <c r="D2829" s="4">
        <v>12</v>
      </c>
      <c r="I2829" s="1">
        <f t="shared" si="384"/>
        <v>0</v>
      </c>
      <c r="J2829" s="1">
        <f t="shared" si="386"/>
        <v>160.9699999999998</v>
      </c>
      <c r="K2829" s="9" t="e">
        <f t="shared" si="385"/>
        <v>#DIV/0!</v>
      </c>
    </row>
    <row r="2830" spans="1:12" x14ac:dyDescent="0.35">
      <c r="A2830" s="2" t="s">
        <v>346</v>
      </c>
      <c r="B2830" s="2" t="s">
        <v>374</v>
      </c>
      <c r="C2830" s="21" t="s">
        <v>275</v>
      </c>
      <c r="D2830" s="4">
        <v>13</v>
      </c>
      <c r="I2830" s="1">
        <f t="shared" si="384"/>
        <v>0</v>
      </c>
      <c r="J2830" s="1">
        <f t="shared" si="386"/>
        <v>160.9699999999998</v>
      </c>
      <c r="K2830" s="9" t="e">
        <f t="shared" si="385"/>
        <v>#DIV/0!</v>
      </c>
    </row>
    <row r="2831" spans="1:12" x14ac:dyDescent="0.35">
      <c r="A2831" s="2" t="s">
        <v>346</v>
      </c>
      <c r="B2831" s="2" t="s">
        <v>374</v>
      </c>
      <c r="C2831" s="21" t="s">
        <v>275</v>
      </c>
      <c r="D2831" s="4">
        <v>14</v>
      </c>
      <c r="I2831" s="1">
        <f t="shared" si="384"/>
        <v>0</v>
      </c>
      <c r="J2831" s="1">
        <f t="shared" si="386"/>
        <v>160.9699999999998</v>
      </c>
      <c r="K2831" s="9" t="e">
        <f t="shared" si="385"/>
        <v>#DIV/0!</v>
      </c>
    </row>
    <row r="2832" spans="1:12" x14ac:dyDescent="0.35">
      <c r="A2832" s="2" t="s">
        <v>346</v>
      </c>
      <c r="B2832" s="2" t="s">
        <v>374</v>
      </c>
      <c r="C2832" s="21" t="s">
        <v>275</v>
      </c>
      <c r="D2832" s="4">
        <v>15</v>
      </c>
      <c r="I2832" s="1">
        <f t="shared" si="384"/>
        <v>0</v>
      </c>
      <c r="J2832" s="1">
        <f t="shared" si="386"/>
        <v>160.9699999999998</v>
      </c>
      <c r="K2832" s="9" t="e">
        <f t="shared" si="385"/>
        <v>#DIV/0!</v>
      </c>
    </row>
    <row r="2833" spans="1:12" ht="15" thickBot="1" x14ac:dyDescent="0.4">
      <c r="A2833" s="12" t="s">
        <v>346</v>
      </c>
      <c r="B2833" s="12" t="s">
        <v>374</v>
      </c>
      <c r="C2833" s="22" t="s">
        <v>275</v>
      </c>
      <c r="D2833" s="14">
        <v>16</v>
      </c>
      <c r="E2833" s="13"/>
      <c r="F2833" s="13"/>
      <c r="G2833" s="13"/>
      <c r="H2833" s="13"/>
      <c r="I2833" s="15">
        <f t="shared" si="384"/>
        <v>0</v>
      </c>
      <c r="J2833" s="15">
        <f t="shared" si="386"/>
        <v>160.9699999999998</v>
      </c>
      <c r="K2833" s="16" t="e">
        <f t="shared" si="385"/>
        <v>#DIV/0!</v>
      </c>
      <c r="L2833" s="13"/>
    </row>
    <row r="2834" spans="1:12" x14ac:dyDescent="0.35">
      <c r="A2834" s="2" t="s">
        <v>347</v>
      </c>
      <c r="B2834" s="2" t="s">
        <v>375</v>
      </c>
      <c r="C2834" s="21" t="s">
        <v>275</v>
      </c>
      <c r="D2834" s="4">
        <v>1</v>
      </c>
      <c r="F2834" s="3">
        <v>45965</v>
      </c>
      <c r="G2834">
        <v>11050</v>
      </c>
      <c r="H2834">
        <v>10489</v>
      </c>
      <c r="I2834" s="1">
        <f t="shared" ref="I2834:I2849" si="387">G2834-H2834</f>
        <v>561</v>
      </c>
      <c r="J2834" s="1">
        <f>I2834</f>
        <v>561</v>
      </c>
      <c r="K2834" s="9">
        <f t="shared" si="385"/>
        <v>5.3484602917341979E-2</v>
      </c>
    </row>
    <row r="2835" spans="1:12" x14ac:dyDescent="0.35">
      <c r="A2835" s="2" t="s">
        <v>347</v>
      </c>
      <c r="B2835" s="2" t="s">
        <v>375</v>
      </c>
      <c r="C2835" s="21" t="s">
        <v>275</v>
      </c>
      <c r="D2835" s="4">
        <v>2</v>
      </c>
      <c r="I2835" s="1">
        <f t="shared" si="387"/>
        <v>0</v>
      </c>
      <c r="J2835" s="1">
        <f>J2834+I2835</f>
        <v>561</v>
      </c>
      <c r="K2835" s="9" t="e">
        <f t="shared" ref="K2835:K2850" si="388">I2835/H2835</f>
        <v>#DIV/0!</v>
      </c>
    </row>
    <row r="2836" spans="1:12" x14ac:dyDescent="0.35">
      <c r="A2836" s="2" t="s">
        <v>347</v>
      </c>
      <c r="B2836" s="2" t="s">
        <v>375</v>
      </c>
      <c r="C2836" s="21" t="s">
        <v>275</v>
      </c>
      <c r="D2836" s="4">
        <v>3</v>
      </c>
      <c r="I2836" s="1">
        <f t="shared" si="387"/>
        <v>0</v>
      </c>
      <c r="J2836" s="1">
        <f t="shared" ref="J2836:J2849" si="389">J2835+I2836</f>
        <v>561</v>
      </c>
      <c r="K2836" s="9" t="e">
        <f t="shared" si="388"/>
        <v>#DIV/0!</v>
      </c>
    </row>
    <row r="2837" spans="1:12" x14ac:dyDescent="0.35">
      <c r="A2837" s="2" t="s">
        <v>347</v>
      </c>
      <c r="B2837" s="2" t="s">
        <v>375</v>
      </c>
      <c r="C2837" s="21" t="s">
        <v>275</v>
      </c>
      <c r="D2837" s="4">
        <v>4</v>
      </c>
      <c r="I2837" s="1">
        <f t="shared" si="387"/>
        <v>0</v>
      </c>
      <c r="J2837" s="1">
        <f t="shared" si="389"/>
        <v>561</v>
      </c>
      <c r="K2837" s="9" t="e">
        <f t="shared" si="388"/>
        <v>#DIV/0!</v>
      </c>
    </row>
    <row r="2838" spans="1:12" x14ac:dyDescent="0.35">
      <c r="A2838" s="2" t="s">
        <v>347</v>
      </c>
      <c r="B2838" s="2" t="s">
        <v>375</v>
      </c>
      <c r="C2838" s="21" t="s">
        <v>275</v>
      </c>
      <c r="D2838" s="4">
        <v>5</v>
      </c>
      <c r="I2838" s="1">
        <f t="shared" si="387"/>
        <v>0</v>
      </c>
      <c r="J2838" s="1">
        <f t="shared" si="389"/>
        <v>561</v>
      </c>
      <c r="K2838" s="9" t="e">
        <f t="shared" si="388"/>
        <v>#DIV/0!</v>
      </c>
    </row>
    <row r="2839" spans="1:12" x14ac:dyDescent="0.35">
      <c r="A2839" s="2" t="s">
        <v>347</v>
      </c>
      <c r="B2839" s="2" t="s">
        <v>375</v>
      </c>
      <c r="C2839" s="21" t="s">
        <v>275</v>
      </c>
      <c r="D2839" s="4">
        <v>6</v>
      </c>
      <c r="I2839" s="1">
        <f t="shared" si="387"/>
        <v>0</v>
      </c>
      <c r="J2839" s="1">
        <f t="shared" si="389"/>
        <v>561</v>
      </c>
      <c r="K2839" s="9" t="e">
        <f t="shared" si="388"/>
        <v>#DIV/0!</v>
      </c>
    </row>
    <row r="2840" spans="1:12" x14ac:dyDescent="0.35">
      <c r="A2840" s="2" t="s">
        <v>347</v>
      </c>
      <c r="B2840" s="2" t="s">
        <v>375</v>
      </c>
      <c r="C2840" s="21" t="s">
        <v>275</v>
      </c>
      <c r="D2840" s="4">
        <v>7</v>
      </c>
      <c r="I2840" s="1">
        <f t="shared" si="387"/>
        <v>0</v>
      </c>
      <c r="J2840" s="1">
        <f t="shared" si="389"/>
        <v>561</v>
      </c>
      <c r="K2840" s="9" t="e">
        <f t="shared" si="388"/>
        <v>#DIV/0!</v>
      </c>
    </row>
    <row r="2841" spans="1:12" x14ac:dyDescent="0.35">
      <c r="A2841" s="2" t="s">
        <v>347</v>
      </c>
      <c r="B2841" s="2" t="s">
        <v>375</v>
      </c>
      <c r="C2841" s="21" t="s">
        <v>275</v>
      </c>
      <c r="D2841" s="4">
        <v>8</v>
      </c>
      <c r="I2841" s="1">
        <f t="shared" si="387"/>
        <v>0</v>
      </c>
      <c r="J2841" s="1">
        <f t="shared" si="389"/>
        <v>561</v>
      </c>
      <c r="K2841" s="9" t="e">
        <f t="shared" si="388"/>
        <v>#DIV/0!</v>
      </c>
    </row>
    <row r="2842" spans="1:12" x14ac:dyDescent="0.35">
      <c r="A2842" s="2" t="s">
        <v>347</v>
      </c>
      <c r="B2842" s="2" t="s">
        <v>375</v>
      </c>
      <c r="C2842" s="21" t="s">
        <v>275</v>
      </c>
      <c r="D2842" s="4">
        <v>9</v>
      </c>
      <c r="I2842" s="1">
        <f t="shared" si="387"/>
        <v>0</v>
      </c>
      <c r="J2842" s="1">
        <f t="shared" si="389"/>
        <v>561</v>
      </c>
      <c r="K2842" s="9" t="e">
        <f t="shared" si="388"/>
        <v>#DIV/0!</v>
      </c>
    </row>
    <row r="2843" spans="1:12" x14ac:dyDescent="0.35">
      <c r="A2843" s="2" t="s">
        <v>347</v>
      </c>
      <c r="B2843" s="2" t="s">
        <v>375</v>
      </c>
      <c r="C2843" s="21" t="s">
        <v>275</v>
      </c>
      <c r="D2843" s="4">
        <v>10</v>
      </c>
      <c r="I2843" s="1">
        <f t="shared" si="387"/>
        <v>0</v>
      </c>
      <c r="J2843" s="1">
        <f t="shared" si="389"/>
        <v>561</v>
      </c>
      <c r="K2843" s="9" t="e">
        <f t="shared" si="388"/>
        <v>#DIV/0!</v>
      </c>
    </row>
    <row r="2844" spans="1:12" x14ac:dyDescent="0.35">
      <c r="A2844" s="2" t="s">
        <v>347</v>
      </c>
      <c r="B2844" s="2" t="s">
        <v>375</v>
      </c>
      <c r="C2844" s="21" t="s">
        <v>275</v>
      </c>
      <c r="D2844" s="4">
        <v>11</v>
      </c>
      <c r="I2844" s="1">
        <f t="shared" si="387"/>
        <v>0</v>
      </c>
      <c r="J2844" s="1">
        <f t="shared" si="389"/>
        <v>561</v>
      </c>
      <c r="K2844" s="9" t="e">
        <f t="shared" si="388"/>
        <v>#DIV/0!</v>
      </c>
    </row>
    <row r="2845" spans="1:12" x14ac:dyDescent="0.35">
      <c r="A2845" s="2" t="s">
        <v>347</v>
      </c>
      <c r="B2845" s="2" t="s">
        <v>375</v>
      </c>
      <c r="C2845" s="21" t="s">
        <v>275</v>
      </c>
      <c r="D2845" s="4">
        <v>12</v>
      </c>
      <c r="I2845" s="1">
        <f t="shared" si="387"/>
        <v>0</v>
      </c>
      <c r="J2845" s="1">
        <f t="shared" si="389"/>
        <v>561</v>
      </c>
      <c r="K2845" s="9" t="e">
        <f t="shared" si="388"/>
        <v>#DIV/0!</v>
      </c>
    </row>
    <row r="2846" spans="1:12" x14ac:dyDescent="0.35">
      <c r="A2846" s="2" t="s">
        <v>347</v>
      </c>
      <c r="B2846" s="2" t="s">
        <v>375</v>
      </c>
      <c r="C2846" s="21" t="s">
        <v>275</v>
      </c>
      <c r="D2846" s="4">
        <v>13</v>
      </c>
      <c r="I2846" s="1">
        <f t="shared" si="387"/>
        <v>0</v>
      </c>
      <c r="J2846" s="1">
        <f t="shared" si="389"/>
        <v>561</v>
      </c>
      <c r="K2846" s="9" t="e">
        <f t="shared" si="388"/>
        <v>#DIV/0!</v>
      </c>
    </row>
    <row r="2847" spans="1:12" x14ac:dyDescent="0.35">
      <c r="A2847" s="2" t="s">
        <v>347</v>
      </c>
      <c r="B2847" s="2" t="s">
        <v>375</v>
      </c>
      <c r="C2847" s="21" t="s">
        <v>275</v>
      </c>
      <c r="D2847" s="4">
        <v>14</v>
      </c>
      <c r="I2847" s="1">
        <f t="shared" si="387"/>
        <v>0</v>
      </c>
      <c r="J2847" s="1">
        <f t="shared" si="389"/>
        <v>561</v>
      </c>
      <c r="K2847" s="9" t="e">
        <f t="shared" si="388"/>
        <v>#DIV/0!</v>
      </c>
    </row>
    <row r="2848" spans="1:12" x14ac:dyDescent="0.35">
      <c r="A2848" s="2" t="s">
        <v>347</v>
      </c>
      <c r="B2848" s="2" t="s">
        <v>375</v>
      </c>
      <c r="C2848" s="21" t="s">
        <v>275</v>
      </c>
      <c r="D2848" s="4">
        <v>15</v>
      </c>
      <c r="I2848" s="1">
        <f t="shared" si="387"/>
        <v>0</v>
      </c>
      <c r="J2848" s="1">
        <f t="shared" si="389"/>
        <v>561</v>
      </c>
      <c r="K2848" s="9" t="e">
        <f t="shared" si="388"/>
        <v>#DIV/0!</v>
      </c>
    </row>
    <row r="2849" spans="1:12" ht="15" thickBot="1" x14ac:dyDescent="0.4">
      <c r="A2849" s="12" t="s">
        <v>347</v>
      </c>
      <c r="B2849" s="12" t="s">
        <v>375</v>
      </c>
      <c r="C2849" s="22" t="s">
        <v>275</v>
      </c>
      <c r="D2849" s="14">
        <v>16</v>
      </c>
      <c r="E2849" s="13"/>
      <c r="F2849" s="13"/>
      <c r="G2849" s="13"/>
      <c r="H2849" s="13"/>
      <c r="I2849" s="15">
        <f t="shared" si="387"/>
        <v>0</v>
      </c>
      <c r="J2849" s="15">
        <f t="shared" si="389"/>
        <v>561</v>
      </c>
      <c r="K2849" s="16" t="e">
        <f t="shared" si="388"/>
        <v>#DIV/0!</v>
      </c>
      <c r="L2849" s="13"/>
    </row>
    <row r="2850" spans="1:12" x14ac:dyDescent="0.35">
      <c r="A2850" s="2" t="s">
        <v>348</v>
      </c>
      <c r="B2850" s="2" t="s">
        <v>376</v>
      </c>
      <c r="C2850" s="21" t="s">
        <v>275</v>
      </c>
      <c r="D2850" s="4">
        <v>1</v>
      </c>
      <c r="F2850" s="3">
        <v>45965</v>
      </c>
      <c r="G2850">
        <v>10295</v>
      </c>
      <c r="H2850">
        <v>9804</v>
      </c>
      <c r="I2850" s="1">
        <f t="shared" ref="I2850:I2865" si="390">G2850-H2850</f>
        <v>491</v>
      </c>
      <c r="J2850" s="1">
        <f>I2850</f>
        <v>491</v>
      </c>
      <c r="K2850" s="9">
        <f t="shared" si="388"/>
        <v>5.008159934720522E-2</v>
      </c>
    </row>
    <row r="2851" spans="1:12" x14ac:dyDescent="0.35">
      <c r="A2851" s="2" t="s">
        <v>348</v>
      </c>
      <c r="B2851" s="2" t="s">
        <v>376</v>
      </c>
      <c r="C2851" s="21" t="s">
        <v>275</v>
      </c>
      <c r="D2851" s="4">
        <v>2</v>
      </c>
      <c r="I2851" s="1">
        <f t="shared" si="390"/>
        <v>0</v>
      </c>
      <c r="J2851" s="1">
        <f>J2850+I2851</f>
        <v>491</v>
      </c>
      <c r="K2851" s="9" t="e">
        <f t="shared" ref="K2851:K2866" si="391">I2851/H2851</f>
        <v>#DIV/0!</v>
      </c>
    </row>
    <row r="2852" spans="1:12" x14ac:dyDescent="0.35">
      <c r="A2852" s="2" t="s">
        <v>348</v>
      </c>
      <c r="B2852" s="2" t="s">
        <v>376</v>
      </c>
      <c r="C2852" s="21" t="s">
        <v>275</v>
      </c>
      <c r="D2852" s="4">
        <v>3</v>
      </c>
      <c r="I2852" s="1">
        <f t="shared" si="390"/>
        <v>0</v>
      </c>
      <c r="J2852" s="1">
        <f t="shared" ref="J2852:J2865" si="392">J2851+I2852</f>
        <v>491</v>
      </c>
      <c r="K2852" s="9" t="e">
        <f t="shared" si="391"/>
        <v>#DIV/0!</v>
      </c>
    </row>
    <row r="2853" spans="1:12" x14ac:dyDescent="0.35">
      <c r="A2853" s="2" t="s">
        <v>348</v>
      </c>
      <c r="B2853" s="2" t="s">
        <v>376</v>
      </c>
      <c r="C2853" s="21" t="s">
        <v>275</v>
      </c>
      <c r="D2853" s="4">
        <v>4</v>
      </c>
      <c r="I2853" s="1">
        <f t="shared" si="390"/>
        <v>0</v>
      </c>
      <c r="J2853" s="1">
        <f t="shared" si="392"/>
        <v>491</v>
      </c>
      <c r="K2853" s="9" t="e">
        <f t="shared" si="391"/>
        <v>#DIV/0!</v>
      </c>
    </row>
    <row r="2854" spans="1:12" x14ac:dyDescent="0.35">
      <c r="A2854" s="2" t="s">
        <v>348</v>
      </c>
      <c r="B2854" s="2" t="s">
        <v>376</v>
      </c>
      <c r="C2854" s="21" t="s">
        <v>275</v>
      </c>
      <c r="D2854" s="4">
        <v>5</v>
      </c>
      <c r="I2854" s="1">
        <f t="shared" si="390"/>
        <v>0</v>
      </c>
      <c r="J2854" s="1">
        <f t="shared" si="392"/>
        <v>491</v>
      </c>
      <c r="K2854" s="9" t="e">
        <f t="shared" si="391"/>
        <v>#DIV/0!</v>
      </c>
    </row>
    <row r="2855" spans="1:12" x14ac:dyDescent="0.35">
      <c r="A2855" s="2" t="s">
        <v>348</v>
      </c>
      <c r="B2855" s="2" t="s">
        <v>376</v>
      </c>
      <c r="C2855" s="21" t="s">
        <v>275</v>
      </c>
      <c r="D2855" s="4">
        <v>6</v>
      </c>
      <c r="I2855" s="1">
        <f t="shared" si="390"/>
        <v>0</v>
      </c>
      <c r="J2855" s="1">
        <f t="shared" si="392"/>
        <v>491</v>
      </c>
      <c r="K2855" s="9" t="e">
        <f t="shared" si="391"/>
        <v>#DIV/0!</v>
      </c>
    </row>
    <row r="2856" spans="1:12" x14ac:dyDescent="0.35">
      <c r="A2856" s="2" t="s">
        <v>348</v>
      </c>
      <c r="B2856" s="2" t="s">
        <v>376</v>
      </c>
      <c r="C2856" s="21" t="s">
        <v>275</v>
      </c>
      <c r="D2856" s="4">
        <v>7</v>
      </c>
      <c r="I2856" s="1">
        <f t="shared" si="390"/>
        <v>0</v>
      </c>
      <c r="J2856" s="1">
        <f t="shared" si="392"/>
        <v>491</v>
      </c>
      <c r="K2856" s="9" t="e">
        <f t="shared" si="391"/>
        <v>#DIV/0!</v>
      </c>
    </row>
    <row r="2857" spans="1:12" x14ac:dyDescent="0.35">
      <c r="A2857" s="2" t="s">
        <v>348</v>
      </c>
      <c r="B2857" s="2" t="s">
        <v>376</v>
      </c>
      <c r="C2857" s="21" t="s">
        <v>275</v>
      </c>
      <c r="D2857" s="4">
        <v>8</v>
      </c>
      <c r="I2857" s="1">
        <f t="shared" si="390"/>
        <v>0</v>
      </c>
      <c r="J2857" s="1">
        <f t="shared" si="392"/>
        <v>491</v>
      </c>
      <c r="K2857" s="9" t="e">
        <f t="shared" si="391"/>
        <v>#DIV/0!</v>
      </c>
    </row>
    <row r="2858" spans="1:12" x14ac:dyDescent="0.35">
      <c r="A2858" s="2" t="s">
        <v>348</v>
      </c>
      <c r="B2858" s="2" t="s">
        <v>376</v>
      </c>
      <c r="C2858" s="21" t="s">
        <v>275</v>
      </c>
      <c r="D2858" s="4">
        <v>9</v>
      </c>
      <c r="I2858" s="1">
        <f t="shared" si="390"/>
        <v>0</v>
      </c>
      <c r="J2858" s="1">
        <f t="shared" si="392"/>
        <v>491</v>
      </c>
      <c r="K2858" s="9" t="e">
        <f t="shared" si="391"/>
        <v>#DIV/0!</v>
      </c>
    </row>
    <row r="2859" spans="1:12" x14ac:dyDescent="0.35">
      <c r="A2859" s="2" t="s">
        <v>348</v>
      </c>
      <c r="B2859" s="2" t="s">
        <v>376</v>
      </c>
      <c r="C2859" s="21" t="s">
        <v>275</v>
      </c>
      <c r="D2859" s="4">
        <v>10</v>
      </c>
      <c r="I2859" s="1">
        <f t="shared" si="390"/>
        <v>0</v>
      </c>
      <c r="J2859" s="1">
        <f t="shared" si="392"/>
        <v>491</v>
      </c>
      <c r="K2859" s="9" t="e">
        <f t="shared" si="391"/>
        <v>#DIV/0!</v>
      </c>
    </row>
    <row r="2860" spans="1:12" x14ac:dyDescent="0.35">
      <c r="A2860" s="2" t="s">
        <v>348</v>
      </c>
      <c r="B2860" s="2" t="s">
        <v>376</v>
      </c>
      <c r="C2860" s="21" t="s">
        <v>275</v>
      </c>
      <c r="D2860" s="4">
        <v>11</v>
      </c>
      <c r="I2860" s="1">
        <f t="shared" si="390"/>
        <v>0</v>
      </c>
      <c r="J2860" s="1">
        <f t="shared" si="392"/>
        <v>491</v>
      </c>
      <c r="K2860" s="9" t="e">
        <f t="shared" si="391"/>
        <v>#DIV/0!</v>
      </c>
    </row>
    <row r="2861" spans="1:12" x14ac:dyDescent="0.35">
      <c r="A2861" s="2" t="s">
        <v>348</v>
      </c>
      <c r="B2861" s="2" t="s">
        <v>376</v>
      </c>
      <c r="C2861" s="21" t="s">
        <v>275</v>
      </c>
      <c r="D2861" s="4">
        <v>12</v>
      </c>
      <c r="I2861" s="1">
        <f t="shared" si="390"/>
        <v>0</v>
      </c>
      <c r="J2861" s="1">
        <f t="shared" si="392"/>
        <v>491</v>
      </c>
      <c r="K2861" s="9" t="e">
        <f t="shared" si="391"/>
        <v>#DIV/0!</v>
      </c>
    </row>
    <row r="2862" spans="1:12" x14ac:dyDescent="0.35">
      <c r="A2862" s="2" t="s">
        <v>348</v>
      </c>
      <c r="B2862" s="2" t="s">
        <v>376</v>
      </c>
      <c r="C2862" s="21" t="s">
        <v>275</v>
      </c>
      <c r="D2862" s="4">
        <v>13</v>
      </c>
      <c r="I2862" s="1">
        <f t="shared" si="390"/>
        <v>0</v>
      </c>
      <c r="J2862" s="1">
        <f t="shared" si="392"/>
        <v>491</v>
      </c>
      <c r="K2862" s="9" t="e">
        <f t="shared" si="391"/>
        <v>#DIV/0!</v>
      </c>
    </row>
    <row r="2863" spans="1:12" x14ac:dyDescent="0.35">
      <c r="A2863" s="2" t="s">
        <v>348</v>
      </c>
      <c r="B2863" s="2" t="s">
        <v>376</v>
      </c>
      <c r="C2863" s="21" t="s">
        <v>275</v>
      </c>
      <c r="D2863" s="4">
        <v>14</v>
      </c>
      <c r="I2863" s="1">
        <f t="shared" si="390"/>
        <v>0</v>
      </c>
      <c r="J2863" s="1">
        <f t="shared" si="392"/>
        <v>491</v>
      </c>
      <c r="K2863" s="9" t="e">
        <f t="shared" si="391"/>
        <v>#DIV/0!</v>
      </c>
    </row>
    <row r="2864" spans="1:12" x14ac:dyDescent="0.35">
      <c r="A2864" s="2" t="s">
        <v>348</v>
      </c>
      <c r="B2864" s="2" t="s">
        <v>376</v>
      </c>
      <c r="C2864" s="21" t="s">
        <v>275</v>
      </c>
      <c r="D2864" s="4">
        <v>15</v>
      </c>
      <c r="I2864" s="1">
        <f t="shared" si="390"/>
        <v>0</v>
      </c>
      <c r="J2864" s="1">
        <f t="shared" si="392"/>
        <v>491</v>
      </c>
      <c r="K2864" s="9" t="e">
        <f t="shared" si="391"/>
        <v>#DIV/0!</v>
      </c>
    </row>
    <row r="2865" spans="1:12" ht="15" thickBot="1" x14ac:dyDescent="0.4">
      <c r="A2865" s="12" t="s">
        <v>348</v>
      </c>
      <c r="B2865" s="12" t="s">
        <v>376</v>
      </c>
      <c r="C2865" s="22" t="s">
        <v>275</v>
      </c>
      <c r="D2865" s="14">
        <v>16</v>
      </c>
      <c r="E2865" s="13"/>
      <c r="F2865" s="13"/>
      <c r="G2865" s="13"/>
      <c r="H2865" s="13"/>
      <c r="I2865" s="15">
        <f t="shared" si="390"/>
        <v>0</v>
      </c>
      <c r="J2865" s="15">
        <f t="shared" si="392"/>
        <v>491</v>
      </c>
      <c r="K2865" s="16" t="e">
        <f t="shared" si="391"/>
        <v>#DIV/0!</v>
      </c>
      <c r="L2865" s="13"/>
    </row>
    <row r="2866" spans="1:12" x14ac:dyDescent="0.35">
      <c r="A2866" s="2" t="s">
        <v>349</v>
      </c>
      <c r="B2866" s="2" t="s">
        <v>259</v>
      </c>
      <c r="C2866" s="21" t="s">
        <v>275</v>
      </c>
      <c r="D2866" s="4">
        <v>1</v>
      </c>
      <c r="F2866" s="3">
        <v>45965</v>
      </c>
      <c r="G2866">
        <v>8152</v>
      </c>
      <c r="H2866">
        <v>7606</v>
      </c>
      <c r="I2866" s="1">
        <f t="shared" ref="I2866:I2881" si="393">G2866-H2866</f>
        <v>546</v>
      </c>
      <c r="J2866" s="1">
        <f>I2866</f>
        <v>546</v>
      </c>
      <c r="K2866" s="9">
        <f t="shared" si="391"/>
        <v>7.178543255324743E-2</v>
      </c>
    </row>
    <row r="2867" spans="1:12" x14ac:dyDescent="0.35">
      <c r="A2867" s="2" t="s">
        <v>349</v>
      </c>
      <c r="B2867" s="2" t="s">
        <v>259</v>
      </c>
      <c r="C2867" s="21" t="s">
        <v>275</v>
      </c>
      <c r="D2867" s="4">
        <v>2</v>
      </c>
      <c r="I2867" s="1">
        <f t="shared" si="393"/>
        <v>0</v>
      </c>
      <c r="J2867" s="1">
        <f>J2866+I2867</f>
        <v>546</v>
      </c>
      <c r="K2867" s="9" t="e">
        <f t="shared" ref="K2867:K2882" si="394">I2867/H2867</f>
        <v>#DIV/0!</v>
      </c>
    </row>
    <row r="2868" spans="1:12" x14ac:dyDescent="0.35">
      <c r="A2868" s="2" t="s">
        <v>349</v>
      </c>
      <c r="B2868" s="2" t="s">
        <v>259</v>
      </c>
      <c r="C2868" s="21" t="s">
        <v>275</v>
      </c>
      <c r="D2868" s="4">
        <v>3</v>
      </c>
      <c r="I2868" s="1">
        <f t="shared" si="393"/>
        <v>0</v>
      </c>
      <c r="J2868" s="1">
        <f t="shared" ref="J2868:J2881" si="395">J2867+I2868</f>
        <v>546</v>
      </c>
      <c r="K2868" s="9" t="e">
        <f t="shared" si="394"/>
        <v>#DIV/0!</v>
      </c>
    </row>
    <row r="2869" spans="1:12" x14ac:dyDescent="0.35">
      <c r="A2869" s="2" t="s">
        <v>349</v>
      </c>
      <c r="B2869" s="2" t="s">
        <v>259</v>
      </c>
      <c r="C2869" s="21" t="s">
        <v>275</v>
      </c>
      <c r="D2869" s="4">
        <v>4</v>
      </c>
      <c r="I2869" s="1">
        <f t="shared" si="393"/>
        <v>0</v>
      </c>
      <c r="J2869" s="1">
        <f t="shared" si="395"/>
        <v>546</v>
      </c>
      <c r="K2869" s="9" t="e">
        <f t="shared" si="394"/>
        <v>#DIV/0!</v>
      </c>
    </row>
    <row r="2870" spans="1:12" x14ac:dyDescent="0.35">
      <c r="A2870" s="2" t="s">
        <v>349</v>
      </c>
      <c r="B2870" s="2" t="s">
        <v>259</v>
      </c>
      <c r="C2870" s="21" t="s">
        <v>275</v>
      </c>
      <c r="D2870" s="4">
        <v>5</v>
      </c>
      <c r="I2870" s="1">
        <f t="shared" si="393"/>
        <v>0</v>
      </c>
      <c r="J2870" s="1">
        <f t="shared" si="395"/>
        <v>546</v>
      </c>
      <c r="K2870" s="9" t="e">
        <f t="shared" si="394"/>
        <v>#DIV/0!</v>
      </c>
    </row>
    <row r="2871" spans="1:12" x14ac:dyDescent="0.35">
      <c r="A2871" s="2" t="s">
        <v>349</v>
      </c>
      <c r="B2871" s="2" t="s">
        <v>259</v>
      </c>
      <c r="C2871" s="21" t="s">
        <v>275</v>
      </c>
      <c r="D2871" s="4">
        <v>6</v>
      </c>
      <c r="I2871" s="1">
        <f t="shared" si="393"/>
        <v>0</v>
      </c>
      <c r="J2871" s="1">
        <f t="shared" si="395"/>
        <v>546</v>
      </c>
      <c r="K2871" s="9" t="e">
        <f t="shared" si="394"/>
        <v>#DIV/0!</v>
      </c>
    </row>
    <row r="2872" spans="1:12" x14ac:dyDescent="0.35">
      <c r="A2872" s="2" t="s">
        <v>349</v>
      </c>
      <c r="B2872" s="2" t="s">
        <v>259</v>
      </c>
      <c r="C2872" s="21" t="s">
        <v>275</v>
      </c>
      <c r="D2872" s="4">
        <v>7</v>
      </c>
      <c r="I2872" s="1">
        <f t="shared" si="393"/>
        <v>0</v>
      </c>
      <c r="J2872" s="1">
        <f t="shared" si="395"/>
        <v>546</v>
      </c>
      <c r="K2872" s="9" t="e">
        <f t="shared" si="394"/>
        <v>#DIV/0!</v>
      </c>
    </row>
    <row r="2873" spans="1:12" x14ac:dyDescent="0.35">
      <c r="A2873" s="2" t="s">
        <v>349</v>
      </c>
      <c r="B2873" s="2" t="s">
        <v>259</v>
      </c>
      <c r="C2873" s="21" t="s">
        <v>275</v>
      </c>
      <c r="D2873" s="4">
        <v>8</v>
      </c>
      <c r="I2873" s="1">
        <f t="shared" si="393"/>
        <v>0</v>
      </c>
      <c r="J2873" s="1">
        <f t="shared" si="395"/>
        <v>546</v>
      </c>
      <c r="K2873" s="9" t="e">
        <f t="shared" si="394"/>
        <v>#DIV/0!</v>
      </c>
    </row>
    <row r="2874" spans="1:12" x14ac:dyDescent="0.35">
      <c r="A2874" s="2" t="s">
        <v>349</v>
      </c>
      <c r="B2874" s="2" t="s">
        <v>259</v>
      </c>
      <c r="C2874" s="21" t="s">
        <v>275</v>
      </c>
      <c r="D2874" s="4">
        <v>9</v>
      </c>
      <c r="I2874" s="1">
        <f t="shared" si="393"/>
        <v>0</v>
      </c>
      <c r="J2874" s="1">
        <f t="shared" si="395"/>
        <v>546</v>
      </c>
      <c r="K2874" s="9" t="e">
        <f t="shared" si="394"/>
        <v>#DIV/0!</v>
      </c>
    </row>
    <row r="2875" spans="1:12" x14ac:dyDescent="0.35">
      <c r="A2875" s="2" t="s">
        <v>349</v>
      </c>
      <c r="B2875" s="2" t="s">
        <v>259</v>
      </c>
      <c r="C2875" s="21" t="s">
        <v>275</v>
      </c>
      <c r="D2875" s="4">
        <v>10</v>
      </c>
      <c r="I2875" s="1">
        <f t="shared" si="393"/>
        <v>0</v>
      </c>
      <c r="J2875" s="1">
        <f t="shared" si="395"/>
        <v>546</v>
      </c>
      <c r="K2875" s="9" t="e">
        <f t="shared" si="394"/>
        <v>#DIV/0!</v>
      </c>
    </row>
    <row r="2876" spans="1:12" x14ac:dyDescent="0.35">
      <c r="A2876" s="2" t="s">
        <v>349</v>
      </c>
      <c r="B2876" s="2" t="s">
        <v>259</v>
      </c>
      <c r="C2876" s="21" t="s">
        <v>275</v>
      </c>
      <c r="D2876" s="4">
        <v>11</v>
      </c>
      <c r="I2876" s="1">
        <f t="shared" si="393"/>
        <v>0</v>
      </c>
      <c r="J2876" s="1">
        <f t="shared" si="395"/>
        <v>546</v>
      </c>
      <c r="K2876" s="9" t="e">
        <f t="shared" si="394"/>
        <v>#DIV/0!</v>
      </c>
    </row>
    <row r="2877" spans="1:12" x14ac:dyDescent="0.35">
      <c r="A2877" s="2" t="s">
        <v>349</v>
      </c>
      <c r="B2877" s="2" t="s">
        <v>259</v>
      </c>
      <c r="C2877" s="21" t="s">
        <v>275</v>
      </c>
      <c r="D2877" s="4">
        <v>12</v>
      </c>
      <c r="I2877" s="1">
        <f t="shared" si="393"/>
        <v>0</v>
      </c>
      <c r="J2877" s="1">
        <f t="shared" si="395"/>
        <v>546</v>
      </c>
      <c r="K2877" s="9" t="e">
        <f t="shared" si="394"/>
        <v>#DIV/0!</v>
      </c>
    </row>
    <row r="2878" spans="1:12" x14ac:dyDescent="0.35">
      <c r="A2878" s="2" t="s">
        <v>349</v>
      </c>
      <c r="B2878" s="2" t="s">
        <v>259</v>
      </c>
      <c r="C2878" s="21" t="s">
        <v>275</v>
      </c>
      <c r="D2878" s="4">
        <v>13</v>
      </c>
      <c r="I2878" s="1">
        <f t="shared" si="393"/>
        <v>0</v>
      </c>
      <c r="J2878" s="1">
        <f t="shared" si="395"/>
        <v>546</v>
      </c>
      <c r="K2878" s="9" t="e">
        <f t="shared" si="394"/>
        <v>#DIV/0!</v>
      </c>
    </row>
    <row r="2879" spans="1:12" x14ac:dyDescent="0.35">
      <c r="A2879" s="2" t="s">
        <v>349</v>
      </c>
      <c r="B2879" s="2" t="s">
        <v>259</v>
      </c>
      <c r="C2879" s="21" t="s">
        <v>275</v>
      </c>
      <c r="D2879" s="4">
        <v>14</v>
      </c>
      <c r="I2879" s="1">
        <f t="shared" si="393"/>
        <v>0</v>
      </c>
      <c r="J2879" s="1">
        <f t="shared" si="395"/>
        <v>546</v>
      </c>
      <c r="K2879" s="9" t="e">
        <f t="shared" si="394"/>
        <v>#DIV/0!</v>
      </c>
    </row>
    <row r="2880" spans="1:12" x14ac:dyDescent="0.35">
      <c r="A2880" s="2" t="s">
        <v>349</v>
      </c>
      <c r="B2880" s="2" t="s">
        <v>259</v>
      </c>
      <c r="C2880" s="21" t="s">
        <v>275</v>
      </c>
      <c r="D2880" s="4">
        <v>15</v>
      </c>
      <c r="I2880" s="1">
        <f t="shared" si="393"/>
        <v>0</v>
      </c>
      <c r="J2880" s="1">
        <f t="shared" si="395"/>
        <v>546</v>
      </c>
      <c r="K2880" s="9" t="e">
        <f t="shared" si="394"/>
        <v>#DIV/0!</v>
      </c>
    </row>
    <row r="2881" spans="1:12" ht="15" thickBot="1" x14ac:dyDescent="0.4">
      <c r="A2881" s="12" t="s">
        <v>349</v>
      </c>
      <c r="B2881" s="12" t="s">
        <v>259</v>
      </c>
      <c r="C2881" s="22" t="s">
        <v>275</v>
      </c>
      <c r="D2881" s="14">
        <v>16</v>
      </c>
      <c r="E2881" s="13"/>
      <c r="F2881" s="13"/>
      <c r="G2881" s="13"/>
      <c r="H2881" s="13"/>
      <c r="I2881" s="15">
        <f t="shared" si="393"/>
        <v>0</v>
      </c>
      <c r="J2881" s="15">
        <f t="shared" si="395"/>
        <v>546</v>
      </c>
      <c r="K2881" s="16" t="e">
        <f t="shared" si="394"/>
        <v>#DIV/0!</v>
      </c>
      <c r="L2881" s="13"/>
    </row>
    <row r="2882" spans="1:12" x14ac:dyDescent="0.35">
      <c r="A2882" s="2" t="s">
        <v>350</v>
      </c>
      <c r="B2882" s="2" t="s">
        <v>377</v>
      </c>
      <c r="C2882" s="21" t="s">
        <v>275</v>
      </c>
      <c r="D2882" s="4">
        <v>1</v>
      </c>
      <c r="F2882" s="3">
        <v>45966</v>
      </c>
      <c r="G2882">
        <v>8157</v>
      </c>
      <c r="H2882">
        <v>7684</v>
      </c>
      <c r="I2882" s="1">
        <f t="shared" ref="I2882:I2897" si="396">G2882-H2882</f>
        <v>473</v>
      </c>
      <c r="J2882" s="1">
        <f>I2882</f>
        <v>473</v>
      </c>
      <c r="K2882" s="9">
        <f t="shared" si="394"/>
        <v>6.155648099947944E-2</v>
      </c>
    </row>
    <row r="2883" spans="1:12" x14ac:dyDescent="0.35">
      <c r="A2883" s="2" t="s">
        <v>350</v>
      </c>
      <c r="B2883" s="2" t="s">
        <v>377</v>
      </c>
      <c r="C2883" s="21" t="s">
        <v>275</v>
      </c>
      <c r="D2883" s="4">
        <v>2</v>
      </c>
      <c r="I2883" s="1">
        <f t="shared" si="396"/>
        <v>0</v>
      </c>
      <c r="J2883" s="1">
        <f>J2882+I2883</f>
        <v>473</v>
      </c>
      <c r="K2883" s="9" t="e">
        <f t="shared" ref="K2883:K2898" si="397">I2883/H2883</f>
        <v>#DIV/0!</v>
      </c>
    </row>
    <row r="2884" spans="1:12" x14ac:dyDescent="0.35">
      <c r="A2884" s="2" t="s">
        <v>350</v>
      </c>
      <c r="B2884" s="2" t="s">
        <v>377</v>
      </c>
      <c r="C2884" s="21" t="s">
        <v>275</v>
      </c>
      <c r="D2884" s="4">
        <v>3</v>
      </c>
      <c r="I2884" s="1">
        <f t="shared" si="396"/>
        <v>0</v>
      </c>
      <c r="J2884" s="1">
        <f t="shared" ref="J2884:J2897" si="398">J2883+I2884</f>
        <v>473</v>
      </c>
      <c r="K2884" s="9" t="e">
        <f t="shared" si="397"/>
        <v>#DIV/0!</v>
      </c>
    </row>
    <row r="2885" spans="1:12" x14ac:dyDescent="0.35">
      <c r="A2885" s="2" t="s">
        <v>350</v>
      </c>
      <c r="B2885" s="2" t="s">
        <v>377</v>
      </c>
      <c r="C2885" s="21" t="s">
        <v>275</v>
      </c>
      <c r="D2885" s="4">
        <v>4</v>
      </c>
      <c r="I2885" s="1">
        <f t="shared" si="396"/>
        <v>0</v>
      </c>
      <c r="J2885" s="1">
        <f t="shared" si="398"/>
        <v>473</v>
      </c>
      <c r="K2885" s="9" t="e">
        <f t="shared" si="397"/>
        <v>#DIV/0!</v>
      </c>
    </row>
    <row r="2886" spans="1:12" x14ac:dyDescent="0.35">
      <c r="A2886" s="2" t="s">
        <v>350</v>
      </c>
      <c r="B2886" s="2" t="s">
        <v>377</v>
      </c>
      <c r="C2886" s="21" t="s">
        <v>275</v>
      </c>
      <c r="D2886" s="4">
        <v>5</v>
      </c>
      <c r="I2886" s="1">
        <f t="shared" si="396"/>
        <v>0</v>
      </c>
      <c r="J2886" s="1">
        <f t="shared" si="398"/>
        <v>473</v>
      </c>
      <c r="K2886" s="9" t="e">
        <f t="shared" si="397"/>
        <v>#DIV/0!</v>
      </c>
    </row>
    <row r="2887" spans="1:12" x14ac:dyDescent="0.35">
      <c r="A2887" s="2" t="s">
        <v>350</v>
      </c>
      <c r="B2887" s="2" t="s">
        <v>377</v>
      </c>
      <c r="C2887" s="21" t="s">
        <v>275</v>
      </c>
      <c r="D2887" s="4">
        <v>6</v>
      </c>
      <c r="I2887" s="1">
        <f t="shared" si="396"/>
        <v>0</v>
      </c>
      <c r="J2887" s="1">
        <f t="shared" si="398"/>
        <v>473</v>
      </c>
      <c r="K2887" s="9" t="e">
        <f t="shared" si="397"/>
        <v>#DIV/0!</v>
      </c>
    </row>
    <row r="2888" spans="1:12" x14ac:dyDescent="0.35">
      <c r="A2888" s="2" t="s">
        <v>350</v>
      </c>
      <c r="B2888" s="2" t="s">
        <v>377</v>
      </c>
      <c r="C2888" s="21" t="s">
        <v>275</v>
      </c>
      <c r="D2888" s="4">
        <v>7</v>
      </c>
      <c r="I2888" s="1">
        <f t="shared" si="396"/>
        <v>0</v>
      </c>
      <c r="J2888" s="1">
        <f t="shared" si="398"/>
        <v>473</v>
      </c>
      <c r="K2888" s="9" t="e">
        <f t="shared" si="397"/>
        <v>#DIV/0!</v>
      </c>
    </row>
    <row r="2889" spans="1:12" x14ac:dyDescent="0.35">
      <c r="A2889" s="2" t="s">
        <v>350</v>
      </c>
      <c r="B2889" s="2" t="s">
        <v>377</v>
      </c>
      <c r="C2889" s="21" t="s">
        <v>275</v>
      </c>
      <c r="D2889" s="4">
        <v>8</v>
      </c>
      <c r="I2889" s="1">
        <f t="shared" si="396"/>
        <v>0</v>
      </c>
      <c r="J2889" s="1">
        <f t="shared" si="398"/>
        <v>473</v>
      </c>
      <c r="K2889" s="9" t="e">
        <f t="shared" si="397"/>
        <v>#DIV/0!</v>
      </c>
    </row>
    <row r="2890" spans="1:12" x14ac:dyDescent="0.35">
      <c r="A2890" s="2" t="s">
        <v>350</v>
      </c>
      <c r="B2890" s="2" t="s">
        <v>377</v>
      </c>
      <c r="C2890" s="21" t="s">
        <v>275</v>
      </c>
      <c r="D2890" s="4">
        <v>9</v>
      </c>
      <c r="I2890" s="1">
        <f t="shared" si="396"/>
        <v>0</v>
      </c>
      <c r="J2890" s="1">
        <f t="shared" si="398"/>
        <v>473</v>
      </c>
      <c r="K2890" s="9" t="e">
        <f t="shared" si="397"/>
        <v>#DIV/0!</v>
      </c>
    </row>
    <row r="2891" spans="1:12" x14ac:dyDescent="0.35">
      <c r="A2891" s="2" t="s">
        <v>350</v>
      </c>
      <c r="B2891" s="2" t="s">
        <v>377</v>
      </c>
      <c r="C2891" s="21" t="s">
        <v>275</v>
      </c>
      <c r="D2891" s="4">
        <v>10</v>
      </c>
      <c r="I2891" s="1">
        <f t="shared" si="396"/>
        <v>0</v>
      </c>
      <c r="J2891" s="1">
        <f t="shared" si="398"/>
        <v>473</v>
      </c>
      <c r="K2891" s="9" t="e">
        <f t="shared" si="397"/>
        <v>#DIV/0!</v>
      </c>
    </row>
    <row r="2892" spans="1:12" x14ac:dyDescent="0.35">
      <c r="A2892" s="2" t="s">
        <v>350</v>
      </c>
      <c r="B2892" s="2" t="s">
        <v>377</v>
      </c>
      <c r="C2892" s="21" t="s">
        <v>275</v>
      </c>
      <c r="D2892" s="4">
        <v>11</v>
      </c>
      <c r="I2892" s="1">
        <f t="shared" si="396"/>
        <v>0</v>
      </c>
      <c r="J2892" s="1">
        <f t="shared" si="398"/>
        <v>473</v>
      </c>
      <c r="K2892" s="9" t="e">
        <f t="shared" si="397"/>
        <v>#DIV/0!</v>
      </c>
    </row>
    <row r="2893" spans="1:12" x14ac:dyDescent="0.35">
      <c r="A2893" s="2" t="s">
        <v>350</v>
      </c>
      <c r="B2893" s="2" t="s">
        <v>377</v>
      </c>
      <c r="C2893" s="21" t="s">
        <v>275</v>
      </c>
      <c r="D2893" s="4">
        <v>12</v>
      </c>
      <c r="I2893" s="1">
        <f t="shared" si="396"/>
        <v>0</v>
      </c>
      <c r="J2893" s="1">
        <f t="shared" si="398"/>
        <v>473</v>
      </c>
      <c r="K2893" s="9" t="e">
        <f t="shared" si="397"/>
        <v>#DIV/0!</v>
      </c>
    </row>
    <row r="2894" spans="1:12" x14ac:dyDescent="0.35">
      <c r="A2894" s="2" t="s">
        <v>350</v>
      </c>
      <c r="B2894" s="2" t="s">
        <v>377</v>
      </c>
      <c r="C2894" s="21" t="s">
        <v>275</v>
      </c>
      <c r="D2894" s="4">
        <v>13</v>
      </c>
      <c r="I2894" s="1">
        <f t="shared" si="396"/>
        <v>0</v>
      </c>
      <c r="J2894" s="1">
        <f t="shared" si="398"/>
        <v>473</v>
      </c>
      <c r="K2894" s="9" t="e">
        <f t="shared" si="397"/>
        <v>#DIV/0!</v>
      </c>
    </row>
    <row r="2895" spans="1:12" x14ac:dyDescent="0.35">
      <c r="A2895" s="2" t="s">
        <v>350</v>
      </c>
      <c r="B2895" s="2" t="s">
        <v>377</v>
      </c>
      <c r="C2895" s="21" t="s">
        <v>275</v>
      </c>
      <c r="D2895" s="4">
        <v>14</v>
      </c>
      <c r="I2895" s="1">
        <f t="shared" si="396"/>
        <v>0</v>
      </c>
      <c r="J2895" s="1">
        <f t="shared" si="398"/>
        <v>473</v>
      </c>
      <c r="K2895" s="9" t="e">
        <f t="shared" si="397"/>
        <v>#DIV/0!</v>
      </c>
    </row>
    <row r="2896" spans="1:12" x14ac:dyDescent="0.35">
      <c r="A2896" s="2" t="s">
        <v>350</v>
      </c>
      <c r="B2896" s="2" t="s">
        <v>377</v>
      </c>
      <c r="C2896" s="21" t="s">
        <v>275</v>
      </c>
      <c r="D2896" s="4">
        <v>15</v>
      </c>
      <c r="I2896" s="1">
        <f t="shared" si="396"/>
        <v>0</v>
      </c>
      <c r="J2896" s="1">
        <f t="shared" si="398"/>
        <v>473</v>
      </c>
      <c r="K2896" s="9" t="e">
        <f t="shared" si="397"/>
        <v>#DIV/0!</v>
      </c>
    </row>
    <row r="2897" spans="1:12" ht="15" thickBot="1" x14ac:dyDescent="0.4">
      <c r="A2897" s="12" t="s">
        <v>350</v>
      </c>
      <c r="B2897" s="12" t="s">
        <v>377</v>
      </c>
      <c r="C2897" s="22" t="s">
        <v>275</v>
      </c>
      <c r="D2897" s="14">
        <v>16</v>
      </c>
      <c r="E2897" s="13"/>
      <c r="F2897" s="13"/>
      <c r="G2897" s="13"/>
      <c r="H2897" s="13"/>
      <c r="I2897" s="15">
        <f t="shared" si="396"/>
        <v>0</v>
      </c>
      <c r="J2897" s="15">
        <f t="shared" si="398"/>
        <v>473</v>
      </c>
      <c r="K2897" s="16" t="e">
        <f t="shared" si="397"/>
        <v>#DIV/0!</v>
      </c>
      <c r="L2897" s="13"/>
    </row>
    <row r="2898" spans="1:12" x14ac:dyDescent="0.35">
      <c r="A2898" s="2" t="s">
        <v>351</v>
      </c>
      <c r="B2898" s="2" t="s">
        <v>378</v>
      </c>
      <c r="C2898" s="21" t="s">
        <v>275</v>
      </c>
      <c r="D2898" s="4">
        <v>1</v>
      </c>
      <c r="F2898" s="3">
        <v>45966</v>
      </c>
      <c r="G2898">
        <v>4765</v>
      </c>
      <c r="H2898">
        <v>4333</v>
      </c>
      <c r="I2898" s="1">
        <f t="shared" ref="I2898:I2913" si="399">G2898-H2898</f>
        <v>432</v>
      </c>
      <c r="J2898" s="1">
        <f>I2898</f>
        <v>432</v>
      </c>
      <c r="K2898" s="9">
        <f t="shared" si="397"/>
        <v>9.9699976921301642E-2</v>
      </c>
    </row>
    <row r="2899" spans="1:12" x14ac:dyDescent="0.35">
      <c r="A2899" s="2" t="s">
        <v>351</v>
      </c>
      <c r="B2899" s="2" t="s">
        <v>378</v>
      </c>
      <c r="C2899" s="21" t="s">
        <v>275</v>
      </c>
      <c r="D2899" s="4">
        <v>2</v>
      </c>
      <c r="I2899" s="1">
        <f t="shared" si="399"/>
        <v>0</v>
      </c>
      <c r="J2899" s="1">
        <f>J2898+I2899</f>
        <v>432</v>
      </c>
      <c r="K2899" s="9" t="e">
        <f t="shared" ref="K2899:K2914" si="400">I2899/H2899</f>
        <v>#DIV/0!</v>
      </c>
    </row>
    <row r="2900" spans="1:12" x14ac:dyDescent="0.35">
      <c r="A2900" s="2" t="s">
        <v>351</v>
      </c>
      <c r="B2900" s="2" t="s">
        <v>378</v>
      </c>
      <c r="C2900" s="21" t="s">
        <v>275</v>
      </c>
      <c r="D2900" s="4">
        <v>3</v>
      </c>
      <c r="I2900" s="1">
        <f t="shared" si="399"/>
        <v>0</v>
      </c>
      <c r="J2900" s="1">
        <f t="shared" ref="J2900:J2913" si="401">J2899+I2900</f>
        <v>432</v>
      </c>
      <c r="K2900" s="9" t="e">
        <f t="shared" si="400"/>
        <v>#DIV/0!</v>
      </c>
    </row>
    <row r="2901" spans="1:12" x14ac:dyDescent="0.35">
      <c r="A2901" s="2" t="s">
        <v>351</v>
      </c>
      <c r="B2901" s="2" t="s">
        <v>378</v>
      </c>
      <c r="C2901" s="21" t="s">
        <v>275</v>
      </c>
      <c r="D2901" s="4">
        <v>4</v>
      </c>
      <c r="I2901" s="1">
        <f t="shared" si="399"/>
        <v>0</v>
      </c>
      <c r="J2901" s="1">
        <f t="shared" si="401"/>
        <v>432</v>
      </c>
      <c r="K2901" s="9" t="e">
        <f t="shared" si="400"/>
        <v>#DIV/0!</v>
      </c>
    </row>
    <row r="2902" spans="1:12" x14ac:dyDescent="0.35">
      <c r="A2902" s="2" t="s">
        <v>351</v>
      </c>
      <c r="B2902" s="2" t="s">
        <v>378</v>
      </c>
      <c r="C2902" s="21" t="s">
        <v>275</v>
      </c>
      <c r="D2902" s="4">
        <v>5</v>
      </c>
      <c r="I2902" s="1">
        <f t="shared" si="399"/>
        <v>0</v>
      </c>
      <c r="J2902" s="1">
        <f t="shared" si="401"/>
        <v>432</v>
      </c>
      <c r="K2902" s="9" t="e">
        <f t="shared" si="400"/>
        <v>#DIV/0!</v>
      </c>
    </row>
    <row r="2903" spans="1:12" x14ac:dyDescent="0.35">
      <c r="A2903" s="2" t="s">
        <v>351</v>
      </c>
      <c r="B2903" s="2" t="s">
        <v>378</v>
      </c>
      <c r="C2903" s="21" t="s">
        <v>275</v>
      </c>
      <c r="D2903" s="4">
        <v>6</v>
      </c>
      <c r="I2903" s="1">
        <f t="shared" si="399"/>
        <v>0</v>
      </c>
      <c r="J2903" s="1">
        <f t="shared" si="401"/>
        <v>432</v>
      </c>
      <c r="K2903" s="9" t="e">
        <f t="shared" si="400"/>
        <v>#DIV/0!</v>
      </c>
    </row>
    <row r="2904" spans="1:12" x14ac:dyDescent="0.35">
      <c r="A2904" s="2" t="s">
        <v>351</v>
      </c>
      <c r="B2904" s="2" t="s">
        <v>378</v>
      </c>
      <c r="C2904" s="21" t="s">
        <v>275</v>
      </c>
      <c r="D2904" s="4">
        <v>7</v>
      </c>
      <c r="I2904" s="1">
        <f t="shared" si="399"/>
        <v>0</v>
      </c>
      <c r="J2904" s="1">
        <f t="shared" si="401"/>
        <v>432</v>
      </c>
      <c r="K2904" s="9" t="e">
        <f t="shared" si="400"/>
        <v>#DIV/0!</v>
      </c>
    </row>
    <row r="2905" spans="1:12" x14ac:dyDescent="0.35">
      <c r="A2905" s="2" t="s">
        <v>351</v>
      </c>
      <c r="B2905" s="2" t="s">
        <v>378</v>
      </c>
      <c r="C2905" s="21" t="s">
        <v>275</v>
      </c>
      <c r="D2905" s="4">
        <v>8</v>
      </c>
      <c r="I2905" s="1">
        <f t="shared" si="399"/>
        <v>0</v>
      </c>
      <c r="J2905" s="1">
        <f t="shared" si="401"/>
        <v>432</v>
      </c>
      <c r="K2905" s="9" t="e">
        <f t="shared" si="400"/>
        <v>#DIV/0!</v>
      </c>
    </row>
    <row r="2906" spans="1:12" x14ac:dyDescent="0.35">
      <c r="A2906" s="2" t="s">
        <v>351</v>
      </c>
      <c r="B2906" s="2" t="s">
        <v>378</v>
      </c>
      <c r="C2906" s="21" t="s">
        <v>275</v>
      </c>
      <c r="D2906" s="4">
        <v>9</v>
      </c>
      <c r="I2906" s="1">
        <f t="shared" si="399"/>
        <v>0</v>
      </c>
      <c r="J2906" s="1">
        <f t="shared" si="401"/>
        <v>432</v>
      </c>
      <c r="K2906" s="9" t="e">
        <f t="shared" si="400"/>
        <v>#DIV/0!</v>
      </c>
    </row>
    <row r="2907" spans="1:12" x14ac:dyDescent="0.35">
      <c r="A2907" s="2" t="s">
        <v>351</v>
      </c>
      <c r="B2907" s="2" t="s">
        <v>378</v>
      </c>
      <c r="C2907" s="21" t="s">
        <v>275</v>
      </c>
      <c r="D2907" s="4">
        <v>10</v>
      </c>
      <c r="I2907" s="1">
        <f t="shared" si="399"/>
        <v>0</v>
      </c>
      <c r="J2907" s="1">
        <f t="shared" si="401"/>
        <v>432</v>
      </c>
      <c r="K2907" s="9" t="e">
        <f t="shared" si="400"/>
        <v>#DIV/0!</v>
      </c>
    </row>
    <row r="2908" spans="1:12" x14ac:dyDescent="0.35">
      <c r="A2908" s="2" t="s">
        <v>351</v>
      </c>
      <c r="B2908" s="2" t="s">
        <v>378</v>
      </c>
      <c r="C2908" s="21" t="s">
        <v>275</v>
      </c>
      <c r="D2908" s="4">
        <v>11</v>
      </c>
      <c r="I2908" s="1">
        <f t="shared" si="399"/>
        <v>0</v>
      </c>
      <c r="J2908" s="1">
        <f t="shared" si="401"/>
        <v>432</v>
      </c>
      <c r="K2908" s="9" t="e">
        <f t="shared" si="400"/>
        <v>#DIV/0!</v>
      </c>
    </row>
    <row r="2909" spans="1:12" x14ac:dyDescent="0.35">
      <c r="A2909" s="2" t="s">
        <v>351</v>
      </c>
      <c r="B2909" s="2" t="s">
        <v>378</v>
      </c>
      <c r="C2909" s="21" t="s">
        <v>275</v>
      </c>
      <c r="D2909" s="4">
        <v>12</v>
      </c>
      <c r="I2909" s="1">
        <f t="shared" si="399"/>
        <v>0</v>
      </c>
      <c r="J2909" s="1">
        <f t="shared" si="401"/>
        <v>432</v>
      </c>
      <c r="K2909" s="9" t="e">
        <f t="shared" si="400"/>
        <v>#DIV/0!</v>
      </c>
    </row>
    <row r="2910" spans="1:12" x14ac:dyDescent="0.35">
      <c r="A2910" s="2" t="s">
        <v>351</v>
      </c>
      <c r="B2910" s="2" t="s">
        <v>378</v>
      </c>
      <c r="C2910" s="21" t="s">
        <v>275</v>
      </c>
      <c r="D2910" s="4">
        <v>13</v>
      </c>
      <c r="I2910" s="1">
        <f t="shared" si="399"/>
        <v>0</v>
      </c>
      <c r="J2910" s="1">
        <f t="shared" si="401"/>
        <v>432</v>
      </c>
      <c r="K2910" s="9" t="e">
        <f t="shared" si="400"/>
        <v>#DIV/0!</v>
      </c>
    </row>
    <row r="2911" spans="1:12" x14ac:dyDescent="0.35">
      <c r="A2911" s="2" t="s">
        <v>351</v>
      </c>
      <c r="B2911" s="2" t="s">
        <v>378</v>
      </c>
      <c r="C2911" s="21" t="s">
        <v>275</v>
      </c>
      <c r="D2911" s="4">
        <v>14</v>
      </c>
      <c r="I2911" s="1">
        <f t="shared" si="399"/>
        <v>0</v>
      </c>
      <c r="J2911" s="1">
        <f t="shared" si="401"/>
        <v>432</v>
      </c>
      <c r="K2911" s="9" t="e">
        <f t="shared" si="400"/>
        <v>#DIV/0!</v>
      </c>
    </row>
    <row r="2912" spans="1:12" x14ac:dyDescent="0.35">
      <c r="A2912" s="2" t="s">
        <v>351</v>
      </c>
      <c r="B2912" s="2" t="s">
        <v>378</v>
      </c>
      <c r="C2912" s="21" t="s">
        <v>275</v>
      </c>
      <c r="D2912" s="4">
        <v>15</v>
      </c>
      <c r="I2912" s="1">
        <f t="shared" si="399"/>
        <v>0</v>
      </c>
      <c r="J2912" s="1">
        <f t="shared" si="401"/>
        <v>432</v>
      </c>
      <c r="K2912" s="9" t="e">
        <f t="shared" si="400"/>
        <v>#DIV/0!</v>
      </c>
    </row>
    <row r="2913" spans="1:12" ht="15" thickBot="1" x14ac:dyDescent="0.4">
      <c r="A2913" s="12" t="s">
        <v>351</v>
      </c>
      <c r="B2913" s="12" t="s">
        <v>378</v>
      </c>
      <c r="C2913" s="22" t="s">
        <v>275</v>
      </c>
      <c r="D2913" s="14">
        <v>16</v>
      </c>
      <c r="E2913" s="13"/>
      <c r="F2913" s="13"/>
      <c r="G2913" s="13"/>
      <c r="H2913" s="13"/>
      <c r="I2913" s="15">
        <f t="shared" si="399"/>
        <v>0</v>
      </c>
      <c r="J2913" s="15">
        <f t="shared" si="401"/>
        <v>432</v>
      </c>
      <c r="K2913" s="16" t="e">
        <f t="shared" si="400"/>
        <v>#DIV/0!</v>
      </c>
      <c r="L2913" s="13"/>
    </row>
    <row r="2914" spans="1:12" x14ac:dyDescent="0.35">
      <c r="A2914" s="2" t="s">
        <v>352</v>
      </c>
      <c r="B2914" s="2" t="s">
        <v>379</v>
      </c>
      <c r="C2914" s="21" t="s">
        <v>275</v>
      </c>
      <c r="D2914" s="4">
        <v>1</v>
      </c>
      <c r="F2914" s="3">
        <v>45965</v>
      </c>
      <c r="G2914">
        <v>15322</v>
      </c>
      <c r="H2914">
        <v>14593</v>
      </c>
      <c r="I2914" s="1">
        <f t="shared" ref="I2914:I2929" si="402">G2914-H2914</f>
        <v>729</v>
      </c>
      <c r="J2914" s="1">
        <f>I2914</f>
        <v>729</v>
      </c>
      <c r="K2914" s="9">
        <f t="shared" si="400"/>
        <v>4.9955458096347563E-2</v>
      </c>
    </row>
    <row r="2915" spans="1:12" x14ac:dyDescent="0.35">
      <c r="A2915" s="2" t="s">
        <v>352</v>
      </c>
      <c r="B2915" s="2" t="s">
        <v>379</v>
      </c>
      <c r="C2915" s="21" t="s">
        <v>275</v>
      </c>
      <c r="D2915" s="4">
        <v>2</v>
      </c>
      <c r="I2915" s="1">
        <f t="shared" si="402"/>
        <v>0</v>
      </c>
      <c r="J2915" s="1">
        <f>J2914+I2915</f>
        <v>729</v>
      </c>
      <c r="K2915" s="9" t="e">
        <f t="shared" ref="K2915:K2930" si="403">I2915/H2915</f>
        <v>#DIV/0!</v>
      </c>
    </row>
    <row r="2916" spans="1:12" x14ac:dyDescent="0.35">
      <c r="A2916" s="2" t="s">
        <v>352</v>
      </c>
      <c r="B2916" s="2" t="s">
        <v>379</v>
      </c>
      <c r="C2916" s="21" t="s">
        <v>275</v>
      </c>
      <c r="D2916" s="4">
        <v>3</v>
      </c>
      <c r="I2916" s="1">
        <f t="shared" si="402"/>
        <v>0</v>
      </c>
      <c r="J2916" s="1">
        <f t="shared" ref="J2916:J2929" si="404">J2915+I2916</f>
        <v>729</v>
      </c>
      <c r="K2916" s="9" t="e">
        <f t="shared" si="403"/>
        <v>#DIV/0!</v>
      </c>
    </row>
    <row r="2917" spans="1:12" x14ac:dyDescent="0.35">
      <c r="A2917" s="2" t="s">
        <v>352</v>
      </c>
      <c r="B2917" s="2" t="s">
        <v>379</v>
      </c>
      <c r="C2917" s="21" t="s">
        <v>275</v>
      </c>
      <c r="D2917" s="4">
        <v>4</v>
      </c>
      <c r="I2917" s="1">
        <f t="shared" si="402"/>
        <v>0</v>
      </c>
      <c r="J2917" s="1">
        <f t="shared" si="404"/>
        <v>729</v>
      </c>
      <c r="K2917" s="9" t="e">
        <f t="shared" si="403"/>
        <v>#DIV/0!</v>
      </c>
    </row>
    <row r="2918" spans="1:12" x14ac:dyDescent="0.35">
      <c r="A2918" s="2" t="s">
        <v>352</v>
      </c>
      <c r="B2918" s="2" t="s">
        <v>379</v>
      </c>
      <c r="C2918" s="21" t="s">
        <v>275</v>
      </c>
      <c r="D2918" s="4">
        <v>5</v>
      </c>
      <c r="I2918" s="1">
        <f t="shared" si="402"/>
        <v>0</v>
      </c>
      <c r="J2918" s="1">
        <f t="shared" si="404"/>
        <v>729</v>
      </c>
      <c r="K2918" s="9" t="e">
        <f t="shared" si="403"/>
        <v>#DIV/0!</v>
      </c>
    </row>
    <row r="2919" spans="1:12" x14ac:dyDescent="0.35">
      <c r="A2919" s="2" t="s">
        <v>352</v>
      </c>
      <c r="B2919" s="2" t="s">
        <v>379</v>
      </c>
      <c r="C2919" s="21" t="s">
        <v>275</v>
      </c>
      <c r="D2919" s="4">
        <v>6</v>
      </c>
      <c r="I2919" s="1">
        <f t="shared" si="402"/>
        <v>0</v>
      </c>
      <c r="J2919" s="1">
        <f t="shared" si="404"/>
        <v>729</v>
      </c>
      <c r="K2919" s="9" t="e">
        <f t="shared" si="403"/>
        <v>#DIV/0!</v>
      </c>
    </row>
    <row r="2920" spans="1:12" x14ac:dyDescent="0.35">
      <c r="A2920" s="2" t="s">
        <v>352</v>
      </c>
      <c r="B2920" s="2" t="s">
        <v>379</v>
      </c>
      <c r="C2920" s="21" t="s">
        <v>275</v>
      </c>
      <c r="D2920" s="4">
        <v>7</v>
      </c>
      <c r="I2920" s="1">
        <f t="shared" si="402"/>
        <v>0</v>
      </c>
      <c r="J2920" s="1">
        <f t="shared" si="404"/>
        <v>729</v>
      </c>
      <c r="K2920" s="9" t="e">
        <f t="shared" si="403"/>
        <v>#DIV/0!</v>
      </c>
    </row>
    <row r="2921" spans="1:12" x14ac:dyDescent="0.35">
      <c r="A2921" s="2" t="s">
        <v>352</v>
      </c>
      <c r="B2921" s="2" t="s">
        <v>379</v>
      </c>
      <c r="C2921" s="21" t="s">
        <v>275</v>
      </c>
      <c r="D2921" s="4">
        <v>8</v>
      </c>
      <c r="I2921" s="1">
        <f t="shared" si="402"/>
        <v>0</v>
      </c>
      <c r="J2921" s="1">
        <f t="shared" si="404"/>
        <v>729</v>
      </c>
      <c r="K2921" s="9" t="e">
        <f t="shared" si="403"/>
        <v>#DIV/0!</v>
      </c>
    </row>
    <row r="2922" spans="1:12" x14ac:dyDescent="0.35">
      <c r="A2922" s="2" t="s">
        <v>352</v>
      </c>
      <c r="B2922" s="2" t="s">
        <v>379</v>
      </c>
      <c r="C2922" s="21" t="s">
        <v>275</v>
      </c>
      <c r="D2922" s="4">
        <v>9</v>
      </c>
      <c r="I2922" s="1">
        <f t="shared" si="402"/>
        <v>0</v>
      </c>
      <c r="J2922" s="1">
        <f t="shared" si="404"/>
        <v>729</v>
      </c>
      <c r="K2922" s="9" t="e">
        <f t="shared" si="403"/>
        <v>#DIV/0!</v>
      </c>
    </row>
    <row r="2923" spans="1:12" x14ac:dyDescent="0.35">
      <c r="A2923" s="2" t="s">
        <v>352</v>
      </c>
      <c r="B2923" s="2" t="s">
        <v>379</v>
      </c>
      <c r="C2923" s="21" t="s">
        <v>275</v>
      </c>
      <c r="D2923" s="4">
        <v>10</v>
      </c>
      <c r="I2923" s="1">
        <f t="shared" si="402"/>
        <v>0</v>
      </c>
      <c r="J2923" s="1">
        <f t="shared" si="404"/>
        <v>729</v>
      </c>
      <c r="K2923" s="9" t="e">
        <f t="shared" si="403"/>
        <v>#DIV/0!</v>
      </c>
    </row>
    <row r="2924" spans="1:12" x14ac:dyDescent="0.35">
      <c r="A2924" s="2" t="s">
        <v>352</v>
      </c>
      <c r="B2924" s="2" t="s">
        <v>379</v>
      </c>
      <c r="C2924" s="21" t="s">
        <v>275</v>
      </c>
      <c r="D2924" s="4">
        <v>11</v>
      </c>
      <c r="I2924" s="1">
        <f t="shared" si="402"/>
        <v>0</v>
      </c>
      <c r="J2924" s="1">
        <f t="shared" si="404"/>
        <v>729</v>
      </c>
      <c r="K2924" s="9" t="e">
        <f t="shared" si="403"/>
        <v>#DIV/0!</v>
      </c>
    </row>
    <row r="2925" spans="1:12" x14ac:dyDescent="0.35">
      <c r="A2925" s="2" t="s">
        <v>352</v>
      </c>
      <c r="B2925" s="2" t="s">
        <v>379</v>
      </c>
      <c r="C2925" s="21" t="s">
        <v>275</v>
      </c>
      <c r="D2925" s="4">
        <v>12</v>
      </c>
      <c r="I2925" s="1">
        <f t="shared" si="402"/>
        <v>0</v>
      </c>
      <c r="J2925" s="1">
        <f t="shared" si="404"/>
        <v>729</v>
      </c>
      <c r="K2925" s="9" t="e">
        <f t="shared" si="403"/>
        <v>#DIV/0!</v>
      </c>
    </row>
    <row r="2926" spans="1:12" x14ac:dyDescent="0.35">
      <c r="A2926" s="2" t="s">
        <v>352</v>
      </c>
      <c r="B2926" s="2" t="s">
        <v>379</v>
      </c>
      <c r="C2926" s="21" t="s">
        <v>275</v>
      </c>
      <c r="D2926" s="4">
        <v>13</v>
      </c>
      <c r="I2926" s="1">
        <f t="shared" si="402"/>
        <v>0</v>
      </c>
      <c r="J2926" s="1">
        <f t="shared" si="404"/>
        <v>729</v>
      </c>
      <c r="K2926" s="9" t="e">
        <f t="shared" si="403"/>
        <v>#DIV/0!</v>
      </c>
    </row>
    <row r="2927" spans="1:12" x14ac:dyDescent="0.35">
      <c r="A2927" s="2" t="s">
        <v>352</v>
      </c>
      <c r="B2927" s="2" t="s">
        <v>379</v>
      </c>
      <c r="C2927" s="21" t="s">
        <v>275</v>
      </c>
      <c r="D2927" s="4">
        <v>14</v>
      </c>
      <c r="I2927" s="1">
        <f t="shared" si="402"/>
        <v>0</v>
      </c>
      <c r="J2927" s="1">
        <f t="shared" si="404"/>
        <v>729</v>
      </c>
      <c r="K2927" s="9" t="e">
        <f t="shared" si="403"/>
        <v>#DIV/0!</v>
      </c>
    </row>
    <row r="2928" spans="1:12" x14ac:dyDescent="0.35">
      <c r="A2928" s="2" t="s">
        <v>352</v>
      </c>
      <c r="B2928" s="2" t="s">
        <v>379</v>
      </c>
      <c r="C2928" s="21" t="s">
        <v>275</v>
      </c>
      <c r="D2928" s="4">
        <v>15</v>
      </c>
      <c r="I2928" s="1">
        <f t="shared" si="402"/>
        <v>0</v>
      </c>
      <c r="J2928" s="1">
        <f t="shared" si="404"/>
        <v>729</v>
      </c>
      <c r="K2928" s="9" t="e">
        <f t="shared" si="403"/>
        <v>#DIV/0!</v>
      </c>
    </row>
    <row r="2929" spans="1:12" ht="15" thickBot="1" x14ac:dyDescent="0.4">
      <c r="A2929" s="12" t="s">
        <v>352</v>
      </c>
      <c r="B2929" s="12" t="s">
        <v>379</v>
      </c>
      <c r="C2929" s="22" t="s">
        <v>275</v>
      </c>
      <c r="D2929" s="14">
        <v>16</v>
      </c>
      <c r="E2929" s="13"/>
      <c r="F2929" s="13"/>
      <c r="G2929" s="13"/>
      <c r="H2929" s="13"/>
      <c r="I2929" s="15">
        <f t="shared" si="402"/>
        <v>0</v>
      </c>
      <c r="J2929" s="15">
        <f t="shared" si="404"/>
        <v>729</v>
      </c>
      <c r="K2929" s="16" t="e">
        <f t="shared" si="403"/>
        <v>#DIV/0!</v>
      </c>
      <c r="L2929" s="13"/>
    </row>
    <row r="2930" spans="1:12" x14ac:dyDescent="0.35">
      <c r="A2930" s="2" t="s">
        <v>353</v>
      </c>
      <c r="B2930" s="2" t="s">
        <v>380</v>
      </c>
      <c r="C2930" s="21" t="s">
        <v>275</v>
      </c>
      <c r="D2930" s="4">
        <v>1</v>
      </c>
      <c r="F2930" s="3">
        <v>45965</v>
      </c>
      <c r="G2930">
        <v>5198</v>
      </c>
      <c r="H2930">
        <v>4906</v>
      </c>
      <c r="I2930" s="1">
        <f t="shared" ref="I2930:I2945" si="405">G2930-H2930</f>
        <v>292</v>
      </c>
      <c r="J2930" s="1">
        <f>I2930</f>
        <v>292</v>
      </c>
      <c r="K2930" s="9">
        <f t="shared" si="403"/>
        <v>5.9518956379942929E-2</v>
      </c>
    </row>
    <row r="2931" spans="1:12" x14ac:dyDescent="0.35">
      <c r="A2931" s="2" t="s">
        <v>353</v>
      </c>
      <c r="B2931" s="2" t="s">
        <v>380</v>
      </c>
      <c r="C2931" s="21" t="s">
        <v>275</v>
      </c>
      <c r="D2931" s="4">
        <v>2</v>
      </c>
      <c r="I2931" s="1">
        <f t="shared" si="405"/>
        <v>0</v>
      </c>
      <c r="J2931" s="1">
        <f>J2930+I2931</f>
        <v>292</v>
      </c>
      <c r="K2931" s="9" t="e">
        <f t="shared" ref="K2931:K2946" si="406">I2931/H2931</f>
        <v>#DIV/0!</v>
      </c>
    </row>
    <row r="2932" spans="1:12" x14ac:dyDescent="0.35">
      <c r="A2932" s="2" t="s">
        <v>353</v>
      </c>
      <c r="B2932" s="2" t="s">
        <v>380</v>
      </c>
      <c r="C2932" s="21" t="s">
        <v>275</v>
      </c>
      <c r="D2932" s="4">
        <v>3</v>
      </c>
      <c r="I2932" s="1">
        <f t="shared" si="405"/>
        <v>0</v>
      </c>
      <c r="J2932" s="1">
        <f t="shared" ref="J2932:J2945" si="407">J2931+I2932</f>
        <v>292</v>
      </c>
      <c r="K2932" s="9" t="e">
        <f t="shared" si="406"/>
        <v>#DIV/0!</v>
      </c>
    </row>
    <row r="2933" spans="1:12" x14ac:dyDescent="0.35">
      <c r="A2933" s="2" t="s">
        <v>353</v>
      </c>
      <c r="B2933" s="2" t="s">
        <v>380</v>
      </c>
      <c r="C2933" s="21" t="s">
        <v>275</v>
      </c>
      <c r="D2933" s="4">
        <v>4</v>
      </c>
      <c r="I2933" s="1">
        <f t="shared" si="405"/>
        <v>0</v>
      </c>
      <c r="J2933" s="1">
        <f t="shared" si="407"/>
        <v>292</v>
      </c>
      <c r="K2933" s="9" t="e">
        <f t="shared" si="406"/>
        <v>#DIV/0!</v>
      </c>
    </row>
    <row r="2934" spans="1:12" x14ac:dyDescent="0.35">
      <c r="A2934" s="2" t="s">
        <v>353</v>
      </c>
      <c r="B2934" s="2" t="s">
        <v>380</v>
      </c>
      <c r="C2934" s="21" t="s">
        <v>275</v>
      </c>
      <c r="D2934" s="4">
        <v>5</v>
      </c>
      <c r="I2934" s="1">
        <f t="shared" si="405"/>
        <v>0</v>
      </c>
      <c r="J2934" s="1">
        <f t="shared" si="407"/>
        <v>292</v>
      </c>
      <c r="K2934" s="9" t="e">
        <f t="shared" si="406"/>
        <v>#DIV/0!</v>
      </c>
    </row>
    <row r="2935" spans="1:12" x14ac:dyDescent="0.35">
      <c r="A2935" s="2" t="s">
        <v>353</v>
      </c>
      <c r="B2935" s="2" t="s">
        <v>380</v>
      </c>
      <c r="C2935" s="21" t="s">
        <v>275</v>
      </c>
      <c r="D2935" s="4">
        <v>6</v>
      </c>
      <c r="I2935" s="1">
        <f t="shared" si="405"/>
        <v>0</v>
      </c>
      <c r="J2935" s="1">
        <f t="shared" si="407"/>
        <v>292</v>
      </c>
      <c r="K2935" s="9" t="e">
        <f t="shared" si="406"/>
        <v>#DIV/0!</v>
      </c>
    </row>
    <row r="2936" spans="1:12" x14ac:dyDescent="0.35">
      <c r="A2936" s="2" t="s">
        <v>353</v>
      </c>
      <c r="B2936" s="2" t="s">
        <v>380</v>
      </c>
      <c r="C2936" s="21" t="s">
        <v>275</v>
      </c>
      <c r="D2936" s="4">
        <v>7</v>
      </c>
      <c r="I2936" s="1">
        <f t="shared" si="405"/>
        <v>0</v>
      </c>
      <c r="J2936" s="1">
        <f t="shared" si="407"/>
        <v>292</v>
      </c>
      <c r="K2936" s="9" t="e">
        <f t="shared" si="406"/>
        <v>#DIV/0!</v>
      </c>
    </row>
    <row r="2937" spans="1:12" x14ac:dyDescent="0.35">
      <c r="A2937" s="2" t="s">
        <v>353</v>
      </c>
      <c r="B2937" s="2" t="s">
        <v>380</v>
      </c>
      <c r="C2937" s="21" t="s">
        <v>275</v>
      </c>
      <c r="D2937" s="4">
        <v>8</v>
      </c>
      <c r="I2937" s="1">
        <f t="shared" si="405"/>
        <v>0</v>
      </c>
      <c r="J2937" s="1">
        <f t="shared" si="407"/>
        <v>292</v>
      </c>
      <c r="K2937" s="9" t="e">
        <f t="shared" si="406"/>
        <v>#DIV/0!</v>
      </c>
    </row>
    <row r="2938" spans="1:12" x14ac:dyDescent="0.35">
      <c r="A2938" s="2" t="s">
        <v>353</v>
      </c>
      <c r="B2938" s="2" t="s">
        <v>380</v>
      </c>
      <c r="C2938" s="21" t="s">
        <v>275</v>
      </c>
      <c r="D2938" s="4">
        <v>9</v>
      </c>
      <c r="I2938" s="1">
        <f t="shared" si="405"/>
        <v>0</v>
      </c>
      <c r="J2938" s="1">
        <f t="shared" si="407"/>
        <v>292</v>
      </c>
      <c r="K2938" s="9" t="e">
        <f t="shared" si="406"/>
        <v>#DIV/0!</v>
      </c>
    </row>
    <row r="2939" spans="1:12" x14ac:dyDescent="0.35">
      <c r="A2939" s="2" t="s">
        <v>353</v>
      </c>
      <c r="B2939" s="2" t="s">
        <v>380</v>
      </c>
      <c r="C2939" s="21" t="s">
        <v>275</v>
      </c>
      <c r="D2939" s="4">
        <v>10</v>
      </c>
      <c r="I2939" s="1">
        <f t="shared" si="405"/>
        <v>0</v>
      </c>
      <c r="J2939" s="1">
        <f t="shared" si="407"/>
        <v>292</v>
      </c>
      <c r="K2939" s="9" t="e">
        <f t="shared" si="406"/>
        <v>#DIV/0!</v>
      </c>
    </row>
    <row r="2940" spans="1:12" x14ac:dyDescent="0.35">
      <c r="A2940" s="2" t="s">
        <v>353</v>
      </c>
      <c r="B2940" s="2" t="s">
        <v>380</v>
      </c>
      <c r="C2940" s="21" t="s">
        <v>275</v>
      </c>
      <c r="D2940" s="4">
        <v>11</v>
      </c>
      <c r="I2940" s="1">
        <f t="shared" si="405"/>
        <v>0</v>
      </c>
      <c r="J2940" s="1">
        <f t="shared" si="407"/>
        <v>292</v>
      </c>
      <c r="K2940" s="9" t="e">
        <f t="shared" si="406"/>
        <v>#DIV/0!</v>
      </c>
    </row>
    <row r="2941" spans="1:12" x14ac:dyDescent="0.35">
      <c r="A2941" s="2" t="s">
        <v>353</v>
      </c>
      <c r="B2941" s="2" t="s">
        <v>380</v>
      </c>
      <c r="C2941" s="21" t="s">
        <v>275</v>
      </c>
      <c r="D2941" s="4">
        <v>12</v>
      </c>
      <c r="I2941" s="1">
        <f t="shared" si="405"/>
        <v>0</v>
      </c>
      <c r="J2941" s="1">
        <f t="shared" si="407"/>
        <v>292</v>
      </c>
      <c r="K2941" s="9" t="e">
        <f t="shared" si="406"/>
        <v>#DIV/0!</v>
      </c>
    </row>
    <row r="2942" spans="1:12" x14ac:dyDescent="0.35">
      <c r="A2942" s="2" t="s">
        <v>353</v>
      </c>
      <c r="B2942" s="2" t="s">
        <v>380</v>
      </c>
      <c r="C2942" s="21" t="s">
        <v>275</v>
      </c>
      <c r="D2942" s="4">
        <v>13</v>
      </c>
      <c r="I2942" s="1">
        <f t="shared" si="405"/>
        <v>0</v>
      </c>
      <c r="J2942" s="1">
        <f t="shared" si="407"/>
        <v>292</v>
      </c>
      <c r="K2942" s="9" t="e">
        <f t="shared" si="406"/>
        <v>#DIV/0!</v>
      </c>
    </row>
    <row r="2943" spans="1:12" x14ac:dyDescent="0.35">
      <c r="A2943" s="2" t="s">
        <v>353</v>
      </c>
      <c r="B2943" s="2" t="s">
        <v>380</v>
      </c>
      <c r="C2943" s="21" t="s">
        <v>275</v>
      </c>
      <c r="D2943" s="4">
        <v>14</v>
      </c>
      <c r="I2943" s="1">
        <f t="shared" si="405"/>
        <v>0</v>
      </c>
      <c r="J2943" s="1">
        <f t="shared" si="407"/>
        <v>292</v>
      </c>
      <c r="K2943" s="9" t="e">
        <f t="shared" si="406"/>
        <v>#DIV/0!</v>
      </c>
    </row>
    <row r="2944" spans="1:12" x14ac:dyDescent="0.35">
      <c r="A2944" s="2" t="s">
        <v>353</v>
      </c>
      <c r="B2944" s="2" t="s">
        <v>380</v>
      </c>
      <c r="C2944" s="21" t="s">
        <v>275</v>
      </c>
      <c r="D2944" s="4">
        <v>15</v>
      </c>
      <c r="I2944" s="1">
        <f t="shared" si="405"/>
        <v>0</v>
      </c>
      <c r="J2944" s="1">
        <f t="shared" si="407"/>
        <v>292</v>
      </c>
      <c r="K2944" s="9" t="e">
        <f t="shared" si="406"/>
        <v>#DIV/0!</v>
      </c>
    </row>
    <row r="2945" spans="1:12" ht="15" thickBot="1" x14ac:dyDescent="0.4">
      <c r="A2945" s="12" t="s">
        <v>353</v>
      </c>
      <c r="B2945" s="12" t="s">
        <v>380</v>
      </c>
      <c r="C2945" s="22" t="s">
        <v>275</v>
      </c>
      <c r="D2945" s="14">
        <v>16</v>
      </c>
      <c r="E2945" s="13"/>
      <c r="F2945" s="13"/>
      <c r="G2945" s="13"/>
      <c r="H2945" s="13"/>
      <c r="I2945" s="15">
        <f t="shared" si="405"/>
        <v>0</v>
      </c>
      <c r="J2945" s="15">
        <f t="shared" si="407"/>
        <v>292</v>
      </c>
      <c r="K2945" s="16" t="e">
        <f t="shared" si="406"/>
        <v>#DIV/0!</v>
      </c>
      <c r="L2945" s="13"/>
    </row>
    <row r="2946" spans="1:12" x14ac:dyDescent="0.35">
      <c r="A2946" s="2" t="s">
        <v>354</v>
      </c>
      <c r="B2946" s="2" t="s">
        <v>381</v>
      </c>
      <c r="C2946" s="21" t="s">
        <v>275</v>
      </c>
      <c r="D2946" s="4">
        <v>1</v>
      </c>
      <c r="F2946" s="3">
        <v>45966</v>
      </c>
      <c r="G2946">
        <v>2458</v>
      </c>
      <c r="H2946">
        <v>2204</v>
      </c>
      <c r="I2946" s="1">
        <f t="shared" ref="I2946:I2961" si="408">G2946-H2946</f>
        <v>254</v>
      </c>
      <c r="J2946" s="1">
        <f>I2946</f>
        <v>254</v>
      </c>
      <c r="K2946" s="9">
        <f t="shared" si="406"/>
        <v>0.11524500907441017</v>
      </c>
    </row>
    <row r="2947" spans="1:12" x14ac:dyDescent="0.35">
      <c r="A2947" s="2" t="s">
        <v>354</v>
      </c>
      <c r="B2947" s="2" t="s">
        <v>381</v>
      </c>
      <c r="C2947" s="21" t="s">
        <v>275</v>
      </c>
      <c r="D2947" s="4">
        <v>2</v>
      </c>
      <c r="I2947" s="1">
        <f t="shared" si="408"/>
        <v>0</v>
      </c>
      <c r="J2947" s="1">
        <f>J2946+I2947</f>
        <v>254</v>
      </c>
      <c r="K2947" s="9" t="e">
        <f t="shared" ref="K2947:K2962" si="409">I2947/H2947</f>
        <v>#DIV/0!</v>
      </c>
    </row>
    <row r="2948" spans="1:12" x14ac:dyDescent="0.35">
      <c r="A2948" s="2" t="s">
        <v>354</v>
      </c>
      <c r="B2948" s="2" t="s">
        <v>381</v>
      </c>
      <c r="C2948" s="21" t="s">
        <v>275</v>
      </c>
      <c r="D2948" s="4">
        <v>3</v>
      </c>
      <c r="I2948" s="1">
        <f t="shared" si="408"/>
        <v>0</v>
      </c>
      <c r="J2948" s="1">
        <f t="shared" ref="J2948:J2961" si="410">J2947+I2948</f>
        <v>254</v>
      </c>
      <c r="K2948" s="9" t="e">
        <f t="shared" si="409"/>
        <v>#DIV/0!</v>
      </c>
    </row>
    <row r="2949" spans="1:12" x14ac:dyDescent="0.35">
      <c r="A2949" s="2" t="s">
        <v>354</v>
      </c>
      <c r="B2949" s="2" t="s">
        <v>381</v>
      </c>
      <c r="C2949" s="21" t="s">
        <v>275</v>
      </c>
      <c r="D2949" s="4">
        <v>4</v>
      </c>
      <c r="I2949" s="1">
        <f t="shared" si="408"/>
        <v>0</v>
      </c>
      <c r="J2949" s="1">
        <f t="shared" si="410"/>
        <v>254</v>
      </c>
      <c r="K2949" s="9" t="e">
        <f t="shared" si="409"/>
        <v>#DIV/0!</v>
      </c>
    </row>
    <row r="2950" spans="1:12" x14ac:dyDescent="0.35">
      <c r="A2950" s="2" t="s">
        <v>354</v>
      </c>
      <c r="B2950" s="2" t="s">
        <v>381</v>
      </c>
      <c r="C2950" s="21" t="s">
        <v>275</v>
      </c>
      <c r="D2950" s="4">
        <v>5</v>
      </c>
      <c r="I2950" s="1">
        <f t="shared" si="408"/>
        <v>0</v>
      </c>
      <c r="J2950" s="1">
        <f t="shared" si="410"/>
        <v>254</v>
      </c>
      <c r="K2950" s="9" t="e">
        <f t="shared" si="409"/>
        <v>#DIV/0!</v>
      </c>
    </row>
    <row r="2951" spans="1:12" x14ac:dyDescent="0.35">
      <c r="A2951" s="2" t="s">
        <v>354</v>
      </c>
      <c r="B2951" s="2" t="s">
        <v>381</v>
      </c>
      <c r="C2951" s="21" t="s">
        <v>275</v>
      </c>
      <c r="D2951" s="4">
        <v>6</v>
      </c>
      <c r="I2951" s="1">
        <f t="shared" si="408"/>
        <v>0</v>
      </c>
      <c r="J2951" s="1">
        <f t="shared" si="410"/>
        <v>254</v>
      </c>
      <c r="K2951" s="9" t="e">
        <f t="shared" si="409"/>
        <v>#DIV/0!</v>
      </c>
    </row>
    <row r="2952" spans="1:12" x14ac:dyDescent="0.35">
      <c r="A2952" s="2" t="s">
        <v>354</v>
      </c>
      <c r="B2952" s="2" t="s">
        <v>381</v>
      </c>
      <c r="C2952" s="21" t="s">
        <v>275</v>
      </c>
      <c r="D2952" s="4">
        <v>7</v>
      </c>
      <c r="I2952" s="1">
        <f t="shared" si="408"/>
        <v>0</v>
      </c>
      <c r="J2952" s="1">
        <f t="shared" si="410"/>
        <v>254</v>
      </c>
      <c r="K2952" s="9" t="e">
        <f t="shared" si="409"/>
        <v>#DIV/0!</v>
      </c>
    </row>
    <row r="2953" spans="1:12" x14ac:dyDescent="0.35">
      <c r="A2953" s="2" t="s">
        <v>354</v>
      </c>
      <c r="B2953" s="2" t="s">
        <v>381</v>
      </c>
      <c r="C2953" s="21" t="s">
        <v>275</v>
      </c>
      <c r="D2953" s="4">
        <v>8</v>
      </c>
      <c r="I2953" s="1">
        <f t="shared" si="408"/>
        <v>0</v>
      </c>
      <c r="J2953" s="1">
        <f t="shared" si="410"/>
        <v>254</v>
      </c>
      <c r="K2953" s="9" t="e">
        <f t="shared" si="409"/>
        <v>#DIV/0!</v>
      </c>
    </row>
    <row r="2954" spans="1:12" x14ac:dyDescent="0.35">
      <c r="A2954" s="2" t="s">
        <v>354</v>
      </c>
      <c r="B2954" s="2" t="s">
        <v>381</v>
      </c>
      <c r="C2954" s="21" t="s">
        <v>275</v>
      </c>
      <c r="D2954" s="4">
        <v>9</v>
      </c>
      <c r="I2954" s="1">
        <f t="shared" si="408"/>
        <v>0</v>
      </c>
      <c r="J2954" s="1">
        <f t="shared" si="410"/>
        <v>254</v>
      </c>
      <c r="K2954" s="9" t="e">
        <f t="shared" si="409"/>
        <v>#DIV/0!</v>
      </c>
    </row>
    <row r="2955" spans="1:12" x14ac:dyDescent="0.35">
      <c r="A2955" s="2" t="s">
        <v>354</v>
      </c>
      <c r="B2955" s="2" t="s">
        <v>381</v>
      </c>
      <c r="C2955" s="21" t="s">
        <v>275</v>
      </c>
      <c r="D2955" s="4">
        <v>10</v>
      </c>
      <c r="I2955" s="1">
        <f t="shared" si="408"/>
        <v>0</v>
      </c>
      <c r="J2955" s="1">
        <f t="shared" si="410"/>
        <v>254</v>
      </c>
      <c r="K2955" s="9" t="e">
        <f t="shared" si="409"/>
        <v>#DIV/0!</v>
      </c>
    </row>
    <row r="2956" spans="1:12" x14ac:dyDescent="0.35">
      <c r="A2956" s="2" t="s">
        <v>354</v>
      </c>
      <c r="B2956" s="2" t="s">
        <v>381</v>
      </c>
      <c r="C2956" s="21" t="s">
        <v>275</v>
      </c>
      <c r="D2956" s="4">
        <v>11</v>
      </c>
      <c r="I2956" s="1">
        <f t="shared" si="408"/>
        <v>0</v>
      </c>
      <c r="J2956" s="1">
        <f t="shared" si="410"/>
        <v>254</v>
      </c>
      <c r="K2956" s="9" t="e">
        <f t="shared" si="409"/>
        <v>#DIV/0!</v>
      </c>
    </row>
    <row r="2957" spans="1:12" x14ac:dyDescent="0.35">
      <c r="A2957" s="2" t="s">
        <v>354</v>
      </c>
      <c r="B2957" s="2" t="s">
        <v>381</v>
      </c>
      <c r="C2957" s="21" t="s">
        <v>275</v>
      </c>
      <c r="D2957" s="4">
        <v>12</v>
      </c>
      <c r="I2957" s="1">
        <f t="shared" si="408"/>
        <v>0</v>
      </c>
      <c r="J2957" s="1">
        <f t="shared" si="410"/>
        <v>254</v>
      </c>
      <c r="K2957" s="9" t="e">
        <f t="shared" si="409"/>
        <v>#DIV/0!</v>
      </c>
    </row>
    <row r="2958" spans="1:12" x14ac:dyDescent="0.35">
      <c r="A2958" s="2" t="s">
        <v>354</v>
      </c>
      <c r="B2958" s="2" t="s">
        <v>381</v>
      </c>
      <c r="C2958" s="21" t="s">
        <v>275</v>
      </c>
      <c r="D2958" s="4">
        <v>13</v>
      </c>
      <c r="I2958" s="1">
        <f t="shared" si="408"/>
        <v>0</v>
      </c>
      <c r="J2958" s="1">
        <f t="shared" si="410"/>
        <v>254</v>
      </c>
      <c r="K2958" s="9" t="e">
        <f t="shared" si="409"/>
        <v>#DIV/0!</v>
      </c>
    </row>
    <row r="2959" spans="1:12" x14ac:dyDescent="0.35">
      <c r="A2959" s="2" t="s">
        <v>354</v>
      </c>
      <c r="B2959" s="2" t="s">
        <v>381</v>
      </c>
      <c r="C2959" s="21" t="s">
        <v>275</v>
      </c>
      <c r="D2959" s="4">
        <v>14</v>
      </c>
      <c r="I2959" s="1">
        <f t="shared" si="408"/>
        <v>0</v>
      </c>
      <c r="J2959" s="1">
        <f t="shared" si="410"/>
        <v>254</v>
      </c>
      <c r="K2959" s="9" t="e">
        <f t="shared" si="409"/>
        <v>#DIV/0!</v>
      </c>
    </row>
    <row r="2960" spans="1:12" x14ac:dyDescent="0.35">
      <c r="A2960" s="2" t="s">
        <v>354</v>
      </c>
      <c r="B2960" s="2" t="s">
        <v>381</v>
      </c>
      <c r="C2960" s="21" t="s">
        <v>275</v>
      </c>
      <c r="D2960" s="4">
        <v>15</v>
      </c>
      <c r="I2960" s="1">
        <f t="shared" si="408"/>
        <v>0</v>
      </c>
      <c r="J2960" s="1">
        <f t="shared" si="410"/>
        <v>254</v>
      </c>
      <c r="K2960" s="9" t="e">
        <f t="shared" si="409"/>
        <v>#DIV/0!</v>
      </c>
    </row>
    <row r="2961" spans="1:12" ht="15" thickBot="1" x14ac:dyDescent="0.4">
      <c r="A2961" s="12" t="s">
        <v>354</v>
      </c>
      <c r="B2961" s="12" t="s">
        <v>381</v>
      </c>
      <c r="C2961" s="22" t="s">
        <v>275</v>
      </c>
      <c r="D2961" s="14">
        <v>16</v>
      </c>
      <c r="E2961" s="13"/>
      <c r="F2961" s="13"/>
      <c r="G2961" s="13"/>
      <c r="H2961" s="13"/>
      <c r="I2961" s="15">
        <f t="shared" si="408"/>
        <v>0</v>
      </c>
      <c r="J2961" s="15">
        <f t="shared" si="410"/>
        <v>254</v>
      </c>
      <c r="K2961" s="16" t="e">
        <f t="shared" si="409"/>
        <v>#DIV/0!</v>
      </c>
      <c r="L2961" s="13"/>
    </row>
    <row r="2962" spans="1:12" x14ac:dyDescent="0.35">
      <c r="A2962" s="2" t="s">
        <v>355</v>
      </c>
      <c r="B2962" s="2" t="s">
        <v>382</v>
      </c>
      <c r="C2962" s="21" t="s">
        <v>275</v>
      </c>
      <c r="D2962" s="4">
        <v>1</v>
      </c>
      <c r="F2962" s="3">
        <v>45966</v>
      </c>
      <c r="G2962">
        <v>7506</v>
      </c>
      <c r="H2962">
        <v>7144.06</v>
      </c>
      <c r="I2962" s="1">
        <f t="shared" ref="I2962:I2977" si="411">G2962-H2962</f>
        <v>361.9399999999996</v>
      </c>
      <c r="J2962" s="1">
        <f>I2962</f>
        <v>361.9399999999996</v>
      </c>
      <c r="K2962" s="9">
        <f t="shared" si="409"/>
        <v>5.0663068339291607E-2</v>
      </c>
    </row>
    <row r="2963" spans="1:12" x14ac:dyDescent="0.35">
      <c r="A2963" s="2" t="s">
        <v>355</v>
      </c>
      <c r="B2963" s="2" t="s">
        <v>382</v>
      </c>
      <c r="C2963" s="21" t="s">
        <v>275</v>
      </c>
      <c r="D2963" s="4">
        <v>2</v>
      </c>
      <c r="F2963" s="3"/>
      <c r="I2963" s="1">
        <f t="shared" si="411"/>
        <v>0</v>
      </c>
      <c r="J2963" s="1">
        <f>J2962+I2963</f>
        <v>361.9399999999996</v>
      </c>
      <c r="K2963" s="9" t="e">
        <f t="shared" ref="K2963:K2978" si="412">I2963/H2963</f>
        <v>#DIV/0!</v>
      </c>
    </row>
    <row r="2964" spans="1:12" x14ac:dyDescent="0.35">
      <c r="A2964" s="2" t="s">
        <v>355</v>
      </c>
      <c r="B2964" s="2" t="s">
        <v>382</v>
      </c>
      <c r="C2964" s="21" t="s">
        <v>275</v>
      </c>
      <c r="D2964" s="4">
        <v>3</v>
      </c>
      <c r="I2964" s="1">
        <f t="shared" si="411"/>
        <v>0</v>
      </c>
      <c r="J2964" s="1">
        <f t="shared" ref="J2964:J2977" si="413">J2963+I2964</f>
        <v>361.9399999999996</v>
      </c>
      <c r="K2964" s="9" t="e">
        <f t="shared" si="412"/>
        <v>#DIV/0!</v>
      </c>
    </row>
    <row r="2965" spans="1:12" x14ac:dyDescent="0.35">
      <c r="A2965" s="2" t="s">
        <v>355</v>
      </c>
      <c r="B2965" s="2" t="s">
        <v>382</v>
      </c>
      <c r="C2965" s="21" t="s">
        <v>275</v>
      </c>
      <c r="D2965" s="4">
        <v>4</v>
      </c>
      <c r="I2965" s="1">
        <f t="shared" si="411"/>
        <v>0</v>
      </c>
      <c r="J2965" s="1">
        <f t="shared" si="413"/>
        <v>361.9399999999996</v>
      </c>
      <c r="K2965" s="9" t="e">
        <f t="shared" si="412"/>
        <v>#DIV/0!</v>
      </c>
    </row>
    <row r="2966" spans="1:12" x14ac:dyDescent="0.35">
      <c r="A2966" s="2" t="s">
        <v>355</v>
      </c>
      <c r="B2966" s="2" t="s">
        <v>382</v>
      </c>
      <c r="C2966" s="21" t="s">
        <v>275</v>
      </c>
      <c r="D2966" s="4">
        <v>5</v>
      </c>
      <c r="I2966" s="1">
        <f t="shared" si="411"/>
        <v>0</v>
      </c>
      <c r="J2966" s="1">
        <f t="shared" si="413"/>
        <v>361.9399999999996</v>
      </c>
      <c r="K2966" s="9" t="e">
        <f t="shared" si="412"/>
        <v>#DIV/0!</v>
      </c>
    </row>
    <row r="2967" spans="1:12" x14ac:dyDescent="0.35">
      <c r="A2967" s="2" t="s">
        <v>355</v>
      </c>
      <c r="B2967" s="2" t="s">
        <v>382</v>
      </c>
      <c r="C2967" s="21" t="s">
        <v>275</v>
      </c>
      <c r="D2967" s="4">
        <v>6</v>
      </c>
      <c r="I2967" s="1">
        <f t="shared" si="411"/>
        <v>0</v>
      </c>
      <c r="J2967" s="1">
        <f t="shared" si="413"/>
        <v>361.9399999999996</v>
      </c>
      <c r="K2967" s="9" t="e">
        <f t="shared" si="412"/>
        <v>#DIV/0!</v>
      </c>
    </row>
    <row r="2968" spans="1:12" x14ac:dyDescent="0.35">
      <c r="A2968" s="2" t="s">
        <v>355</v>
      </c>
      <c r="B2968" s="2" t="s">
        <v>382</v>
      </c>
      <c r="C2968" s="21" t="s">
        <v>275</v>
      </c>
      <c r="D2968" s="4">
        <v>7</v>
      </c>
      <c r="I2968" s="1">
        <f t="shared" si="411"/>
        <v>0</v>
      </c>
      <c r="J2968" s="1">
        <f t="shared" si="413"/>
        <v>361.9399999999996</v>
      </c>
      <c r="K2968" s="9" t="e">
        <f t="shared" si="412"/>
        <v>#DIV/0!</v>
      </c>
    </row>
    <row r="2969" spans="1:12" x14ac:dyDescent="0.35">
      <c r="A2969" s="2" t="s">
        <v>355</v>
      </c>
      <c r="B2969" s="2" t="s">
        <v>382</v>
      </c>
      <c r="C2969" s="21" t="s">
        <v>275</v>
      </c>
      <c r="D2969" s="4">
        <v>8</v>
      </c>
      <c r="I2969" s="1">
        <f t="shared" si="411"/>
        <v>0</v>
      </c>
      <c r="J2969" s="1">
        <f t="shared" si="413"/>
        <v>361.9399999999996</v>
      </c>
      <c r="K2969" s="9" t="e">
        <f t="shared" si="412"/>
        <v>#DIV/0!</v>
      </c>
    </row>
    <row r="2970" spans="1:12" x14ac:dyDescent="0.35">
      <c r="A2970" s="2" t="s">
        <v>355</v>
      </c>
      <c r="B2970" s="2" t="s">
        <v>382</v>
      </c>
      <c r="C2970" s="21" t="s">
        <v>275</v>
      </c>
      <c r="D2970" s="4">
        <v>9</v>
      </c>
      <c r="I2970" s="1">
        <f t="shared" si="411"/>
        <v>0</v>
      </c>
      <c r="J2970" s="1">
        <f t="shared" si="413"/>
        <v>361.9399999999996</v>
      </c>
      <c r="K2970" s="9" t="e">
        <f t="shared" si="412"/>
        <v>#DIV/0!</v>
      </c>
    </row>
    <row r="2971" spans="1:12" x14ac:dyDescent="0.35">
      <c r="A2971" s="2" t="s">
        <v>355</v>
      </c>
      <c r="B2971" s="2" t="s">
        <v>382</v>
      </c>
      <c r="C2971" s="21" t="s">
        <v>275</v>
      </c>
      <c r="D2971" s="4">
        <v>10</v>
      </c>
      <c r="I2971" s="1">
        <f t="shared" si="411"/>
        <v>0</v>
      </c>
      <c r="J2971" s="1">
        <f t="shared" si="413"/>
        <v>361.9399999999996</v>
      </c>
      <c r="K2971" s="9" t="e">
        <f t="shared" si="412"/>
        <v>#DIV/0!</v>
      </c>
    </row>
    <row r="2972" spans="1:12" x14ac:dyDescent="0.35">
      <c r="A2972" s="2" t="s">
        <v>355</v>
      </c>
      <c r="B2972" s="2" t="s">
        <v>382</v>
      </c>
      <c r="C2972" s="21" t="s">
        <v>275</v>
      </c>
      <c r="D2972" s="4">
        <v>11</v>
      </c>
      <c r="I2972" s="1">
        <f t="shared" si="411"/>
        <v>0</v>
      </c>
      <c r="J2972" s="1">
        <f t="shared" si="413"/>
        <v>361.9399999999996</v>
      </c>
      <c r="K2972" s="9" t="e">
        <f t="shared" si="412"/>
        <v>#DIV/0!</v>
      </c>
    </row>
    <row r="2973" spans="1:12" x14ac:dyDescent="0.35">
      <c r="A2973" s="2" t="s">
        <v>355</v>
      </c>
      <c r="B2973" s="2" t="s">
        <v>382</v>
      </c>
      <c r="C2973" s="21" t="s">
        <v>275</v>
      </c>
      <c r="D2973" s="4">
        <v>12</v>
      </c>
      <c r="I2973" s="1">
        <f t="shared" si="411"/>
        <v>0</v>
      </c>
      <c r="J2973" s="1">
        <f t="shared" si="413"/>
        <v>361.9399999999996</v>
      </c>
      <c r="K2973" s="9" t="e">
        <f t="shared" si="412"/>
        <v>#DIV/0!</v>
      </c>
    </row>
    <row r="2974" spans="1:12" x14ac:dyDescent="0.35">
      <c r="A2974" s="2" t="s">
        <v>355</v>
      </c>
      <c r="B2974" s="2" t="s">
        <v>382</v>
      </c>
      <c r="C2974" s="21" t="s">
        <v>275</v>
      </c>
      <c r="D2974" s="4">
        <v>13</v>
      </c>
      <c r="I2974" s="1">
        <f t="shared" si="411"/>
        <v>0</v>
      </c>
      <c r="J2974" s="1">
        <f t="shared" si="413"/>
        <v>361.9399999999996</v>
      </c>
      <c r="K2974" s="9" t="e">
        <f t="shared" si="412"/>
        <v>#DIV/0!</v>
      </c>
    </row>
    <row r="2975" spans="1:12" x14ac:dyDescent="0.35">
      <c r="A2975" s="2" t="s">
        <v>355</v>
      </c>
      <c r="B2975" s="2" t="s">
        <v>382</v>
      </c>
      <c r="C2975" s="21" t="s">
        <v>275</v>
      </c>
      <c r="D2975" s="4">
        <v>14</v>
      </c>
      <c r="I2975" s="1">
        <f t="shared" si="411"/>
        <v>0</v>
      </c>
      <c r="J2975" s="1">
        <f t="shared" si="413"/>
        <v>361.9399999999996</v>
      </c>
      <c r="K2975" s="9" t="e">
        <f t="shared" si="412"/>
        <v>#DIV/0!</v>
      </c>
    </row>
    <row r="2976" spans="1:12" x14ac:dyDescent="0.35">
      <c r="A2976" s="2" t="s">
        <v>355</v>
      </c>
      <c r="B2976" s="2" t="s">
        <v>382</v>
      </c>
      <c r="C2976" s="21" t="s">
        <v>275</v>
      </c>
      <c r="D2976" s="4">
        <v>15</v>
      </c>
      <c r="I2976" s="1">
        <f t="shared" si="411"/>
        <v>0</v>
      </c>
      <c r="J2976" s="1">
        <f t="shared" si="413"/>
        <v>361.9399999999996</v>
      </c>
      <c r="K2976" s="9" t="e">
        <f t="shared" si="412"/>
        <v>#DIV/0!</v>
      </c>
    </row>
    <row r="2977" spans="1:12" ht="15" thickBot="1" x14ac:dyDescent="0.4">
      <c r="A2977" s="12" t="s">
        <v>355</v>
      </c>
      <c r="B2977" s="12" t="s">
        <v>382</v>
      </c>
      <c r="C2977" s="22" t="s">
        <v>275</v>
      </c>
      <c r="D2977" s="14">
        <v>16</v>
      </c>
      <c r="E2977" s="13"/>
      <c r="F2977" s="13"/>
      <c r="G2977" s="13"/>
      <c r="H2977" s="13"/>
      <c r="I2977" s="15">
        <f t="shared" si="411"/>
        <v>0</v>
      </c>
      <c r="J2977" s="15">
        <f t="shared" si="413"/>
        <v>361.9399999999996</v>
      </c>
      <c r="K2977" s="16" t="e">
        <f t="shared" si="412"/>
        <v>#DIV/0!</v>
      </c>
      <c r="L2977" s="13"/>
    </row>
    <row r="2978" spans="1:12" x14ac:dyDescent="0.35">
      <c r="A2978" s="2" t="s">
        <v>356</v>
      </c>
      <c r="B2978" s="2" t="s">
        <v>160</v>
      </c>
      <c r="C2978" s="21" t="s">
        <v>275</v>
      </c>
      <c r="D2978" s="4">
        <v>1</v>
      </c>
      <c r="F2978" s="3">
        <v>45967</v>
      </c>
      <c r="G2978">
        <v>5996</v>
      </c>
      <c r="H2978">
        <v>5399</v>
      </c>
      <c r="I2978" s="1">
        <f t="shared" ref="I2978:I2993" si="414">G2978-H2978</f>
        <v>597</v>
      </c>
      <c r="J2978" s="1">
        <f>I2978</f>
        <v>597</v>
      </c>
      <c r="K2978" s="9">
        <f t="shared" si="412"/>
        <v>0.11057603259862937</v>
      </c>
    </row>
    <row r="2979" spans="1:12" x14ac:dyDescent="0.35">
      <c r="A2979" s="2" t="s">
        <v>356</v>
      </c>
      <c r="B2979" s="2" t="s">
        <v>160</v>
      </c>
      <c r="C2979" s="21" t="s">
        <v>275</v>
      </c>
      <c r="D2979" s="4">
        <v>2</v>
      </c>
      <c r="I2979" s="1">
        <f t="shared" si="414"/>
        <v>0</v>
      </c>
      <c r="J2979" s="1">
        <f>J2978+I2979</f>
        <v>597</v>
      </c>
      <c r="K2979" s="9" t="e">
        <f t="shared" ref="K2979:K2994" si="415">I2979/H2979</f>
        <v>#DIV/0!</v>
      </c>
    </row>
    <row r="2980" spans="1:12" x14ac:dyDescent="0.35">
      <c r="A2980" s="2" t="s">
        <v>356</v>
      </c>
      <c r="B2980" s="2" t="s">
        <v>160</v>
      </c>
      <c r="C2980" s="21" t="s">
        <v>275</v>
      </c>
      <c r="D2980" s="4">
        <v>3</v>
      </c>
      <c r="I2980" s="1">
        <f t="shared" si="414"/>
        <v>0</v>
      </c>
      <c r="J2980" s="1">
        <f t="shared" ref="J2980:J2993" si="416">J2979+I2980</f>
        <v>597</v>
      </c>
      <c r="K2980" s="9" t="e">
        <f t="shared" si="415"/>
        <v>#DIV/0!</v>
      </c>
    </row>
    <row r="2981" spans="1:12" x14ac:dyDescent="0.35">
      <c r="A2981" s="2" t="s">
        <v>356</v>
      </c>
      <c r="B2981" s="2" t="s">
        <v>160</v>
      </c>
      <c r="C2981" s="21" t="s">
        <v>275</v>
      </c>
      <c r="D2981" s="4">
        <v>4</v>
      </c>
      <c r="I2981" s="1">
        <f t="shared" si="414"/>
        <v>0</v>
      </c>
      <c r="J2981" s="1">
        <f t="shared" si="416"/>
        <v>597</v>
      </c>
      <c r="K2981" s="9" t="e">
        <f t="shared" si="415"/>
        <v>#DIV/0!</v>
      </c>
    </row>
    <row r="2982" spans="1:12" x14ac:dyDescent="0.35">
      <c r="A2982" s="2" t="s">
        <v>356</v>
      </c>
      <c r="B2982" s="2" t="s">
        <v>160</v>
      </c>
      <c r="C2982" s="21" t="s">
        <v>275</v>
      </c>
      <c r="D2982" s="4">
        <v>5</v>
      </c>
      <c r="I2982" s="1">
        <f t="shared" si="414"/>
        <v>0</v>
      </c>
      <c r="J2982" s="1">
        <f t="shared" si="416"/>
        <v>597</v>
      </c>
      <c r="K2982" s="9" t="e">
        <f t="shared" si="415"/>
        <v>#DIV/0!</v>
      </c>
    </row>
    <row r="2983" spans="1:12" x14ac:dyDescent="0.35">
      <c r="A2983" s="2" t="s">
        <v>356</v>
      </c>
      <c r="B2983" s="2" t="s">
        <v>160</v>
      </c>
      <c r="C2983" s="21" t="s">
        <v>275</v>
      </c>
      <c r="D2983" s="4">
        <v>6</v>
      </c>
      <c r="I2983" s="1">
        <f t="shared" si="414"/>
        <v>0</v>
      </c>
      <c r="J2983" s="1">
        <f t="shared" si="416"/>
        <v>597</v>
      </c>
      <c r="K2983" s="9" t="e">
        <f t="shared" si="415"/>
        <v>#DIV/0!</v>
      </c>
    </row>
    <row r="2984" spans="1:12" x14ac:dyDescent="0.35">
      <c r="A2984" s="2" t="s">
        <v>356</v>
      </c>
      <c r="B2984" s="2" t="s">
        <v>160</v>
      </c>
      <c r="C2984" s="21" t="s">
        <v>275</v>
      </c>
      <c r="D2984" s="4">
        <v>7</v>
      </c>
      <c r="I2984" s="1">
        <f t="shared" si="414"/>
        <v>0</v>
      </c>
      <c r="J2984" s="1">
        <f t="shared" si="416"/>
        <v>597</v>
      </c>
      <c r="K2984" s="9" t="e">
        <f t="shared" si="415"/>
        <v>#DIV/0!</v>
      </c>
    </row>
    <row r="2985" spans="1:12" x14ac:dyDescent="0.35">
      <c r="A2985" s="2" t="s">
        <v>356</v>
      </c>
      <c r="B2985" s="2" t="s">
        <v>160</v>
      </c>
      <c r="C2985" s="21" t="s">
        <v>275</v>
      </c>
      <c r="D2985" s="4">
        <v>8</v>
      </c>
      <c r="I2985" s="1">
        <f t="shared" si="414"/>
        <v>0</v>
      </c>
      <c r="J2985" s="1">
        <f t="shared" si="416"/>
        <v>597</v>
      </c>
      <c r="K2985" s="9" t="e">
        <f t="shared" si="415"/>
        <v>#DIV/0!</v>
      </c>
    </row>
    <row r="2986" spans="1:12" x14ac:dyDescent="0.35">
      <c r="A2986" s="2" t="s">
        <v>356</v>
      </c>
      <c r="B2986" s="2" t="s">
        <v>160</v>
      </c>
      <c r="C2986" s="21" t="s">
        <v>275</v>
      </c>
      <c r="D2986" s="4">
        <v>9</v>
      </c>
      <c r="I2986" s="1">
        <f t="shared" si="414"/>
        <v>0</v>
      </c>
      <c r="J2986" s="1">
        <f t="shared" si="416"/>
        <v>597</v>
      </c>
      <c r="K2986" s="9" t="e">
        <f t="shared" si="415"/>
        <v>#DIV/0!</v>
      </c>
    </row>
    <row r="2987" spans="1:12" x14ac:dyDescent="0.35">
      <c r="A2987" s="2" t="s">
        <v>356</v>
      </c>
      <c r="B2987" s="2" t="s">
        <v>160</v>
      </c>
      <c r="C2987" s="21" t="s">
        <v>275</v>
      </c>
      <c r="D2987" s="4">
        <v>10</v>
      </c>
      <c r="I2987" s="1">
        <f t="shared" si="414"/>
        <v>0</v>
      </c>
      <c r="J2987" s="1">
        <f t="shared" si="416"/>
        <v>597</v>
      </c>
      <c r="K2987" s="9" t="e">
        <f t="shared" si="415"/>
        <v>#DIV/0!</v>
      </c>
    </row>
    <row r="2988" spans="1:12" x14ac:dyDescent="0.35">
      <c r="A2988" s="2" t="s">
        <v>356</v>
      </c>
      <c r="B2988" s="2" t="s">
        <v>160</v>
      </c>
      <c r="C2988" s="21" t="s">
        <v>275</v>
      </c>
      <c r="D2988" s="4">
        <v>11</v>
      </c>
      <c r="I2988" s="1">
        <f t="shared" si="414"/>
        <v>0</v>
      </c>
      <c r="J2988" s="1">
        <f t="shared" si="416"/>
        <v>597</v>
      </c>
      <c r="K2988" s="9" t="e">
        <f t="shared" si="415"/>
        <v>#DIV/0!</v>
      </c>
    </row>
    <row r="2989" spans="1:12" x14ac:dyDescent="0.35">
      <c r="A2989" s="2" t="s">
        <v>356</v>
      </c>
      <c r="B2989" s="2" t="s">
        <v>160</v>
      </c>
      <c r="C2989" s="21" t="s">
        <v>275</v>
      </c>
      <c r="D2989" s="4">
        <v>12</v>
      </c>
      <c r="I2989" s="1">
        <f t="shared" si="414"/>
        <v>0</v>
      </c>
      <c r="J2989" s="1">
        <f t="shared" si="416"/>
        <v>597</v>
      </c>
      <c r="K2989" s="9" t="e">
        <f t="shared" si="415"/>
        <v>#DIV/0!</v>
      </c>
    </row>
    <row r="2990" spans="1:12" x14ac:dyDescent="0.35">
      <c r="A2990" s="2" t="s">
        <v>356</v>
      </c>
      <c r="B2990" s="2" t="s">
        <v>160</v>
      </c>
      <c r="C2990" s="21" t="s">
        <v>275</v>
      </c>
      <c r="D2990" s="4">
        <v>13</v>
      </c>
      <c r="I2990" s="1">
        <f t="shared" si="414"/>
        <v>0</v>
      </c>
      <c r="J2990" s="1">
        <f t="shared" si="416"/>
        <v>597</v>
      </c>
      <c r="K2990" s="9" t="e">
        <f t="shared" si="415"/>
        <v>#DIV/0!</v>
      </c>
    </row>
    <row r="2991" spans="1:12" x14ac:dyDescent="0.35">
      <c r="A2991" s="2" t="s">
        <v>356</v>
      </c>
      <c r="B2991" s="2" t="s">
        <v>160</v>
      </c>
      <c r="C2991" s="21" t="s">
        <v>275</v>
      </c>
      <c r="D2991" s="4">
        <v>14</v>
      </c>
      <c r="I2991" s="1">
        <f t="shared" si="414"/>
        <v>0</v>
      </c>
      <c r="J2991" s="1">
        <f t="shared" si="416"/>
        <v>597</v>
      </c>
      <c r="K2991" s="9" t="e">
        <f t="shared" si="415"/>
        <v>#DIV/0!</v>
      </c>
    </row>
    <row r="2992" spans="1:12" x14ac:dyDescent="0.35">
      <c r="A2992" s="2" t="s">
        <v>356</v>
      </c>
      <c r="B2992" s="2" t="s">
        <v>160</v>
      </c>
      <c r="C2992" s="21" t="s">
        <v>275</v>
      </c>
      <c r="D2992" s="4">
        <v>15</v>
      </c>
      <c r="I2992" s="1">
        <f t="shared" si="414"/>
        <v>0</v>
      </c>
      <c r="J2992" s="1">
        <f t="shared" si="416"/>
        <v>597</v>
      </c>
      <c r="K2992" s="9" t="e">
        <f t="shared" si="415"/>
        <v>#DIV/0!</v>
      </c>
    </row>
    <row r="2993" spans="1:12" ht="15" thickBot="1" x14ac:dyDescent="0.4">
      <c r="A2993" s="12" t="s">
        <v>356</v>
      </c>
      <c r="B2993" s="12" t="s">
        <v>160</v>
      </c>
      <c r="C2993" s="22" t="s">
        <v>275</v>
      </c>
      <c r="D2993" s="14">
        <v>16</v>
      </c>
      <c r="E2993" s="13"/>
      <c r="F2993" s="13"/>
      <c r="G2993" s="13"/>
      <c r="H2993" s="13"/>
      <c r="I2993" s="15">
        <f t="shared" si="414"/>
        <v>0</v>
      </c>
      <c r="J2993" s="15">
        <f t="shared" si="416"/>
        <v>597</v>
      </c>
      <c r="K2993" s="16" t="e">
        <f t="shared" si="415"/>
        <v>#DIV/0!</v>
      </c>
      <c r="L2993" s="13"/>
    </row>
    <row r="2994" spans="1:12" x14ac:dyDescent="0.35">
      <c r="A2994" s="2" t="s">
        <v>357</v>
      </c>
      <c r="B2994" s="2" t="s">
        <v>383</v>
      </c>
      <c r="C2994" s="21" t="s">
        <v>275</v>
      </c>
      <c r="D2994" s="4">
        <v>1</v>
      </c>
      <c r="F2994" s="3"/>
      <c r="I2994" s="1">
        <f t="shared" ref="I2994:I3009" si="417">G2994-H2994</f>
        <v>0</v>
      </c>
      <c r="J2994" s="1">
        <f>I2994</f>
        <v>0</v>
      </c>
      <c r="K2994" s="9" t="e">
        <f t="shared" si="415"/>
        <v>#DIV/0!</v>
      </c>
    </row>
    <row r="2995" spans="1:12" x14ac:dyDescent="0.35">
      <c r="A2995" s="2" t="s">
        <v>357</v>
      </c>
      <c r="B2995" s="2" t="s">
        <v>383</v>
      </c>
      <c r="C2995" s="21" t="s">
        <v>275</v>
      </c>
      <c r="D2995" s="4">
        <v>2</v>
      </c>
      <c r="I2995" s="1">
        <f t="shared" si="417"/>
        <v>0</v>
      </c>
      <c r="J2995" s="1">
        <f>J2994+I2995</f>
        <v>0</v>
      </c>
      <c r="K2995" s="9" t="e">
        <f t="shared" ref="K2995:K3010" si="418">I2995/H2995</f>
        <v>#DIV/0!</v>
      </c>
    </row>
    <row r="2996" spans="1:12" x14ac:dyDescent="0.35">
      <c r="A2996" s="2" t="s">
        <v>357</v>
      </c>
      <c r="B2996" s="2" t="s">
        <v>383</v>
      </c>
      <c r="C2996" s="21" t="s">
        <v>275</v>
      </c>
      <c r="D2996" s="4">
        <v>3</v>
      </c>
      <c r="I2996" s="1">
        <f t="shared" si="417"/>
        <v>0</v>
      </c>
      <c r="J2996" s="1">
        <f t="shared" ref="J2996:J3009" si="419">J2995+I2996</f>
        <v>0</v>
      </c>
      <c r="K2996" s="9" t="e">
        <f t="shared" si="418"/>
        <v>#DIV/0!</v>
      </c>
    </row>
    <row r="2997" spans="1:12" x14ac:dyDescent="0.35">
      <c r="A2997" s="2" t="s">
        <v>357</v>
      </c>
      <c r="B2997" s="2" t="s">
        <v>383</v>
      </c>
      <c r="C2997" s="21" t="s">
        <v>275</v>
      </c>
      <c r="D2997" s="4">
        <v>4</v>
      </c>
      <c r="I2997" s="1">
        <f t="shared" si="417"/>
        <v>0</v>
      </c>
      <c r="J2997" s="1">
        <f t="shared" si="419"/>
        <v>0</v>
      </c>
      <c r="K2997" s="9" t="e">
        <f t="shared" si="418"/>
        <v>#DIV/0!</v>
      </c>
    </row>
    <row r="2998" spans="1:12" x14ac:dyDescent="0.35">
      <c r="A2998" s="2" t="s">
        <v>357</v>
      </c>
      <c r="B2998" s="2" t="s">
        <v>383</v>
      </c>
      <c r="C2998" s="21" t="s">
        <v>275</v>
      </c>
      <c r="D2998" s="4">
        <v>5</v>
      </c>
      <c r="I2998" s="1">
        <f t="shared" si="417"/>
        <v>0</v>
      </c>
      <c r="J2998" s="1">
        <f t="shared" si="419"/>
        <v>0</v>
      </c>
      <c r="K2998" s="9" t="e">
        <f t="shared" si="418"/>
        <v>#DIV/0!</v>
      </c>
    </row>
    <row r="2999" spans="1:12" x14ac:dyDescent="0.35">
      <c r="A2999" s="2" t="s">
        <v>357</v>
      </c>
      <c r="B2999" s="2" t="s">
        <v>383</v>
      </c>
      <c r="C2999" s="21" t="s">
        <v>275</v>
      </c>
      <c r="D2999" s="4">
        <v>6</v>
      </c>
      <c r="I2999" s="1">
        <f t="shared" si="417"/>
        <v>0</v>
      </c>
      <c r="J2999" s="1">
        <f t="shared" si="419"/>
        <v>0</v>
      </c>
      <c r="K2999" s="9" t="e">
        <f t="shared" si="418"/>
        <v>#DIV/0!</v>
      </c>
    </row>
    <row r="3000" spans="1:12" x14ac:dyDescent="0.35">
      <c r="A3000" s="2" t="s">
        <v>357</v>
      </c>
      <c r="B3000" s="2" t="s">
        <v>383</v>
      </c>
      <c r="C3000" s="21" t="s">
        <v>275</v>
      </c>
      <c r="D3000" s="4">
        <v>7</v>
      </c>
      <c r="I3000" s="1">
        <f t="shared" si="417"/>
        <v>0</v>
      </c>
      <c r="J3000" s="1">
        <f t="shared" si="419"/>
        <v>0</v>
      </c>
      <c r="K3000" s="9" t="e">
        <f t="shared" si="418"/>
        <v>#DIV/0!</v>
      </c>
    </row>
    <row r="3001" spans="1:12" x14ac:dyDescent="0.35">
      <c r="A3001" s="2" t="s">
        <v>357</v>
      </c>
      <c r="B3001" s="2" t="s">
        <v>383</v>
      </c>
      <c r="C3001" s="21" t="s">
        <v>275</v>
      </c>
      <c r="D3001" s="4">
        <v>8</v>
      </c>
      <c r="I3001" s="1">
        <f t="shared" si="417"/>
        <v>0</v>
      </c>
      <c r="J3001" s="1">
        <f t="shared" si="419"/>
        <v>0</v>
      </c>
      <c r="K3001" s="9" t="e">
        <f t="shared" si="418"/>
        <v>#DIV/0!</v>
      </c>
    </row>
    <row r="3002" spans="1:12" x14ac:dyDescent="0.35">
      <c r="A3002" s="2" t="s">
        <v>357</v>
      </c>
      <c r="B3002" s="2" t="s">
        <v>383</v>
      </c>
      <c r="C3002" s="21" t="s">
        <v>275</v>
      </c>
      <c r="D3002" s="4">
        <v>9</v>
      </c>
      <c r="I3002" s="1">
        <f t="shared" si="417"/>
        <v>0</v>
      </c>
      <c r="J3002" s="1">
        <f t="shared" si="419"/>
        <v>0</v>
      </c>
      <c r="K3002" s="9" t="e">
        <f t="shared" si="418"/>
        <v>#DIV/0!</v>
      </c>
    </row>
    <row r="3003" spans="1:12" x14ac:dyDescent="0.35">
      <c r="A3003" s="2" t="s">
        <v>357</v>
      </c>
      <c r="B3003" s="2" t="s">
        <v>383</v>
      </c>
      <c r="C3003" s="21" t="s">
        <v>275</v>
      </c>
      <c r="D3003" s="4">
        <v>10</v>
      </c>
      <c r="I3003" s="1">
        <f t="shared" si="417"/>
        <v>0</v>
      </c>
      <c r="J3003" s="1">
        <f t="shared" si="419"/>
        <v>0</v>
      </c>
      <c r="K3003" s="9" t="e">
        <f t="shared" si="418"/>
        <v>#DIV/0!</v>
      </c>
    </row>
    <row r="3004" spans="1:12" x14ac:dyDescent="0.35">
      <c r="A3004" s="2" t="s">
        <v>357</v>
      </c>
      <c r="B3004" s="2" t="s">
        <v>383</v>
      </c>
      <c r="C3004" s="21" t="s">
        <v>275</v>
      </c>
      <c r="D3004" s="4">
        <v>11</v>
      </c>
      <c r="I3004" s="1">
        <f t="shared" si="417"/>
        <v>0</v>
      </c>
      <c r="J3004" s="1">
        <f t="shared" si="419"/>
        <v>0</v>
      </c>
      <c r="K3004" s="9" t="e">
        <f t="shared" si="418"/>
        <v>#DIV/0!</v>
      </c>
    </row>
    <row r="3005" spans="1:12" x14ac:dyDescent="0.35">
      <c r="A3005" s="2" t="s">
        <v>357</v>
      </c>
      <c r="B3005" s="2" t="s">
        <v>383</v>
      </c>
      <c r="C3005" s="21" t="s">
        <v>275</v>
      </c>
      <c r="D3005" s="4">
        <v>12</v>
      </c>
      <c r="I3005" s="1">
        <f t="shared" si="417"/>
        <v>0</v>
      </c>
      <c r="J3005" s="1">
        <f t="shared" si="419"/>
        <v>0</v>
      </c>
      <c r="K3005" s="9" t="e">
        <f t="shared" si="418"/>
        <v>#DIV/0!</v>
      </c>
    </row>
    <row r="3006" spans="1:12" x14ac:dyDescent="0.35">
      <c r="A3006" s="2" t="s">
        <v>357</v>
      </c>
      <c r="B3006" s="2" t="s">
        <v>383</v>
      </c>
      <c r="C3006" s="21" t="s">
        <v>275</v>
      </c>
      <c r="D3006" s="4">
        <v>13</v>
      </c>
      <c r="I3006" s="1">
        <f t="shared" si="417"/>
        <v>0</v>
      </c>
      <c r="J3006" s="1">
        <f t="shared" si="419"/>
        <v>0</v>
      </c>
      <c r="K3006" s="9" t="e">
        <f t="shared" si="418"/>
        <v>#DIV/0!</v>
      </c>
    </row>
    <row r="3007" spans="1:12" x14ac:dyDescent="0.35">
      <c r="A3007" s="2" t="s">
        <v>357</v>
      </c>
      <c r="B3007" s="2" t="s">
        <v>383</v>
      </c>
      <c r="C3007" s="21" t="s">
        <v>275</v>
      </c>
      <c r="D3007" s="4">
        <v>14</v>
      </c>
      <c r="I3007" s="1">
        <f t="shared" si="417"/>
        <v>0</v>
      </c>
      <c r="J3007" s="1">
        <f t="shared" si="419"/>
        <v>0</v>
      </c>
      <c r="K3007" s="9" t="e">
        <f t="shared" si="418"/>
        <v>#DIV/0!</v>
      </c>
    </row>
    <row r="3008" spans="1:12" x14ac:dyDescent="0.35">
      <c r="A3008" s="2" t="s">
        <v>357</v>
      </c>
      <c r="B3008" s="2" t="s">
        <v>383</v>
      </c>
      <c r="C3008" s="21" t="s">
        <v>275</v>
      </c>
      <c r="D3008" s="4">
        <v>15</v>
      </c>
      <c r="I3008" s="1">
        <f t="shared" si="417"/>
        <v>0</v>
      </c>
      <c r="J3008" s="1">
        <f t="shared" si="419"/>
        <v>0</v>
      </c>
      <c r="K3008" s="9" t="e">
        <f t="shared" si="418"/>
        <v>#DIV/0!</v>
      </c>
    </row>
    <row r="3009" spans="1:12" ht="15" thickBot="1" x14ac:dyDescent="0.4">
      <c r="A3009" s="12" t="s">
        <v>357</v>
      </c>
      <c r="B3009" s="12" t="s">
        <v>383</v>
      </c>
      <c r="C3009" s="22" t="s">
        <v>275</v>
      </c>
      <c r="D3009" s="14">
        <v>16</v>
      </c>
      <c r="E3009" s="13"/>
      <c r="F3009" s="13"/>
      <c r="G3009" s="13"/>
      <c r="H3009" s="13"/>
      <c r="I3009" s="15">
        <f t="shared" si="417"/>
        <v>0</v>
      </c>
      <c r="J3009" s="15">
        <f t="shared" si="419"/>
        <v>0</v>
      </c>
      <c r="K3009" s="16" t="e">
        <f t="shared" si="418"/>
        <v>#DIV/0!</v>
      </c>
      <c r="L3009" s="13"/>
    </row>
    <row r="3010" spans="1:12" x14ac:dyDescent="0.35">
      <c r="A3010" s="2" t="s">
        <v>358</v>
      </c>
      <c r="B3010" s="2" t="s">
        <v>384</v>
      </c>
      <c r="C3010" s="21" t="s">
        <v>275</v>
      </c>
      <c r="D3010" s="4">
        <v>1</v>
      </c>
      <c r="F3010" s="3">
        <v>45966</v>
      </c>
      <c r="G3010">
        <v>15967</v>
      </c>
      <c r="H3010">
        <v>15200.13</v>
      </c>
      <c r="I3010" s="1">
        <f t="shared" ref="I3010:I3025" si="420">G3010-H3010</f>
        <v>766.8700000000008</v>
      </c>
      <c r="J3010" s="1">
        <f>I3010</f>
        <v>766.8700000000008</v>
      </c>
      <c r="K3010" s="9">
        <f t="shared" si="418"/>
        <v>5.0451542190757634E-2</v>
      </c>
    </row>
    <row r="3011" spans="1:12" x14ac:dyDescent="0.35">
      <c r="A3011" s="2" t="s">
        <v>358</v>
      </c>
      <c r="B3011" s="2" t="s">
        <v>384</v>
      </c>
      <c r="C3011" s="21" t="s">
        <v>275</v>
      </c>
      <c r="D3011" s="4">
        <v>2</v>
      </c>
      <c r="I3011" s="1">
        <f t="shared" si="420"/>
        <v>0</v>
      </c>
      <c r="J3011" s="1">
        <f>J3010+I3011</f>
        <v>766.8700000000008</v>
      </c>
      <c r="K3011" s="9" t="e">
        <f t="shared" ref="K3011:K3026" si="421">I3011/H3011</f>
        <v>#DIV/0!</v>
      </c>
    </row>
    <row r="3012" spans="1:12" x14ac:dyDescent="0.35">
      <c r="A3012" s="2" t="s">
        <v>358</v>
      </c>
      <c r="B3012" s="2" t="s">
        <v>384</v>
      </c>
      <c r="C3012" s="21" t="s">
        <v>275</v>
      </c>
      <c r="D3012" s="4">
        <v>3</v>
      </c>
      <c r="I3012" s="1">
        <f t="shared" si="420"/>
        <v>0</v>
      </c>
      <c r="J3012" s="1">
        <f t="shared" ref="J3012:J3025" si="422">J3011+I3012</f>
        <v>766.8700000000008</v>
      </c>
      <c r="K3012" s="9" t="e">
        <f t="shared" si="421"/>
        <v>#DIV/0!</v>
      </c>
    </row>
    <row r="3013" spans="1:12" x14ac:dyDescent="0.35">
      <c r="A3013" s="2" t="s">
        <v>358</v>
      </c>
      <c r="B3013" s="2" t="s">
        <v>384</v>
      </c>
      <c r="C3013" s="21" t="s">
        <v>275</v>
      </c>
      <c r="D3013" s="4">
        <v>4</v>
      </c>
      <c r="I3013" s="1">
        <f t="shared" si="420"/>
        <v>0</v>
      </c>
      <c r="J3013" s="1">
        <f t="shared" si="422"/>
        <v>766.8700000000008</v>
      </c>
      <c r="K3013" s="9" t="e">
        <f t="shared" si="421"/>
        <v>#DIV/0!</v>
      </c>
    </row>
    <row r="3014" spans="1:12" x14ac:dyDescent="0.35">
      <c r="A3014" s="2" t="s">
        <v>358</v>
      </c>
      <c r="B3014" s="2" t="s">
        <v>384</v>
      </c>
      <c r="C3014" s="21" t="s">
        <v>275</v>
      </c>
      <c r="D3014" s="4">
        <v>5</v>
      </c>
      <c r="I3014" s="1">
        <f t="shared" si="420"/>
        <v>0</v>
      </c>
      <c r="J3014" s="1">
        <f t="shared" si="422"/>
        <v>766.8700000000008</v>
      </c>
      <c r="K3014" s="9" t="e">
        <f t="shared" si="421"/>
        <v>#DIV/0!</v>
      </c>
    </row>
    <row r="3015" spans="1:12" x14ac:dyDescent="0.35">
      <c r="A3015" s="2" t="s">
        <v>358</v>
      </c>
      <c r="B3015" s="2" t="s">
        <v>384</v>
      </c>
      <c r="C3015" s="21" t="s">
        <v>275</v>
      </c>
      <c r="D3015" s="4">
        <v>6</v>
      </c>
      <c r="I3015" s="1">
        <f t="shared" si="420"/>
        <v>0</v>
      </c>
      <c r="J3015" s="1">
        <f t="shared" si="422"/>
        <v>766.8700000000008</v>
      </c>
      <c r="K3015" s="9" t="e">
        <f t="shared" si="421"/>
        <v>#DIV/0!</v>
      </c>
    </row>
    <row r="3016" spans="1:12" x14ac:dyDescent="0.35">
      <c r="A3016" s="2" t="s">
        <v>358</v>
      </c>
      <c r="B3016" s="2" t="s">
        <v>384</v>
      </c>
      <c r="C3016" s="21" t="s">
        <v>275</v>
      </c>
      <c r="D3016" s="4">
        <v>7</v>
      </c>
      <c r="I3016" s="1">
        <f t="shared" si="420"/>
        <v>0</v>
      </c>
      <c r="J3016" s="1">
        <f t="shared" si="422"/>
        <v>766.8700000000008</v>
      </c>
      <c r="K3016" s="9" t="e">
        <f t="shared" si="421"/>
        <v>#DIV/0!</v>
      </c>
    </row>
    <row r="3017" spans="1:12" x14ac:dyDescent="0.35">
      <c r="A3017" s="2" t="s">
        <v>358</v>
      </c>
      <c r="B3017" s="2" t="s">
        <v>384</v>
      </c>
      <c r="C3017" s="21" t="s">
        <v>275</v>
      </c>
      <c r="D3017" s="4">
        <v>8</v>
      </c>
      <c r="I3017" s="1">
        <f t="shared" si="420"/>
        <v>0</v>
      </c>
      <c r="J3017" s="1">
        <f t="shared" si="422"/>
        <v>766.8700000000008</v>
      </c>
      <c r="K3017" s="9" t="e">
        <f t="shared" si="421"/>
        <v>#DIV/0!</v>
      </c>
    </row>
    <row r="3018" spans="1:12" x14ac:dyDescent="0.35">
      <c r="A3018" s="2" t="s">
        <v>358</v>
      </c>
      <c r="B3018" s="2" t="s">
        <v>384</v>
      </c>
      <c r="C3018" s="21" t="s">
        <v>275</v>
      </c>
      <c r="D3018" s="4">
        <v>9</v>
      </c>
      <c r="I3018" s="1">
        <f t="shared" si="420"/>
        <v>0</v>
      </c>
      <c r="J3018" s="1">
        <f t="shared" si="422"/>
        <v>766.8700000000008</v>
      </c>
      <c r="K3018" s="9" t="e">
        <f t="shared" si="421"/>
        <v>#DIV/0!</v>
      </c>
    </row>
    <row r="3019" spans="1:12" x14ac:dyDescent="0.35">
      <c r="A3019" s="2" t="s">
        <v>358</v>
      </c>
      <c r="B3019" s="2" t="s">
        <v>384</v>
      </c>
      <c r="C3019" s="21" t="s">
        <v>275</v>
      </c>
      <c r="D3019" s="4">
        <v>10</v>
      </c>
      <c r="I3019" s="1">
        <f t="shared" si="420"/>
        <v>0</v>
      </c>
      <c r="J3019" s="1">
        <f t="shared" si="422"/>
        <v>766.8700000000008</v>
      </c>
      <c r="K3019" s="9" t="e">
        <f t="shared" si="421"/>
        <v>#DIV/0!</v>
      </c>
    </row>
    <row r="3020" spans="1:12" x14ac:dyDescent="0.35">
      <c r="A3020" s="2" t="s">
        <v>358</v>
      </c>
      <c r="B3020" s="2" t="s">
        <v>384</v>
      </c>
      <c r="C3020" s="21" t="s">
        <v>275</v>
      </c>
      <c r="D3020" s="4">
        <v>11</v>
      </c>
      <c r="I3020" s="1">
        <f t="shared" si="420"/>
        <v>0</v>
      </c>
      <c r="J3020" s="1">
        <f t="shared" si="422"/>
        <v>766.8700000000008</v>
      </c>
      <c r="K3020" s="9" t="e">
        <f t="shared" si="421"/>
        <v>#DIV/0!</v>
      </c>
    </row>
    <row r="3021" spans="1:12" x14ac:dyDescent="0.35">
      <c r="A3021" s="2" t="s">
        <v>358</v>
      </c>
      <c r="B3021" s="2" t="s">
        <v>384</v>
      </c>
      <c r="C3021" s="21" t="s">
        <v>275</v>
      </c>
      <c r="D3021" s="4">
        <v>12</v>
      </c>
      <c r="I3021" s="1">
        <f t="shared" si="420"/>
        <v>0</v>
      </c>
      <c r="J3021" s="1">
        <f t="shared" si="422"/>
        <v>766.8700000000008</v>
      </c>
      <c r="K3021" s="9" t="e">
        <f t="shared" si="421"/>
        <v>#DIV/0!</v>
      </c>
    </row>
    <row r="3022" spans="1:12" x14ac:dyDescent="0.35">
      <c r="A3022" s="2" t="s">
        <v>358</v>
      </c>
      <c r="B3022" s="2" t="s">
        <v>384</v>
      </c>
      <c r="C3022" s="21" t="s">
        <v>275</v>
      </c>
      <c r="D3022" s="4">
        <v>13</v>
      </c>
      <c r="I3022" s="1">
        <f t="shared" si="420"/>
        <v>0</v>
      </c>
      <c r="J3022" s="1">
        <f t="shared" si="422"/>
        <v>766.8700000000008</v>
      </c>
      <c r="K3022" s="9" t="e">
        <f t="shared" si="421"/>
        <v>#DIV/0!</v>
      </c>
    </row>
    <row r="3023" spans="1:12" x14ac:dyDescent="0.35">
      <c r="A3023" s="2" t="s">
        <v>358</v>
      </c>
      <c r="B3023" s="2" t="s">
        <v>384</v>
      </c>
      <c r="C3023" s="21" t="s">
        <v>275</v>
      </c>
      <c r="D3023" s="4">
        <v>14</v>
      </c>
      <c r="I3023" s="1">
        <f t="shared" si="420"/>
        <v>0</v>
      </c>
      <c r="J3023" s="1">
        <f t="shared" si="422"/>
        <v>766.8700000000008</v>
      </c>
      <c r="K3023" s="9" t="e">
        <f t="shared" si="421"/>
        <v>#DIV/0!</v>
      </c>
    </row>
    <row r="3024" spans="1:12" x14ac:dyDescent="0.35">
      <c r="A3024" s="2" t="s">
        <v>358</v>
      </c>
      <c r="B3024" s="2" t="s">
        <v>384</v>
      </c>
      <c r="C3024" s="21" t="s">
        <v>275</v>
      </c>
      <c r="D3024" s="4">
        <v>15</v>
      </c>
      <c r="I3024" s="1">
        <f t="shared" si="420"/>
        <v>0</v>
      </c>
      <c r="J3024" s="1">
        <f t="shared" si="422"/>
        <v>766.8700000000008</v>
      </c>
      <c r="K3024" s="9" t="e">
        <f t="shared" si="421"/>
        <v>#DIV/0!</v>
      </c>
    </row>
    <row r="3025" spans="1:12" ht="15" thickBot="1" x14ac:dyDescent="0.4">
      <c r="A3025" s="12" t="s">
        <v>358</v>
      </c>
      <c r="B3025" s="12" t="s">
        <v>384</v>
      </c>
      <c r="C3025" s="22" t="s">
        <v>275</v>
      </c>
      <c r="D3025" s="14">
        <v>16</v>
      </c>
      <c r="E3025" s="13"/>
      <c r="F3025" s="13"/>
      <c r="G3025" s="13"/>
      <c r="H3025" s="13"/>
      <c r="I3025" s="15">
        <f t="shared" si="420"/>
        <v>0</v>
      </c>
      <c r="J3025" s="15">
        <f t="shared" si="422"/>
        <v>766.8700000000008</v>
      </c>
      <c r="K3025" s="16" t="e">
        <f t="shared" si="421"/>
        <v>#DIV/0!</v>
      </c>
      <c r="L3025" s="13"/>
    </row>
    <row r="3026" spans="1:12" x14ac:dyDescent="0.35">
      <c r="A3026" s="2" t="s">
        <v>359</v>
      </c>
      <c r="B3026" s="2" t="s">
        <v>385</v>
      </c>
      <c r="C3026" s="21" t="s">
        <v>275</v>
      </c>
      <c r="D3026" s="4">
        <v>1</v>
      </c>
      <c r="F3026" s="3">
        <v>45966</v>
      </c>
      <c r="G3026">
        <v>11286</v>
      </c>
      <c r="H3026">
        <v>10261</v>
      </c>
      <c r="I3026" s="1">
        <f t="shared" ref="I3026:I3041" si="423">G3026-H3026</f>
        <v>1025</v>
      </c>
      <c r="J3026" s="1">
        <f>I3026</f>
        <v>1025</v>
      </c>
      <c r="K3026" s="9">
        <f t="shared" si="421"/>
        <v>9.9892797972907121E-2</v>
      </c>
    </row>
    <row r="3027" spans="1:12" x14ac:dyDescent="0.35">
      <c r="A3027" s="2" t="s">
        <v>359</v>
      </c>
      <c r="B3027" s="2" t="s">
        <v>385</v>
      </c>
      <c r="C3027" s="21" t="s">
        <v>275</v>
      </c>
      <c r="D3027" s="4">
        <v>2</v>
      </c>
      <c r="I3027" s="1">
        <f t="shared" si="423"/>
        <v>0</v>
      </c>
      <c r="J3027" s="1">
        <f>J3026+I3027</f>
        <v>1025</v>
      </c>
      <c r="K3027" s="9" t="e">
        <f t="shared" ref="K3027:K3042" si="424">I3027/H3027</f>
        <v>#DIV/0!</v>
      </c>
    </row>
    <row r="3028" spans="1:12" x14ac:dyDescent="0.35">
      <c r="A3028" s="2" t="s">
        <v>359</v>
      </c>
      <c r="B3028" s="2" t="s">
        <v>385</v>
      </c>
      <c r="C3028" s="21" t="s">
        <v>275</v>
      </c>
      <c r="D3028" s="4">
        <v>3</v>
      </c>
      <c r="I3028" s="1">
        <f t="shared" si="423"/>
        <v>0</v>
      </c>
      <c r="J3028" s="1">
        <f t="shared" ref="J3028:J3041" si="425">J3027+I3028</f>
        <v>1025</v>
      </c>
      <c r="K3028" s="9" t="e">
        <f t="shared" si="424"/>
        <v>#DIV/0!</v>
      </c>
    </row>
    <row r="3029" spans="1:12" x14ac:dyDescent="0.35">
      <c r="A3029" s="2" t="s">
        <v>359</v>
      </c>
      <c r="B3029" s="2" t="s">
        <v>385</v>
      </c>
      <c r="C3029" s="21" t="s">
        <v>275</v>
      </c>
      <c r="D3029" s="4">
        <v>4</v>
      </c>
      <c r="I3029" s="1">
        <f t="shared" si="423"/>
        <v>0</v>
      </c>
      <c r="J3029" s="1">
        <f t="shared" si="425"/>
        <v>1025</v>
      </c>
      <c r="K3029" s="9" t="e">
        <f t="shared" si="424"/>
        <v>#DIV/0!</v>
      </c>
    </row>
    <row r="3030" spans="1:12" x14ac:dyDescent="0.35">
      <c r="A3030" s="2" t="s">
        <v>359</v>
      </c>
      <c r="B3030" s="2" t="s">
        <v>385</v>
      </c>
      <c r="C3030" s="21" t="s">
        <v>275</v>
      </c>
      <c r="D3030" s="4">
        <v>5</v>
      </c>
      <c r="I3030" s="1">
        <f t="shared" si="423"/>
        <v>0</v>
      </c>
      <c r="J3030" s="1">
        <f t="shared" si="425"/>
        <v>1025</v>
      </c>
      <c r="K3030" s="9" t="e">
        <f t="shared" si="424"/>
        <v>#DIV/0!</v>
      </c>
    </row>
    <row r="3031" spans="1:12" x14ac:dyDescent="0.35">
      <c r="A3031" s="2" t="s">
        <v>359</v>
      </c>
      <c r="B3031" s="2" t="s">
        <v>385</v>
      </c>
      <c r="C3031" s="21" t="s">
        <v>275</v>
      </c>
      <c r="D3031" s="4">
        <v>6</v>
      </c>
      <c r="I3031" s="1">
        <f t="shared" si="423"/>
        <v>0</v>
      </c>
      <c r="J3031" s="1">
        <f t="shared" si="425"/>
        <v>1025</v>
      </c>
      <c r="K3031" s="9" t="e">
        <f t="shared" si="424"/>
        <v>#DIV/0!</v>
      </c>
    </row>
    <row r="3032" spans="1:12" x14ac:dyDescent="0.35">
      <c r="A3032" s="2" t="s">
        <v>359</v>
      </c>
      <c r="B3032" s="2" t="s">
        <v>385</v>
      </c>
      <c r="C3032" s="21" t="s">
        <v>275</v>
      </c>
      <c r="D3032" s="4">
        <v>7</v>
      </c>
      <c r="I3032" s="1">
        <f t="shared" si="423"/>
        <v>0</v>
      </c>
      <c r="J3032" s="1">
        <f t="shared" si="425"/>
        <v>1025</v>
      </c>
      <c r="K3032" s="9" t="e">
        <f t="shared" si="424"/>
        <v>#DIV/0!</v>
      </c>
    </row>
    <row r="3033" spans="1:12" x14ac:dyDescent="0.35">
      <c r="A3033" s="2" t="s">
        <v>359</v>
      </c>
      <c r="B3033" s="2" t="s">
        <v>385</v>
      </c>
      <c r="C3033" s="21" t="s">
        <v>275</v>
      </c>
      <c r="D3033" s="4">
        <v>8</v>
      </c>
      <c r="I3033" s="1">
        <f t="shared" si="423"/>
        <v>0</v>
      </c>
      <c r="J3033" s="1">
        <f t="shared" si="425"/>
        <v>1025</v>
      </c>
      <c r="K3033" s="9" t="e">
        <f t="shared" si="424"/>
        <v>#DIV/0!</v>
      </c>
    </row>
    <row r="3034" spans="1:12" x14ac:dyDescent="0.35">
      <c r="A3034" s="2" t="s">
        <v>359</v>
      </c>
      <c r="B3034" s="2" t="s">
        <v>385</v>
      </c>
      <c r="C3034" s="21" t="s">
        <v>275</v>
      </c>
      <c r="D3034" s="4">
        <v>9</v>
      </c>
      <c r="I3034" s="1">
        <f t="shared" si="423"/>
        <v>0</v>
      </c>
      <c r="J3034" s="1">
        <f t="shared" si="425"/>
        <v>1025</v>
      </c>
      <c r="K3034" s="9" t="e">
        <f t="shared" si="424"/>
        <v>#DIV/0!</v>
      </c>
    </row>
    <row r="3035" spans="1:12" x14ac:dyDescent="0.35">
      <c r="A3035" s="2" t="s">
        <v>359</v>
      </c>
      <c r="B3035" s="2" t="s">
        <v>385</v>
      </c>
      <c r="C3035" s="21" t="s">
        <v>275</v>
      </c>
      <c r="D3035" s="4">
        <v>10</v>
      </c>
      <c r="I3035" s="1">
        <f t="shared" si="423"/>
        <v>0</v>
      </c>
      <c r="J3035" s="1">
        <f t="shared" si="425"/>
        <v>1025</v>
      </c>
      <c r="K3035" s="9" t="e">
        <f t="shared" si="424"/>
        <v>#DIV/0!</v>
      </c>
    </row>
    <row r="3036" spans="1:12" x14ac:dyDescent="0.35">
      <c r="A3036" s="2" t="s">
        <v>359</v>
      </c>
      <c r="B3036" s="2" t="s">
        <v>385</v>
      </c>
      <c r="C3036" s="21" t="s">
        <v>275</v>
      </c>
      <c r="D3036" s="4">
        <v>11</v>
      </c>
      <c r="I3036" s="1">
        <f t="shared" si="423"/>
        <v>0</v>
      </c>
      <c r="J3036" s="1">
        <f t="shared" si="425"/>
        <v>1025</v>
      </c>
      <c r="K3036" s="9" t="e">
        <f t="shared" si="424"/>
        <v>#DIV/0!</v>
      </c>
    </row>
    <row r="3037" spans="1:12" x14ac:dyDescent="0.35">
      <c r="A3037" s="2" t="s">
        <v>359</v>
      </c>
      <c r="B3037" s="2" t="s">
        <v>385</v>
      </c>
      <c r="C3037" s="21" t="s">
        <v>275</v>
      </c>
      <c r="D3037" s="4">
        <v>12</v>
      </c>
      <c r="I3037" s="1">
        <f t="shared" si="423"/>
        <v>0</v>
      </c>
      <c r="J3037" s="1">
        <f t="shared" si="425"/>
        <v>1025</v>
      </c>
      <c r="K3037" s="9" t="e">
        <f t="shared" si="424"/>
        <v>#DIV/0!</v>
      </c>
    </row>
    <row r="3038" spans="1:12" x14ac:dyDescent="0.35">
      <c r="A3038" s="2" t="s">
        <v>359</v>
      </c>
      <c r="B3038" s="2" t="s">
        <v>385</v>
      </c>
      <c r="C3038" s="21" t="s">
        <v>275</v>
      </c>
      <c r="D3038" s="4">
        <v>13</v>
      </c>
      <c r="I3038" s="1">
        <f t="shared" si="423"/>
        <v>0</v>
      </c>
      <c r="J3038" s="1">
        <f t="shared" si="425"/>
        <v>1025</v>
      </c>
      <c r="K3038" s="9" t="e">
        <f t="shared" si="424"/>
        <v>#DIV/0!</v>
      </c>
    </row>
    <row r="3039" spans="1:12" x14ac:dyDescent="0.35">
      <c r="A3039" s="2" t="s">
        <v>359</v>
      </c>
      <c r="B3039" s="2" t="s">
        <v>385</v>
      </c>
      <c r="C3039" s="21" t="s">
        <v>275</v>
      </c>
      <c r="D3039" s="4">
        <v>14</v>
      </c>
      <c r="I3039" s="1">
        <f t="shared" si="423"/>
        <v>0</v>
      </c>
      <c r="J3039" s="1">
        <f t="shared" si="425"/>
        <v>1025</v>
      </c>
      <c r="K3039" s="9" t="e">
        <f t="shared" si="424"/>
        <v>#DIV/0!</v>
      </c>
    </row>
    <row r="3040" spans="1:12" x14ac:dyDescent="0.35">
      <c r="A3040" s="2" t="s">
        <v>359</v>
      </c>
      <c r="B3040" s="2" t="s">
        <v>385</v>
      </c>
      <c r="C3040" s="21" t="s">
        <v>275</v>
      </c>
      <c r="D3040" s="4">
        <v>15</v>
      </c>
      <c r="I3040" s="1">
        <f t="shared" si="423"/>
        <v>0</v>
      </c>
      <c r="J3040" s="1">
        <f t="shared" si="425"/>
        <v>1025</v>
      </c>
      <c r="K3040" s="9" t="e">
        <f t="shared" si="424"/>
        <v>#DIV/0!</v>
      </c>
    </row>
    <row r="3041" spans="1:12" ht="15" thickBot="1" x14ac:dyDescent="0.4">
      <c r="A3041" s="12" t="s">
        <v>359</v>
      </c>
      <c r="B3041" s="12" t="s">
        <v>385</v>
      </c>
      <c r="C3041" s="22" t="s">
        <v>275</v>
      </c>
      <c r="D3041" s="14">
        <v>16</v>
      </c>
      <c r="E3041" s="13"/>
      <c r="F3041" s="13"/>
      <c r="G3041" s="13"/>
      <c r="H3041" s="13"/>
      <c r="I3041" s="15">
        <f t="shared" si="423"/>
        <v>0</v>
      </c>
      <c r="J3041" s="15">
        <f t="shared" si="425"/>
        <v>1025</v>
      </c>
      <c r="K3041" s="16" t="e">
        <f t="shared" si="424"/>
        <v>#DIV/0!</v>
      </c>
      <c r="L3041" s="13"/>
    </row>
    <row r="3042" spans="1:12" x14ac:dyDescent="0.35">
      <c r="A3042" s="2" t="s">
        <v>360</v>
      </c>
      <c r="B3042" s="2" t="s">
        <v>386</v>
      </c>
      <c r="C3042" s="21" t="s">
        <v>275</v>
      </c>
      <c r="D3042" s="4">
        <v>1</v>
      </c>
      <c r="F3042" s="3">
        <v>45967</v>
      </c>
      <c r="G3042">
        <v>4075</v>
      </c>
      <c r="H3042">
        <v>3880</v>
      </c>
      <c r="I3042" s="1">
        <f t="shared" ref="I3042:I3057" si="426">G3042-H3042</f>
        <v>195</v>
      </c>
      <c r="J3042" s="1">
        <f>I3042</f>
        <v>195</v>
      </c>
      <c r="K3042" s="9">
        <f t="shared" si="424"/>
        <v>5.0257731958762888E-2</v>
      </c>
    </row>
    <row r="3043" spans="1:12" x14ac:dyDescent="0.35">
      <c r="A3043" s="2" t="s">
        <v>360</v>
      </c>
      <c r="B3043" s="2" t="s">
        <v>386</v>
      </c>
      <c r="C3043" s="21" t="s">
        <v>275</v>
      </c>
      <c r="D3043" s="4">
        <v>2</v>
      </c>
      <c r="I3043" s="1">
        <f t="shared" si="426"/>
        <v>0</v>
      </c>
      <c r="J3043" s="1">
        <f>J3042+I3043</f>
        <v>195</v>
      </c>
      <c r="K3043" s="9" t="e">
        <f t="shared" ref="K3043:K3058" si="427">I3043/H3043</f>
        <v>#DIV/0!</v>
      </c>
    </row>
    <row r="3044" spans="1:12" x14ac:dyDescent="0.35">
      <c r="A3044" s="2" t="s">
        <v>360</v>
      </c>
      <c r="B3044" s="2" t="s">
        <v>386</v>
      </c>
      <c r="C3044" s="21" t="s">
        <v>275</v>
      </c>
      <c r="D3044" s="4">
        <v>3</v>
      </c>
      <c r="I3044" s="1">
        <f t="shared" si="426"/>
        <v>0</v>
      </c>
      <c r="J3044" s="1">
        <f t="shared" ref="J3044:J3057" si="428">J3043+I3044</f>
        <v>195</v>
      </c>
      <c r="K3044" s="9" t="e">
        <f t="shared" si="427"/>
        <v>#DIV/0!</v>
      </c>
    </row>
    <row r="3045" spans="1:12" x14ac:dyDescent="0.35">
      <c r="A3045" s="2" t="s">
        <v>360</v>
      </c>
      <c r="B3045" s="2" t="s">
        <v>386</v>
      </c>
      <c r="C3045" s="21" t="s">
        <v>275</v>
      </c>
      <c r="D3045" s="4">
        <v>4</v>
      </c>
      <c r="I3045" s="1">
        <f t="shared" si="426"/>
        <v>0</v>
      </c>
      <c r="J3045" s="1">
        <f t="shared" si="428"/>
        <v>195</v>
      </c>
      <c r="K3045" s="9" t="e">
        <f t="shared" si="427"/>
        <v>#DIV/0!</v>
      </c>
    </row>
    <row r="3046" spans="1:12" x14ac:dyDescent="0.35">
      <c r="A3046" s="2" t="s">
        <v>360</v>
      </c>
      <c r="B3046" s="2" t="s">
        <v>386</v>
      </c>
      <c r="C3046" s="21" t="s">
        <v>275</v>
      </c>
      <c r="D3046" s="4">
        <v>5</v>
      </c>
      <c r="I3046" s="1">
        <f t="shared" si="426"/>
        <v>0</v>
      </c>
      <c r="J3046" s="1">
        <f t="shared" si="428"/>
        <v>195</v>
      </c>
      <c r="K3046" s="9" t="e">
        <f t="shared" si="427"/>
        <v>#DIV/0!</v>
      </c>
    </row>
    <row r="3047" spans="1:12" x14ac:dyDescent="0.35">
      <c r="A3047" s="2" t="s">
        <v>360</v>
      </c>
      <c r="B3047" s="2" t="s">
        <v>386</v>
      </c>
      <c r="C3047" s="21" t="s">
        <v>275</v>
      </c>
      <c r="D3047" s="4">
        <v>6</v>
      </c>
      <c r="I3047" s="1">
        <f t="shared" si="426"/>
        <v>0</v>
      </c>
      <c r="J3047" s="1">
        <f t="shared" si="428"/>
        <v>195</v>
      </c>
      <c r="K3047" s="9" t="e">
        <f t="shared" si="427"/>
        <v>#DIV/0!</v>
      </c>
    </row>
    <row r="3048" spans="1:12" x14ac:dyDescent="0.35">
      <c r="A3048" s="2" t="s">
        <v>360</v>
      </c>
      <c r="B3048" s="2" t="s">
        <v>386</v>
      </c>
      <c r="C3048" s="21" t="s">
        <v>275</v>
      </c>
      <c r="D3048" s="4">
        <v>7</v>
      </c>
      <c r="I3048" s="1">
        <f t="shared" si="426"/>
        <v>0</v>
      </c>
      <c r="J3048" s="1">
        <f t="shared" si="428"/>
        <v>195</v>
      </c>
      <c r="K3048" s="9" t="e">
        <f t="shared" si="427"/>
        <v>#DIV/0!</v>
      </c>
    </row>
    <row r="3049" spans="1:12" x14ac:dyDescent="0.35">
      <c r="A3049" s="2" t="s">
        <v>360</v>
      </c>
      <c r="B3049" s="2" t="s">
        <v>386</v>
      </c>
      <c r="C3049" s="21" t="s">
        <v>275</v>
      </c>
      <c r="D3049" s="4">
        <v>8</v>
      </c>
      <c r="I3049" s="1">
        <f t="shared" si="426"/>
        <v>0</v>
      </c>
      <c r="J3049" s="1">
        <f t="shared" si="428"/>
        <v>195</v>
      </c>
      <c r="K3049" s="9" t="e">
        <f t="shared" si="427"/>
        <v>#DIV/0!</v>
      </c>
    </row>
    <row r="3050" spans="1:12" x14ac:dyDescent="0.35">
      <c r="A3050" s="2" t="s">
        <v>360</v>
      </c>
      <c r="B3050" s="2" t="s">
        <v>386</v>
      </c>
      <c r="C3050" s="21" t="s">
        <v>275</v>
      </c>
      <c r="D3050" s="4">
        <v>9</v>
      </c>
      <c r="I3050" s="1">
        <f t="shared" si="426"/>
        <v>0</v>
      </c>
      <c r="J3050" s="1">
        <f t="shared" si="428"/>
        <v>195</v>
      </c>
      <c r="K3050" s="9" t="e">
        <f t="shared" si="427"/>
        <v>#DIV/0!</v>
      </c>
    </row>
    <row r="3051" spans="1:12" x14ac:dyDescent="0.35">
      <c r="A3051" s="2" t="s">
        <v>360</v>
      </c>
      <c r="B3051" s="2" t="s">
        <v>386</v>
      </c>
      <c r="C3051" s="21" t="s">
        <v>275</v>
      </c>
      <c r="D3051" s="4">
        <v>10</v>
      </c>
      <c r="I3051" s="1">
        <f t="shared" si="426"/>
        <v>0</v>
      </c>
      <c r="J3051" s="1">
        <f t="shared" si="428"/>
        <v>195</v>
      </c>
      <c r="K3051" s="9" t="e">
        <f t="shared" si="427"/>
        <v>#DIV/0!</v>
      </c>
    </row>
    <row r="3052" spans="1:12" x14ac:dyDescent="0.35">
      <c r="A3052" s="2" t="s">
        <v>360</v>
      </c>
      <c r="B3052" s="2" t="s">
        <v>386</v>
      </c>
      <c r="C3052" s="21" t="s">
        <v>275</v>
      </c>
      <c r="D3052" s="4">
        <v>11</v>
      </c>
      <c r="I3052" s="1">
        <f t="shared" si="426"/>
        <v>0</v>
      </c>
      <c r="J3052" s="1">
        <f t="shared" si="428"/>
        <v>195</v>
      </c>
      <c r="K3052" s="9" t="e">
        <f t="shared" si="427"/>
        <v>#DIV/0!</v>
      </c>
    </row>
    <row r="3053" spans="1:12" x14ac:dyDescent="0.35">
      <c r="A3053" s="2" t="s">
        <v>360</v>
      </c>
      <c r="B3053" s="2" t="s">
        <v>386</v>
      </c>
      <c r="C3053" s="21" t="s">
        <v>275</v>
      </c>
      <c r="D3053" s="4">
        <v>12</v>
      </c>
      <c r="I3053" s="1">
        <f t="shared" si="426"/>
        <v>0</v>
      </c>
      <c r="J3053" s="1">
        <f t="shared" si="428"/>
        <v>195</v>
      </c>
      <c r="K3053" s="9" t="e">
        <f t="shared" si="427"/>
        <v>#DIV/0!</v>
      </c>
    </row>
    <row r="3054" spans="1:12" x14ac:dyDescent="0.35">
      <c r="A3054" s="2" t="s">
        <v>360</v>
      </c>
      <c r="B3054" s="2" t="s">
        <v>386</v>
      </c>
      <c r="C3054" s="21" t="s">
        <v>275</v>
      </c>
      <c r="D3054" s="4">
        <v>13</v>
      </c>
      <c r="I3054" s="1">
        <f t="shared" si="426"/>
        <v>0</v>
      </c>
      <c r="J3054" s="1">
        <f t="shared" si="428"/>
        <v>195</v>
      </c>
      <c r="K3054" s="9" t="e">
        <f t="shared" si="427"/>
        <v>#DIV/0!</v>
      </c>
    </row>
    <row r="3055" spans="1:12" x14ac:dyDescent="0.35">
      <c r="A3055" s="2" t="s">
        <v>360</v>
      </c>
      <c r="B3055" s="2" t="s">
        <v>386</v>
      </c>
      <c r="C3055" s="21" t="s">
        <v>275</v>
      </c>
      <c r="D3055" s="4">
        <v>14</v>
      </c>
      <c r="I3055" s="1">
        <f t="shared" si="426"/>
        <v>0</v>
      </c>
      <c r="J3055" s="1">
        <f t="shared" si="428"/>
        <v>195</v>
      </c>
      <c r="K3055" s="9" t="e">
        <f t="shared" si="427"/>
        <v>#DIV/0!</v>
      </c>
    </row>
    <row r="3056" spans="1:12" x14ac:dyDescent="0.35">
      <c r="A3056" s="2" t="s">
        <v>360</v>
      </c>
      <c r="B3056" s="2" t="s">
        <v>386</v>
      </c>
      <c r="C3056" s="21" t="s">
        <v>275</v>
      </c>
      <c r="D3056" s="4">
        <v>15</v>
      </c>
      <c r="I3056" s="1">
        <f t="shared" si="426"/>
        <v>0</v>
      </c>
      <c r="J3056" s="1">
        <f t="shared" si="428"/>
        <v>195</v>
      </c>
      <c r="K3056" s="9" t="e">
        <f t="shared" si="427"/>
        <v>#DIV/0!</v>
      </c>
    </row>
    <row r="3057" spans="1:12" ht="15" thickBot="1" x14ac:dyDescent="0.4">
      <c r="A3057" s="12" t="s">
        <v>360</v>
      </c>
      <c r="B3057" s="12" t="s">
        <v>386</v>
      </c>
      <c r="C3057" s="22" t="s">
        <v>275</v>
      </c>
      <c r="D3057" s="14">
        <v>16</v>
      </c>
      <c r="E3057" s="13"/>
      <c r="F3057" s="13"/>
      <c r="G3057" s="13"/>
      <c r="H3057" s="13"/>
      <c r="I3057" s="15">
        <f t="shared" si="426"/>
        <v>0</v>
      </c>
      <c r="J3057" s="15">
        <f t="shared" si="428"/>
        <v>195</v>
      </c>
      <c r="K3057" s="16" t="e">
        <f t="shared" si="427"/>
        <v>#DIV/0!</v>
      </c>
      <c r="L3057" s="13"/>
    </row>
    <row r="3058" spans="1:12" x14ac:dyDescent="0.35">
      <c r="A3058" s="2" t="s">
        <v>361</v>
      </c>
      <c r="B3058" s="2" t="s">
        <v>387</v>
      </c>
      <c r="C3058" s="21" t="s">
        <v>275</v>
      </c>
      <c r="D3058" s="4">
        <v>1</v>
      </c>
      <c r="F3058" s="3">
        <v>45967</v>
      </c>
      <c r="G3058">
        <v>420</v>
      </c>
      <c r="H3058">
        <v>420</v>
      </c>
      <c r="I3058" s="1">
        <f t="shared" ref="I3058:I3073" si="429">G3058-H3058</f>
        <v>0</v>
      </c>
      <c r="J3058" s="1">
        <f>I3058</f>
        <v>0</v>
      </c>
      <c r="K3058" s="9">
        <f t="shared" si="427"/>
        <v>0</v>
      </c>
    </row>
    <row r="3059" spans="1:12" x14ac:dyDescent="0.35">
      <c r="A3059" s="2" t="s">
        <v>361</v>
      </c>
      <c r="B3059" s="2" t="s">
        <v>387</v>
      </c>
      <c r="C3059" s="21" t="s">
        <v>275</v>
      </c>
      <c r="D3059" s="4">
        <v>2</v>
      </c>
      <c r="I3059" s="1">
        <f t="shared" si="429"/>
        <v>0</v>
      </c>
      <c r="J3059" s="1">
        <f>J3058+I3059</f>
        <v>0</v>
      </c>
      <c r="K3059" s="9" t="e">
        <f t="shared" ref="K3059:K3074" si="430">I3059/H3059</f>
        <v>#DIV/0!</v>
      </c>
    </row>
    <row r="3060" spans="1:12" x14ac:dyDescent="0.35">
      <c r="A3060" s="2" t="s">
        <v>361</v>
      </c>
      <c r="B3060" s="2" t="s">
        <v>387</v>
      </c>
      <c r="C3060" s="21" t="s">
        <v>275</v>
      </c>
      <c r="D3060" s="4">
        <v>3</v>
      </c>
      <c r="I3060" s="1">
        <f t="shared" si="429"/>
        <v>0</v>
      </c>
      <c r="J3060" s="1">
        <f t="shared" ref="J3060:J3073" si="431">J3059+I3060</f>
        <v>0</v>
      </c>
      <c r="K3060" s="9" t="e">
        <f t="shared" si="430"/>
        <v>#DIV/0!</v>
      </c>
    </row>
    <row r="3061" spans="1:12" x14ac:dyDescent="0.35">
      <c r="A3061" s="2" t="s">
        <v>361</v>
      </c>
      <c r="B3061" s="2" t="s">
        <v>387</v>
      </c>
      <c r="C3061" s="21" t="s">
        <v>275</v>
      </c>
      <c r="D3061" s="4">
        <v>4</v>
      </c>
      <c r="I3061" s="1">
        <f t="shared" si="429"/>
        <v>0</v>
      </c>
      <c r="J3061" s="1">
        <f t="shared" si="431"/>
        <v>0</v>
      </c>
      <c r="K3061" s="9" t="e">
        <f t="shared" si="430"/>
        <v>#DIV/0!</v>
      </c>
    </row>
    <row r="3062" spans="1:12" x14ac:dyDescent="0.35">
      <c r="A3062" s="2" t="s">
        <v>361</v>
      </c>
      <c r="B3062" s="2" t="s">
        <v>387</v>
      </c>
      <c r="C3062" s="21" t="s">
        <v>275</v>
      </c>
      <c r="D3062" s="4">
        <v>5</v>
      </c>
      <c r="I3062" s="1">
        <f t="shared" si="429"/>
        <v>0</v>
      </c>
      <c r="J3062" s="1">
        <f t="shared" si="431"/>
        <v>0</v>
      </c>
      <c r="K3062" s="9" t="e">
        <f t="shared" si="430"/>
        <v>#DIV/0!</v>
      </c>
    </row>
    <row r="3063" spans="1:12" x14ac:dyDescent="0.35">
      <c r="A3063" s="2" t="s">
        <v>361</v>
      </c>
      <c r="B3063" s="2" t="s">
        <v>387</v>
      </c>
      <c r="C3063" s="21" t="s">
        <v>275</v>
      </c>
      <c r="D3063" s="4">
        <v>6</v>
      </c>
      <c r="I3063" s="1">
        <f t="shared" si="429"/>
        <v>0</v>
      </c>
      <c r="J3063" s="1">
        <f t="shared" si="431"/>
        <v>0</v>
      </c>
      <c r="K3063" s="9" t="e">
        <f t="shared" si="430"/>
        <v>#DIV/0!</v>
      </c>
    </row>
    <row r="3064" spans="1:12" x14ac:dyDescent="0.35">
      <c r="A3064" s="2" t="s">
        <v>361</v>
      </c>
      <c r="B3064" s="2" t="s">
        <v>387</v>
      </c>
      <c r="C3064" s="21" t="s">
        <v>275</v>
      </c>
      <c r="D3064" s="4">
        <v>7</v>
      </c>
      <c r="I3064" s="1">
        <f t="shared" si="429"/>
        <v>0</v>
      </c>
      <c r="J3064" s="1">
        <f t="shared" si="431"/>
        <v>0</v>
      </c>
      <c r="K3064" s="9" t="e">
        <f t="shared" si="430"/>
        <v>#DIV/0!</v>
      </c>
    </row>
    <row r="3065" spans="1:12" x14ac:dyDescent="0.35">
      <c r="A3065" s="2" t="s">
        <v>361</v>
      </c>
      <c r="B3065" s="2" t="s">
        <v>387</v>
      </c>
      <c r="C3065" s="21" t="s">
        <v>275</v>
      </c>
      <c r="D3065" s="4">
        <v>8</v>
      </c>
      <c r="I3065" s="1">
        <f t="shared" si="429"/>
        <v>0</v>
      </c>
      <c r="J3065" s="1">
        <f t="shared" si="431"/>
        <v>0</v>
      </c>
      <c r="K3065" s="9" t="e">
        <f t="shared" si="430"/>
        <v>#DIV/0!</v>
      </c>
    </row>
    <row r="3066" spans="1:12" x14ac:dyDescent="0.35">
      <c r="A3066" s="2" t="s">
        <v>361</v>
      </c>
      <c r="B3066" s="2" t="s">
        <v>387</v>
      </c>
      <c r="C3066" s="21" t="s">
        <v>275</v>
      </c>
      <c r="D3066" s="4">
        <v>9</v>
      </c>
      <c r="I3066" s="1">
        <f t="shared" si="429"/>
        <v>0</v>
      </c>
      <c r="J3066" s="1">
        <f t="shared" si="431"/>
        <v>0</v>
      </c>
      <c r="K3066" s="9" t="e">
        <f t="shared" si="430"/>
        <v>#DIV/0!</v>
      </c>
    </row>
    <row r="3067" spans="1:12" x14ac:dyDescent="0.35">
      <c r="A3067" s="2" t="s">
        <v>361</v>
      </c>
      <c r="B3067" s="2" t="s">
        <v>387</v>
      </c>
      <c r="C3067" s="21" t="s">
        <v>275</v>
      </c>
      <c r="D3067" s="4">
        <v>10</v>
      </c>
      <c r="I3067" s="1">
        <f t="shared" si="429"/>
        <v>0</v>
      </c>
      <c r="J3067" s="1">
        <f t="shared" si="431"/>
        <v>0</v>
      </c>
      <c r="K3067" s="9" t="e">
        <f t="shared" si="430"/>
        <v>#DIV/0!</v>
      </c>
    </row>
    <row r="3068" spans="1:12" x14ac:dyDescent="0.35">
      <c r="A3068" s="2" t="s">
        <v>361</v>
      </c>
      <c r="B3068" s="2" t="s">
        <v>387</v>
      </c>
      <c r="C3068" s="21" t="s">
        <v>275</v>
      </c>
      <c r="D3068" s="4">
        <v>11</v>
      </c>
      <c r="I3068" s="1">
        <f t="shared" si="429"/>
        <v>0</v>
      </c>
      <c r="J3068" s="1">
        <f t="shared" si="431"/>
        <v>0</v>
      </c>
      <c r="K3068" s="9" t="e">
        <f t="shared" si="430"/>
        <v>#DIV/0!</v>
      </c>
    </row>
    <row r="3069" spans="1:12" x14ac:dyDescent="0.35">
      <c r="A3069" s="2" t="s">
        <v>361</v>
      </c>
      <c r="B3069" s="2" t="s">
        <v>387</v>
      </c>
      <c r="C3069" s="21" t="s">
        <v>275</v>
      </c>
      <c r="D3069" s="4">
        <v>12</v>
      </c>
      <c r="I3069" s="1">
        <f t="shared" si="429"/>
        <v>0</v>
      </c>
      <c r="J3069" s="1">
        <f t="shared" si="431"/>
        <v>0</v>
      </c>
      <c r="K3069" s="9" t="e">
        <f t="shared" si="430"/>
        <v>#DIV/0!</v>
      </c>
    </row>
    <row r="3070" spans="1:12" x14ac:dyDescent="0.35">
      <c r="A3070" s="2" t="s">
        <v>361</v>
      </c>
      <c r="B3070" s="2" t="s">
        <v>387</v>
      </c>
      <c r="C3070" s="21" t="s">
        <v>275</v>
      </c>
      <c r="D3070" s="4">
        <v>13</v>
      </c>
      <c r="I3070" s="1">
        <f t="shared" si="429"/>
        <v>0</v>
      </c>
      <c r="J3070" s="1">
        <f t="shared" si="431"/>
        <v>0</v>
      </c>
      <c r="K3070" s="9" t="e">
        <f t="shared" si="430"/>
        <v>#DIV/0!</v>
      </c>
    </row>
    <row r="3071" spans="1:12" x14ac:dyDescent="0.35">
      <c r="A3071" s="2" t="s">
        <v>361</v>
      </c>
      <c r="B3071" s="2" t="s">
        <v>387</v>
      </c>
      <c r="C3071" s="21" t="s">
        <v>275</v>
      </c>
      <c r="D3071" s="4">
        <v>14</v>
      </c>
      <c r="I3071" s="1">
        <f t="shared" si="429"/>
        <v>0</v>
      </c>
      <c r="J3071" s="1">
        <f t="shared" si="431"/>
        <v>0</v>
      </c>
      <c r="K3071" s="9" t="e">
        <f t="shared" si="430"/>
        <v>#DIV/0!</v>
      </c>
    </row>
    <row r="3072" spans="1:12" x14ac:dyDescent="0.35">
      <c r="A3072" s="2" t="s">
        <v>361</v>
      </c>
      <c r="B3072" s="2" t="s">
        <v>387</v>
      </c>
      <c r="C3072" s="21" t="s">
        <v>275</v>
      </c>
      <c r="D3072" s="4">
        <v>15</v>
      </c>
      <c r="I3072" s="1">
        <f t="shared" si="429"/>
        <v>0</v>
      </c>
      <c r="J3072" s="1">
        <f t="shared" si="431"/>
        <v>0</v>
      </c>
      <c r="K3072" s="9" t="e">
        <f t="shared" si="430"/>
        <v>#DIV/0!</v>
      </c>
    </row>
    <row r="3073" spans="1:12" ht="15" thickBot="1" x14ac:dyDescent="0.4">
      <c r="A3073" s="12" t="s">
        <v>361</v>
      </c>
      <c r="B3073" s="12" t="s">
        <v>387</v>
      </c>
      <c r="C3073" s="22" t="s">
        <v>275</v>
      </c>
      <c r="D3073" s="14">
        <v>16</v>
      </c>
      <c r="E3073" s="13"/>
      <c r="F3073" s="13"/>
      <c r="G3073" s="13"/>
      <c r="H3073" s="13"/>
      <c r="I3073" s="15">
        <f t="shared" si="429"/>
        <v>0</v>
      </c>
      <c r="J3073" s="15">
        <f t="shared" si="431"/>
        <v>0</v>
      </c>
      <c r="K3073" s="16" t="e">
        <f t="shared" si="430"/>
        <v>#DIV/0!</v>
      </c>
      <c r="L3073" s="13"/>
    </row>
    <row r="3074" spans="1:12" x14ac:dyDescent="0.35">
      <c r="A3074" s="2" t="s">
        <v>362</v>
      </c>
      <c r="B3074" s="2" t="s">
        <v>388</v>
      </c>
      <c r="C3074" s="21" t="s">
        <v>275</v>
      </c>
      <c r="D3074" s="4">
        <v>1</v>
      </c>
      <c r="F3074" s="3">
        <v>45966</v>
      </c>
      <c r="G3074">
        <v>8778.08</v>
      </c>
      <c r="H3074">
        <v>8778.08</v>
      </c>
      <c r="I3074" s="1">
        <f t="shared" ref="I3074:I3089" si="432">G3074-H3074</f>
        <v>0</v>
      </c>
      <c r="J3074" s="1">
        <f>I3074</f>
        <v>0</v>
      </c>
      <c r="K3074" s="9">
        <f t="shared" si="430"/>
        <v>0</v>
      </c>
    </row>
    <row r="3075" spans="1:12" x14ac:dyDescent="0.35">
      <c r="A3075" s="2" t="s">
        <v>362</v>
      </c>
      <c r="B3075" s="2" t="s">
        <v>388</v>
      </c>
      <c r="C3075" s="21" t="s">
        <v>275</v>
      </c>
      <c r="D3075" s="4">
        <v>2</v>
      </c>
      <c r="I3075" s="1">
        <f t="shared" si="432"/>
        <v>0</v>
      </c>
      <c r="J3075" s="1">
        <f>J3074+I3075</f>
        <v>0</v>
      </c>
      <c r="K3075" s="9" t="e">
        <f t="shared" ref="K3075:K3090" si="433">I3075/H3075</f>
        <v>#DIV/0!</v>
      </c>
    </row>
    <row r="3076" spans="1:12" x14ac:dyDescent="0.35">
      <c r="A3076" s="2" t="s">
        <v>362</v>
      </c>
      <c r="B3076" s="2" t="s">
        <v>388</v>
      </c>
      <c r="C3076" s="21" t="s">
        <v>275</v>
      </c>
      <c r="D3076" s="4">
        <v>3</v>
      </c>
      <c r="I3076" s="1">
        <f t="shared" si="432"/>
        <v>0</v>
      </c>
      <c r="J3076" s="1">
        <f t="shared" ref="J3076:J3089" si="434">J3075+I3076</f>
        <v>0</v>
      </c>
      <c r="K3076" s="9" t="e">
        <f t="shared" si="433"/>
        <v>#DIV/0!</v>
      </c>
    </row>
    <row r="3077" spans="1:12" x14ac:dyDescent="0.35">
      <c r="A3077" s="2" t="s">
        <v>362</v>
      </c>
      <c r="B3077" s="2" t="s">
        <v>388</v>
      </c>
      <c r="C3077" s="21" t="s">
        <v>275</v>
      </c>
      <c r="D3077" s="4">
        <v>4</v>
      </c>
      <c r="I3077" s="1">
        <f t="shared" si="432"/>
        <v>0</v>
      </c>
      <c r="J3077" s="1">
        <f t="shared" si="434"/>
        <v>0</v>
      </c>
      <c r="K3077" s="9" t="e">
        <f t="shared" si="433"/>
        <v>#DIV/0!</v>
      </c>
    </row>
    <row r="3078" spans="1:12" x14ac:dyDescent="0.35">
      <c r="A3078" s="2" t="s">
        <v>362</v>
      </c>
      <c r="B3078" s="2" t="s">
        <v>388</v>
      </c>
      <c r="C3078" s="21" t="s">
        <v>275</v>
      </c>
      <c r="D3078" s="4">
        <v>5</v>
      </c>
      <c r="I3078" s="1">
        <f t="shared" si="432"/>
        <v>0</v>
      </c>
      <c r="J3078" s="1">
        <f t="shared" si="434"/>
        <v>0</v>
      </c>
      <c r="K3078" s="9" t="e">
        <f t="shared" si="433"/>
        <v>#DIV/0!</v>
      </c>
    </row>
    <row r="3079" spans="1:12" x14ac:dyDescent="0.35">
      <c r="A3079" s="2" t="s">
        <v>362</v>
      </c>
      <c r="B3079" s="2" t="s">
        <v>388</v>
      </c>
      <c r="C3079" s="21" t="s">
        <v>275</v>
      </c>
      <c r="D3079" s="4">
        <v>6</v>
      </c>
      <c r="I3079" s="1">
        <f t="shared" si="432"/>
        <v>0</v>
      </c>
      <c r="J3079" s="1">
        <f t="shared" si="434"/>
        <v>0</v>
      </c>
      <c r="K3079" s="9" t="e">
        <f t="shared" si="433"/>
        <v>#DIV/0!</v>
      </c>
    </row>
    <row r="3080" spans="1:12" x14ac:dyDescent="0.35">
      <c r="A3080" s="2" t="s">
        <v>362</v>
      </c>
      <c r="B3080" s="2" t="s">
        <v>388</v>
      </c>
      <c r="C3080" s="21" t="s">
        <v>275</v>
      </c>
      <c r="D3080" s="4">
        <v>7</v>
      </c>
      <c r="I3080" s="1">
        <f t="shared" si="432"/>
        <v>0</v>
      </c>
      <c r="J3080" s="1">
        <f t="shared" si="434"/>
        <v>0</v>
      </c>
      <c r="K3080" s="9" t="e">
        <f t="shared" si="433"/>
        <v>#DIV/0!</v>
      </c>
    </row>
    <row r="3081" spans="1:12" x14ac:dyDescent="0.35">
      <c r="A3081" s="2" t="s">
        <v>362</v>
      </c>
      <c r="B3081" s="2" t="s">
        <v>388</v>
      </c>
      <c r="C3081" s="21" t="s">
        <v>275</v>
      </c>
      <c r="D3081" s="4">
        <v>8</v>
      </c>
      <c r="I3081" s="1">
        <f t="shared" si="432"/>
        <v>0</v>
      </c>
      <c r="J3081" s="1">
        <f t="shared" si="434"/>
        <v>0</v>
      </c>
      <c r="K3081" s="9" t="e">
        <f t="shared" si="433"/>
        <v>#DIV/0!</v>
      </c>
    </row>
    <row r="3082" spans="1:12" x14ac:dyDescent="0.35">
      <c r="A3082" s="2" t="s">
        <v>362</v>
      </c>
      <c r="B3082" s="2" t="s">
        <v>388</v>
      </c>
      <c r="C3082" s="21" t="s">
        <v>275</v>
      </c>
      <c r="D3082" s="4">
        <v>9</v>
      </c>
      <c r="I3082" s="1">
        <f t="shared" si="432"/>
        <v>0</v>
      </c>
      <c r="J3082" s="1">
        <f t="shared" si="434"/>
        <v>0</v>
      </c>
      <c r="K3082" s="9" t="e">
        <f t="shared" si="433"/>
        <v>#DIV/0!</v>
      </c>
    </row>
    <row r="3083" spans="1:12" x14ac:dyDescent="0.35">
      <c r="A3083" s="2" t="s">
        <v>362</v>
      </c>
      <c r="B3083" s="2" t="s">
        <v>388</v>
      </c>
      <c r="C3083" s="21" t="s">
        <v>275</v>
      </c>
      <c r="D3083" s="4">
        <v>10</v>
      </c>
      <c r="I3083" s="1">
        <f t="shared" si="432"/>
        <v>0</v>
      </c>
      <c r="J3083" s="1">
        <f t="shared" si="434"/>
        <v>0</v>
      </c>
      <c r="K3083" s="9" t="e">
        <f t="shared" si="433"/>
        <v>#DIV/0!</v>
      </c>
    </row>
    <row r="3084" spans="1:12" x14ac:dyDescent="0.35">
      <c r="A3084" s="2" t="s">
        <v>362</v>
      </c>
      <c r="B3084" s="2" t="s">
        <v>388</v>
      </c>
      <c r="C3084" s="21" t="s">
        <v>275</v>
      </c>
      <c r="D3084" s="4">
        <v>11</v>
      </c>
      <c r="I3084" s="1">
        <f t="shared" si="432"/>
        <v>0</v>
      </c>
      <c r="J3084" s="1">
        <f t="shared" si="434"/>
        <v>0</v>
      </c>
      <c r="K3084" s="9" t="e">
        <f t="shared" si="433"/>
        <v>#DIV/0!</v>
      </c>
    </row>
    <row r="3085" spans="1:12" x14ac:dyDescent="0.35">
      <c r="A3085" s="2" t="s">
        <v>362</v>
      </c>
      <c r="B3085" s="2" t="s">
        <v>388</v>
      </c>
      <c r="C3085" s="21" t="s">
        <v>275</v>
      </c>
      <c r="D3085" s="4">
        <v>12</v>
      </c>
      <c r="I3085" s="1">
        <f t="shared" si="432"/>
        <v>0</v>
      </c>
      <c r="J3085" s="1">
        <f t="shared" si="434"/>
        <v>0</v>
      </c>
      <c r="K3085" s="9" t="e">
        <f t="shared" si="433"/>
        <v>#DIV/0!</v>
      </c>
    </row>
    <row r="3086" spans="1:12" x14ac:dyDescent="0.35">
      <c r="A3086" s="2" t="s">
        <v>362</v>
      </c>
      <c r="B3086" s="2" t="s">
        <v>388</v>
      </c>
      <c r="C3086" s="21" t="s">
        <v>275</v>
      </c>
      <c r="D3086" s="4">
        <v>13</v>
      </c>
      <c r="I3086" s="1">
        <f t="shared" si="432"/>
        <v>0</v>
      </c>
      <c r="J3086" s="1">
        <f t="shared" si="434"/>
        <v>0</v>
      </c>
      <c r="K3086" s="9" t="e">
        <f t="shared" si="433"/>
        <v>#DIV/0!</v>
      </c>
    </row>
    <row r="3087" spans="1:12" x14ac:dyDescent="0.35">
      <c r="A3087" s="2" t="s">
        <v>362</v>
      </c>
      <c r="B3087" s="2" t="s">
        <v>388</v>
      </c>
      <c r="C3087" s="21" t="s">
        <v>275</v>
      </c>
      <c r="D3087" s="4">
        <v>14</v>
      </c>
      <c r="I3087" s="1">
        <f t="shared" si="432"/>
        <v>0</v>
      </c>
      <c r="J3087" s="1">
        <f t="shared" si="434"/>
        <v>0</v>
      </c>
      <c r="K3087" s="9" t="e">
        <f t="shared" si="433"/>
        <v>#DIV/0!</v>
      </c>
    </row>
    <row r="3088" spans="1:12" x14ac:dyDescent="0.35">
      <c r="A3088" s="2" t="s">
        <v>362</v>
      </c>
      <c r="B3088" s="2" t="s">
        <v>388</v>
      </c>
      <c r="C3088" s="21" t="s">
        <v>275</v>
      </c>
      <c r="D3088" s="4">
        <v>15</v>
      </c>
      <c r="I3088" s="1">
        <f t="shared" si="432"/>
        <v>0</v>
      </c>
      <c r="J3088" s="1">
        <f t="shared" si="434"/>
        <v>0</v>
      </c>
      <c r="K3088" s="9" t="e">
        <f t="shared" si="433"/>
        <v>#DIV/0!</v>
      </c>
    </row>
    <row r="3089" spans="1:12" ht="15" thickBot="1" x14ac:dyDescent="0.4">
      <c r="A3089" s="12" t="s">
        <v>362</v>
      </c>
      <c r="B3089" s="12" t="s">
        <v>388</v>
      </c>
      <c r="C3089" s="22" t="s">
        <v>275</v>
      </c>
      <c r="D3089" s="14">
        <v>16</v>
      </c>
      <c r="E3089" s="13"/>
      <c r="F3089" s="13"/>
      <c r="G3089" s="13"/>
      <c r="H3089" s="13"/>
      <c r="I3089" s="15">
        <f t="shared" si="432"/>
        <v>0</v>
      </c>
      <c r="J3089" s="15">
        <f t="shared" si="434"/>
        <v>0</v>
      </c>
      <c r="K3089" s="16" t="e">
        <f t="shared" si="433"/>
        <v>#DIV/0!</v>
      </c>
      <c r="L3089" s="13"/>
    </row>
    <row r="3090" spans="1:12" x14ac:dyDescent="0.35">
      <c r="A3090" s="2" t="s">
        <v>363</v>
      </c>
      <c r="B3090" s="2" t="s">
        <v>389</v>
      </c>
      <c r="C3090" s="21" t="s">
        <v>275</v>
      </c>
      <c r="D3090" s="4">
        <v>1</v>
      </c>
      <c r="F3090" s="3">
        <v>45967</v>
      </c>
      <c r="G3090">
        <v>15600</v>
      </c>
      <c r="H3090">
        <v>13681</v>
      </c>
      <c r="I3090" s="1">
        <f t="shared" ref="I3090:I3105" si="435">G3090-H3090</f>
        <v>1919</v>
      </c>
      <c r="J3090" s="1">
        <f>I3090</f>
        <v>1919</v>
      </c>
      <c r="K3090" s="9">
        <f t="shared" si="433"/>
        <v>0.14026752430377895</v>
      </c>
    </row>
    <row r="3091" spans="1:12" x14ac:dyDescent="0.35">
      <c r="A3091" s="2" t="s">
        <v>363</v>
      </c>
      <c r="B3091" s="2" t="s">
        <v>389</v>
      </c>
      <c r="C3091" s="21" t="s">
        <v>275</v>
      </c>
      <c r="D3091" s="4">
        <v>2</v>
      </c>
      <c r="I3091" s="1">
        <f t="shared" si="435"/>
        <v>0</v>
      </c>
      <c r="J3091" s="1">
        <f>J3090+I3091</f>
        <v>1919</v>
      </c>
      <c r="K3091" s="9" t="e">
        <f t="shared" ref="K3091:K3106" si="436">I3091/H3091</f>
        <v>#DIV/0!</v>
      </c>
    </row>
    <row r="3092" spans="1:12" x14ac:dyDescent="0.35">
      <c r="A3092" s="2" t="s">
        <v>363</v>
      </c>
      <c r="B3092" s="2" t="s">
        <v>389</v>
      </c>
      <c r="C3092" s="21" t="s">
        <v>275</v>
      </c>
      <c r="D3092" s="4">
        <v>3</v>
      </c>
      <c r="I3092" s="1">
        <f t="shared" si="435"/>
        <v>0</v>
      </c>
      <c r="J3092" s="1">
        <f t="shared" ref="J3092:J3105" si="437">J3091+I3092</f>
        <v>1919</v>
      </c>
      <c r="K3092" s="9" t="e">
        <f t="shared" si="436"/>
        <v>#DIV/0!</v>
      </c>
    </row>
    <row r="3093" spans="1:12" x14ac:dyDescent="0.35">
      <c r="A3093" s="2" t="s">
        <v>363</v>
      </c>
      <c r="B3093" s="2" t="s">
        <v>389</v>
      </c>
      <c r="C3093" s="21" t="s">
        <v>275</v>
      </c>
      <c r="D3093" s="4">
        <v>4</v>
      </c>
      <c r="I3093" s="1">
        <f t="shared" si="435"/>
        <v>0</v>
      </c>
      <c r="J3093" s="1">
        <f t="shared" si="437"/>
        <v>1919</v>
      </c>
      <c r="K3093" s="9" t="e">
        <f t="shared" si="436"/>
        <v>#DIV/0!</v>
      </c>
    </row>
    <row r="3094" spans="1:12" x14ac:dyDescent="0.35">
      <c r="A3094" s="2" t="s">
        <v>363</v>
      </c>
      <c r="B3094" s="2" t="s">
        <v>389</v>
      </c>
      <c r="C3094" s="21" t="s">
        <v>275</v>
      </c>
      <c r="D3094" s="4">
        <v>5</v>
      </c>
      <c r="I3094" s="1">
        <f t="shared" si="435"/>
        <v>0</v>
      </c>
      <c r="J3094" s="1">
        <f t="shared" si="437"/>
        <v>1919</v>
      </c>
      <c r="K3094" s="9" t="e">
        <f t="shared" si="436"/>
        <v>#DIV/0!</v>
      </c>
    </row>
    <row r="3095" spans="1:12" x14ac:dyDescent="0.35">
      <c r="A3095" s="2" t="s">
        <v>363</v>
      </c>
      <c r="B3095" s="2" t="s">
        <v>389</v>
      </c>
      <c r="C3095" s="21" t="s">
        <v>275</v>
      </c>
      <c r="D3095" s="4">
        <v>6</v>
      </c>
      <c r="I3095" s="1">
        <f t="shared" si="435"/>
        <v>0</v>
      </c>
      <c r="J3095" s="1">
        <f t="shared" si="437"/>
        <v>1919</v>
      </c>
      <c r="K3095" s="9" t="e">
        <f t="shared" si="436"/>
        <v>#DIV/0!</v>
      </c>
    </row>
    <row r="3096" spans="1:12" x14ac:dyDescent="0.35">
      <c r="A3096" s="2" t="s">
        <v>363</v>
      </c>
      <c r="B3096" s="2" t="s">
        <v>389</v>
      </c>
      <c r="C3096" s="21" t="s">
        <v>275</v>
      </c>
      <c r="D3096" s="4">
        <v>7</v>
      </c>
      <c r="I3096" s="1">
        <f t="shared" si="435"/>
        <v>0</v>
      </c>
      <c r="J3096" s="1">
        <f t="shared" si="437"/>
        <v>1919</v>
      </c>
      <c r="K3096" s="9" t="e">
        <f t="shared" si="436"/>
        <v>#DIV/0!</v>
      </c>
    </row>
    <row r="3097" spans="1:12" x14ac:dyDescent="0.35">
      <c r="A3097" s="2" t="s">
        <v>363</v>
      </c>
      <c r="B3097" s="2" t="s">
        <v>389</v>
      </c>
      <c r="C3097" s="21" t="s">
        <v>275</v>
      </c>
      <c r="D3097" s="4">
        <v>8</v>
      </c>
      <c r="I3097" s="1">
        <f t="shared" si="435"/>
        <v>0</v>
      </c>
      <c r="J3097" s="1">
        <f t="shared" si="437"/>
        <v>1919</v>
      </c>
      <c r="K3097" s="9" t="e">
        <f t="shared" si="436"/>
        <v>#DIV/0!</v>
      </c>
    </row>
    <row r="3098" spans="1:12" x14ac:dyDescent="0.35">
      <c r="A3098" s="2" t="s">
        <v>363</v>
      </c>
      <c r="B3098" s="2" t="s">
        <v>389</v>
      </c>
      <c r="C3098" s="21" t="s">
        <v>275</v>
      </c>
      <c r="D3098" s="4">
        <v>9</v>
      </c>
      <c r="I3098" s="1">
        <f t="shared" si="435"/>
        <v>0</v>
      </c>
      <c r="J3098" s="1">
        <f t="shared" si="437"/>
        <v>1919</v>
      </c>
      <c r="K3098" s="9" t="e">
        <f t="shared" si="436"/>
        <v>#DIV/0!</v>
      </c>
    </row>
    <row r="3099" spans="1:12" x14ac:dyDescent="0.35">
      <c r="A3099" s="2" t="s">
        <v>363</v>
      </c>
      <c r="B3099" s="2" t="s">
        <v>389</v>
      </c>
      <c r="C3099" s="21" t="s">
        <v>275</v>
      </c>
      <c r="D3099" s="4">
        <v>10</v>
      </c>
      <c r="I3099" s="1">
        <f t="shared" si="435"/>
        <v>0</v>
      </c>
      <c r="J3099" s="1">
        <f t="shared" si="437"/>
        <v>1919</v>
      </c>
      <c r="K3099" s="9" t="e">
        <f t="shared" si="436"/>
        <v>#DIV/0!</v>
      </c>
    </row>
    <row r="3100" spans="1:12" x14ac:dyDescent="0.35">
      <c r="A3100" s="2" t="s">
        <v>363</v>
      </c>
      <c r="B3100" s="2" t="s">
        <v>389</v>
      </c>
      <c r="C3100" s="21" t="s">
        <v>275</v>
      </c>
      <c r="D3100" s="4">
        <v>11</v>
      </c>
      <c r="I3100" s="1">
        <f t="shared" si="435"/>
        <v>0</v>
      </c>
      <c r="J3100" s="1">
        <f t="shared" si="437"/>
        <v>1919</v>
      </c>
      <c r="K3100" s="9" t="e">
        <f t="shared" si="436"/>
        <v>#DIV/0!</v>
      </c>
    </row>
    <row r="3101" spans="1:12" x14ac:dyDescent="0.35">
      <c r="A3101" s="2" t="s">
        <v>363</v>
      </c>
      <c r="B3101" s="2" t="s">
        <v>389</v>
      </c>
      <c r="C3101" s="21" t="s">
        <v>275</v>
      </c>
      <c r="D3101" s="4">
        <v>12</v>
      </c>
      <c r="I3101" s="1">
        <f t="shared" si="435"/>
        <v>0</v>
      </c>
      <c r="J3101" s="1">
        <f t="shared" si="437"/>
        <v>1919</v>
      </c>
      <c r="K3101" s="9" t="e">
        <f t="shared" si="436"/>
        <v>#DIV/0!</v>
      </c>
    </row>
    <row r="3102" spans="1:12" x14ac:dyDescent="0.35">
      <c r="A3102" s="2" t="s">
        <v>363</v>
      </c>
      <c r="B3102" s="2" t="s">
        <v>389</v>
      </c>
      <c r="C3102" s="21" t="s">
        <v>275</v>
      </c>
      <c r="D3102" s="4">
        <v>13</v>
      </c>
      <c r="I3102" s="1">
        <f t="shared" si="435"/>
        <v>0</v>
      </c>
      <c r="J3102" s="1">
        <f t="shared" si="437"/>
        <v>1919</v>
      </c>
      <c r="K3102" s="9" t="e">
        <f t="shared" si="436"/>
        <v>#DIV/0!</v>
      </c>
    </row>
    <row r="3103" spans="1:12" x14ac:dyDescent="0.35">
      <c r="A3103" s="2" t="s">
        <v>363</v>
      </c>
      <c r="B3103" s="2" t="s">
        <v>389</v>
      </c>
      <c r="C3103" s="21" t="s">
        <v>275</v>
      </c>
      <c r="D3103" s="4">
        <v>14</v>
      </c>
      <c r="I3103" s="1">
        <f t="shared" si="435"/>
        <v>0</v>
      </c>
      <c r="J3103" s="1">
        <f t="shared" si="437"/>
        <v>1919</v>
      </c>
      <c r="K3103" s="9" t="e">
        <f t="shared" si="436"/>
        <v>#DIV/0!</v>
      </c>
    </row>
    <row r="3104" spans="1:12" x14ac:dyDescent="0.35">
      <c r="A3104" s="2" t="s">
        <v>363</v>
      </c>
      <c r="B3104" s="2" t="s">
        <v>389</v>
      </c>
      <c r="C3104" s="21" t="s">
        <v>275</v>
      </c>
      <c r="D3104" s="4">
        <v>15</v>
      </c>
      <c r="I3104" s="1">
        <f t="shared" si="435"/>
        <v>0</v>
      </c>
      <c r="J3104" s="1">
        <f t="shared" si="437"/>
        <v>1919</v>
      </c>
      <c r="K3104" s="9" t="e">
        <f t="shared" si="436"/>
        <v>#DIV/0!</v>
      </c>
    </row>
    <row r="3105" spans="1:12" ht="15" thickBot="1" x14ac:dyDescent="0.4">
      <c r="A3105" s="12" t="s">
        <v>363</v>
      </c>
      <c r="B3105" s="12" t="s">
        <v>389</v>
      </c>
      <c r="C3105" s="22" t="s">
        <v>275</v>
      </c>
      <c r="D3105" s="14">
        <v>16</v>
      </c>
      <c r="E3105" s="13"/>
      <c r="F3105" s="13"/>
      <c r="G3105" s="13"/>
      <c r="H3105" s="13"/>
      <c r="I3105" s="15">
        <f t="shared" si="435"/>
        <v>0</v>
      </c>
      <c r="J3105" s="15">
        <f t="shared" si="437"/>
        <v>1919</v>
      </c>
      <c r="K3105" s="16" t="e">
        <f t="shared" si="436"/>
        <v>#DIV/0!</v>
      </c>
      <c r="L3105" s="13"/>
    </row>
    <row r="3106" spans="1:12" x14ac:dyDescent="0.35">
      <c r="A3106" s="2" t="s">
        <v>364</v>
      </c>
      <c r="B3106" s="2" t="s">
        <v>390</v>
      </c>
      <c r="C3106" s="21" t="s">
        <v>275</v>
      </c>
      <c r="D3106" s="4">
        <v>1</v>
      </c>
      <c r="F3106" s="3">
        <v>45967</v>
      </c>
      <c r="G3106">
        <v>4617</v>
      </c>
      <c r="H3106">
        <v>4189</v>
      </c>
      <c r="I3106" s="1">
        <f t="shared" ref="I3106:I3121" si="438">G3106-H3106</f>
        <v>428</v>
      </c>
      <c r="J3106" s="1">
        <f>I3106</f>
        <v>428</v>
      </c>
      <c r="K3106" s="9">
        <f t="shared" si="436"/>
        <v>0.10217235617092385</v>
      </c>
    </row>
    <row r="3107" spans="1:12" x14ac:dyDescent="0.35">
      <c r="A3107" s="2" t="s">
        <v>364</v>
      </c>
      <c r="B3107" s="2" t="s">
        <v>390</v>
      </c>
      <c r="C3107" s="21" t="s">
        <v>275</v>
      </c>
      <c r="D3107" s="4">
        <v>2</v>
      </c>
      <c r="I3107" s="1">
        <f t="shared" si="438"/>
        <v>0</v>
      </c>
      <c r="J3107" s="1">
        <f>J3106+I3107</f>
        <v>428</v>
      </c>
      <c r="K3107" s="9" t="e">
        <f t="shared" ref="K3107:K3122" si="439">I3107/H3107</f>
        <v>#DIV/0!</v>
      </c>
    </row>
    <row r="3108" spans="1:12" x14ac:dyDescent="0.35">
      <c r="A3108" s="2" t="s">
        <v>364</v>
      </c>
      <c r="B3108" s="2" t="s">
        <v>390</v>
      </c>
      <c r="C3108" s="21" t="s">
        <v>275</v>
      </c>
      <c r="D3108" s="4">
        <v>3</v>
      </c>
      <c r="I3108" s="1">
        <f t="shared" si="438"/>
        <v>0</v>
      </c>
      <c r="J3108" s="1">
        <f t="shared" ref="J3108:J3121" si="440">J3107+I3108</f>
        <v>428</v>
      </c>
      <c r="K3108" s="9" t="e">
        <f t="shared" si="439"/>
        <v>#DIV/0!</v>
      </c>
    </row>
    <row r="3109" spans="1:12" x14ac:dyDescent="0.35">
      <c r="A3109" s="2" t="s">
        <v>364</v>
      </c>
      <c r="B3109" s="2" t="s">
        <v>390</v>
      </c>
      <c r="C3109" s="21" t="s">
        <v>275</v>
      </c>
      <c r="D3109" s="4">
        <v>4</v>
      </c>
      <c r="I3109" s="1">
        <f t="shared" si="438"/>
        <v>0</v>
      </c>
      <c r="J3109" s="1">
        <f t="shared" si="440"/>
        <v>428</v>
      </c>
      <c r="K3109" s="9" t="e">
        <f t="shared" si="439"/>
        <v>#DIV/0!</v>
      </c>
    </row>
    <row r="3110" spans="1:12" x14ac:dyDescent="0.35">
      <c r="A3110" s="2" t="s">
        <v>364</v>
      </c>
      <c r="B3110" s="2" t="s">
        <v>390</v>
      </c>
      <c r="C3110" s="21" t="s">
        <v>275</v>
      </c>
      <c r="D3110" s="4">
        <v>5</v>
      </c>
      <c r="I3110" s="1">
        <f t="shared" si="438"/>
        <v>0</v>
      </c>
      <c r="J3110" s="1">
        <f t="shared" si="440"/>
        <v>428</v>
      </c>
      <c r="K3110" s="9" t="e">
        <f t="shared" si="439"/>
        <v>#DIV/0!</v>
      </c>
    </row>
    <row r="3111" spans="1:12" x14ac:dyDescent="0.35">
      <c r="A3111" s="2" t="s">
        <v>364</v>
      </c>
      <c r="B3111" s="2" t="s">
        <v>390</v>
      </c>
      <c r="C3111" s="21" t="s">
        <v>275</v>
      </c>
      <c r="D3111" s="4">
        <v>6</v>
      </c>
      <c r="I3111" s="1">
        <f t="shared" si="438"/>
        <v>0</v>
      </c>
      <c r="J3111" s="1">
        <f t="shared" si="440"/>
        <v>428</v>
      </c>
      <c r="K3111" s="9" t="e">
        <f t="shared" si="439"/>
        <v>#DIV/0!</v>
      </c>
    </row>
    <row r="3112" spans="1:12" x14ac:dyDescent="0.35">
      <c r="A3112" s="2" t="s">
        <v>364</v>
      </c>
      <c r="B3112" s="2" t="s">
        <v>390</v>
      </c>
      <c r="C3112" s="21" t="s">
        <v>275</v>
      </c>
      <c r="D3112" s="4">
        <v>7</v>
      </c>
      <c r="I3112" s="1">
        <f t="shared" si="438"/>
        <v>0</v>
      </c>
      <c r="J3112" s="1">
        <f t="shared" si="440"/>
        <v>428</v>
      </c>
      <c r="K3112" s="9" t="e">
        <f t="shared" si="439"/>
        <v>#DIV/0!</v>
      </c>
    </row>
    <row r="3113" spans="1:12" x14ac:dyDescent="0.35">
      <c r="A3113" s="2" t="s">
        <v>364</v>
      </c>
      <c r="B3113" s="2" t="s">
        <v>390</v>
      </c>
      <c r="C3113" s="21" t="s">
        <v>275</v>
      </c>
      <c r="D3113" s="4">
        <v>8</v>
      </c>
      <c r="I3113" s="1">
        <f t="shared" si="438"/>
        <v>0</v>
      </c>
      <c r="J3113" s="1">
        <f t="shared" si="440"/>
        <v>428</v>
      </c>
      <c r="K3113" s="9" t="e">
        <f t="shared" si="439"/>
        <v>#DIV/0!</v>
      </c>
    </row>
    <row r="3114" spans="1:12" x14ac:dyDescent="0.35">
      <c r="A3114" s="2" t="s">
        <v>364</v>
      </c>
      <c r="B3114" s="2" t="s">
        <v>390</v>
      </c>
      <c r="C3114" s="21" t="s">
        <v>275</v>
      </c>
      <c r="D3114" s="4">
        <v>9</v>
      </c>
      <c r="I3114" s="1">
        <f t="shared" si="438"/>
        <v>0</v>
      </c>
      <c r="J3114" s="1">
        <f t="shared" si="440"/>
        <v>428</v>
      </c>
      <c r="K3114" s="9" t="e">
        <f t="shared" si="439"/>
        <v>#DIV/0!</v>
      </c>
    </row>
    <row r="3115" spans="1:12" x14ac:dyDescent="0.35">
      <c r="A3115" s="2" t="s">
        <v>364</v>
      </c>
      <c r="B3115" s="2" t="s">
        <v>390</v>
      </c>
      <c r="C3115" s="21" t="s">
        <v>275</v>
      </c>
      <c r="D3115" s="4">
        <v>10</v>
      </c>
      <c r="I3115" s="1">
        <f t="shared" si="438"/>
        <v>0</v>
      </c>
      <c r="J3115" s="1">
        <f t="shared" si="440"/>
        <v>428</v>
      </c>
      <c r="K3115" s="9" t="e">
        <f t="shared" si="439"/>
        <v>#DIV/0!</v>
      </c>
    </row>
    <row r="3116" spans="1:12" x14ac:dyDescent="0.35">
      <c r="A3116" s="2" t="s">
        <v>364</v>
      </c>
      <c r="B3116" s="2" t="s">
        <v>390</v>
      </c>
      <c r="C3116" s="21" t="s">
        <v>275</v>
      </c>
      <c r="D3116" s="4">
        <v>11</v>
      </c>
      <c r="I3116" s="1">
        <f t="shared" si="438"/>
        <v>0</v>
      </c>
      <c r="J3116" s="1">
        <f t="shared" si="440"/>
        <v>428</v>
      </c>
      <c r="K3116" s="9" t="e">
        <f t="shared" si="439"/>
        <v>#DIV/0!</v>
      </c>
    </row>
    <row r="3117" spans="1:12" x14ac:dyDescent="0.35">
      <c r="A3117" s="2" t="s">
        <v>364</v>
      </c>
      <c r="B3117" s="2" t="s">
        <v>390</v>
      </c>
      <c r="C3117" s="21" t="s">
        <v>275</v>
      </c>
      <c r="D3117" s="4">
        <v>12</v>
      </c>
      <c r="I3117" s="1">
        <f t="shared" si="438"/>
        <v>0</v>
      </c>
      <c r="J3117" s="1">
        <f t="shared" si="440"/>
        <v>428</v>
      </c>
      <c r="K3117" s="9" t="e">
        <f t="shared" si="439"/>
        <v>#DIV/0!</v>
      </c>
    </row>
    <row r="3118" spans="1:12" x14ac:dyDescent="0.35">
      <c r="A3118" s="2" t="s">
        <v>364</v>
      </c>
      <c r="B3118" s="2" t="s">
        <v>390</v>
      </c>
      <c r="C3118" s="21" t="s">
        <v>275</v>
      </c>
      <c r="D3118" s="4">
        <v>13</v>
      </c>
      <c r="I3118" s="1">
        <f t="shared" si="438"/>
        <v>0</v>
      </c>
      <c r="J3118" s="1">
        <f t="shared" si="440"/>
        <v>428</v>
      </c>
      <c r="K3118" s="9" t="e">
        <f t="shared" si="439"/>
        <v>#DIV/0!</v>
      </c>
    </row>
    <row r="3119" spans="1:12" x14ac:dyDescent="0.35">
      <c r="A3119" s="2" t="s">
        <v>364</v>
      </c>
      <c r="B3119" s="2" t="s">
        <v>390</v>
      </c>
      <c r="C3119" s="21" t="s">
        <v>275</v>
      </c>
      <c r="D3119" s="4">
        <v>14</v>
      </c>
      <c r="I3119" s="1">
        <f t="shared" si="438"/>
        <v>0</v>
      </c>
      <c r="J3119" s="1">
        <f t="shared" si="440"/>
        <v>428</v>
      </c>
      <c r="K3119" s="9" t="e">
        <f t="shared" si="439"/>
        <v>#DIV/0!</v>
      </c>
    </row>
    <row r="3120" spans="1:12" x14ac:dyDescent="0.35">
      <c r="A3120" s="2" t="s">
        <v>364</v>
      </c>
      <c r="B3120" s="2" t="s">
        <v>390</v>
      </c>
      <c r="C3120" s="21" t="s">
        <v>275</v>
      </c>
      <c r="D3120" s="4">
        <v>15</v>
      </c>
      <c r="I3120" s="1">
        <f t="shared" si="438"/>
        <v>0</v>
      </c>
      <c r="J3120" s="1">
        <f t="shared" si="440"/>
        <v>428</v>
      </c>
      <c r="K3120" s="9" t="e">
        <f t="shared" si="439"/>
        <v>#DIV/0!</v>
      </c>
    </row>
    <row r="3121" spans="1:12" ht="15" thickBot="1" x14ac:dyDescent="0.4">
      <c r="A3121" s="12" t="s">
        <v>364</v>
      </c>
      <c r="B3121" s="12" t="s">
        <v>390</v>
      </c>
      <c r="C3121" s="22" t="s">
        <v>275</v>
      </c>
      <c r="D3121" s="14">
        <v>16</v>
      </c>
      <c r="E3121" s="13"/>
      <c r="F3121" s="13"/>
      <c r="G3121" s="13"/>
      <c r="H3121" s="13"/>
      <c r="I3121" s="15">
        <f t="shared" si="438"/>
        <v>0</v>
      </c>
      <c r="J3121" s="15">
        <f t="shared" si="440"/>
        <v>428</v>
      </c>
      <c r="K3121" s="16" t="e">
        <f t="shared" si="439"/>
        <v>#DIV/0!</v>
      </c>
      <c r="L3121" s="13"/>
    </row>
    <row r="3122" spans="1:12" x14ac:dyDescent="0.35">
      <c r="A3122" s="2" t="s">
        <v>365</v>
      </c>
      <c r="B3122" s="2" t="s">
        <v>391</v>
      </c>
      <c r="C3122" s="21" t="s">
        <v>275</v>
      </c>
      <c r="D3122" s="4">
        <v>1</v>
      </c>
      <c r="F3122" s="3">
        <v>45967</v>
      </c>
      <c r="G3122">
        <v>5602</v>
      </c>
      <c r="H3122">
        <v>5092</v>
      </c>
      <c r="I3122" s="1">
        <f t="shared" ref="I3122:I3137" si="441">G3122-H3122</f>
        <v>510</v>
      </c>
      <c r="J3122" s="1">
        <f>I3122</f>
        <v>510</v>
      </c>
      <c r="K3122" s="9">
        <f t="shared" si="439"/>
        <v>0.10015710919088766</v>
      </c>
    </row>
    <row r="3123" spans="1:12" x14ac:dyDescent="0.35">
      <c r="A3123" s="2" t="s">
        <v>365</v>
      </c>
      <c r="B3123" s="2" t="s">
        <v>391</v>
      </c>
      <c r="C3123" s="21" t="s">
        <v>275</v>
      </c>
      <c r="D3123" s="4">
        <v>2</v>
      </c>
      <c r="I3123" s="1">
        <f t="shared" si="441"/>
        <v>0</v>
      </c>
      <c r="J3123" s="1">
        <f>J3122+I3123</f>
        <v>510</v>
      </c>
      <c r="K3123" s="9" t="e">
        <f t="shared" ref="K3123:K3138" si="442">I3123/H3123</f>
        <v>#DIV/0!</v>
      </c>
    </row>
    <row r="3124" spans="1:12" x14ac:dyDescent="0.35">
      <c r="A3124" s="2" t="s">
        <v>365</v>
      </c>
      <c r="B3124" s="2" t="s">
        <v>391</v>
      </c>
      <c r="C3124" s="21" t="s">
        <v>275</v>
      </c>
      <c r="D3124" s="4">
        <v>3</v>
      </c>
      <c r="I3124" s="1">
        <f t="shared" si="441"/>
        <v>0</v>
      </c>
      <c r="J3124" s="1">
        <f t="shared" ref="J3124:J3137" si="443">J3123+I3124</f>
        <v>510</v>
      </c>
      <c r="K3124" s="9" t="e">
        <f t="shared" si="442"/>
        <v>#DIV/0!</v>
      </c>
    </row>
    <row r="3125" spans="1:12" x14ac:dyDescent="0.35">
      <c r="A3125" s="2" t="s">
        <v>365</v>
      </c>
      <c r="B3125" s="2" t="s">
        <v>391</v>
      </c>
      <c r="C3125" s="21" t="s">
        <v>275</v>
      </c>
      <c r="D3125" s="4">
        <v>4</v>
      </c>
      <c r="I3125" s="1">
        <f t="shared" si="441"/>
        <v>0</v>
      </c>
      <c r="J3125" s="1">
        <f t="shared" si="443"/>
        <v>510</v>
      </c>
      <c r="K3125" s="9" t="e">
        <f t="shared" si="442"/>
        <v>#DIV/0!</v>
      </c>
    </row>
    <row r="3126" spans="1:12" x14ac:dyDescent="0.35">
      <c r="A3126" s="2" t="s">
        <v>365</v>
      </c>
      <c r="B3126" s="2" t="s">
        <v>391</v>
      </c>
      <c r="C3126" s="21" t="s">
        <v>275</v>
      </c>
      <c r="D3126" s="4">
        <v>5</v>
      </c>
      <c r="I3126" s="1">
        <f t="shared" si="441"/>
        <v>0</v>
      </c>
      <c r="J3126" s="1">
        <f t="shared" si="443"/>
        <v>510</v>
      </c>
      <c r="K3126" s="9" t="e">
        <f t="shared" si="442"/>
        <v>#DIV/0!</v>
      </c>
    </row>
    <row r="3127" spans="1:12" x14ac:dyDescent="0.35">
      <c r="A3127" s="2" t="s">
        <v>365</v>
      </c>
      <c r="B3127" s="2" t="s">
        <v>391</v>
      </c>
      <c r="C3127" s="21" t="s">
        <v>275</v>
      </c>
      <c r="D3127" s="4">
        <v>6</v>
      </c>
      <c r="I3127" s="1">
        <f t="shared" si="441"/>
        <v>0</v>
      </c>
      <c r="J3127" s="1">
        <f t="shared" si="443"/>
        <v>510</v>
      </c>
      <c r="K3127" s="9" t="e">
        <f t="shared" si="442"/>
        <v>#DIV/0!</v>
      </c>
    </row>
    <row r="3128" spans="1:12" x14ac:dyDescent="0.35">
      <c r="A3128" s="2" t="s">
        <v>365</v>
      </c>
      <c r="B3128" s="2" t="s">
        <v>391</v>
      </c>
      <c r="C3128" s="21" t="s">
        <v>275</v>
      </c>
      <c r="D3128" s="4">
        <v>7</v>
      </c>
      <c r="I3128" s="1">
        <f t="shared" si="441"/>
        <v>0</v>
      </c>
      <c r="J3128" s="1">
        <f t="shared" si="443"/>
        <v>510</v>
      </c>
      <c r="K3128" s="9" t="e">
        <f t="shared" si="442"/>
        <v>#DIV/0!</v>
      </c>
    </row>
    <row r="3129" spans="1:12" x14ac:dyDescent="0.35">
      <c r="A3129" s="2" t="s">
        <v>365</v>
      </c>
      <c r="B3129" s="2" t="s">
        <v>391</v>
      </c>
      <c r="C3129" s="21" t="s">
        <v>275</v>
      </c>
      <c r="D3129" s="4">
        <v>8</v>
      </c>
      <c r="I3129" s="1">
        <f t="shared" si="441"/>
        <v>0</v>
      </c>
      <c r="J3129" s="1">
        <f t="shared" si="443"/>
        <v>510</v>
      </c>
      <c r="K3129" s="9" t="e">
        <f t="shared" si="442"/>
        <v>#DIV/0!</v>
      </c>
    </row>
    <row r="3130" spans="1:12" x14ac:dyDescent="0.35">
      <c r="A3130" s="2" t="s">
        <v>365</v>
      </c>
      <c r="B3130" s="2" t="s">
        <v>391</v>
      </c>
      <c r="C3130" s="21" t="s">
        <v>275</v>
      </c>
      <c r="D3130" s="4">
        <v>9</v>
      </c>
      <c r="I3130" s="1">
        <f t="shared" si="441"/>
        <v>0</v>
      </c>
      <c r="J3130" s="1">
        <f t="shared" si="443"/>
        <v>510</v>
      </c>
      <c r="K3130" s="9" t="e">
        <f t="shared" si="442"/>
        <v>#DIV/0!</v>
      </c>
    </row>
    <row r="3131" spans="1:12" x14ac:dyDescent="0.35">
      <c r="A3131" s="2" t="s">
        <v>365</v>
      </c>
      <c r="B3131" s="2" t="s">
        <v>391</v>
      </c>
      <c r="C3131" s="21" t="s">
        <v>275</v>
      </c>
      <c r="D3131" s="4">
        <v>10</v>
      </c>
      <c r="I3131" s="1">
        <f t="shared" si="441"/>
        <v>0</v>
      </c>
      <c r="J3131" s="1">
        <f t="shared" si="443"/>
        <v>510</v>
      </c>
      <c r="K3131" s="9" t="e">
        <f t="shared" si="442"/>
        <v>#DIV/0!</v>
      </c>
    </row>
    <row r="3132" spans="1:12" x14ac:dyDescent="0.35">
      <c r="A3132" s="2" t="s">
        <v>365</v>
      </c>
      <c r="B3132" s="2" t="s">
        <v>391</v>
      </c>
      <c r="C3132" s="21" t="s">
        <v>275</v>
      </c>
      <c r="D3132" s="4">
        <v>11</v>
      </c>
      <c r="I3132" s="1">
        <f t="shared" si="441"/>
        <v>0</v>
      </c>
      <c r="J3132" s="1">
        <f t="shared" si="443"/>
        <v>510</v>
      </c>
      <c r="K3132" s="9" t="e">
        <f t="shared" si="442"/>
        <v>#DIV/0!</v>
      </c>
    </row>
    <row r="3133" spans="1:12" x14ac:dyDescent="0.35">
      <c r="A3133" s="2" t="s">
        <v>365</v>
      </c>
      <c r="B3133" s="2" t="s">
        <v>391</v>
      </c>
      <c r="C3133" s="21" t="s">
        <v>275</v>
      </c>
      <c r="D3133" s="4">
        <v>12</v>
      </c>
      <c r="I3133" s="1">
        <f t="shared" si="441"/>
        <v>0</v>
      </c>
      <c r="J3133" s="1">
        <f t="shared" si="443"/>
        <v>510</v>
      </c>
      <c r="K3133" s="9" t="e">
        <f t="shared" si="442"/>
        <v>#DIV/0!</v>
      </c>
    </row>
    <row r="3134" spans="1:12" x14ac:dyDescent="0.35">
      <c r="A3134" s="2" t="s">
        <v>365</v>
      </c>
      <c r="B3134" s="2" t="s">
        <v>391</v>
      </c>
      <c r="C3134" s="21" t="s">
        <v>275</v>
      </c>
      <c r="D3134" s="4">
        <v>13</v>
      </c>
      <c r="I3134" s="1">
        <f t="shared" si="441"/>
        <v>0</v>
      </c>
      <c r="J3134" s="1">
        <f t="shared" si="443"/>
        <v>510</v>
      </c>
      <c r="K3134" s="9" t="e">
        <f t="shared" si="442"/>
        <v>#DIV/0!</v>
      </c>
    </row>
    <row r="3135" spans="1:12" x14ac:dyDescent="0.35">
      <c r="A3135" s="2" t="s">
        <v>365</v>
      </c>
      <c r="B3135" s="2" t="s">
        <v>391</v>
      </c>
      <c r="C3135" s="21" t="s">
        <v>275</v>
      </c>
      <c r="D3135" s="4">
        <v>14</v>
      </c>
      <c r="I3135" s="1">
        <f t="shared" si="441"/>
        <v>0</v>
      </c>
      <c r="J3135" s="1">
        <f t="shared" si="443"/>
        <v>510</v>
      </c>
      <c r="K3135" s="9" t="e">
        <f t="shared" si="442"/>
        <v>#DIV/0!</v>
      </c>
    </row>
    <row r="3136" spans="1:12" x14ac:dyDescent="0.35">
      <c r="A3136" s="2" t="s">
        <v>365</v>
      </c>
      <c r="B3136" s="2" t="s">
        <v>391</v>
      </c>
      <c r="C3136" s="21" t="s">
        <v>275</v>
      </c>
      <c r="D3136" s="4">
        <v>15</v>
      </c>
      <c r="I3136" s="1">
        <f t="shared" si="441"/>
        <v>0</v>
      </c>
      <c r="J3136" s="1">
        <f t="shared" si="443"/>
        <v>510</v>
      </c>
      <c r="K3136" s="9" t="e">
        <f t="shared" si="442"/>
        <v>#DIV/0!</v>
      </c>
    </row>
    <row r="3137" spans="1:12" ht="15" thickBot="1" x14ac:dyDescent="0.4">
      <c r="A3137" s="12" t="s">
        <v>365</v>
      </c>
      <c r="B3137" s="12" t="s">
        <v>391</v>
      </c>
      <c r="C3137" s="22" t="s">
        <v>275</v>
      </c>
      <c r="D3137" s="14">
        <v>16</v>
      </c>
      <c r="E3137" s="13"/>
      <c r="F3137" s="13"/>
      <c r="G3137" s="13"/>
      <c r="H3137" s="13"/>
      <c r="I3137" s="15">
        <f t="shared" si="441"/>
        <v>0</v>
      </c>
      <c r="J3137" s="15">
        <f t="shared" si="443"/>
        <v>510</v>
      </c>
      <c r="K3137" s="16" t="e">
        <f t="shared" si="442"/>
        <v>#DIV/0!</v>
      </c>
      <c r="L3137" s="13"/>
    </row>
    <row r="3138" spans="1:12" x14ac:dyDescent="0.35">
      <c r="A3138" s="2" t="s">
        <v>366</v>
      </c>
      <c r="B3138" s="2" t="s">
        <v>392</v>
      </c>
      <c r="C3138" s="21" t="s">
        <v>275</v>
      </c>
      <c r="D3138" s="4">
        <v>1</v>
      </c>
      <c r="F3138" s="3">
        <v>45967</v>
      </c>
      <c r="G3138">
        <v>5428</v>
      </c>
      <c r="H3138">
        <v>4865</v>
      </c>
      <c r="I3138" s="1">
        <f t="shared" ref="I3138:I3153" si="444">G3138-H3138</f>
        <v>563</v>
      </c>
      <c r="J3138" s="1">
        <f>I3138</f>
        <v>563</v>
      </c>
      <c r="K3138" s="9">
        <f t="shared" si="442"/>
        <v>0.11572456320657759</v>
      </c>
    </row>
    <row r="3139" spans="1:12" x14ac:dyDescent="0.35">
      <c r="A3139" s="2" t="s">
        <v>366</v>
      </c>
      <c r="B3139" s="2" t="s">
        <v>392</v>
      </c>
      <c r="C3139" s="21" t="s">
        <v>275</v>
      </c>
      <c r="D3139" s="4">
        <v>2</v>
      </c>
      <c r="I3139" s="1">
        <f t="shared" si="444"/>
        <v>0</v>
      </c>
      <c r="J3139" s="1">
        <f>J3138+I3139</f>
        <v>563</v>
      </c>
      <c r="K3139" s="9" t="e">
        <f t="shared" ref="K3139:K3154" si="445">I3139/H3139</f>
        <v>#DIV/0!</v>
      </c>
    </row>
    <row r="3140" spans="1:12" x14ac:dyDescent="0.35">
      <c r="A3140" s="2" t="s">
        <v>366</v>
      </c>
      <c r="B3140" s="2" t="s">
        <v>392</v>
      </c>
      <c r="C3140" s="21" t="s">
        <v>275</v>
      </c>
      <c r="D3140" s="4">
        <v>3</v>
      </c>
      <c r="I3140" s="1">
        <f t="shared" si="444"/>
        <v>0</v>
      </c>
      <c r="J3140" s="1">
        <f t="shared" ref="J3140:J3153" si="446">J3139+I3140</f>
        <v>563</v>
      </c>
      <c r="K3140" s="9" t="e">
        <f t="shared" si="445"/>
        <v>#DIV/0!</v>
      </c>
    </row>
    <row r="3141" spans="1:12" x14ac:dyDescent="0.35">
      <c r="A3141" s="2" t="s">
        <v>366</v>
      </c>
      <c r="B3141" s="2" t="s">
        <v>392</v>
      </c>
      <c r="C3141" s="21" t="s">
        <v>275</v>
      </c>
      <c r="D3141" s="4">
        <v>4</v>
      </c>
      <c r="I3141" s="1">
        <f t="shared" si="444"/>
        <v>0</v>
      </c>
      <c r="J3141" s="1">
        <f t="shared" si="446"/>
        <v>563</v>
      </c>
      <c r="K3141" s="9" t="e">
        <f t="shared" si="445"/>
        <v>#DIV/0!</v>
      </c>
    </row>
    <row r="3142" spans="1:12" x14ac:dyDescent="0.35">
      <c r="A3142" s="2" t="s">
        <v>366</v>
      </c>
      <c r="B3142" s="2" t="s">
        <v>392</v>
      </c>
      <c r="C3142" s="21" t="s">
        <v>275</v>
      </c>
      <c r="D3142" s="4">
        <v>5</v>
      </c>
      <c r="I3142" s="1">
        <f t="shared" si="444"/>
        <v>0</v>
      </c>
      <c r="J3142" s="1">
        <f t="shared" si="446"/>
        <v>563</v>
      </c>
      <c r="K3142" s="9" t="e">
        <f t="shared" si="445"/>
        <v>#DIV/0!</v>
      </c>
    </row>
    <row r="3143" spans="1:12" x14ac:dyDescent="0.35">
      <c r="A3143" s="2" t="s">
        <v>366</v>
      </c>
      <c r="B3143" s="2" t="s">
        <v>392</v>
      </c>
      <c r="C3143" s="21" t="s">
        <v>275</v>
      </c>
      <c r="D3143" s="4">
        <v>6</v>
      </c>
      <c r="I3143" s="1">
        <f t="shared" si="444"/>
        <v>0</v>
      </c>
      <c r="J3143" s="1">
        <f t="shared" si="446"/>
        <v>563</v>
      </c>
      <c r="K3143" s="9" t="e">
        <f t="shared" si="445"/>
        <v>#DIV/0!</v>
      </c>
    </row>
    <row r="3144" spans="1:12" x14ac:dyDescent="0.35">
      <c r="A3144" s="2" t="s">
        <v>366</v>
      </c>
      <c r="B3144" s="2" t="s">
        <v>392</v>
      </c>
      <c r="C3144" s="21" t="s">
        <v>275</v>
      </c>
      <c r="D3144" s="4">
        <v>7</v>
      </c>
      <c r="I3144" s="1">
        <f t="shared" si="444"/>
        <v>0</v>
      </c>
      <c r="J3144" s="1">
        <f t="shared" si="446"/>
        <v>563</v>
      </c>
      <c r="K3144" s="9" t="e">
        <f t="shared" si="445"/>
        <v>#DIV/0!</v>
      </c>
    </row>
    <row r="3145" spans="1:12" x14ac:dyDescent="0.35">
      <c r="A3145" s="2" t="s">
        <v>366</v>
      </c>
      <c r="B3145" s="2" t="s">
        <v>392</v>
      </c>
      <c r="C3145" s="21" t="s">
        <v>275</v>
      </c>
      <c r="D3145" s="4">
        <v>8</v>
      </c>
      <c r="I3145" s="1">
        <f t="shared" si="444"/>
        <v>0</v>
      </c>
      <c r="J3145" s="1">
        <f t="shared" si="446"/>
        <v>563</v>
      </c>
      <c r="K3145" s="9" t="e">
        <f t="shared" si="445"/>
        <v>#DIV/0!</v>
      </c>
    </row>
    <row r="3146" spans="1:12" x14ac:dyDescent="0.35">
      <c r="A3146" s="2" t="s">
        <v>366</v>
      </c>
      <c r="B3146" s="2" t="s">
        <v>392</v>
      </c>
      <c r="C3146" s="21" t="s">
        <v>275</v>
      </c>
      <c r="D3146" s="4">
        <v>9</v>
      </c>
      <c r="I3146" s="1">
        <f t="shared" si="444"/>
        <v>0</v>
      </c>
      <c r="J3146" s="1">
        <f t="shared" si="446"/>
        <v>563</v>
      </c>
      <c r="K3146" s="9" t="e">
        <f t="shared" si="445"/>
        <v>#DIV/0!</v>
      </c>
    </row>
    <row r="3147" spans="1:12" x14ac:dyDescent="0.35">
      <c r="A3147" s="2" t="s">
        <v>366</v>
      </c>
      <c r="B3147" s="2" t="s">
        <v>392</v>
      </c>
      <c r="C3147" s="21" t="s">
        <v>275</v>
      </c>
      <c r="D3147" s="4">
        <v>10</v>
      </c>
      <c r="I3147" s="1">
        <f t="shared" si="444"/>
        <v>0</v>
      </c>
      <c r="J3147" s="1">
        <f t="shared" si="446"/>
        <v>563</v>
      </c>
      <c r="K3147" s="9" t="e">
        <f t="shared" si="445"/>
        <v>#DIV/0!</v>
      </c>
    </row>
    <row r="3148" spans="1:12" x14ac:dyDescent="0.35">
      <c r="A3148" s="2" t="s">
        <v>366</v>
      </c>
      <c r="B3148" s="2" t="s">
        <v>392</v>
      </c>
      <c r="C3148" s="21" t="s">
        <v>275</v>
      </c>
      <c r="D3148" s="4">
        <v>11</v>
      </c>
      <c r="I3148" s="1">
        <f t="shared" si="444"/>
        <v>0</v>
      </c>
      <c r="J3148" s="1">
        <f t="shared" si="446"/>
        <v>563</v>
      </c>
      <c r="K3148" s="9" t="e">
        <f t="shared" si="445"/>
        <v>#DIV/0!</v>
      </c>
    </row>
    <row r="3149" spans="1:12" x14ac:dyDescent="0.35">
      <c r="A3149" s="2" t="s">
        <v>366</v>
      </c>
      <c r="B3149" s="2" t="s">
        <v>392</v>
      </c>
      <c r="C3149" s="21" t="s">
        <v>275</v>
      </c>
      <c r="D3149" s="4">
        <v>12</v>
      </c>
      <c r="I3149" s="1">
        <f t="shared" si="444"/>
        <v>0</v>
      </c>
      <c r="J3149" s="1">
        <f t="shared" si="446"/>
        <v>563</v>
      </c>
      <c r="K3149" s="9" t="e">
        <f t="shared" si="445"/>
        <v>#DIV/0!</v>
      </c>
    </row>
    <row r="3150" spans="1:12" x14ac:dyDescent="0.35">
      <c r="A3150" s="2" t="s">
        <v>366</v>
      </c>
      <c r="B3150" s="2" t="s">
        <v>392</v>
      </c>
      <c r="C3150" s="21" t="s">
        <v>275</v>
      </c>
      <c r="D3150" s="4">
        <v>13</v>
      </c>
      <c r="I3150" s="1">
        <f t="shared" si="444"/>
        <v>0</v>
      </c>
      <c r="J3150" s="1">
        <f t="shared" si="446"/>
        <v>563</v>
      </c>
      <c r="K3150" s="9" t="e">
        <f t="shared" si="445"/>
        <v>#DIV/0!</v>
      </c>
    </row>
    <row r="3151" spans="1:12" x14ac:dyDescent="0.35">
      <c r="A3151" s="2" t="s">
        <v>366</v>
      </c>
      <c r="B3151" s="2" t="s">
        <v>392</v>
      </c>
      <c r="C3151" s="21" t="s">
        <v>275</v>
      </c>
      <c r="D3151" s="4">
        <v>14</v>
      </c>
      <c r="I3151" s="1">
        <f t="shared" si="444"/>
        <v>0</v>
      </c>
      <c r="J3151" s="1">
        <f t="shared" si="446"/>
        <v>563</v>
      </c>
      <c r="K3151" s="9" t="e">
        <f t="shared" si="445"/>
        <v>#DIV/0!</v>
      </c>
    </row>
    <row r="3152" spans="1:12" x14ac:dyDescent="0.35">
      <c r="A3152" s="2" t="s">
        <v>366</v>
      </c>
      <c r="B3152" s="2" t="s">
        <v>392</v>
      </c>
      <c r="C3152" s="21" t="s">
        <v>275</v>
      </c>
      <c r="D3152" s="4">
        <v>15</v>
      </c>
      <c r="I3152" s="1">
        <f t="shared" si="444"/>
        <v>0</v>
      </c>
      <c r="J3152" s="1">
        <f t="shared" si="446"/>
        <v>563</v>
      </c>
      <c r="K3152" s="9" t="e">
        <f t="shared" si="445"/>
        <v>#DIV/0!</v>
      </c>
    </row>
    <row r="3153" spans="1:12" ht="15" thickBot="1" x14ac:dyDescent="0.4">
      <c r="A3153" s="12" t="s">
        <v>366</v>
      </c>
      <c r="B3153" s="12" t="s">
        <v>392</v>
      </c>
      <c r="C3153" s="22" t="s">
        <v>275</v>
      </c>
      <c r="D3153" s="14">
        <v>16</v>
      </c>
      <c r="E3153" s="13"/>
      <c r="F3153" s="13"/>
      <c r="G3153" s="13"/>
      <c r="H3153" s="13"/>
      <c r="I3153" s="15">
        <f t="shared" si="444"/>
        <v>0</v>
      </c>
      <c r="J3153" s="15">
        <f t="shared" si="446"/>
        <v>563</v>
      </c>
      <c r="K3153" s="16" t="e">
        <f t="shared" si="445"/>
        <v>#DIV/0!</v>
      </c>
      <c r="L3153" s="13"/>
    </row>
    <row r="3154" spans="1:12" x14ac:dyDescent="0.35">
      <c r="A3154" s="2" t="s">
        <v>367</v>
      </c>
      <c r="B3154" s="2" t="s">
        <v>393</v>
      </c>
      <c r="C3154" s="21" t="s">
        <v>275</v>
      </c>
      <c r="D3154" s="4">
        <v>1</v>
      </c>
      <c r="F3154" s="3">
        <v>45967</v>
      </c>
      <c r="G3154">
        <v>6336</v>
      </c>
      <c r="H3154">
        <v>5706</v>
      </c>
      <c r="I3154" s="1">
        <f t="shared" ref="I3154:I3169" si="447">G3154-H3154</f>
        <v>630</v>
      </c>
      <c r="J3154" s="1">
        <f>I3154</f>
        <v>630</v>
      </c>
      <c r="K3154" s="9">
        <f t="shared" si="445"/>
        <v>0.11041009463722397</v>
      </c>
    </row>
    <row r="3155" spans="1:12" x14ac:dyDescent="0.35">
      <c r="A3155" s="2" t="s">
        <v>367</v>
      </c>
      <c r="B3155" s="2" t="s">
        <v>393</v>
      </c>
      <c r="C3155" s="21" t="s">
        <v>275</v>
      </c>
      <c r="D3155" s="4">
        <v>2</v>
      </c>
      <c r="I3155" s="1">
        <f t="shared" si="447"/>
        <v>0</v>
      </c>
      <c r="J3155" s="1">
        <f>J3154+I3155</f>
        <v>630</v>
      </c>
      <c r="K3155" s="9" t="e">
        <f t="shared" ref="K3155:K3170" si="448">I3155/H3155</f>
        <v>#DIV/0!</v>
      </c>
    </row>
    <row r="3156" spans="1:12" x14ac:dyDescent="0.35">
      <c r="A3156" s="2" t="s">
        <v>367</v>
      </c>
      <c r="B3156" s="2" t="s">
        <v>393</v>
      </c>
      <c r="C3156" s="21" t="s">
        <v>275</v>
      </c>
      <c r="D3156" s="4">
        <v>3</v>
      </c>
      <c r="I3156" s="1">
        <f t="shared" si="447"/>
        <v>0</v>
      </c>
      <c r="J3156" s="1">
        <f t="shared" ref="J3156:J3169" si="449">J3155+I3156</f>
        <v>630</v>
      </c>
      <c r="K3156" s="9" t="e">
        <f t="shared" si="448"/>
        <v>#DIV/0!</v>
      </c>
    </row>
    <row r="3157" spans="1:12" x14ac:dyDescent="0.35">
      <c r="A3157" s="2" t="s">
        <v>367</v>
      </c>
      <c r="B3157" s="2" t="s">
        <v>393</v>
      </c>
      <c r="C3157" s="21" t="s">
        <v>275</v>
      </c>
      <c r="D3157" s="4">
        <v>4</v>
      </c>
      <c r="I3157" s="1">
        <f t="shared" si="447"/>
        <v>0</v>
      </c>
      <c r="J3157" s="1">
        <f t="shared" si="449"/>
        <v>630</v>
      </c>
      <c r="K3157" s="9" t="e">
        <f t="shared" si="448"/>
        <v>#DIV/0!</v>
      </c>
    </row>
    <row r="3158" spans="1:12" x14ac:dyDescent="0.35">
      <c r="A3158" s="2" t="s">
        <v>367</v>
      </c>
      <c r="B3158" s="2" t="s">
        <v>393</v>
      </c>
      <c r="C3158" s="21" t="s">
        <v>275</v>
      </c>
      <c r="D3158" s="4">
        <v>5</v>
      </c>
      <c r="I3158" s="1">
        <f t="shared" si="447"/>
        <v>0</v>
      </c>
      <c r="J3158" s="1">
        <f t="shared" si="449"/>
        <v>630</v>
      </c>
      <c r="K3158" s="9" t="e">
        <f t="shared" si="448"/>
        <v>#DIV/0!</v>
      </c>
    </row>
    <row r="3159" spans="1:12" x14ac:dyDescent="0.35">
      <c r="A3159" s="2" t="s">
        <v>367</v>
      </c>
      <c r="B3159" s="2" t="s">
        <v>393</v>
      </c>
      <c r="C3159" s="21" t="s">
        <v>275</v>
      </c>
      <c r="D3159" s="4">
        <v>6</v>
      </c>
      <c r="I3159" s="1">
        <f t="shared" si="447"/>
        <v>0</v>
      </c>
      <c r="J3159" s="1">
        <f t="shared" si="449"/>
        <v>630</v>
      </c>
      <c r="K3159" s="9" t="e">
        <f t="shared" si="448"/>
        <v>#DIV/0!</v>
      </c>
    </row>
    <row r="3160" spans="1:12" x14ac:dyDescent="0.35">
      <c r="A3160" s="2" t="s">
        <v>367</v>
      </c>
      <c r="B3160" s="2" t="s">
        <v>393</v>
      </c>
      <c r="C3160" s="21" t="s">
        <v>275</v>
      </c>
      <c r="D3160" s="4">
        <v>7</v>
      </c>
      <c r="I3160" s="1">
        <f t="shared" si="447"/>
        <v>0</v>
      </c>
      <c r="J3160" s="1">
        <f t="shared" si="449"/>
        <v>630</v>
      </c>
      <c r="K3160" s="9" t="e">
        <f t="shared" si="448"/>
        <v>#DIV/0!</v>
      </c>
    </row>
    <row r="3161" spans="1:12" x14ac:dyDescent="0.35">
      <c r="A3161" s="2" t="s">
        <v>367</v>
      </c>
      <c r="B3161" s="2" t="s">
        <v>393</v>
      </c>
      <c r="C3161" s="21" t="s">
        <v>275</v>
      </c>
      <c r="D3161" s="4">
        <v>8</v>
      </c>
      <c r="I3161" s="1">
        <f t="shared" si="447"/>
        <v>0</v>
      </c>
      <c r="J3161" s="1">
        <f t="shared" si="449"/>
        <v>630</v>
      </c>
      <c r="K3161" s="9" t="e">
        <f t="shared" si="448"/>
        <v>#DIV/0!</v>
      </c>
    </row>
    <row r="3162" spans="1:12" x14ac:dyDescent="0.35">
      <c r="A3162" s="2" t="s">
        <v>367</v>
      </c>
      <c r="B3162" s="2" t="s">
        <v>393</v>
      </c>
      <c r="C3162" s="21" t="s">
        <v>275</v>
      </c>
      <c r="D3162" s="4">
        <v>9</v>
      </c>
      <c r="I3162" s="1">
        <f t="shared" si="447"/>
        <v>0</v>
      </c>
      <c r="J3162" s="1">
        <f t="shared" si="449"/>
        <v>630</v>
      </c>
      <c r="K3162" s="9" t="e">
        <f t="shared" si="448"/>
        <v>#DIV/0!</v>
      </c>
    </row>
    <row r="3163" spans="1:12" x14ac:dyDescent="0.35">
      <c r="A3163" s="2" t="s">
        <v>367</v>
      </c>
      <c r="B3163" s="2" t="s">
        <v>393</v>
      </c>
      <c r="C3163" s="21" t="s">
        <v>275</v>
      </c>
      <c r="D3163" s="4">
        <v>10</v>
      </c>
      <c r="I3163" s="1">
        <f t="shared" si="447"/>
        <v>0</v>
      </c>
      <c r="J3163" s="1">
        <f t="shared" si="449"/>
        <v>630</v>
      </c>
      <c r="K3163" s="9" t="e">
        <f t="shared" si="448"/>
        <v>#DIV/0!</v>
      </c>
    </row>
    <row r="3164" spans="1:12" x14ac:dyDescent="0.35">
      <c r="A3164" s="2" t="s">
        <v>367</v>
      </c>
      <c r="B3164" s="2" t="s">
        <v>393</v>
      </c>
      <c r="C3164" s="21" t="s">
        <v>275</v>
      </c>
      <c r="D3164" s="4">
        <v>11</v>
      </c>
      <c r="I3164" s="1">
        <f t="shared" si="447"/>
        <v>0</v>
      </c>
      <c r="J3164" s="1">
        <f t="shared" si="449"/>
        <v>630</v>
      </c>
      <c r="K3164" s="9" t="e">
        <f t="shared" si="448"/>
        <v>#DIV/0!</v>
      </c>
    </row>
    <row r="3165" spans="1:12" x14ac:dyDescent="0.35">
      <c r="A3165" s="2" t="s">
        <v>367</v>
      </c>
      <c r="B3165" s="2" t="s">
        <v>393</v>
      </c>
      <c r="C3165" s="21" t="s">
        <v>275</v>
      </c>
      <c r="D3165" s="4">
        <v>12</v>
      </c>
      <c r="I3165" s="1">
        <f t="shared" si="447"/>
        <v>0</v>
      </c>
      <c r="J3165" s="1">
        <f t="shared" si="449"/>
        <v>630</v>
      </c>
      <c r="K3165" s="9" t="e">
        <f t="shared" si="448"/>
        <v>#DIV/0!</v>
      </c>
    </row>
    <row r="3166" spans="1:12" x14ac:dyDescent="0.35">
      <c r="A3166" s="2" t="s">
        <v>367</v>
      </c>
      <c r="B3166" s="2" t="s">
        <v>393</v>
      </c>
      <c r="C3166" s="21" t="s">
        <v>275</v>
      </c>
      <c r="D3166" s="4">
        <v>13</v>
      </c>
      <c r="I3166" s="1">
        <f t="shared" si="447"/>
        <v>0</v>
      </c>
      <c r="J3166" s="1">
        <f t="shared" si="449"/>
        <v>630</v>
      </c>
      <c r="K3166" s="9" t="e">
        <f t="shared" si="448"/>
        <v>#DIV/0!</v>
      </c>
    </row>
    <row r="3167" spans="1:12" x14ac:dyDescent="0.35">
      <c r="A3167" s="2" t="s">
        <v>367</v>
      </c>
      <c r="B3167" s="2" t="s">
        <v>393</v>
      </c>
      <c r="C3167" s="21" t="s">
        <v>275</v>
      </c>
      <c r="D3167" s="4">
        <v>14</v>
      </c>
      <c r="I3167" s="1">
        <f t="shared" si="447"/>
        <v>0</v>
      </c>
      <c r="J3167" s="1">
        <f t="shared" si="449"/>
        <v>630</v>
      </c>
      <c r="K3167" s="9" t="e">
        <f t="shared" si="448"/>
        <v>#DIV/0!</v>
      </c>
    </row>
    <row r="3168" spans="1:12" x14ac:dyDescent="0.35">
      <c r="A3168" s="2" t="s">
        <v>367</v>
      </c>
      <c r="B3168" s="2" t="s">
        <v>393</v>
      </c>
      <c r="C3168" s="21" t="s">
        <v>275</v>
      </c>
      <c r="D3168" s="4">
        <v>15</v>
      </c>
      <c r="I3168" s="1">
        <f t="shared" si="447"/>
        <v>0</v>
      </c>
      <c r="J3168" s="1">
        <f t="shared" si="449"/>
        <v>630</v>
      </c>
      <c r="K3168" s="9" t="e">
        <f t="shared" si="448"/>
        <v>#DIV/0!</v>
      </c>
    </row>
    <row r="3169" spans="1:12" ht="15" thickBot="1" x14ac:dyDescent="0.4">
      <c r="A3169" s="12" t="s">
        <v>367</v>
      </c>
      <c r="B3169" s="12" t="s">
        <v>393</v>
      </c>
      <c r="C3169" s="22" t="s">
        <v>275</v>
      </c>
      <c r="D3169" s="14">
        <v>16</v>
      </c>
      <c r="E3169" s="13"/>
      <c r="F3169" s="13"/>
      <c r="G3169" s="13"/>
      <c r="H3169" s="13"/>
      <c r="I3169" s="15">
        <f t="shared" si="447"/>
        <v>0</v>
      </c>
      <c r="J3169" s="15">
        <f t="shared" si="449"/>
        <v>630</v>
      </c>
      <c r="K3169" s="16" t="e">
        <f t="shared" si="448"/>
        <v>#DIV/0!</v>
      </c>
      <c r="L3169" s="13"/>
    </row>
    <row r="3170" spans="1:12" x14ac:dyDescent="0.35">
      <c r="A3170" s="2" t="s">
        <v>368</v>
      </c>
      <c r="B3170" s="2" t="s">
        <v>394</v>
      </c>
      <c r="C3170" s="21" t="s">
        <v>275</v>
      </c>
      <c r="D3170" s="4">
        <v>1</v>
      </c>
      <c r="F3170" s="3">
        <v>45967</v>
      </c>
      <c r="G3170">
        <v>5721</v>
      </c>
      <c r="H3170">
        <v>5396</v>
      </c>
      <c r="I3170" s="1">
        <f t="shared" ref="I3170:I3185" si="450">G3170-H3170</f>
        <v>325</v>
      </c>
      <c r="J3170" s="1">
        <f>I3170</f>
        <v>325</v>
      </c>
      <c r="K3170" s="9">
        <f t="shared" si="448"/>
        <v>6.0229799851742032E-2</v>
      </c>
    </row>
    <row r="3171" spans="1:12" x14ac:dyDescent="0.35">
      <c r="A3171" s="2" t="s">
        <v>368</v>
      </c>
      <c r="B3171" s="2" t="s">
        <v>394</v>
      </c>
      <c r="C3171" s="21" t="s">
        <v>275</v>
      </c>
      <c r="D3171" s="4">
        <v>2</v>
      </c>
      <c r="I3171" s="1">
        <f t="shared" si="450"/>
        <v>0</v>
      </c>
      <c r="J3171" s="1">
        <f>J3170+I3171</f>
        <v>325</v>
      </c>
      <c r="K3171" s="9" t="e">
        <f t="shared" ref="K3171:K3186" si="451">I3171/H3171</f>
        <v>#DIV/0!</v>
      </c>
    </row>
    <row r="3172" spans="1:12" x14ac:dyDescent="0.35">
      <c r="A3172" s="2" t="s">
        <v>368</v>
      </c>
      <c r="B3172" s="2" t="s">
        <v>394</v>
      </c>
      <c r="C3172" s="21" t="s">
        <v>275</v>
      </c>
      <c r="D3172" s="4">
        <v>3</v>
      </c>
      <c r="I3172" s="1">
        <f t="shared" si="450"/>
        <v>0</v>
      </c>
      <c r="J3172" s="1">
        <f t="shared" ref="J3172:J3185" si="452">J3171+I3172</f>
        <v>325</v>
      </c>
      <c r="K3172" s="9" t="e">
        <f t="shared" si="451"/>
        <v>#DIV/0!</v>
      </c>
    </row>
    <row r="3173" spans="1:12" x14ac:dyDescent="0.35">
      <c r="A3173" s="2" t="s">
        <v>368</v>
      </c>
      <c r="B3173" s="2" t="s">
        <v>394</v>
      </c>
      <c r="C3173" s="21" t="s">
        <v>275</v>
      </c>
      <c r="D3173" s="4">
        <v>4</v>
      </c>
      <c r="I3173" s="1">
        <f t="shared" si="450"/>
        <v>0</v>
      </c>
      <c r="J3173" s="1">
        <f t="shared" si="452"/>
        <v>325</v>
      </c>
      <c r="K3173" s="9" t="e">
        <f t="shared" si="451"/>
        <v>#DIV/0!</v>
      </c>
    </row>
    <row r="3174" spans="1:12" x14ac:dyDescent="0.35">
      <c r="A3174" s="2" t="s">
        <v>368</v>
      </c>
      <c r="B3174" s="2" t="s">
        <v>394</v>
      </c>
      <c r="C3174" s="21" t="s">
        <v>275</v>
      </c>
      <c r="D3174" s="4">
        <v>5</v>
      </c>
      <c r="I3174" s="1">
        <f t="shared" si="450"/>
        <v>0</v>
      </c>
      <c r="J3174" s="1">
        <f t="shared" si="452"/>
        <v>325</v>
      </c>
      <c r="K3174" s="9" t="e">
        <f t="shared" si="451"/>
        <v>#DIV/0!</v>
      </c>
    </row>
    <row r="3175" spans="1:12" x14ac:dyDescent="0.35">
      <c r="A3175" s="2" t="s">
        <v>368</v>
      </c>
      <c r="B3175" s="2" t="s">
        <v>394</v>
      </c>
      <c r="C3175" s="21" t="s">
        <v>275</v>
      </c>
      <c r="D3175" s="4">
        <v>6</v>
      </c>
      <c r="I3175" s="1">
        <f t="shared" si="450"/>
        <v>0</v>
      </c>
      <c r="J3175" s="1">
        <f t="shared" si="452"/>
        <v>325</v>
      </c>
      <c r="K3175" s="9" t="e">
        <f t="shared" si="451"/>
        <v>#DIV/0!</v>
      </c>
    </row>
    <row r="3176" spans="1:12" x14ac:dyDescent="0.35">
      <c r="A3176" s="2" t="s">
        <v>368</v>
      </c>
      <c r="B3176" s="2" t="s">
        <v>394</v>
      </c>
      <c r="C3176" s="21" t="s">
        <v>275</v>
      </c>
      <c r="D3176" s="4">
        <v>7</v>
      </c>
      <c r="I3176" s="1">
        <f t="shared" si="450"/>
        <v>0</v>
      </c>
      <c r="J3176" s="1">
        <f t="shared" si="452"/>
        <v>325</v>
      </c>
      <c r="K3176" s="9" t="e">
        <f t="shared" si="451"/>
        <v>#DIV/0!</v>
      </c>
    </row>
    <row r="3177" spans="1:12" x14ac:dyDescent="0.35">
      <c r="A3177" s="2" t="s">
        <v>368</v>
      </c>
      <c r="B3177" s="2" t="s">
        <v>394</v>
      </c>
      <c r="C3177" s="21" t="s">
        <v>275</v>
      </c>
      <c r="D3177" s="4">
        <v>8</v>
      </c>
      <c r="I3177" s="1">
        <f t="shared" si="450"/>
        <v>0</v>
      </c>
      <c r="J3177" s="1">
        <f t="shared" si="452"/>
        <v>325</v>
      </c>
      <c r="K3177" s="9" t="e">
        <f t="shared" si="451"/>
        <v>#DIV/0!</v>
      </c>
    </row>
    <row r="3178" spans="1:12" x14ac:dyDescent="0.35">
      <c r="A3178" s="2" t="s">
        <v>368</v>
      </c>
      <c r="B3178" s="2" t="s">
        <v>394</v>
      </c>
      <c r="C3178" s="21" t="s">
        <v>275</v>
      </c>
      <c r="D3178" s="4">
        <v>9</v>
      </c>
      <c r="I3178" s="1">
        <f t="shared" si="450"/>
        <v>0</v>
      </c>
      <c r="J3178" s="1">
        <f t="shared" si="452"/>
        <v>325</v>
      </c>
      <c r="K3178" s="9" t="e">
        <f t="shared" si="451"/>
        <v>#DIV/0!</v>
      </c>
    </row>
    <row r="3179" spans="1:12" x14ac:dyDescent="0.35">
      <c r="A3179" s="2" t="s">
        <v>368</v>
      </c>
      <c r="B3179" s="2" t="s">
        <v>394</v>
      </c>
      <c r="C3179" s="21" t="s">
        <v>275</v>
      </c>
      <c r="D3179" s="4">
        <v>10</v>
      </c>
      <c r="I3179" s="1">
        <f t="shared" si="450"/>
        <v>0</v>
      </c>
      <c r="J3179" s="1">
        <f t="shared" si="452"/>
        <v>325</v>
      </c>
      <c r="K3179" s="9" t="e">
        <f t="shared" si="451"/>
        <v>#DIV/0!</v>
      </c>
    </row>
    <row r="3180" spans="1:12" x14ac:dyDescent="0.35">
      <c r="A3180" s="2" t="s">
        <v>368</v>
      </c>
      <c r="B3180" s="2" t="s">
        <v>394</v>
      </c>
      <c r="C3180" s="21" t="s">
        <v>275</v>
      </c>
      <c r="D3180" s="4">
        <v>11</v>
      </c>
      <c r="I3180" s="1">
        <f t="shared" si="450"/>
        <v>0</v>
      </c>
      <c r="J3180" s="1">
        <f t="shared" si="452"/>
        <v>325</v>
      </c>
      <c r="K3180" s="9" t="e">
        <f t="shared" si="451"/>
        <v>#DIV/0!</v>
      </c>
    </row>
    <row r="3181" spans="1:12" x14ac:dyDescent="0.35">
      <c r="A3181" s="2" t="s">
        <v>368</v>
      </c>
      <c r="B3181" s="2" t="s">
        <v>394</v>
      </c>
      <c r="C3181" s="21" t="s">
        <v>275</v>
      </c>
      <c r="D3181" s="4">
        <v>12</v>
      </c>
      <c r="I3181" s="1">
        <f t="shared" si="450"/>
        <v>0</v>
      </c>
      <c r="J3181" s="1">
        <f t="shared" si="452"/>
        <v>325</v>
      </c>
      <c r="K3181" s="9" t="e">
        <f t="shared" si="451"/>
        <v>#DIV/0!</v>
      </c>
    </row>
    <row r="3182" spans="1:12" x14ac:dyDescent="0.35">
      <c r="A3182" s="2" t="s">
        <v>368</v>
      </c>
      <c r="B3182" s="2" t="s">
        <v>394</v>
      </c>
      <c r="C3182" s="21" t="s">
        <v>275</v>
      </c>
      <c r="D3182" s="4">
        <v>13</v>
      </c>
      <c r="I3182" s="1">
        <f t="shared" si="450"/>
        <v>0</v>
      </c>
      <c r="J3182" s="1">
        <f t="shared" si="452"/>
        <v>325</v>
      </c>
      <c r="K3182" s="9" t="e">
        <f t="shared" si="451"/>
        <v>#DIV/0!</v>
      </c>
    </row>
    <row r="3183" spans="1:12" x14ac:dyDescent="0.35">
      <c r="A3183" s="2" t="s">
        <v>368</v>
      </c>
      <c r="B3183" s="2" t="s">
        <v>394</v>
      </c>
      <c r="C3183" s="21" t="s">
        <v>275</v>
      </c>
      <c r="D3183" s="4">
        <v>14</v>
      </c>
      <c r="I3183" s="1">
        <f t="shared" si="450"/>
        <v>0</v>
      </c>
      <c r="J3183" s="1">
        <f t="shared" si="452"/>
        <v>325</v>
      </c>
      <c r="K3183" s="9" t="e">
        <f t="shared" si="451"/>
        <v>#DIV/0!</v>
      </c>
    </row>
    <row r="3184" spans="1:12" x14ac:dyDescent="0.35">
      <c r="A3184" s="2" t="s">
        <v>368</v>
      </c>
      <c r="B3184" s="2" t="s">
        <v>394</v>
      </c>
      <c r="C3184" s="21" t="s">
        <v>275</v>
      </c>
      <c r="D3184" s="4">
        <v>15</v>
      </c>
      <c r="I3184" s="1">
        <f t="shared" si="450"/>
        <v>0</v>
      </c>
      <c r="J3184" s="1">
        <f t="shared" si="452"/>
        <v>325</v>
      </c>
      <c r="K3184" s="9" t="e">
        <f t="shared" si="451"/>
        <v>#DIV/0!</v>
      </c>
    </row>
    <row r="3185" spans="1:12" ht="15" thickBot="1" x14ac:dyDescent="0.4">
      <c r="A3185" s="12" t="s">
        <v>368</v>
      </c>
      <c r="B3185" s="12" t="s">
        <v>394</v>
      </c>
      <c r="C3185" s="22" t="s">
        <v>275</v>
      </c>
      <c r="D3185" s="14">
        <v>16</v>
      </c>
      <c r="E3185" s="13"/>
      <c r="F3185" s="13"/>
      <c r="G3185" s="13"/>
      <c r="H3185" s="13"/>
      <c r="I3185" s="15">
        <f t="shared" si="450"/>
        <v>0</v>
      </c>
      <c r="J3185" s="15">
        <f t="shared" si="452"/>
        <v>325</v>
      </c>
      <c r="K3185" s="16" t="e">
        <f t="shared" si="451"/>
        <v>#DIV/0!</v>
      </c>
      <c r="L3185" s="13"/>
    </row>
    <row r="3186" spans="1:12" x14ac:dyDescent="0.35">
      <c r="A3186" s="2" t="s">
        <v>369</v>
      </c>
      <c r="B3186" s="2" t="s">
        <v>395</v>
      </c>
      <c r="C3186" s="21" t="s">
        <v>275</v>
      </c>
      <c r="D3186" s="4">
        <v>1</v>
      </c>
      <c r="F3186" s="3">
        <v>45967</v>
      </c>
      <c r="G3186">
        <v>4710</v>
      </c>
      <c r="H3186">
        <v>4485</v>
      </c>
      <c r="I3186" s="1">
        <f t="shared" ref="I3186:I3201" si="453">G3186-H3186</f>
        <v>225</v>
      </c>
      <c r="J3186" s="1">
        <f>I3186</f>
        <v>225</v>
      </c>
      <c r="K3186" s="9">
        <f t="shared" si="451"/>
        <v>5.016722408026756E-2</v>
      </c>
    </row>
    <row r="3187" spans="1:12" x14ac:dyDescent="0.35">
      <c r="A3187" s="2" t="s">
        <v>369</v>
      </c>
      <c r="B3187" s="2" t="s">
        <v>395</v>
      </c>
      <c r="C3187" s="21" t="s">
        <v>275</v>
      </c>
      <c r="D3187" s="4">
        <v>2</v>
      </c>
      <c r="I3187" s="1">
        <f t="shared" si="453"/>
        <v>0</v>
      </c>
      <c r="J3187" s="1">
        <f>J3186+I3187</f>
        <v>225</v>
      </c>
      <c r="K3187" s="9" t="e">
        <f t="shared" ref="K3187:K3202" si="454">I3187/H3187</f>
        <v>#DIV/0!</v>
      </c>
    </row>
    <row r="3188" spans="1:12" x14ac:dyDescent="0.35">
      <c r="A3188" s="2" t="s">
        <v>369</v>
      </c>
      <c r="B3188" s="2" t="s">
        <v>395</v>
      </c>
      <c r="C3188" s="21" t="s">
        <v>275</v>
      </c>
      <c r="D3188" s="4">
        <v>3</v>
      </c>
      <c r="I3188" s="1">
        <f t="shared" si="453"/>
        <v>0</v>
      </c>
      <c r="J3188" s="1">
        <f t="shared" ref="J3188:J3201" si="455">J3187+I3188</f>
        <v>225</v>
      </c>
      <c r="K3188" s="9" t="e">
        <f t="shared" si="454"/>
        <v>#DIV/0!</v>
      </c>
    </row>
    <row r="3189" spans="1:12" x14ac:dyDescent="0.35">
      <c r="A3189" s="2" t="s">
        <v>369</v>
      </c>
      <c r="B3189" s="2" t="s">
        <v>395</v>
      </c>
      <c r="C3189" s="21" t="s">
        <v>275</v>
      </c>
      <c r="D3189" s="4">
        <v>4</v>
      </c>
      <c r="I3189" s="1">
        <f t="shared" si="453"/>
        <v>0</v>
      </c>
      <c r="J3189" s="1">
        <f t="shared" si="455"/>
        <v>225</v>
      </c>
      <c r="K3189" s="9" t="e">
        <f t="shared" si="454"/>
        <v>#DIV/0!</v>
      </c>
    </row>
    <row r="3190" spans="1:12" x14ac:dyDescent="0.35">
      <c r="A3190" s="2" t="s">
        <v>369</v>
      </c>
      <c r="B3190" s="2" t="s">
        <v>395</v>
      </c>
      <c r="C3190" s="21" t="s">
        <v>275</v>
      </c>
      <c r="D3190" s="4">
        <v>5</v>
      </c>
      <c r="I3190" s="1">
        <f t="shared" si="453"/>
        <v>0</v>
      </c>
      <c r="J3190" s="1">
        <f t="shared" si="455"/>
        <v>225</v>
      </c>
      <c r="K3190" s="9" t="e">
        <f t="shared" si="454"/>
        <v>#DIV/0!</v>
      </c>
    </row>
    <row r="3191" spans="1:12" x14ac:dyDescent="0.35">
      <c r="A3191" s="2" t="s">
        <v>369</v>
      </c>
      <c r="B3191" s="2" t="s">
        <v>395</v>
      </c>
      <c r="C3191" s="21" t="s">
        <v>275</v>
      </c>
      <c r="D3191" s="4">
        <v>6</v>
      </c>
      <c r="I3191" s="1">
        <f t="shared" si="453"/>
        <v>0</v>
      </c>
      <c r="J3191" s="1">
        <f t="shared" si="455"/>
        <v>225</v>
      </c>
      <c r="K3191" s="9" t="e">
        <f t="shared" si="454"/>
        <v>#DIV/0!</v>
      </c>
    </row>
    <row r="3192" spans="1:12" x14ac:dyDescent="0.35">
      <c r="A3192" s="2" t="s">
        <v>369</v>
      </c>
      <c r="B3192" s="2" t="s">
        <v>395</v>
      </c>
      <c r="C3192" s="21" t="s">
        <v>275</v>
      </c>
      <c r="D3192" s="4">
        <v>7</v>
      </c>
      <c r="I3192" s="1">
        <f t="shared" si="453"/>
        <v>0</v>
      </c>
      <c r="J3192" s="1">
        <f t="shared" si="455"/>
        <v>225</v>
      </c>
      <c r="K3192" s="9" t="e">
        <f t="shared" si="454"/>
        <v>#DIV/0!</v>
      </c>
    </row>
    <row r="3193" spans="1:12" x14ac:dyDescent="0.35">
      <c r="A3193" s="2" t="s">
        <v>369</v>
      </c>
      <c r="B3193" s="2" t="s">
        <v>395</v>
      </c>
      <c r="C3193" s="21" t="s">
        <v>275</v>
      </c>
      <c r="D3193" s="4">
        <v>8</v>
      </c>
      <c r="I3193" s="1">
        <f t="shared" si="453"/>
        <v>0</v>
      </c>
      <c r="J3193" s="1">
        <f t="shared" si="455"/>
        <v>225</v>
      </c>
      <c r="K3193" s="9" t="e">
        <f t="shared" si="454"/>
        <v>#DIV/0!</v>
      </c>
    </row>
    <row r="3194" spans="1:12" x14ac:dyDescent="0.35">
      <c r="A3194" s="2" t="s">
        <v>369</v>
      </c>
      <c r="B3194" s="2" t="s">
        <v>395</v>
      </c>
      <c r="C3194" s="21" t="s">
        <v>275</v>
      </c>
      <c r="D3194" s="4">
        <v>9</v>
      </c>
      <c r="I3194" s="1">
        <f t="shared" si="453"/>
        <v>0</v>
      </c>
      <c r="J3194" s="1">
        <f t="shared" si="455"/>
        <v>225</v>
      </c>
      <c r="K3194" s="9" t="e">
        <f t="shared" si="454"/>
        <v>#DIV/0!</v>
      </c>
    </row>
    <row r="3195" spans="1:12" x14ac:dyDescent="0.35">
      <c r="A3195" s="2" t="s">
        <v>369</v>
      </c>
      <c r="B3195" s="2" t="s">
        <v>395</v>
      </c>
      <c r="C3195" s="21" t="s">
        <v>275</v>
      </c>
      <c r="D3195" s="4">
        <v>10</v>
      </c>
      <c r="I3195" s="1">
        <f t="shared" si="453"/>
        <v>0</v>
      </c>
      <c r="J3195" s="1">
        <f t="shared" si="455"/>
        <v>225</v>
      </c>
      <c r="K3195" s="9" t="e">
        <f t="shared" si="454"/>
        <v>#DIV/0!</v>
      </c>
    </row>
    <row r="3196" spans="1:12" x14ac:dyDescent="0.35">
      <c r="A3196" s="2" t="s">
        <v>369</v>
      </c>
      <c r="B3196" s="2" t="s">
        <v>395</v>
      </c>
      <c r="C3196" s="21" t="s">
        <v>275</v>
      </c>
      <c r="D3196" s="4">
        <v>11</v>
      </c>
      <c r="I3196" s="1">
        <f t="shared" si="453"/>
        <v>0</v>
      </c>
      <c r="J3196" s="1">
        <f t="shared" si="455"/>
        <v>225</v>
      </c>
      <c r="K3196" s="9" t="e">
        <f t="shared" si="454"/>
        <v>#DIV/0!</v>
      </c>
    </row>
    <row r="3197" spans="1:12" x14ac:dyDescent="0.35">
      <c r="A3197" s="2" t="s">
        <v>369</v>
      </c>
      <c r="B3197" s="2" t="s">
        <v>395</v>
      </c>
      <c r="C3197" s="21" t="s">
        <v>275</v>
      </c>
      <c r="D3197" s="4">
        <v>12</v>
      </c>
      <c r="I3197" s="1">
        <f t="shared" si="453"/>
        <v>0</v>
      </c>
      <c r="J3197" s="1">
        <f t="shared" si="455"/>
        <v>225</v>
      </c>
      <c r="K3197" s="9" t="e">
        <f t="shared" si="454"/>
        <v>#DIV/0!</v>
      </c>
    </row>
    <row r="3198" spans="1:12" x14ac:dyDescent="0.35">
      <c r="A3198" s="2" t="s">
        <v>369</v>
      </c>
      <c r="B3198" s="2" t="s">
        <v>395</v>
      </c>
      <c r="C3198" s="21" t="s">
        <v>275</v>
      </c>
      <c r="D3198" s="4">
        <v>13</v>
      </c>
      <c r="I3198" s="1">
        <f t="shared" si="453"/>
        <v>0</v>
      </c>
      <c r="J3198" s="1">
        <f t="shared" si="455"/>
        <v>225</v>
      </c>
      <c r="K3198" s="9" t="e">
        <f t="shared" si="454"/>
        <v>#DIV/0!</v>
      </c>
    </row>
    <row r="3199" spans="1:12" x14ac:dyDescent="0.35">
      <c r="A3199" s="2" t="s">
        <v>369</v>
      </c>
      <c r="B3199" s="2" t="s">
        <v>395</v>
      </c>
      <c r="C3199" s="21" t="s">
        <v>275</v>
      </c>
      <c r="D3199" s="4">
        <v>14</v>
      </c>
      <c r="I3199" s="1">
        <f t="shared" si="453"/>
        <v>0</v>
      </c>
      <c r="J3199" s="1">
        <f t="shared" si="455"/>
        <v>225</v>
      </c>
      <c r="K3199" s="9" t="e">
        <f t="shared" si="454"/>
        <v>#DIV/0!</v>
      </c>
    </row>
    <row r="3200" spans="1:12" x14ac:dyDescent="0.35">
      <c r="A3200" s="2" t="s">
        <v>369</v>
      </c>
      <c r="B3200" s="2" t="s">
        <v>395</v>
      </c>
      <c r="C3200" s="21" t="s">
        <v>275</v>
      </c>
      <c r="D3200" s="4">
        <v>15</v>
      </c>
      <c r="I3200" s="1">
        <f t="shared" si="453"/>
        <v>0</v>
      </c>
      <c r="J3200" s="1">
        <f t="shared" si="455"/>
        <v>225</v>
      </c>
      <c r="K3200" s="9" t="e">
        <f t="shared" si="454"/>
        <v>#DIV/0!</v>
      </c>
    </row>
    <row r="3201" spans="1:12" ht="15" thickBot="1" x14ac:dyDescent="0.4">
      <c r="A3201" s="12" t="s">
        <v>369</v>
      </c>
      <c r="B3201" s="12" t="s">
        <v>395</v>
      </c>
      <c r="C3201" s="22" t="s">
        <v>275</v>
      </c>
      <c r="D3201" s="14">
        <v>16</v>
      </c>
      <c r="E3201" s="13"/>
      <c r="F3201" s="13"/>
      <c r="G3201" s="13"/>
      <c r="H3201" s="13"/>
      <c r="I3201" s="15">
        <f t="shared" si="453"/>
        <v>0</v>
      </c>
      <c r="J3201" s="15">
        <f t="shared" si="455"/>
        <v>225</v>
      </c>
      <c r="K3201" s="16" t="e">
        <f t="shared" si="454"/>
        <v>#DIV/0!</v>
      </c>
      <c r="L3201" s="13"/>
    </row>
    <row r="3202" spans="1:12" x14ac:dyDescent="0.35">
      <c r="A3202" s="31" t="s">
        <v>406</v>
      </c>
      <c r="B3202" s="33" t="s">
        <v>414</v>
      </c>
      <c r="C3202" s="21" t="s">
        <v>275</v>
      </c>
      <c r="D3202" s="4">
        <v>1</v>
      </c>
      <c r="E3202" s="32"/>
      <c r="F3202" s="3"/>
      <c r="G3202" s="32"/>
      <c r="H3202" s="32"/>
      <c r="I3202" s="34">
        <f t="shared" ref="I3202:I3217" si="456">G3202-H3202</f>
        <v>0</v>
      </c>
      <c r="J3202" s="34">
        <f>I3202</f>
        <v>0</v>
      </c>
      <c r="K3202" s="9" t="e">
        <f t="shared" si="454"/>
        <v>#DIV/0!</v>
      </c>
    </row>
    <row r="3203" spans="1:12" s="32" customFormat="1" x14ac:dyDescent="0.35">
      <c r="A3203" s="33" t="s">
        <v>406</v>
      </c>
      <c r="B3203" s="33" t="s">
        <v>414</v>
      </c>
      <c r="C3203" s="21" t="s">
        <v>275</v>
      </c>
      <c r="D3203" s="4">
        <v>2</v>
      </c>
      <c r="I3203" s="34">
        <f t="shared" si="456"/>
        <v>0</v>
      </c>
      <c r="J3203" s="34">
        <f>J3202+I3203</f>
        <v>0</v>
      </c>
      <c r="K3203" s="9" t="e">
        <f t="shared" ref="K3203:K3218" si="457">I3203/H3203</f>
        <v>#DIV/0!</v>
      </c>
    </row>
    <row r="3204" spans="1:12" s="32" customFormat="1" x14ac:dyDescent="0.35">
      <c r="A3204" s="33" t="s">
        <v>406</v>
      </c>
      <c r="B3204" s="33" t="s">
        <v>414</v>
      </c>
      <c r="C3204" s="21" t="s">
        <v>275</v>
      </c>
      <c r="D3204" s="4">
        <v>3</v>
      </c>
      <c r="I3204" s="34">
        <f t="shared" si="456"/>
        <v>0</v>
      </c>
      <c r="J3204" s="34">
        <f t="shared" ref="J3204:J3217" si="458">J3203+I3204</f>
        <v>0</v>
      </c>
      <c r="K3204" s="9" t="e">
        <f t="shared" si="457"/>
        <v>#DIV/0!</v>
      </c>
    </row>
    <row r="3205" spans="1:12" s="32" customFormat="1" x14ac:dyDescent="0.35">
      <c r="A3205" s="33" t="s">
        <v>406</v>
      </c>
      <c r="B3205" s="33" t="s">
        <v>414</v>
      </c>
      <c r="C3205" s="21" t="s">
        <v>275</v>
      </c>
      <c r="D3205" s="4">
        <v>4</v>
      </c>
      <c r="I3205" s="34">
        <f t="shared" si="456"/>
        <v>0</v>
      </c>
      <c r="J3205" s="34">
        <f t="shared" si="458"/>
        <v>0</v>
      </c>
      <c r="K3205" s="9" t="e">
        <f t="shared" si="457"/>
        <v>#DIV/0!</v>
      </c>
    </row>
    <row r="3206" spans="1:12" s="32" customFormat="1" x14ac:dyDescent="0.35">
      <c r="A3206" s="33" t="s">
        <v>406</v>
      </c>
      <c r="B3206" s="33" t="s">
        <v>414</v>
      </c>
      <c r="C3206" s="21" t="s">
        <v>275</v>
      </c>
      <c r="D3206" s="4">
        <v>5</v>
      </c>
      <c r="I3206" s="34">
        <f t="shared" si="456"/>
        <v>0</v>
      </c>
      <c r="J3206" s="34">
        <f t="shared" si="458"/>
        <v>0</v>
      </c>
      <c r="K3206" s="9" t="e">
        <f t="shared" si="457"/>
        <v>#DIV/0!</v>
      </c>
    </row>
    <row r="3207" spans="1:12" s="32" customFormat="1" x14ac:dyDescent="0.35">
      <c r="A3207" s="33" t="s">
        <v>406</v>
      </c>
      <c r="B3207" s="33" t="s">
        <v>414</v>
      </c>
      <c r="C3207" s="21" t="s">
        <v>275</v>
      </c>
      <c r="D3207" s="4">
        <v>6</v>
      </c>
      <c r="I3207" s="34">
        <f t="shared" si="456"/>
        <v>0</v>
      </c>
      <c r="J3207" s="34">
        <f t="shared" si="458"/>
        <v>0</v>
      </c>
      <c r="K3207" s="9" t="e">
        <f t="shared" si="457"/>
        <v>#DIV/0!</v>
      </c>
    </row>
    <row r="3208" spans="1:12" s="32" customFormat="1" x14ac:dyDescent="0.35">
      <c r="A3208" s="33" t="s">
        <v>406</v>
      </c>
      <c r="B3208" s="33" t="s">
        <v>414</v>
      </c>
      <c r="C3208" s="21" t="s">
        <v>275</v>
      </c>
      <c r="D3208" s="4">
        <v>7</v>
      </c>
      <c r="I3208" s="34">
        <f t="shared" si="456"/>
        <v>0</v>
      </c>
      <c r="J3208" s="34">
        <f t="shared" si="458"/>
        <v>0</v>
      </c>
      <c r="K3208" s="9" t="e">
        <f t="shared" si="457"/>
        <v>#DIV/0!</v>
      </c>
    </row>
    <row r="3209" spans="1:12" s="32" customFormat="1" x14ac:dyDescent="0.35">
      <c r="A3209" s="33" t="s">
        <v>406</v>
      </c>
      <c r="B3209" s="33" t="s">
        <v>414</v>
      </c>
      <c r="C3209" s="21" t="s">
        <v>275</v>
      </c>
      <c r="D3209" s="4">
        <v>8</v>
      </c>
      <c r="I3209" s="34">
        <f t="shared" si="456"/>
        <v>0</v>
      </c>
      <c r="J3209" s="34">
        <f t="shared" si="458"/>
        <v>0</v>
      </c>
      <c r="K3209" s="9" t="e">
        <f t="shared" si="457"/>
        <v>#DIV/0!</v>
      </c>
    </row>
    <row r="3210" spans="1:12" s="32" customFormat="1" x14ac:dyDescent="0.35">
      <c r="A3210" s="33" t="s">
        <v>406</v>
      </c>
      <c r="B3210" s="33" t="s">
        <v>414</v>
      </c>
      <c r="C3210" s="21" t="s">
        <v>275</v>
      </c>
      <c r="D3210" s="4">
        <v>9</v>
      </c>
      <c r="I3210" s="34">
        <f t="shared" si="456"/>
        <v>0</v>
      </c>
      <c r="J3210" s="34">
        <f t="shared" si="458"/>
        <v>0</v>
      </c>
      <c r="K3210" s="9" t="e">
        <f t="shared" si="457"/>
        <v>#DIV/0!</v>
      </c>
    </row>
    <row r="3211" spans="1:12" s="32" customFormat="1" x14ac:dyDescent="0.35">
      <c r="A3211" s="33" t="s">
        <v>406</v>
      </c>
      <c r="B3211" s="33" t="s">
        <v>414</v>
      </c>
      <c r="C3211" s="21" t="s">
        <v>275</v>
      </c>
      <c r="D3211" s="4">
        <v>10</v>
      </c>
      <c r="I3211" s="34">
        <f t="shared" si="456"/>
        <v>0</v>
      </c>
      <c r="J3211" s="34">
        <f t="shared" si="458"/>
        <v>0</v>
      </c>
      <c r="K3211" s="9" t="e">
        <f t="shared" si="457"/>
        <v>#DIV/0!</v>
      </c>
    </row>
    <row r="3212" spans="1:12" s="32" customFormat="1" x14ac:dyDescent="0.35">
      <c r="A3212" s="33" t="s">
        <v>406</v>
      </c>
      <c r="B3212" s="33" t="s">
        <v>414</v>
      </c>
      <c r="C3212" s="21" t="s">
        <v>275</v>
      </c>
      <c r="D3212" s="4">
        <v>11</v>
      </c>
      <c r="I3212" s="34">
        <f t="shared" si="456"/>
        <v>0</v>
      </c>
      <c r="J3212" s="34">
        <f t="shared" si="458"/>
        <v>0</v>
      </c>
      <c r="K3212" s="9" t="e">
        <f t="shared" si="457"/>
        <v>#DIV/0!</v>
      </c>
    </row>
    <row r="3213" spans="1:12" s="32" customFormat="1" x14ac:dyDescent="0.35">
      <c r="A3213" s="33" t="s">
        <v>406</v>
      </c>
      <c r="B3213" s="33" t="s">
        <v>414</v>
      </c>
      <c r="C3213" s="21" t="s">
        <v>275</v>
      </c>
      <c r="D3213" s="4">
        <v>12</v>
      </c>
      <c r="I3213" s="34">
        <f t="shared" si="456"/>
        <v>0</v>
      </c>
      <c r="J3213" s="34">
        <f t="shared" si="458"/>
        <v>0</v>
      </c>
      <c r="K3213" s="9" t="e">
        <f t="shared" si="457"/>
        <v>#DIV/0!</v>
      </c>
    </row>
    <row r="3214" spans="1:12" s="32" customFormat="1" x14ac:dyDescent="0.35">
      <c r="A3214" s="33" t="s">
        <v>406</v>
      </c>
      <c r="B3214" s="33" t="s">
        <v>414</v>
      </c>
      <c r="C3214" s="21" t="s">
        <v>275</v>
      </c>
      <c r="D3214" s="4">
        <v>13</v>
      </c>
      <c r="I3214" s="34">
        <f t="shared" si="456"/>
        <v>0</v>
      </c>
      <c r="J3214" s="34">
        <f t="shared" si="458"/>
        <v>0</v>
      </c>
      <c r="K3214" s="9" t="e">
        <f t="shared" si="457"/>
        <v>#DIV/0!</v>
      </c>
    </row>
    <row r="3215" spans="1:12" s="32" customFormat="1" x14ac:dyDescent="0.35">
      <c r="A3215" s="33" t="s">
        <v>406</v>
      </c>
      <c r="B3215" s="33" t="s">
        <v>414</v>
      </c>
      <c r="C3215" s="21" t="s">
        <v>275</v>
      </c>
      <c r="D3215" s="4">
        <v>14</v>
      </c>
      <c r="I3215" s="34">
        <f t="shared" si="456"/>
        <v>0</v>
      </c>
      <c r="J3215" s="34">
        <f t="shared" si="458"/>
        <v>0</v>
      </c>
      <c r="K3215" s="9" t="e">
        <f t="shared" si="457"/>
        <v>#DIV/0!</v>
      </c>
    </row>
    <row r="3216" spans="1:12" s="32" customFormat="1" x14ac:dyDescent="0.35">
      <c r="A3216" s="33" t="s">
        <v>406</v>
      </c>
      <c r="B3216" s="33" t="s">
        <v>414</v>
      </c>
      <c r="C3216" s="21" t="s">
        <v>275</v>
      </c>
      <c r="D3216" s="4">
        <v>15</v>
      </c>
      <c r="I3216" s="34">
        <f t="shared" si="456"/>
        <v>0</v>
      </c>
      <c r="J3216" s="34">
        <f t="shared" si="458"/>
        <v>0</v>
      </c>
      <c r="K3216" s="9" t="e">
        <f t="shared" si="457"/>
        <v>#DIV/0!</v>
      </c>
    </row>
    <row r="3217" spans="1:12" s="32" customFormat="1" ht="15" thickBot="1" x14ac:dyDescent="0.4">
      <c r="A3217" s="12" t="s">
        <v>406</v>
      </c>
      <c r="B3217" s="12" t="s">
        <v>414</v>
      </c>
      <c r="C3217" s="22" t="s">
        <v>275</v>
      </c>
      <c r="D3217" s="14">
        <v>16</v>
      </c>
      <c r="E3217" s="13"/>
      <c r="F3217" s="13"/>
      <c r="G3217" s="13"/>
      <c r="H3217" s="13"/>
      <c r="I3217" s="15">
        <f t="shared" si="456"/>
        <v>0</v>
      </c>
      <c r="J3217" s="15">
        <f t="shared" si="458"/>
        <v>0</v>
      </c>
      <c r="K3217" s="16" t="e">
        <f t="shared" si="457"/>
        <v>#DIV/0!</v>
      </c>
      <c r="L3217" s="13"/>
    </row>
    <row r="3218" spans="1:12" x14ac:dyDescent="0.35">
      <c r="A3218" s="31" t="s">
        <v>407</v>
      </c>
      <c r="B3218" s="33" t="s">
        <v>11</v>
      </c>
      <c r="C3218" s="21" t="s">
        <v>275</v>
      </c>
      <c r="D3218" s="4">
        <v>1</v>
      </c>
      <c r="E3218" s="32"/>
      <c r="F3218" s="3"/>
      <c r="G3218" s="32"/>
      <c r="H3218" s="32"/>
      <c r="I3218" s="34">
        <f t="shared" ref="I3218:I3233" si="459">G3218-H3218</f>
        <v>0</v>
      </c>
      <c r="J3218" s="34">
        <f>I3218</f>
        <v>0</v>
      </c>
      <c r="K3218" s="9" t="e">
        <f t="shared" si="457"/>
        <v>#DIV/0!</v>
      </c>
    </row>
    <row r="3219" spans="1:12" s="32" customFormat="1" x14ac:dyDescent="0.35">
      <c r="A3219" s="33" t="s">
        <v>407</v>
      </c>
      <c r="B3219" s="33" t="s">
        <v>11</v>
      </c>
      <c r="C3219" s="21" t="s">
        <v>275</v>
      </c>
      <c r="D3219" s="4">
        <v>2</v>
      </c>
      <c r="I3219" s="34">
        <f t="shared" si="459"/>
        <v>0</v>
      </c>
      <c r="J3219" s="34">
        <f>J3218+I3219</f>
        <v>0</v>
      </c>
      <c r="K3219" s="9" t="e">
        <f t="shared" ref="K3219:K3234" si="460">I3219/H3219</f>
        <v>#DIV/0!</v>
      </c>
    </row>
    <row r="3220" spans="1:12" s="32" customFormat="1" x14ac:dyDescent="0.35">
      <c r="A3220" s="33" t="s">
        <v>407</v>
      </c>
      <c r="B3220" s="33" t="s">
        <v>11</v>
      </c>
      <c r="C3220" s="21" t="s">
        <v>275</v>
      </c>
      <c r="D3220" s="4">
        <v>3</v>
      </c>
      <c r="I3220" s="34">
        <f t="shared" si="459"/>
        <v>0</v>
      </c>
      <c r="J3220" s="34">
        <f t="shared" ref="J3220:J3233" si="461">J3219+I3220</f>
        <v>0</v>
      </c>
      <c r="K3220" s="9" t="e">
        <f t="shared" si="460"/>
        <v>#DIV/0!</v>
      </c>
    </row>
    <row r="3221" spans="1:12" s="32" customFormat="1" x14ac:dyDescent="0.35">
      <c r="A3221" s="33" t="s">
        <v>407</v>
      </c>
      <c r="B3221" s="33" t="s">
        <v>11</v>
      </c>
      <c r="C3221" s="21" t="s">
        <v>275</v>
      </c>
      <c r="D3221" s="4">
        <v>4</v>
      </c>
      <c r="I3221" s="34">
        <f t="shared" si="459"/>
        <v>0</v>
      </c>
      <c r="J3221" s="34">
        <f t="shared" si="461"/>
        <v>0</v>
      </c>
      <c r="K3221" s="9" t="e">
        <f t="shared" si="460"/>
        <v>#DIV/0!</v>
      </c>
    </row>
    <row r="3222" spans="1:12" s="32" customFormat="1" x14ac:dyDescent="0.35">
      <c r="A3222" s="33" t="s">
        <v>407</v>
      </c>
      <c r="B3222" s="33" t="s">
        <v>11</v>
      </c>
      <c r="C3222" s="21" t="s">
        <v>275</v>
      </c>
      <c r="D3222" s="4">
        <v>5</v>
      </c>
      <c r="I3222" s="34">
        <f t="shared" si="459"/>
        <v>0</v>
      </c>
      <c r="J3222" s="34">
        <f t="shared" si="461"/>
        <v>0</v>
      </c>
      <c r="K3222" s="9" t="e">
        <f t="shared" si="460"/>
        <v>#DIV/0!</v>
      </c>
    </row>
    <row r="3223" spans="1:12" s="32" customFormat="1" x14ac:dyDescent="0.35">
      <c r="A3223" s="33" t="s">
        <v>407</v>
      </c>
      <c r="B3223" s="33" t="s">
        <v>11</v>
      </c>
      <c r="C3223" s="21" t="s">
        <v>275</v>
      </c>
      <c r="D3223" s="4">
        <v>6</v>
      </c>
      <c r="I3223" s="34">
        <f t="shared" si="459"/>
        <v>0</v>
      </c>
      <c r="J3223" s="34">
        <f t="shared" si="461"/>
        <v>0</v>
      </c>
      <c r="K3223" s="9" t="e">
        <f t="shared" si="460"/>
        <v>#DIV/0!</v>
      </c>
    </row>
    <row r="3224" spans="1:12" s="32" customFormat="1" x14ac:dyDescent="0.35">
      <c r="A3224" s="33" t="s">
        <v>407</v>
      </c>
      <c r="B3224" s="33" t="s">
        <v>11</v>
      </c>
      <c r="C3224" s="21" t="s">
        <v>275</v>
      </c>
      <c r="D3224" s="4">
        <v>7</v>
      </c>
      <c r="I3224" s="34">
        <f t="shared" si="459"/>
        <v>0</v>
      </c>
      <c r="J3224" s="34">
        <f t="shared" si="461"/>
        <v>0</v>
      </c>
      <c r="K3224" s="9" t="e">
        <f t="shared" si="460"/>
        <v>#DIV/0!</v>
      </c>
    </row>
    <row r="3225" spans="1:12" s="32" customFormat="1" x14ac:dyDescent="0.35">
      <c r="A3225" s="33" t="s">
        <v>407</v>
      </c>
      <c r="B3225" s="33" t="s">
        <v>11</v>
      </c>
      <c r="C3225" s="21" t="s">
        <v>275</v>
      </c>
      <c r="D3225" s="4">
        <v>8</v>
      </c>
      <c r="I3225" s="34">
        <f t="shared" si="459"/>
        <v>0</v>
      </c>
      <c r="J3225" s="34">
        <f t="shared" si="461"/>
        <v>0</v>
      </c>
      <c r="K3225" s="9" t="e">
        <f t="shared" si="460"/>
        <v>#DIV/0!</v>
      </c>
    </row>
    <row r="3226" spans="1:12" s="32" customFormat="1" x14ac:dyDescent="0.35">
      <c r="A3226" s="33" t="s">
        <v>407</v>
      </c>
      <c r="B3226" s="33" t="s">
        <v>11</v>
      </c>
      <c r="C3226" s="21" t="s">
        <v>275</v>
      </c>
      <c r="D3226" s="4">
        <v>9</v>
      </c>
      <c r="I3226" s="34">
        <f t="shared" si="459"/>
        <v>0</v>
      </c>
      <c r="J3226" s="34">
        <f t="shared" si="461"/>
        <v>0</v>
      </c>
      <c r="K3226" s="9" t="e">
        <f t="shared" si="460"/>
        <v>#DIV/0!</v>
      </c>
    </row>
    <row r="3227" spans="1:12" s="32" customFormat="1" x14ac:dyDescent="0.35">
      <c r="A3227" s="33" t="s">
        <v>407</v>
      </c>
      <c r="B3227" s="33" t="s">
        <v>11</v>
      </c>
      <c r="C3227" s="21" t="s">
        <v>275</v>
      </c>
      <c r="D3227" s="4">
        <v>10</v>
      </c>
      <c r="I3227" s="34">
        <f t="shared" si="459"/>
        <v>0</v>
      </c>
      <c r="J3227" s="34">
        <f t="shared" si="461"/>
        <v>0</v>
      </c>
      <c r="K3227" s="9" t="e">
        <f t="shared" si="460"/>
        <v>#DIV/0!</v>
      </c>
    </row>
    <row r="3228" spans="1:12" s="32" customFormat="1" x14ac:dyDescent="0.35">
      <c r="A3228" s="33" t="s">
        <v>407</v>
      </c>
      <c r="B3228" s="33" t="s">
        <v>11</v>
      </c>
      <c r="C3228" s="21" t="s">
        <v>275</v>
      </c>
      <c r="D3228" s="4">
        <v>11</v>
      </c>
      <c r="I3228" s="34">
        <f t="shared" si="459"/>
        <v>0</v>
      </c>
      <c r="J3228" s="34">
        <f t="shared" si="461"/>
        <v>0</v>
      </c>
      <c r="K3228" s="9" t="e">
        <f t="shared" si="460"/>
        <v>#DIV/0!</v>
      </c>
    </row>
    <row r="3229" spans="1:12" s="32" customFormat="1" x14ac:dyDescent="0.35">
      <c r="A3229" s="33" t="s">
        <v>407</v>
      </c>
      <c r="B3229" s="33" t="s">
        <v>11</v>
      </c>
      <c r="C3229" s="21" t="s">
        <v>275</v>
      </c>
      <c r="D3229" s="4">
        <v>12</v>
      </c>
      <c r="I3229" s="34">
        <f t="shared" si="459"/>
        <v>0</v>
      </c>
      <c r="J3229" s="34">
        <f t="shared" si="461"/>
        <v>0</v>
      </c>
      <c r="K3229" s="9" t="e">
        <f t="shared" si="460"/>
        <v>#DIV/0!</v>
      </c>
    </row>
    <row r="3230" spans="1:12" s="32" customFormat="1" x14ac:dyDescent="0.35">
      <c r="A3230" s="33" t="s">
        <v>407</v>
      </c>
      <c r="B3230" s="33" t="s">
        <v>11</v>
      </c>
      <c r="C3230" s="21" t="s">
        <v>275</v>
      </c>
      <c r="D3230" s="4">
        <v>13</v>
      </c>
      <c r="I3230" s="34">
        <f t="shared" si="459"/>
        <v>0</v>
      </c>
      <c r="J3230" s="34">
        <f t="shared" si="461"/>
        <v>0</v>
      </c>
      <c r="K3230" s="9" t="e">
        <f t="shared" si="460"/>
        <v>#DIV/0!</v>
      </c>
    </row>
    <row r="3231" spans="1:12" s="32" customFormat="1" x14ac:dyDescent="0.35">
      <c r="A3231" s="33" t="s">
        <v>407</v>
      </c>
      <c r="B3231" s="33" t="s">
        <v>11</v>
      </c>
      <c r="C3231" s="21" t="s">
        <v>275</v>
      </c>
      <c r="D3231" s="4">
        <v>14</v>
      </c>
      <c r="I3231" s="34">
        <f t="shared" si="459"/>
        <v>0</v>
      </c>
      <c r="J3231" s="34">
        <f t="shared" si="461"/>
        <v>0</v>
      </c>
      <c r="K3231" s="9" t="e">
        <f t="shared" si="460"/>
        <v>#DIV/0!</v>
      </c>
    </row>
    <row r="3232" spans="1:12" s="32" customFormat="1" x14ac:dyDescent="0.35">
      <c r="A3232" s="33" t="s">
        <v>407</v>
      </c>
      <c r="B3232" s="33" t="s">
        <v>11</v>
      </c>
      <c r="C3232" s="21" t="s">
        <v>275</v>
      </c>
      <c r="D3232" s="4">
        <v>15</v>
      </c>
      <c r="I3232" s="34">
        <f t="shared" si="459"/>
        <v>0</v>
      </c>
      <c r="J3232" s="34">
        <f t="shared" si="461"/>
        <v>0</v>
      </c>
      <c r="K3232" s="9" t="e">
        <f t="shared" si="460"/>
        <v>#DIV/0!</v>
      </c>
    </row>
    <row r="3233" spans="1:12" s="32" customFormat="1" ht="15" thickBot="1" x14ac:dyDescent="0.4">
      <c r="A3233" s="12" t="s">
        <v>407</v>
      </c>
      <c r="B3233" s="12" t="s">
        <v>11</v>
      </c>
      <c r="C3233" s="22" t="s">
        <v>275</v>
      </c>
      <c r="D3233" s="14">
        <v>16</v>
      </c>
      <c r="E3233" s="13"/>
      <c r="F3233" s="13"/>
      <c r="G3233" s="13"/>
      <c r="H3233" s="13"/>
      <c r="I3233" s="15">
        <f t="shared" si="459"/>
        <v>0</v>
      </c>
      <c r="J3233" s="15">
        <f t="shared" si="461"/>
        <v>0</v>
      </c>
      <c r="K3233" s="16" t="e">
        <f t="shared" si="460"/>
        <v>#DIV/0!</v>
      </c>
      <c r="L3233" s="13"/>
    </row>
    <row r="3234" spans="1:12" x14ac:dyDescent="0.35">
      <c r="A3234" s="31" t="s">
        <v>408</v>
      </c>
      <c r="B3234" s="33" t="s">
        <v>70</v>
      </c>
      <c r="C3234" s="21" t="s">
        <v>275</v>
      </c>
      <c r="D3234" s="4">
        <v>1</v>
      </c>
      <c r="E3234" s="32"/>
      <c r="F3234" s="3"/>
      <c r="G3234" s="32"/>
      <c r="H3234" s="32"/>
      <c r="I3234" s="34">
        <f t="shared" ref="I3234:I3249" si="462">G3234-H3234</f>
        <v>0</v>
      </c>
      <c r="J3234" s="34">
        <f>I3234</f>
        <v>0</v>
      </c>
      <c r="K3234" s="9" t="e">
        <f t="shared" si="460"/>
        <v>#DIV/0!</v>
      </c>
    </row>
    <row r="3235" spans="1:12" s="32" customFormat="1" x14ac:dyDescent="0.35">
      <c r="A3235" s="33" t="s">
        <v>408</v>
      </c>
      <c r="B3235" s="33" t="s">
        <v>70</v>
      </c>
      <c r="C3235" s="21" t="s">
        <v>275</v>
      </c>
      <c r="D3235" s="4">
        <v>2</v>
      </c>
      <c r="I3235" s="34">
        <f t="shared" si="462"/>
        <v>0</v>
      </c>
      <c r="J3235" s="34">
        <f>J3234+I3235</f>
        <v>0</v>
      </c>
      <c r="K3235" s="9" t="e">
        <f t="shared" ref="K3235:K3250" si="463">I3235/H3235</f>
        <v>#DIV/0!</v>
      </c>
    </row>
    <row r="3236" spans="1:12" s="32" customFormat="1" x14ac:dyDescent="0.35">
      <c r="A3236" s="33" t="s">
        <v>408</v>
      </c>
      <c r="B3236" s="33" t="s">
        <v>70</v>
      </c>
      <c r="C3236" s="21" t="s">
        <v>275</v>
      </c>
      <c r="D3236" s="4">
        <v>3</v>
      </c>
      <c r="I3236" s="34">
        <f t="shared" si="462"/>
        <v>0</v>
      </c>
      <c r="J3236" s="34">
        <f t="shared" ref="J3236:J3249" si="464">J3235+I3236</f>
        <v>0</v>
      </c>
      <c r="K3236" s="9" t="e">
        <f t="shared" si="463"/>
        <v>#DIV/0!</v>
      </c>
    </row>
    <row r="3237" spans="1:12" s="32" customFormat="1" x14ac:dyDescent="0.35">
      <c r="A3237" s="33" t="s">
        <v>408</v>
      </c>
      <c r="B3237" s="33" t="s">
        <v>70</v>
      </c>
      <c r="C3237" s="21" t="s">
        <v>275</v>
      </c>
      <c r="D3237" s="4">
        <v>4</v>
      </c>
      <c r="I3237" s="34">
        <f t="shared" si="462"/>
        <v>0</v>
      </c>
      <c r="J3237" s="34">
        <f t="shared" si="464"/>
        <v>0</v>
      </c>
      <c r="K3237" s="9" t="e">
        <f t="shared" si="463"/>
        <v>#DIV/0!</v>
      </c>
    </row>
    <row r="3238" spans="1:12" s="32" customFormat="1" x14ac:dyDescent="0.35">
      <c r="A3238" s="33" t="s">
        <v>408</v>
      </c>
      <c r="B3238" s="33" t="s">
        <v>70</v>
      </c>
      <c r="C3238" s="21" t="s">
        <v>275</v>
      </c>
      <c r="D3238" s="4">
        <v>5</v>
      </c>
      <c r="I3238" s="34">
        <f t="shared" si="462"/>
        <v>0</v>
      </c>
      <c r="J3238" s="34">
        <f t="shared" si="464"/>
        <v>0</v>
      </c>
      <c r="K3238" s="9" t="e">
        <f t="shared" si="463"/>
        <v>#DIV/0!</v>
      </c>
    </row>
    <row r="3239" spans="1:12" s="32" customFormat="1" x14ac:dyDescent="0.35">
      <c r="A3239" s="33" t="s">
        <v>408</v>
      </c>
      <c r="B3239" s="33" t="s">
        <v>70</v>
      </c>
      <c r="C3239" s="21" t="s">
        <v>275</v>
      </c>
      <c r="D3239" s="4">
        <v>6</v>
      </c>
      <c r="I3239" s="34">
        <f t="shared" si="462"/>
        <v>0</v>
      </c>
      <c r="J3239" s="34">
        <f t="shared" si="464"/>
        <v>0</v>
      </c>
      <c r="K3239" s="9" t="e">
        <f t="shared" si="463"/>
        <v>#DIV/0!</v>
      </c>
    </row>
    <row r="3240" spans="1:12" s="32" customFormat="1" x14ac:dyDescent="0.35">
      <c r="A3240" s="33" t="s">
        <v>408</v>
      </c>
      <c r="B3240" s="33" t="s">
        <v>70</v>
      </c>
      <c r="C3240" s="21" t="s">
        <v>275</v>
      </c>
      <c r="D3240" s="4">
        <v>7</v>
      </c>
      <c r="I3240" s="34">
        <f t="shared" si="462"/>
        <v>0</v>
      </c>
      <c r="J3240" s="34">
        <f t="shared" si="464"/>
        <v>0</v>
      </c>
      <c r="K3240" s="9" t="e">
        <f t="shared" si="463"/>
        <v>#DIV/0!</v>
      </c>
    </row>
    <row r="3241" spans="1:12" s="32" customFormat="1" x14ac:dyDescent="0.35">
      <c r="A3241" s="33" t="s">
        <v>408</v>
      </c>
      <c r="B3241" s="33" t="s">
        <v>70</v>
      </c>
      <c r="C3241" s="21" t="s">
        <v>275</v>
      </c>
      <c r="D3241" s="4">
        <v>8</v>
      </c>
      <c r="I3241" s="34">
        <f t="shared" si="462"/>
        <v>0</v>
      </c>
      <c r="J3241" s="34">
        <f t="shared" si="464"/>
        <v>0</v>
      </c>
      <c r="K3241" s="9" t="e">
        <f t="shared" si="463"/>
        <v>#DIV/0!</v>
      </c>
    </row>
    <row r="3242" spans="1:12" s="32" customFormat="1" x14ac:dyDescent="0.35">
      <c r="A3242" s="33" t="s">
        <v>408</v>
      </c>
      <c r="B3242" s="33" t="s">
        <v>70</v>
      </c>
      <c r="C3242" s="21" t="s">
        <v>275</v>
      </c>
      <c r="D3242" s="4">
        <v>9</v>
      </c>
      <c r="I3242" s="34">
        <f t="shared" si="462"/>
        <v>0</v>
      </c>
      <c r="J3242" s="34">
        <f t="shared" si="464"/>
        <v>0</v>
      </c>
      <c r="K3242" s="9" t="e">
        <f t="shared" si="463"/>
        <v>#DIV/0!</v>
      </c>
    </row>
    <row r="3243" spans="1:12" s="32" customFormat="1" x14ac:dyDescent="0.35">
      <c r="A3243" s="33" t="s">
        <v>408</v>
      </c>
      <c r="B3243" s="33" t="s">
        <v>70</v>
      </c>
      <c r="C3243" s="21" t="s">
        <v>275</v>
      </c>
      <c r="D3243" s="4">
        <v>10</v>
      </c>
      <c r="I3243" s="34">
        <f t="shared" si="462"/>
        <v>0</v>
      </c>
      <c r="J3243" s="34">
        <f t="shared" si="464"/>
        <v>0</v>
      </c>
      <c r="K3243" s="9" t="e">
        <f t="shared" si="463"/>
        <v>#DIV/0!</v>
      </c>
    </row>
    <row r="3244" spans="1:12" s="32" customFormat="1" x14ac:dyDescent="0.35">
      <c r="A3244" s="33" t="s">
        <v>408</v>
      </c>
      <c r="B3244" s="33" t="s">
        <v>70</v>
      </c>
      <c r="C3244" s="21" t="s">
        <v>275</v>
      </c>
      <c r="D3244" s="4">
        <v>11</v>
      </c>
      <c r="I3244" s="34">
        <f t="shared" si="462"/>
        <v>0</v>
      </c>
      <c r="J3244" s="34">
        <f t="shared" si="464"/>
        <v>0</v>
      </c>
      <c r="K3244" s="9" t="e">
        <f t="shared" si="463"/>
        <v>#DIV/0!</v>
      </c>
    </row>
    <row r="3245" spans="1:12" s="32" customFormat="1" x14ac:dyDescent="0.35">
      <c r="A3245" s="33" t="s">
        <v>408</v>
      </c>
      <c r="B3245" s="33" t="s">
        <v>70</v>
      </c>
      <c r="C3245" s="21" t="s">
        <v>275</v>
      </c>
      <c r="D3245" s="4">
        <v>12</v>
      </c>
      <c r="I3245" s="34">
        <f t="shared" si="462"/>
        <v>0</v>
      </c>
      <c r="J3245" s="34">
        <f t="shared" si="464"/>
        <v>0</v>
      </c>
      <c r="K3245" s="9" t="e">
        <f t="shared" si="463"/>
        <v>#DIV/0!</v>
      </c>
    </row>
    <row r="3246" spans="1:12" s="32" customFormat="1" x14ac:dyDescent="0.35">
      <c r="A3246" s="33" t="s">
        <v>408</v>
      </c>
      <c r="B3246" s="33" t="s">
        <v>70</v>
      </c>
      <c r="C3246" s="21" t="s">
        <v>275</v>
      </c>
      <c r="D3246" s="4">
        <v>13</v>
      </c>
      <c r="I3246" s="34">
        <f t="shared" si="462"/>
        <v>0</v>
      </c>
      <c r="J3246" s="34">
        <f t="shared" si="464"/>
        <v>0</v>
      </c>
      <c r="K3246" s="9" t="e">
        <f t="shared" si="463"/>
        <v>#DIV/0!</v>
      </c>
    </row>
    <row r="3247" spans="1:12" s="32" customFormat="1" x14ac:dyDescent="0.35">
      <c r="A3247" s="33" t="s">
        <v>408</v>
      </c>
      <c r="B3247" s="33" t="s">
        <v>70</v>
      </c>
      <c r="C3247" s="21" t="s">
        <v>275</v>
      </c>
      <c r="D3247" s="4">
        <v>14</v>
      </c>
      <c r="I3247" s="34">
        <f t="shared" si="462"/>
        <v>0</v>
      </c>
      <c r="J3247" s="34">
        <f t="shared" si="464"/>
        <v>0</v>
      </c>
      <c r="K3247" s="9" t="e">
        <f t="shared" si="463"/>
        <v>#DIV/0!</v>
      </c>
    </row>
    <row r="3248" spans="1:12" s="32" customFormat="1" x14ac:dyDescent="0.35">
      <c r="A3248" s="33" t="s">
        <v>408</v>
      </c>
      <c r="B3248" s="33" t="s">
        <v>70</v>
      </c>
      <c r="C3248" s="21" t="s">
        <v>275</v>
      </c>
      <c r="D3248" s="4">
        <v>15</v>
      </c>
      <c r="I3248" s="34">
        <f t="shared" si="462"/>
        <v>0</v>
      </c>
      <c r="J3248" s="34">
        <f t="shared" si="464"/>
        <v>0</v>
      </c>
      <c r="K3248" s="9" t="e">
        <f t="shared" si="463"/>
        <v>#DIV/0!</v>
      </c>
    </row>
    <row r="3249" spans="1:12" s="32" customFormat="1" ht="15" thickBot="1" x14ac:dyDescent="0.4">
      <c r="A3249" s="12" t="s">
        <v>408</v>
      </c>
      <c r="B3249" s="12" t="s">
        <v>70</v>
      </c>
      <c r="C3249" s="22" t="s">
        <v>275</v>
      </c>
      <c r="D3249" s="14">
        <v>16</v>
      </c>
      <c r="E3249" s="13"/>
      <c r="F3249" s="13"/>
      <c r="G3249" s="13"/>
      <c r="H3249" s="13"/>
      <c r="I3249" s="15">
        <f t="shared" si="462"/>
        <v>0</v>
      </c>
      <c r="J3249" s="15">
        <f t="shared" si="464"/>
        <v>0</v>
      </c>
      <c r="K3249" s="16" t="e">
        <f t="shared" si="463"/>
        <v>#DIV/0!</v>
      </c>
      <c r="L3249" s="13"/>
    </row>
    <row r="3250" spans="1:12" x14ac:dyDescent="0.35">
      <c r="A3250" s="31" t="s">
        <v>409</v>
      </c>
      <c r="B3250" s="33" t="s">
        <v>415</v>
      </c>
      <c r="C3250" s="21" t="s">
        <v>275</v>
      </c>
      <c r="D3250" s="4">
        <v>1</v>
      </c>
      <c r="E3250" s="32"/>
      <c r="F3250" s="3"/>
      <c r="G3250" s="32"/>
      <c r="H3250" s="32"/>
      <c r="I3250" s="34">
        <f t="shared" ref="I3250:I3265" si="465">G3250-H3250</f>
        <v>0</v>
      </c>
      <c r="J3250" s="34">
        <f>I3250</f>
        <v>0</v>
      </c>
      <c r="K3250" s="9" t="e">
        <f t="shared" si="463"/>
        <v>#DIV/0!</v>
      </c>
    </row>
    <row r="3251" spans="1:12" s="32" customFormat="1" x14ac:dyDescent="0.35">
      <c r="A3251" s="33" t="s">
        <v>409</v>
      </c>
      <c r="B3251" s="33" t="s">
        <v>415</v>
      </c>
      <c r="C3251" s="21" t="s">
        <v>275</v>
      </c>
      <c r="D3251" s="4">
        <v>2</v>
      </c>
      <c r="I3251" s="34">
        <f t="shared" si="465"/>
        <v>0</v>
      </c>
      <c r="J3251" s="34">
        <f>J3250+I3251</f>
        <v>0</v>
      </c>
      <c r="K3251" s="9" t="e">
        <f t="shared" ref="K3251:K3266" si="466">I3251/H3251</f>
        <v>#DIV/0!</v>
      </c>
    </row>
    <row r="3252" spans="1:12" s="32" customFormat="1" x14ac:dyDescent="0.35">
      <c r="A3252" s="33" t="s">
        <v>409</v>
      </c>
      <c r="B3252" s="33" t="s">
        <v>415</v>
      </c>
      <c r="C3252" s="21" t="s">
        <v>275</v>
      </c>
      <c r="D3252" s="4">
        <v>3</v>
      </c>
      <c r="I3252" s="34">
        <f t="shared" si="465"/>
        <v>0</v>
      </c>
      <c r="J3252" s="34">
        <f t="shared" ref="J3252:J3265" si="467">J3251+I3252</f>
        <v>0</v>
      </c>
      <c r="K3252" s="9" t="e">
        <f t="shared" si="466"/>
        <v>#DIV/0!</v>
      </c>
    </row>
    <row r="3253" spans="1:12" s="32" customFormat="1" x14ac:dyDescent="0.35">
      <c r="A3253" s="33" t="s">
        <v>409</v>
      </c>
      <c r="B3253" s="33" t="s">
        <v>415</v>
      </c>
      <c r="C3253" s="21" t="s">
        <v>275</v>
      </c>
      <c r="D3253" s="4">
        <v>4</v>
      </c>
      <c r="I3253" s="34">
        <f t="shared" si="465"/>
        <v>0</v>
      </c>
      <c r="J3253" s="34">
        <f t="shared" si="467"/>
        <v>0</v>
      </c>
      <c r="K3253" s="9" t="e">
        <f t="shared" si="466"/>
        <v>#DIV/0!</v>
      </c>
    </row>
    <row r="3254" spans="1:12" s="32" customFormat="1" x14ac:dyDescent="0.35">
      <c r="A3254" s="33" t="s">
        <v>409</v>
      </c>
      <c r="B3254" s="33" t="s">
        <v>415</v>
      </c>
      <c r="C3254" s="21" t="s">
        <v>275</v>
      </c>
      <c r="D3254" s="4">
        <v>5</v>
      </c>
      <c r="I3254" s="34">
        <f t="shared" si="465"/>
        <v>0</v>
      </c>
      <c r="J3254" s="34">
        <f t="shared" si="467"/>
        <v>0</v>
      </c>
      <c r="K3254" s="9" t="e">
        <f t="shared" si="466"/>
        <v>#DIV/0!</v>
      </c>
    </row>
    <row r="3255" spans="1:12" s="32" customFormat="1" x14ac:dyDescent="0.35">
      <c r="A3255" s="33" t="s">
        <v>409</v>
      </c>
      <c r="B3255" s="33" t="s">
        <v>415</v>
      </c>
      <c r="C3255" s="21" t="s">
        <v>275</v>
      </c>
      <c r="D3255" s="4">
        <v>6</v>
      </c>
      <c r="I3255" s="34">
        <f t="shared" si="465"/>
        <v>0</v>
      </c>
      <c r="J3255" s="34">
        <f t="shared" si="467"/>
        <v>0</v>
      </c>
      <c r="K3255" s="9" t="e">
        <f t="shared" si="466"/>
        <v>#DIV/0!</v>
      </c>
    </row>
    <row r="3256" spans="1:12" s="32" customFormat="1" x14ac:dyDescent="0.35">
      <c r="A3256" s="33" t="s">
        <v>409</v>
      </c>
      <c r="B3256" s="33" t="s">
        <v>415</v>
      </c>
      <c r="C3256" s="21" t="s">
        <v>275</v>
      </c>
      <c r="D3256" s="4">
        <v>7</v>
      </c>
      <c r="I3256" s="34">
        <f t="shared" si="465"/>
        <v>0</v>
      </c>
      <c r="J3256" s="34">
        <f t="shared" si="467"/>
        <v>0</v>
      </c>
      <c r="K3256" s="9" t="e">
        <f t="shared" si="466"/>
        <v>#DIV/0!</v>
      </c>
    </row>
    <row r="3257" spans="1:12" s="32" customFormat="1" x14ac:dyDescent="0.35">
      <c r="A3257" s="33" t="s">
        <v>409</v>
      </c>
      <c r="B3257" s="33" t="s">
        <v>415</v>
      </c>
      <c r="C3257" s="21" t="s">
        <v>275</v>
      </c>
      <c r="D3257" s="4">
        <v>8</v>
      </c>
      <c r="I3257" s="34">
        <f t="shared" si="465"/>
        <v>0</v>
      </c>
      <c r="J3257" s="34">
        <f t="shared" si="467"/>
        <v>0</v>
      </c>
      <c r="K3257" s="9" t="e">
        <f t="shared" si="466"/>
        <v>#DIV/0!</v>
      </c>
    </row>
    <row r="3258" spans="1:12" s="32" customFormat="1" x14ac:dyDescent="0.35">
      <c r="A3258" s="33" t="s">
        <v>409</v>
      </c>
      <c r="B3258" s="33" t="s">
        <v>415</v>
      </c>
      <c r="C3258" s="21" t="s">
        <v>275</v>
      </c>
      <c r="D3258" s="4">
        <v>9</v>
      </c>
      <c r="I3258" s="34">
        <f t="shared" si="465"/>
        <v>0</v>
      </c>
      <c r="J3258" s="34">
        <f t="shared" si="467"/>
        <v>0</v>
      </c>
      <c r="K3258" s="9" t="e">
        <f t="shared" si="466"/>
        <v>#DIV/0!</v>
      </c>
    </row>
    <row r="3259" spans="1:12" s="32" customFormat="1" x14ac:dyDescent="0.35">
      <c r="A3259" s="33" t="s">
        <v>409</v>
      </c>
      <c r="B3259" s="33" t="s">
        <v>415</v>
      </c>
      <c r="C3259" s="21" t="s">
        <v>275</v>
      </c>
      <c r="D3259" s="4">
        <v>10</v>
      </c>
      <c r="I3259" s="34">
        <f t="shared" si="465"/>
        <v>0</v>
      </c>
      <c r="J3259" s="34">
        <f t="shared" si="467"/>
        <v>0</v>
      </c>
      <c r="K3259" s="9" t="e">
        <f t="shared" si="466"/>
        <v>#DIV/0!</v>
      </c>
    </row>
    <row r="3260" spans="1:12" s="32" customFormat="1" x14ac:dyDescent="0.35">
      <c r="A3260" s="33" t="s">
        <v>409</v>
      </c>
      <c r="B3260" s="33" t="s">
        <v>415</v>
      </c>
      <c r="C3260" s="21" t="s">
        <v>275</v>
      </c>
      <c r="D3260" s="4">
        <v>11</v>
      </c>
      <c r="I3260" s="34">
        <f t="shared" si="465"/>
        <v>0</v>
      </c>
      <c r="J3260" s="34">
        <f t="shared" si="467"/>
        <v>0</v>
      </c>
      <c r="K3260" s="9" t="e">
        <f t="shared" si="466"/>
        <v>#DIV/0!</v>
      </c>
    </row>
    <row r="3261" spans="1:12" s="32" customFormat="1" x14ac:dyDescent="0.35">
      <c r="A3261" s="33" t="s">
        <v>409</v>
      </c>
      <c r="B3261" s="33" t="s">
        <v>415</v>
      </c>
      <c r="C3261" s="21" t="s">
        <v>275</v>
      </c>
      <c r="D3261" s="4">
        <v>12</v>
      </c>
      <c r="I3261" s="34">
        <f t="shared" si="465"/>
        <v>0</v>
      </c>
      <c r="J3261" s="34">
        <f t="shared" si="467"/>
        <v>0</v>
      </c>
      <c r="K3261" s="9" t="e">
        <f t="shared" si="466"/>
        <v>#DIV/0!</v>
      </c>
    </row>
    <row r="3262" spans="1:12" s="32" customFormat="1" x14ac:dyDescent="0.35">
      <c r="A3262" s="33" t="s">
        <v>409</v>
      </c>
      <c r="B3262" s="33" t="s">
        <v>415</v>
      </c>
      <c r="C3262" s="21" t="s">
        <v>275</v>
      </c>
      <c r="D3262" s="4">
        <v>13</v>
      </c>
      <c r="I3262" s="34">
        <f t="shared" si="465"/>
        <v>0</v>
      </c>
      <c r="J3262" s="34">
        <f t="shared" si="467"/>
        <v>0</v>
      </c>
      <c r="K3262" s="9" t="e">
        <f t="shared" si="466"/>
        <v>#DIV/0!</v>
      </c>
    </row>
    <row r="3263" spans="1:12" s="32" customFormat="1" x14ac:dyDescent="0.35">
      <c r="A3263" s="33" t="s">
        <v>409</v>
      </c>
      <c r="B3263" s="33" t="s">
        <v>415</v>
      </c>
      <c r="C3263" s="21" t="s">
        <v>275</v>
      </c>
      <c r="D3263" s="4">
        <v>14</v>
      </c>
      <c r="I3263" s="34">
        <f t="shared" si="465"/>
        <v>0</v>
      </c>
      <c r="J3263" s="34">
        <f t="shared" si="467"/>
        <v>0</v>
      </c>
      <c r="K3263" s="9" t="e">
        <f t="shared" si="466"/>
        <v>#DIV/0!</v>
      </c>
    </row>
    <row r="3264" spans="1:12" s="32" customFormat="1" x14ac:dyDescent="0.35">
      <c r="A3264" s="33" t="s">
        <v>409</v>
      </c>
      <c r="B3264" s="33" t="s">
        <v>415</v>
      </c>
      <c r="C3264" s="21" t="s">
        <v>275</v>
      </c>
      <c r="D3264" s="4">
        <v>15</v>
      </c>
      <c r="I3264" s="34">
        <f t="shared" si="465"/>
        <v>0</v>
      </c>
      <c r="J3264" s="34">
        <f t="shared" si="467"/>
        <v>0</v>
      </c>
      <c r="K3264" s="9" t="e">
        <f t="shared" si="466"/>
        <v>#DIV/0!</v>
      </c>
    </row>
    <row r="3265" spans="1:12" s="32" customFormat="1" ht="15" thickBot="1" x14ac:dyDescent="0.4">
      <c r="A3265" s="12" t="s">
        <v>409</v>
      </c>
      <c r="B3265" s="12" t="s">
        <v>415</v>
      </c>
      <c r="C3265" s="22" t="s">
        <v>275</v>
      </c>
      <c r="D3265" s="14">
        <v>16</v>
      </c>
      <c r="E3265" s="13"/>
      <c r="F3265" s="13"/>
      <c r="G3265" s="13"/>
      <c r="H3265" s="13"/>
      <c r="I3265" s="15">
        <f t="shared" si="465"/>
        <v>0</v>
      </c>
      <c r="J3265" s="15">
        <f t="shared" si="467"/>
        <v>0</v>
      </c>
      <c r="K3265" s="16" t="e">
        <f t="shared" si="466"/>
        <v>#DIV/0!</v>
      </c>
      <c r="L3265" s="13"/>
    </row>
    <row r="3266" spans="1:12" x14ac:dyDescent="0.35">
      <c r="A3266" s="31" t="s">
        <v>410</v>
      </c>
      <c r="B3266" s="33" t="s">
        <v>416</v>
      </c>
      <c r="C3266" s="21" t="s">
        <v>275</v>
      </c>
      <c r="D3266" s="4">
        <v>1</v>
      </c>
      <c r="E3266" s="32"/>
      <c r="F3266" s="3"/>
      <c r="G3266" s="32"/>
      <c r="H3266" s="32"/>
      <c r="I3266" s="34">
        <f t="shared" ref="I3266:I3281" si="468">G3266-H3266</f>
        <v>0</v>
      </c>
      <c r="J3266" s="34">
        <f>I3266</f>
        <v>0</v>
      </c>
      <c r="K3266" s="9" t="e">
        <f t="shared" si="466"/>
        <v>#DIV/0!</v>
      </c>
    </row>
    <row r="3267" spans="1:12" s="32" customFormat="1" x14ac:dyDescent="0.35">
      <c r="A3267" s="33" t="s">
        <v>410</v>
      </c>
      <c r="B3267" s="33" t="s">
        <v>416</v>
      </c>
      <c r="C3267" s="21" t="s">
        <v>275</v>
      </c>
      <c r="D3267" s="4">
        <v>2</v>
      </c>
      <c r="I3267" s="34">
        <f t="shared" si="468"/>
        <v>0</v>
      </c>
      <c r="J3267" s="34">
        <f>J3266+I3267</f>
        <v>0</v>
      </c>
      <c r="K3267" s="9" t="e">
        <f t="shared" ref="K3267:K3282" si="469">I3267/H3267</f>
        <v>#DIV/0!</v>
      </c>
    </row>
    <row r="3268" spans="1:12" s="32" customFormat="1" x14ac:dyDescent="0.35">
      <c r="A3268" s="33" t="s">
        <v>410</v>
      </c>
      <c r="B3268" s="33" t="s">
        <v>416</v>
      </c>
      <c r="C3268" s="21" t="s">
        <v>275</v>
      </c>
      <c r="D3268" s="4">
        <v>3</v>
      </c>
      <c r="I3268" s="34">
        <f t="shared" si="468"/>
        <v>0</v>
      </c>
      <c r="J3268" s="34">
        <f t="shared" ref="J3268:J3281" si="470">J3267+I3268</f>
        <v>0</v>
      </c>
      <c r="K3268" s="9" t="e">
        <f t="shared" si="469"/>
        <v>#DIV/0!</v>
      </c>
    </row>
    <row r="3269" spans="1:12" s="32" customFormat="1" x14ac:dyDescent="0.35">
      <c r="A3269" s="33" t="s">
        <v>410</v>
      </c>
      <c r="B3269" s="33" t="s">
        <v>416</v>
      </c>
      <c r="C3269" s="21" t="s">
        <v>275</v>
      </c>
      <c r="D3269" s="4">
        <v>4</v>
      </c>
      <c r="I3269" s="34">
        <f t="shared" si="468"/>
        <v>0</v>
      </c>
      <c r="J3269" s="34">
        <f t="shared" si="470"/>
        <v>0</v>
      </c>
      <c r="K3269" s="9" t="e">
        <f t="shared" si="469"/>
        <v>#DIV/0!</v>
      </c>
    </row>
    <row r="3270" spans="1:12" s="32" customFormat="1" x14ac:dyDescent="0.35">
      <c r="A3270" s="33" t="s">
        <v>410</v>
      </c>
      <c r="B3270" s="33" t="s">
        <v>416</v>
      </c>
      <c r="C3270" s="21" t="s">
        <v>275</v>
      </c>
      <c r="D3270" s="4">
        <v>5</v>
      </c>
      <c r="I3270" s="34">
        <f t="shared" si="468"/>
        <v>0</v>
      </c>
      <c r="J3270" s="34">
        <f t="shared" si="470"/>
        <v>0</v>
      </c>
      <c r="K3270" s="9" t="e">
        <f t="shared" si="469"/>
        <v>#DIV/0!</v>
      </c>
    </row>
    <row r="3271" spans="1:12" s="32" customFormat="1" x14ac:dyDescent="0.35">
      <c r="A3271" s="33" t="s">
        <v>410</v>
      </c>
      <c r="B3271" s="33" t="s">
        <v>416</v>
      </c>
      <c r="C3271" s="21" t="s">
        <v>275</v>
      </c>
      <c r="D3271" s="4">
        <v>6</v>
      </c>
      <c r="I3271" s="34">
        <f t="shared" si="468"/>
        <v>0</v>
      </c>
      <c r="J3271" s="34">
        <f t="shared" si="470"/>
        <v>0</v>
      </c>
      <c r="K3271" s="9" t="e">
        <f t="shared" si="469"/>
        <v>#DIV/0!</v>
      </c>
    </row>
    <row r="3272" spans="1:12" s="32" customFormat="1" x14ac:dyDescent="0.35">
      <c r="A3272" s="33" t="s">
        <v>410</v>
      </c>
      <c r="B3272" s="33" t="s">
        <v>416</v>
      </c>
      <c r="C3272" s="21" t="s">
        <v>275</v>
      </c>
      <c r="D3272" s="4">
        <v>7</v>
      </c>
      <c r="I3272" s="34">
        <f t="shared" si="468"/>
        <v>0</v>
      </c>
      <c r="J3272" s="34">
        <f t="shared" si="470"/>
        <v>0</v>
      </c>
      <c r="K3272" s="9" t="e">
        <f t="shared" si="469"/>
        <v>#DIV/0!</v>
      </c>
    </row>
    <row r="3273" spans="1:12" s="32" customFormat="1" x14ac:dyDescent="0.35">
      <c r="A3273" s="33" t="s">
        <v>410</v>
      </c>
      <c r="B3273" s="33" t="s">
        <v>416</v>
      </c>
      <c r="C3273" s="21" t="s">
        <v>275</v>
      </c>
      <c r="D3273" s="4">
        <v>8</v>
      </c>
      <c r="I3273" s="34">
        <f t="shared" si="468"/>
        <v>0</v>
      </c>
      <c r="J3273" s="34">
        <f t="shared" si="470"/>
        <v>0</v>
      </c>
      <c r="K3273" s="9" t="e">
        <f t="shared" si="469"/>
        <v>#DIV/0!</v>
      </c>
    </row>
    <row r="3274" spans="1:12" s="32" customFormat="1" x14ac:dyDescent="0.35">
      <c r="A3274" s="33" t="s">
        <v>410</v>
      </c>
      <c r="B3274" s="33" t="s">
        <v>416</v>
      </c>
      <c r="C3274" s="21" t="s">
        <v>275</v>
      </c>
      <c r="D3274" s="4">
        <v>9</v>
      </c>
      <c r="I3274" s="34">
        <f t="shared" si="468"/>
        <v>0</v>
      </c>
      <c r="J3274" s="34">
        <f t="shared" si="470"/>
        <v>0</v>
      </c>
      <c r="K3274" s="9" t="e">
        <f t="shared" si="469"/>
        <v>#DIV/0!</v>
      </c>
    </row>
    <row r="3275" spans="1:12" s="32" customFormat="1" x14ac:dyDescent="0.35">
      <c r="A3275" s="33" t="s">
        <v>410</v>
      </c>
      <c r="B3275" s="33" t="s">
        <v>416</v>
      </c>
      <c r="C3275" s="21" t="s">
        <v>275</v>
      </c>
      <c r="D3275" s="4">
        <v>10</v>
      </c>
      <c r="I3275" s="34">
        <f t="shared" si="468"/>
        <v>0</v>
      </c>
      <c r="J3275" s="34">
        <f t="shared" si="470"/>
        <v>0</v>
      </c>
      <c r="K3275" s="9" t="e">
        <f t="shared" si="469"/>
        <v>#DIV/0!</v>
      </c>
    </row>
    <row r="3276" spans="1:12" s="32" customFormat="1" x14ac:dyDescent="0.35">
      <c r="A3276" s="33" t="s">
        <v>410</v>
      </c>
      <c r="B3276" s="33" t="s">
        <v>416</v>
      </c>
      <c r="C3276" s="21" t="s">
        <v>275</v>
      </c>
      <c r="D3276" s="4">
        <v>11</v>
      </c>
      <c r="I3276" s="34">
        <f t="shared" si="468"/>
        <v>0</v>
      </c>
      <c r="J3276" s="34">
        <f t="shared" si="470"/>
        <v>0</v>
      </c>
      <c r="K3276" s="9" t="e">
        <f t="shared" si="469"/>
        <v>#DIV/0!</v>
      </c>
    </row>
    <row r="3277" spans="1:12" s="32" customFormat="1" x14ac:dyDescent="0.35">
      <c r="A3277" s="33" t="s">
        <v>410</v>
      </c>
      <c r="B3277" s="33" t="s">
        <v>416</v>
      </c>
      <c r="C3277" s="21" t="s">
        <v>275</v>
      </c>
      <c r="D3277" s="4">
        <v>12</v>
      </c>
      <c r="I3277" s="34">
        <f t="shared" si="468"/>
        <v>0</v>
      </c>
      <c r="J3277" s="34">
        <f t="shared" si="470"/>
        <v>0</v>
      </c>
      <c r="K3277" s="9" t="e">
        <f t="shared" si="469"/>
        <v>#DIV/0!</v>
      </c>
    </row>
    <row r="3278" spans="1:12" s="32" customFormat="1" x14ac:dyDescent="0.35">
      <c r="A3278" s="33" t="s">
        <v>410</v>
      </c>
      <c r="B3278" s="33" t="s">
        <v>416</v>
      </c>
      <c r="C3278" s="21" t="s">
        <v>275</v>
      </c>
      <c r="D3278" s="4">
        <v>13</v>
      </c>
      <c r="I3278" s="34">
        <f t="shared" si="468"/>
        <v>0</v>
      </c>
      <c r="J3278" s="34">
        <f t="shared" si="470"/>
        <v>0</v>
      </c>
      <c r="K3278" s="9" t="e">
        <f t="shared" si="469"/>
        <v>#DIV/0!</v>
      </c>
    </row>
    <row r="3279" spans="1:12" s="32" customFormat="1" x14ac:dyDescent="0.35">
      <c r="A3279" s="33" t="s">
        <v>410</v>
      </c>
      <c r="B3279" s="33" t="s">
        <v>416</v>
      </c>
      <c r="C3279" s="21" t="s">
        <v>275</v>
      </c>
      <c r="D3279" s="4">
        <v>14</v>
      </c>
      <c r="I3279" s="34">
        <f t="shared" si="468"/>
        <v>0</v>
      </c>
      <c r="J3279" s="34">
        <f t="shared" si="470"/>
        <v>0</v>
      </c>
      <c r="K3279" s="9" t="e">
        <f t="shared" si="469"/>
        <v>#DIV/0!</v>
      </c>
    </row>
    <row r="3280" spans="1:12" s="32" customFormat="1" x14ac:dyDescent="0.35">
      <c r="A3280" s="33" t="s">
        <v>410</v>
      </c>
      <c r="B3280" s="33" t="s">
        <v>416</v>
      </c>
      <c r="C3280" s="21" t="s">
        <v>275</v>
      </c>
      <c r="D3280" s="4">
        <v>15</v>
      </c>
      <c r="I3280" s="34">
        <f t="shared" si="468"/>
        <v>0</v>
      </c>
      <c r="J3280" s="34">
        <f t="shared" si="470"/>
        <v>0</v>
      </c>
      <c r="K3280" s="9" t="e">
        <f t="shared" si="469"/>
        <v>#DIV/0!</v>
      </c>
    </row>
    <row r="3281" spans="1:12" s="32" customFormat="1" ht="15" thickBot="1" x14ac:dyDescent="0.4">
      <c r="A3281" s="12" t="s">
        <v>410</v>
      </c>
      <c r="B3281" s="12" t="s">
        <v>416</v>
      </c>
      <c r="C3281" s="22" t="s">
        <v>275</v>
      </c>
      <c r="D3281" s="14">
        <v>16</v>
      </c>
      <c r="E3281" s="13"/>
      <c r="F3281" s="13"/>
      <c r="G3281" s="13"/>
      <c r="H3281" s="13"/>
      <c r="I3281" s="15">
        <f t="shared" si="468"/>
        <v>0</v>
      </c>
      <c r="J3281" s="15">
        <f t="shared" si="470"/>
        <v>0</v>
      </c>
      <c r="K3281" s="16" t="e">
        <f t="shared" si="469"/>
        <v>#DIV/0!</v>
      </c>
      <c r="L3281" s="13"/>
    </row>
    <row r="3282" spans="1:12" x14ac:dyDescent="0.35">
      <c r="A3282" s="31" t="s">
        <v>411</v>
      </c>
      <c r="B3282" s="33" t="s">
        <v>417</v>
      </c>
      <c r="C3282" s="21" t="s">
        <v>275</v>
      </c>
      <c r="D3282" s="4">
        <v>1</v>
      </c>
      <c r="E3282" s="32"/>
      <c r="F3282" s="3"/>
      <c r="G3282" s="32"/>
      <c r="H3282" s="32"/>
      <c r="I3282" s="34">
        <f t="shared" ref="I3282:I3297" si="471">G3282-H3282</f>
        <v>0</v>
      </c>
      <c r="J3282" s="34">
        <f>I3282</f>
        <v>0</v>
      </c>
      <c r="K3282" s="9" t="e">
        <f t="shared" si="469"/>
        <v>#DIV/0!</v>
      </c>
    </row>
    <row r="3283" spans="1:12" s="32" customFormat="1" x14ac:dyDescent="0.35">
      <c r="A3283" s="33" t="s">
        <v>411</v>
      </c>
      <c r="B3283" s="33" t="s">
        <v>417</v>
      </c>
      <c r="C3283" s="21" t="s">
        <v>275</v>
      </c>
      <c r="D3283" s="4">
        <v>2</v>
      </c>
      <c r="I3283" s="34">
        <f t="shared" si="471"/>
        <v>0</v>
      </c>
      <c r="J3283" s="34">
        <f>J3282+I3283</f>
        <v>0</v>
      </c>
      <c r="K3283" s="9" t="e">
        <f t="shared" ref="K3283:K3298" si="472">I3283/H3283</f>
        <v>#DIV/0!</v>
      </c>
    </row>
    <row r="3284" spans="1:12" s="32" customFormat="1" x14ac:dyDescent="0.35">
      <c r="A3284" s="33" t="s">
        <v>411</v>
      </c>
      <c r="B3284" s="33" t="s">
        <v>417</v>
      </c>
      <c r="C3284" s="21" t="s">
        <v>275</v>
      </c>
      <c r="D3284" s="4">
        <v>3</v>
      </c>
      <c r="I3284" s="34">
        <f t="shared" si="471"/>
        <v>0</v>
      </c>
      <c r="J3284" s="34">
        <f t="shared" ref="J3284:J3297" si="473">J3283+I3284</f>
        <v>0</v>
      </c>
      <c r="K3284" s="9" t="e">
        <f t="shared" si="472"/>
        <v>#DIV/0!</v>
      </c>
    </row>
    <row r="3285" spans="1:12" s="32" customFormat="1" x14ac:dyDescent="0.35">
      <c r="A3285" s="33" t="s">
        <v>411</v>
      </c>
      <c r="B3285" s="33" t="s">
        <v>417</v>
      </c>
      <c r="C3285" s="21" t="s">
        <v>275</v>
      </c>
      <c r="D3285" s="4">
        <v>4</v>
      </c>
      <c r="I3285" s="34">
        <f t="shared" si="471"/>
        <v>0</v>
      </c>
      <c r="J3285" s="34">
        <f t="shared" si="473"/>
        <v>0</v>
      </c>
      <c r="K3285" s="9" t="e">
        <f t="shared" si="472"/>
        <v>#DIV/0!</v>
      </c>
    </row>
    <row r="3286" spans="1:12" s="32" customFormat="1" x14ac:dyDescent="0.35">
      <c r="A3286" s="33" t="s">
        <v>411</v>
      </c>
      <c r="B3286" s="33" t="s">
        <v>417</v>
      </c>
      <c r="C3286" s="21" t="s">
        <v>275</v>
      </c>
      <c r="D3286" s="4">
        <v>5</v>
      </c>
      <c r="I3286" s="34">
        <f t="shared" si="471"/>
        <v>0</v>
      </c>
      <c r="J3286" s="34">
        <f t="shared" si="473"/>
        <v>0</v>
      </c>
      <c r="K3286" s="9" t="e">
        <f t="shared" si="472"/>
        <v>#DIV/0!</v>
      </c>
    </row>
    <row r="3287" spans="1:12" s="32" customFormat="1" x14ac:dyDescent="0.35">
      <c r="A3287" s="33" t="s">
        <v>411</v>
      </c>
      <c r="B3287" s="33" t="s">
        <v>417</v>
      </c>
      <c r="C3287" s="21" t="s">
        <v>275</v>
      </c>
      <c r="D3287" s="4">
        <v>6</v>
      </c>
      <c r="I3287" s="34">
        <f t="shared" si="471"/>
        <v>0</v>
      </c>
      <c r="J3287" s="34">
        <f t="shared" si="473"/>
        <v>0</v>
      </c>
      <c r="K3287" s="9" t="e">
        <f t="shared" si="472"/>
        <v>#DIV/0!</v>
      </c>
    </row>
    <row r="3288" spans="1:12" s="32" customFormat="1" x14ac:dyDescent="0.35">
      <c r="A3288" s="33" t="s">
        <v>411</v>
      </c>
      <c r="B3288" s="33" t="s">
        <v>417</v>
      </c>
      <c r="C3288" s="21" t="s">
        <v>275</v>
      </c>
      <c r="D3288" s="4">
        <v>7</v>
      </c>
      <c r="I3288" s="34">
        <f t="shared" si="471"/>
        <v>0</v>
      </c>
      <c r="J3288" s="34">
        <f t="shared" si="473"/>
        <v>0</v>
      </c>
      <c r="K3288" s="9" t="e">
        <f t="shared" si="472"/>
        <v>#DIV/0!</v>
      </c>
    </row>
    <row r="3289" spans="1:12" s="32" customFormat="1" x14ac:dyDescent="0.35">
      <c r="A3289" s="33" t="s">
        <v>411</v>
      </c>
      <c r="B3289" s="33" t="s">
        <v>417</v>
      </c>
      <c r="C3289" s="21" t="s">
        <v>275</v>
      </c>
      <c r="D3289" s="4">
        <v>8</v>
      </c>
      <c r="I3289" s="34">
        <f t="shared" si="471"/>
        <v>0</v>
      </c>
      <c r="J3289" s="34">
        <f t="shared" si="473"/>
        <v>0</v>
      </c>
      <c r="K3289" s="9" t="e">
        <f t="shared" si="472"/>
        <v>#DIV/0!</v>
      </c>
    </row>
    <row r="3290" spans="1:12" s="32" customFormat="1" x14ac:dyDescent="0.35">
      <c r="A3290" s="33" t="s">
        <v>411</v>
      </c>
      <c r="B3290" s="33" t="s">
        <v>417</v>
      </c>
      <c r="C3290" s="21" t="s">
        <v>275</v>
      </c>
      <c r="D3290" s="4">
        <v>9</v>
      </c>
      <c r="I3290" s="34">
        <f t="shared" si="471"/>
        <v>0</v>
      </c>
      <c r="J3290" s="34">
        <f t="shared" si="473"/>
        <v>0</v>
      </c>
      <c r="K3290" s="9" t="e">
        <f t="shared" si="472"/>
        <v>#DIV/0!</v>
      </c>
    </row>
    <row r="3291" spans="1:12" s="32" customFormat="1" x14ac:dyDescent="0.35">
      <c r="A3291" s="33" t="s">
        <v>411</v>
      </c>
      <c r="B3291" s="33" t="s">
        <v>417</v>
      </c>
      <c r="C3291" s="21" t="s">
        <v>275</v>
      </c>
      <c r="D3291" s="4">
        <v>10</v>
      </c>
      <c r="I3291" s="34">
        <f t="shared" si="471"/>
        <v>0</v>
      </c>
      <c r="J3291" s="34">
        <f t="shared" si="473"/>
        <v>0</v>
      </c>
      <c r="K3291" s="9" t="e">
        <f t="shared" si="472"/>
        <v>#DIV/0!</v>
      </c>
    </row>
    <row r="3292" spans="1:12" s="32" customFormat="1" x14ac:dyDescent="0.35">
      <c r="A3292" s="33" t="s">
        <v>411</v>
      </c>
      <c r="B3292" s="33" t="s">
        <v>417</v>
      </c>
      <c r="C3292" s="21" t="s">
        <v>275</v>
      </c>
      <c r="D3292" s="4">
        <v>11</v>
      </c>
      <c r="I3292" s="34">
        <f t="shared" si="471"/>
        <v>0</v>
      </c>
      <c r="J3292" s="34">
        <f t="shared" si="473"/>
        <v>0</v>
      </c>
      <c r="K3292" s="9" t="e">
        <f t="shared" si="472"/>
        <v>#DIV/0!</v>
      </c>
    </row>
    <row r="3293" spans="1:12" s="32" customFormat="1" x14ac:dyDescent="0.35">
      <c r="A3293" s="33" t="s">
        <v>411</v>
      </c>
      <c r="B3293" s="33" t="s">
        <v>417</v>
      </c>
      <c r="C3293" s="21" t="s">
        <v>275</v>
      </c>
      <c r="D3293" s="4">
        <v>12</v>
      </c>
      <c r="I3293" s="34">
        <f t="shared" si="471"/>
        <v>0</v>
      </c>
      <c r="J3293" s="34">
        <f t="shared" si="473"/>
        <v>0</v>
      </c>
      <c r="K3293" s="9" t="e">
        <f t="shared" si="472"/>
        <v>#DIV/0!</v>
      </c>
    </row>
    <row r="3294" spans="1:12" s="32" customFormat="1" x14ac:dyDescent="0.35">
      <c r="A3294" s="33" t="s">
        <v>411</v>
      </c>
      <c r="B3294" s="33" t="s">
        <v>417</v>
      </c>
      <c r="C3294" s="21" t="s">
        <v>275</v>
      </c>
      <c r="D3294" s="4">
        <v>13</v>
      </c>
      <c r="I3294" s="34">
        <f t="shared" si="471"/>
        <v>0</v>
      </c>
      <c r="J3294" s="34">
        <f t="shared" si="473"/>
        <v>0</v>
      </c>
      <c r="K3294" s="9" t="e">
        <f t="shared" si="472"/>
        <v>#DIV/0!</v>
      </c>
    </row>
    <row r="3295" spans="1:12" s="32" customFormat="1" x14ac:dyDescent="0.35">
      <c r="A3295" s="33" t="s">
        <v>411</v>
      </c>
      <c r="B3295" s="33" t="s">
        <v>417</v>
      </c>
      <c r="C3295" s="21" t="s">
        <v>275</v>
      </c>
      <c r="D3295" s="4">
        <v>14</v>
      </c>
      <c r="I3295" s="34">
        <f t="shared" si="471"/>
        <v>0</v>
      </c>
      <c r="J3295" s="34">
        <f t="shared" si="473"/>
        <v>0</v>
      </c>
      <c r="K3295" s="9" t="e">
        <f t="shared" si="472"/>
        <v>#DIV/0!</v>
      </c>
    </row>
    <row r="3296" spans="1:12" s="32" customFormat="1" x14ac:dyDescent="0.35">
      <c r="A3296" s="33" t="s">
        <v>411</v>
      </c>
      <c r="B3296" s="33" t="s">
        <v>417</v>
      </c>
      <c r="C3296" s="21" t="s">
        <v>275</v>
      </c>
      <c r="D3296" s="4">
        <v>15</v>
      </c>
      <c r="I3296" s="34">
        <f t="shared" si="471"/>
        <v>0</v>
      </c>
      <c r="J3296" s="34">
        <f t="shared" si="473"/>
        <v>0</v>
      </c>
      <c r="K3296" s="9" t="e">
        <f t="shared" si="472"/>
        <v>#DIV/0!</v>
      </c>
    </row>
    <row r="3297" spans="1:12" s="32" customFormat="1" ht="15" thickBot="1" x14ac:dyDescent="0.4">
      <c r="A3297" s="12" t="s">
        <v>411</v>
      </c>
      <c r="B3297" s="12" t="s">
        <v>417</v>
      </c>
      <c r="C3297" s="22" t="s">
        <v>275</v>
      </c>
      <c r="D3297" s="14">
        <v>16</v>
      </c>
      <c r="E3297" s="13"/>
      <c r="F3297" s="13"/>
      <c r="G3297" s="13"/>
      <c r="H3297" s="13"/>
      <c r="I3297" s="15">
        <f t="shared" si="471"/>
        <v>0</v>
      </c>
      <c r="J3297" s="15">
        <f t="shared" si="473"/>
        <v>0</v>
      </c>
      <c r="K3297" s="16" t="e">
        <f t="shared" si="472"/>
        <v>#DIV/0!</v>
      </c>
      <c r="L3297" s="13"/>
    </row>
    <row r="3298" spans="1:12" x14ac:dyDescent="0.35">
      <c r="A3298" s="31" t="s">
        <v>412</v>
      </c>
      <c r="B3298" s="33" t="s">
        <v>202</v>
      </c>
      <c r="C3298" s="21" t="s">
        <v>275</v>
      </c>
      <c r="D3298" s="4">
        <v>1</v>
      </c>
      <c r="E3298" s="32"/>
      <c r="F3298" s="3"/>
      <c r="G3298" s="32"/>
      <c r="H3298" s="32"/>
      <c r="I3298" s="34">
        <f t="shared" ref="I3298:I3313" si="474">G3298-H3298</f>
        <v>0</v>
      </c>
      <c r="J3298" s="34">
        <f>I3298</f>
        <v>0</v>
      </c>
      <c r="K3298" s="9" t="e">
        <f t="shared" si="472"/>
        <v>#DIV/0!</v>
      </c>
    </row>
    <row r="3299" spans="1:12" s="32" customFormat="1" x14ac:dyDescent="0.35">
      <c r="A3299" s="33" t="s">
        <v>412</v>
      </c>
      <c r="B3299" s="33" t="s">
        <v>202</v>
      </c>
      <c r="C3299" s="21" t="s">
        <v>275</v>
      </c>
      <c r="D3299" s="4">
        <v>2</v>
      </c>
      <c r="I3299" s="34">
        <f t="shared" si="474"/>
        <v>0</v>
      </c>
      <c r="J3299" s="34">
        <f>J3298+I3299</f>
        <v>0</v>
      </c>
      <c r="K3299" s="9" t="e">
        <f t="shared" ref="K3299:K3314" si="475">I3299/H3299</f>
        <v>#DIV/0!</v>
      </c>
    </row>
    <row r="3300" spans="1:12" s="32" customFormat="1" x14ac:dyDescent="0.35">
      <c r="A3300" s="33" t="s">
        <v>412</v>
      </c>
      <c r="B3300" s="33" t="s">
        <v>202</v>
      </c>
      <c r="C3300" s="21" t="s">
        <v>275</v>
      </c>
      <c r="D3300" s="4">
        <v>3</v>
      </c>
      <c r="I3300" s="34">
        <f t="shared" si="474"/>
        <v>0</v>
      </c>
      <c r="J3300" s="34">
        <f t="shared" ref="J3300:J3313" si="476">J3299+I3300</f>
        <v>0</v>
      </c>
      <c r="K3300" s="9" t="e">
        <f t="shared" si="475"/>
        <v>#DIV/0!</v>
      </c>
    </row>
    <row r="3301" spans="1:12" s="32" customFormat="1" x14ac:dyDescent="0.35">
      <c r="A3301" s="33" t="s">
        <v>412</v>
      </c>
      <c r="B3301" s="33" t="s">
        <v>202</v>
      </c>
      <c r="C3301" s="21" t="s">
        <v>275</v>
      </c>
      <c r="D3301" s="4">
        <v>4</v>
      </c>
      <c r="I3301" s="34">
        <f t="shared" si="474"/>
        <v>0</v>
      </c>
      <c r="J3301" s="34">
        <f t="shared" si="476"/>
        <v>0</v>
      </c>
      <c r="K3301" s="9" t="e">
        <f t="shared" si="475"/>
        <v>#DIV/0!</v>
      </c>
    </row>
    <row r="3302" spans="1:12" s="32" customFormat="1" x14ac:dyDescent="0.35">
      <c r="A3302" s="33" t="s">
        <v>412</v>
      </c>
      <c r="B3302" s="33" t="s">
        <v>202</v>
      </c>
      <c r="C3302" s="21" t="s">
        <v>275</v>
      </c>
      <c r="D3302" s="4">
        <v>5</v>
      </c>
      <c r="I3302" s="34">
        <f t="shared" si="474"/>
        <v>0</v>
      </c>
      <c r="J3302" s="34">
        <f t="shared" si="476"/>
        <v>0</v>
      </c>
      <c r="K3302" s="9" t="e">
        <f t="shared" si="475"/>
        <v>#DIV/0!</v>
      </c>
    </row>
    <row r="3303" spans="1:12" s="32" customFormat="1" x14ac:dyDescent="0.35">
      <c r="A3303" s="33" t="s">
        <v>412</v>
      </c>
      <c r="B3303" s="33" t="s">
        <v>202</v>
      </c>
      <c r="C3303" s="21" t="s">
        <v>275</v>
      </c>
      <c r="D3303" s="4">
        <v>6</v>
      </c>
      <c r="I3303" s="34">
        <f t="shared" si="474"/>
        <v>0</v>
      </c>
      <c r="J3303" s="34">
        <f t="shared" si="476"/>
        <v>0</v>
      </c>
      <c r="K3303" s="9" t="e">
        <f t="shared" si="475"/>
        <v>#DIV/0!</v>
      </c>
    </row>
    <row r="3304" spans="1:12" s="32" customFormat="1" x14ac:dyDescent="0.35">
      <c r="A3304" s="33" t="s">
        <v>412</v>
      </c>
      <c r="B3304" s="33" t="s">
        <v>202</v>
      </c>
      <c r="C3304" s="21" t="s">
        <v>275</v>
      </c>
      <c r="D3304" s="4">
        <v>7</v>
      </c>
      <c r="I3304" s="34">
        <f t="shared" si="474"/>
        <v>0</v>
      </c>
      <c r="J3304" s="34">
        <f t="shared" si="476"/>
        <v>0</v>
      </c>
      <c r="K3304" s="9" t="e">
        <f t="shared" si="475"/>
        <v>#DIV/0!</v>
      </c>
    </row>
    <row r="3305" spans="1:12" s="32" customFormat="1" x14ac:dyDescent="0.35">
      <c r="A3305" s="33" t="s">
        <v>412</v>
      </c>
      <c r="B3305" s="33" t="s">
        <v>202</v>
      </c>
      <c r="C3305" s="21" t="s">
        <v>275</v>
      </c>
      <c r="D3305" s="4">
        <v>8</v>
      </c>
      <c r="I3305" s="34">
        <f t="shared" si="474"/>
        <v>0</v>
      </c>
      <c r="J3305" s="34">
        <f t="shared" si="476"/>
        <v>0</v>
      </c>
      <c r="K3305" s="9" t="e">
        <f t="shared" si="475"/>
        <v>#DIV/0!</v>
      </c>
    </row>
    <row r="3306" spans="1:12" s="32" customFormat="1" x14ac:dyDescent="0.35">
      <c r="A3306" s="33" t="s">
        <v>412</v>
      </c>
      <c r="B3306" s="33" t="s">
        <v>202</v>
      </c>
      <c r="C3306" s="21" t="s">
        <v>275</v>
      </c>
      <c r="D3306" s="4">
        <v>9</v>
      </c>
      <c r="I3306" s="34">
        <f t="shared" si="474"/>
        <v>0</v>
      </c>
      <c r="J3306" s="34">
        <f t="shared" si="476"/>
        <v>0</v>
      </c>
      <c r="K3306" s="9" t="e">
        <f t="shared" si="475"/>
        <v>#DIV/0!</v>
      </c>
    </row>
    <row r="3307" spans="1:12" s="32" customFormat="1" x14ac:dyDescent="0.35">
      <c r="A3307" s="33" t="s">
        <v>412</v>
      </c>
      <c r="B3307" s="33" t="s">
        <v>202</v>
      </c>
      <c r="C3307" s="21" t="s">
        <v>275</v>
      </c>
      <c r="D3307" s="4">
        <v>10</v>
      </c>
      <c r="I3307" s="34">
        <f t="shared" si="474"/>
        <v>0</v>
      </c>
      <c r="J3307" s="34">
        <f t="shared" si="476"/>
        <v>0</v>
      </c>
      <c r="K3307" s="9" t="e">
        <f t="shared" si="475"/>
        <v>#DIV/0!</v>
      </c>
    </row>
    <row r="3308" spans="1:12" s="32" customFormat="1" x14ac:dyDescent="0.35">
      <c r="A3308" s="33" t="s">
        <v>412</v>
      </c>
      <c r="B3308" s="33" t="s">
        <v>202</v>
      </c>
      <c r="C3308" s="21" t="s">
        <v>275</v>
      </c>
      <c r="D3308" s="4">
        <v>11</v>
      </c>
      <c r="I3308" s="34">
        <f t="shared" si="474"/>
        <v>0</v>
      </c>
      <c r="J3308" s="34">
        <f t="shared" si="476"/>
        <v>0</v>
      </c>
      <c r="K3308" s="9" t="e">
        <f t="shared" si="475"/>
        <v>#DIV/0!</v>
      </c>
    </row>
    <row r="3309" spans="1:12" s="32" customFormat="1" x14ac:dyDescent="0.35">
      <c r="A3309" s="33" t="s">
        <v>412</v>
      </c>
      <c r="B3309" s="33" t="s">
        <v>202</v>
      </c>
      <c r="C3309" s="21" t="s">
        <v>275</v>
      </c>
      <c r="D3309" s="4">
        <v>12</v>
      </c>
      <c r="I3309" s="34">
        <f t="shared" si="474"/>
        <v>0</v>
      </c>
      <c r="J3309" s="34">
        <f t="shared" si="476"/>
        <v>0</v>
      </c>
      <c r="K3309" s="9" t="e">
        <f t="shared" si="475"/>
        <v>#DIV/0!</v>
      </c>
    </row>
    <row r="3310" spans="1:12" s="32" customFormat="1" x14ac:dyDescent="0.35">
      <c r="A3310" s="33" t="s">
        <v>412</v>
      </c>
      <c r="B3310" s="33" t="s">
        <v>202</v>
      </c>
      <c r="C3310" s="21" t="s">
        <v>275</v>
      </c>
      <c r="D3310" s="4">
        <v>13</v>
      </c>
      <c r="I3310" s="34">
        <f t="shared" si="474"/>
        <v>0</v>
      </c>
      <c r="J3310" s="34">
        <f t="shared" si="476"/>
        <v>0</v>
      </c>
      <c r="K3310" s="9" t="e">
        <f t="shared" si="475"/>
        <v>#DIV/0!</v>
      </c>
    </row>
    <row r="3311" spans="1:12" s="32" customFormat="1" x14ac:dyDescent="0.35">
      <c r="A3311" s="33" t="s">
        <v>412</v>
      </c>
      <c r="B3311" s="33" t="s">
        <v>202</v>
      </c>
      <c r="C3311" s="21" t="s">
        <v>275</v>
      </c>
      <c r="D3311" s="4">
        <v>14</v>
      </c>
      <c r="I3311" s="34">
        <f t="shared" si="474"/>
        <v>0</v>
      </c>
      <c r="J3311" s="34">
        <f t="shared" si="476"/>
        <v>0</v>
      </c>
      <c r="K3311" s="9" t="e">
        <f t="shared" si="475"/>
        <v>#DIV/0!</v>
      </c>
    </row>
    <row r="3312" spans="1:12" s="32" customFormat="1" x14ac:dyDescent="0.35">
      <c r="A3312" s="33" t="s">
        <v>412</v>
      </c>
      <c r="B3312" s="33" t="s">
        <v>202</v>
      </c>
      <c r="C3312" s="21" t="s">
        <v>275</v>
      </c>
      <c r="D3312" s="4">
        <v>15</v>
      </c>
      <c r="I3312" s="34">
        <f t="shared" si="474"/>
        <v>0</v>
      </c>
      <c r="J3312" s="34">
        <f t="shared" si="476"/>
        <v>0</v>
      </c>
      <c r="K3312" s="9" t="e">
        <f t="shared" si="475"/>
        <v>#DIV/0!</v>
      </c>
    </row>
    <row r="3313" spans="1:12" s="32" customFormat="1" ht="15" thickBot="1" x14ac:dyDescent="0.4">
      <c r="A3313" s="12" t="s">
        <v>412</v>
      </c>
      <c r="B3313" s="12" t="s">
        <v>202</v>
      </c>
      <c r="C3313" s="22" t="s">
        <v>275</v>
      </c>
      <c r="D3313" s="14">
        <v>16</v>
      </c>
      <c r="E3313" s="13"/>
      <c r="F3313" s="13"/>
      <c r="G3313" s="13"/>
      <c r="H3313" s="13"/>
      <c r="I3313" s="15">
        <f t="shared" si="474"/>
        <v>0</v>
      </c>
      <c r="J3313" s="15">
        <f t="shared" si="476"/>
        <v>0</v>
      </c>
      <c r="K3313" s="16" t="e">
        <f t="shared" si="475"/>
        <v>#DIV/0!</v>
      </c>
      <c r="L3313" s="13"/>
    </row>
    <row r="3314" spans="1:12" x14ac:dyDescent="0.35">
      <c r="A3314" s="31" t="s">
        <v>413</v>
      </c>
      <c r="B3314" s="33" t="s">
        <v>418</v>
      </c>
      <c r="C3314" s="21" t="s">
        <v>275</v>
      </c>
      <c r="D3314" s="4">
        <v>1</v>
      </c>
      <c r="E3314" s="32"/>
      <c r="F3314" s="3"/>
      <c r="G3314" s="32"/>
      <c r="H3314" s="32"/>
      <c r="I3314" s="34">
        <f t="shared" ref="I3314:I3329" si="477">G3314-H3314</f>
        <v>0</v>
      </c>
      <c r="J3314" s="34">
        <f>I3314</f>
        <v>0</v>
      </c>
      <c r="K3314" s="9" t="e">
        <f t="shared" si="475"/>
        <v>#DIV/0!</v>
      </c>
    </row>
    <row r="3315" spans="1:12" x14ac:dyDescent="0.35">
      <c r="A3315" s="33" t="s">
        <v>413</v>
      </c>
      <c r="B3315" s="33" t="s">
        <v>418</v>
      </c>
      <c r="C3315" s="21" t="s">
        <v>275</v>
      </c>
      <c r="D3315" s="4">
        <v>2</v>
      </c>
      <c r="E3315" s="32"/>
      <c r="F3315" s="32"/>
      <c r="G3315" s="32"/>
      <c r="H3315" s="32"/>
      <c r="I3315" s="34">
        <f t="shared" si="477"/>
        <v>0</v>
      </c>
      <c r="J3315" s="34">
        <f>J3314+I3315</f>
        <v>0</v>
      </c>
      <c r="K3315" s="9" t="e">
        <f t="shared" ref="K3315:K3329" si="478">I3315/H3315</f>
        <v>#DIV/0!</v>
      </c>
    </row>
    <row r="3316" spans="1:12" x14ac:dyDescent="0.35">
      <c r="A3316" s="33" t="s">
        <v>413</v>
      </c>
      <c r="B3316" s="33" t="s">
        <v>418</v>
      </c>
      <c r="C3316" s="21" t="s">
        <v>275</v>
      </c>
      <c r="D3316" s="4">
        <v>3</v>
      </c>
      <c r="E3316" s="32"/>
      <c r="F3316" s="32"/>
      <c r="G3316" s="32"/>
      <c r="H3316" s="32"/>
      <c r="I3316" s="34">
        <f t="shared" si="477"/>
        <v>0</v>
      </c>
      <c r="J3316" s="34">
        <f t="shared" ref="J3316:J3329" si="479">J3315+I3316</f>
        <v>0</v>
      </c>
      <c r="K3316" s="9" t="e">
        <f t="shared" si="478"/>
        <v>#DIV/0!</v>
      </c>
    </row>
    <row r="3317" spans="1:12" x14ac:dyDescent="0.35">
      <c r="A3317" s="33" t="s">
        <v>413</v>
      </c>
      <c r="B3317" s="33" t="s">
        <v>418</v>
      </c>
      <c r="C3317" s="21" t="s">
        <v>275</v>
      </c>
      <c r="D3317" s="4">
        <v>4</v>
      </c>
      <c r="E3317" s="32"/>
      <c r="F3317" s="32"/>
      <c r="G3317" s="32"/>
      <c r="H3317" s="32"/>
      <c r="I3317" s="34">
        <f t="shared" si="477"/>
        <v>0</v>
      </c>
      <c r="J3317" s="34">
        <f t="shared" si="479"/>
        <v>0</v>
      </c>
      <c r="K3317" s="9" t="e">
        <f t="shared" si="478"/>
        <v>#DIV/0!</v>
      </c>
    </row>
    <row r="3318" spans="1:12" x14ac:dyDescent="0.35">
      <c r="A3318" s="33" t="s">
        <v>413</v>
      </c>
      <c r="B3318" s="33" t="s">
        <v>418</v>
      </c>
      <c r="C3318" s="21" t="s">
        <v>275</v>
      </c>
      <c r="D3318" s="4">
        <v>5</v>
      </c>
      <c r="E3318" s="32"/>
      <c r="F3318" s="32"/>
      <c r="G3318" s="32"/>
      <c r="H3318" s="32"/>
      <c r="I3318" s="34">
        <f t="shared" si="477"/>
        <v>0</v>
      </c>
      <c r="J3318" s="34">
        <f t="shared" si="479"/>
        <v>0</v>
      </c>
      <c r="K3318" s="9" t="e">
        <f t="shared" si="478"/>
        <v>#DIV/0!</v>
      </c>
    </row>
    <row r="3319" spans="1:12" x14ac:dyDescent="0.35">
      <c r="A3319" s="33" t="s">
        <v>413</v>
      </c>
      <c r="B3319" s="33" t="s">
        <v>418</v>
      </c>
      <c r="C3319" s="21" t="s">
        <v>275</v>
      </c>
      <c r="D3319" s="4">
        <v>6</v>
      </c>
      <c r="E3319" s="32"/>
      <c r="F3319" s="32"/>
      <c r="G3319" s="32"/>
      <c r="H3319" s="32"/>
      <c r="I3319" s="34">
        <f t="shared" si="477"/>
        <v>0</v>
      </c>
      <c r="J3319" s="34">
        <f t="shared" si="479"/>
        <v>0</v>
      </c>
      <c r="K3319" s="9" t="e">
        <f t="shared" si="478"/>
        <v>#DIV/0!</v>
      </c>
    </row>
    <row r="3320" spans="1:12" x14ac:dyDescent="0.35">
      <c r="A3320" s="33" t="s">
        <v>413</v>
      </c>
      <c r="B3320" s="33" t="s">
        <v>418</v>
      </c>
      <c r="C3320" s="21" t="s">
        <v>275</v>
      </c>
      <c r="D3320" s="4">
        <v>7</v>
      </c>
      <c r="E3320" s="32"/>
      <c r="F3320" s="32"/>
      <c r="G3320" s="32"/>
      <c r="H3320" s="32"/>
      <c r="I3320" s="34">
        <f t="shared" si="477"/>
        <v>0</v>
      </c>
      <c r="J3320" s="34">
        <f t="shared" si="479"/>
        <v>0</v>
      </c>
      <c r="K3320" s="9" t="e">
        <f t="shared" si="478"/>
        <v>#DIV/0!</v>
      </c>
    </row>
    <row r="3321" spans="1:12" x14ac:dyDescent="0.35">
      <c r="A3321" s="33" t="s">
        <v>413</v>
      </c>
      <c r="B3321" s="33" t="s">
        <v>418</v>
      </c>
      <c r="C3321" s="21" t="s">
        <v>275</v>
      </c>
      <c r="D3321" s="4">
        <v>8</v>
      </c>
      <c r="E3321" s="32"/>
      <c r="F3321" s="32"/>
      <c r="G3321" s="32"/>
      <c r="H3321" s="32"/>
      <c r="I3321" s="34">
        <f t="shared" si="477"/>
        <v>0</v>
      </c>
      <c r="J3321" s="34">
        <f t="shared" si="479"/>
        <v>0</v>
      </c>
      <c r="K3321" s="9" t="e">
        <f t="shared" si="478"/>
        <v>#DIV/0!</v>
      </c>
    </row>
    <row r="3322" spans="1:12" x14ac:dyDescent="0.35">
      <c r="A3322" s="33" t="s">
        <v>413</v>
      </c>
      <c r="B3322" s="33" t="s">
        <v>418</v>
      </c>
      <c r="C3322" s="21" t="s">
        <v>275</v>
      </c>
      <c r="D3322" s="4">
        <v>9</v>
      </c>
      <c r="E3322" s="32"/>
      <c r="F3322" s="32"/>
      <c r="G3322" s="32"/>
      <c r="H3322" s="32"/>
      <c r="I3322" s="34">
        <f t="shared" si="477"/>
        <v>0</v>
      </c>
      <c r="J3322" s="34">
        <f t="shared" si="479"/>
        <v>0</v>
      </c>
      <c r="K3322" s="9" t="e">
        <f t="shared" si="478"/>
        <v>#DIV/0!</v>
      </c>
    </row>
    <row r="3323" spans="1:12" x14ac:dyDescent="0.35">
      <c r="A3323" s="33" t="s">
        <v>413</v>
      </c>
      <c r="B3323" s="33" t="s">
        <v>418</v>
      </c>
      <c r="C3323" s="21" t="s">
        <v>275</v>
      </c>
      <c r="D3323" s="4">
        <v>10</v>
      </c>
      <c r="E3323" s="32"/>
      <c r="F3323" s="32"/>
      <c r="G3323" s="32"/>
      <c r="H3323" s="32"/>
      <c r="I3323" s="34">
        <f t="shared" si="477"/>
        <v>0</v>
      </c>
      <c r="J3323" s="34">
        <f t="shared" si="479"/>
        <v>0</v>
      </c>
      <c r="K3323" s="9" t="e">
        <f t="shared" si="478"/>
        <v>#DIV/0!</v>
      </c>
    </row>
    <row r="3324" spans="1:12" x14ac:dyDescent="0.35">
      <c r="A3324" s="33" t="s">
        <v>413</v>
      </c>
      <c r="B3324" s="33" t="s">
        <v>418</v>
      </c>
      <c r="C3324" s="21" t="s">
        <v>275</v>
      </c>
      <c r="D3324" s="4">
        <v>11</v>
      </c>
      <c r="E3324" s="32"/>
      <c r="F3324" s="32"/>
      <c r="G3324" s="32"/>
      <c r="H3324" s="32"/>
      <c r="I3324" s="34">
        <f t="shared" si="477"/>
        <v>0</v>
      </c>
      <c r="J3324" s="34">
        <f t="shared" si="479"/>
        <v>0</v>
      </c>
      <c r="K3324" s="9" t="e">
        <f t="shared" si="478"/>
        <v>#DIV/0!</v>
      </c>
    </row>
    <row r="3325" spans="1:12" x14ac:dyDescent="0.35">
      <c r="A3325" s="33" t="s">
        <v>413</v>
      </c>
      <c r="B3325" s="33" t="s">
        <v>418</v>
      </c>
      <c r="C3325" s="21" t="s">
        <v>275</v>
      </c>
      <c r="D3325" s="4">
        <v>12</v>
      </c>
      <c r="E3325" s="32"/>
      <c r="F3325" s="32"/>
      <c r="G3325" s="32"/>
      <c r="H3325" s="32"/>
      <c r="I3325" s="34">
        <f t="shared" si="477"/>
        <v>0</v>
      </c>
      <c r="J3325" s="34">
        <f t="shared" si="479"/>
        <v>0</v>
      </c>
      <c r="K3325" s="9" t="e">
        <f t="shared" si="478"/>
        <v>#DIV/0!</v>
      </c>
    </row>
    <row r="3326" spans="1:12" x14ac:dyDescent="0.35">
      <c r="A3326" s="33" t="s">
        <v>413</v>
      </c>
      <c r="B3326" s="33" t="s">
        <v>418</v>
      </c>
      <c r="C3326" s="21" t="s">
        <v>275</v>
      </c>
      <c r="D3326" s="4">
        <v>13</v>
      </c>
      <c r="E3326" s="32"/>
      <c r="F3326" s="32"/>
      <c r="G3326" s="32"/>
      <c r="H3326" s="32"/>
      <c r="I3326" s="34">
        <f t="shared" si="477"/>
        <v>0</v>
      </c>
      <c r="J3326" s="34">
        <f t="shared" si="479"/>
        <v>0</v>
      </c>
      <c r="K3326" s="9" t="e">
        <f t="shared" si="478"/>
        <v>#DIV/0!</v>
      </c>
    </row>
    <row r="3327" spans="1:12" x14ac:dyDescent="0.35">
      <c r="A3327" s="33" t="s">
        <v>413</v>
      </c>
      <c r="B3327" s="33" t="s">
        <v>418</v>
      </c>
      <c r="C3327" s="21" t="s">
        <v>275</v>
      </c>
      <c r="D3327" s="4">
        <v>14</v>
      </c>
      <c r="E3327" s="32"/>
      <c r="F3327" s="32"/>
      <c r="G3327" s="32"/>
      <c r="H3327" s="32"/>
      <c r="I3327" s="34">
        <f t="shared" si="477"/>
        <v>0</v>
      </c>
      <c r="J3327" s="34">
        <f t="shared" si="479"/>
        <v>0</v>
      </c>
      <c r="K3327" s="9" t="e">
        <f t="shared" si="478"/>
        <v>#DIV/0!</v>
      </c>
    </row>
    <row r="3328" spans="1:12" x14ac:dyDescent="0.35">
      <c r="A3328" s="33" t="s">
        <v>413</v>
      </c>
      <c r="B3328" s="33" t="s">
        <v>418</v>
      </c>
      <c r="C3328" s="21" t="s">
        <v>275</v>
      </c>
      <c r="D3328" s="4">
        <v>15</v>
      </c>
      <c r="E3328" s="32"/>
      <c r="F3328" s="32"/>
      <c r="G3328" s="32"/>
      <c r="H3328" s="32"/>
      <c r="I3328" s="34">
        <f t="shared" si="477"/>
        <v>0</v>
      </c>
      <c r="J3328" s="34">
        <f t="shared" si="479"/>
        <v>0</v>
      </c>
      <c r="K3328" s="9" t="e">
        <f t="shared" si="478"/>
        <v>#DIV/0!</v>
      </c>
    </row>
    <row r="3329" spans="1:11" x14ac:dyDescent="0.35">
      <c r="A3329" s="33" t="s">
        <v>413</v>
      </c>
      <c r="B3329" s="33" t="s">
        <v>418</v>
      </c>
      <c r="C3329" s="21" t="s">
        <v>275</v>
      </c>
      <c r="D3329" s="4">
        <v>16</v>
      </c>
      <c r="E3329" s="32"/>
      <c r="F3329" s="32"/>
      <c r="G3329" s="32"/>
      <c r="H3329" s="32"/>
      <c r="I3329" s="34">
        <f t="shared" si="477"/>
        <v>0</v>
      </c>
      <c r="J3329" s="34">
        <f t="shared" si="479"/>
        <v>0</v>
      </c>
      <c r="K3329" s="9" t="e">
        <f t="shared" si="478"/>
        <v>#DIV/0!</v>
      </c>
    </row>
    <row r="3330" spans="1:11" x14ac:dyDescent="0.35">
      <c r="A3330" s="2"/>
    </row>
    <row r="3331" spans="1:11" x14ac:dyDescent="0.35">
      <c r="A3331" s="2"/>
    </row>
    <row r="3332" spans="1:11" x14ac:dyDescent="0.35">
      <c r="A3332" s="2"/>
    </row>
    <row r="3333" spans="1:11" x14ac:dyDescent="0.35">
      <c r="A3333" s="2"/>
    </row>
    <row r="3334" spans="1:11" x14ac:dyDescent="0.35">
      <c r="A3334" s="2"/>
    </row>
    <row r="3335" spans="1:11" x14ac:dyDescent="0.35">
      <c r="A3335" s="2"/>
    </row>
    <row r="3336" spans="1:11" x14ac:dyDescent="0.35">
      <c r="A3336" s="2"/>
    </row>
    <row r="3337" spans="1:11" x14ac:dyDescent="0.35">
      <c r="A3337" s="2"/>
    </row>
    <row r="3338" spans="1:11" x14ac:dyDescent="0.35">
      <c r="A3338" s="2"/>
    </row>
    <row r="3339" spans="1:11" x14ac:dyDescent="0.35">
      <c r="A3339" s="2"/>
    </row>
    <row r="3340" spans="1:11" x14ac:dyDescent="0.35">
      <c r="A3340" s="2"/>
    </row>
    <row r="3341" spans="1:11" x14ac:dyDescent="0.35">
      <c r="A3341" s="2"/>
    </row>
    <row r="3342" spans="1:11" x14ac:dyDescent="0.35">
      <c r="A3342" s="2"/>
    </row>
    <row r="3343" spans="1:11" x14ac:dyDescent="0.35">
      <c r="A3343" s="2"/>
    </row>
    <row r="3344" spans="1:11" x14ac:dyDescent="0.35">
      <c r="A3344" s="2"/>
    </row>
    <row r="3345" spans="1:1" x14ac:dyDescent="0.35">
      <c r="A3345" s="2"/>
    </row>
    <row r="3346" spans="1:1" x14ac:dyDescent="0.35">
      <c r="A3346" s="2"/>
    </row>
    <row r="3347" spans="1:1" x14ac:dyDescent="0.35">
      <c r="A3347" s="2"/>
    </row>
    <row r="3348" spans="1:1" x14ac:dyDescent="0.35">
      <c r="A3348" s="2"/>
    </row>
    <row r="3349" spans="1:1" x14ac:dyDescent="0.35">
      <c r="A3349" s="2"/>
    </row>
    <row r="3350" spans="1:1" x14ac:dyDescent="0.35">
      <c r="A3350" s="2"/>
    </row>
    <row r="3351" spans="1:1" x14ac:dyDescent="0.35">
      <c r="A3351" s="2"/>
    </row>
    <row r="3352" spans="1:1" x14ac:dyDescent="0.35">
      <c r="A3352" s="2"/>
    </row>
    <row r="3353" spans="1:1" x14ac:dyDescent="0.35">
      <c r="A3353" s="2"/>
    </row>
    <row r="3354" spans="1:1" x14ac:dyDescent="0.35">
      <c r="A3354" s="2"/>
    </row>
  </sheetData>
  <phoneticPr fontId="3" type="noConversion"/>
  <conditionalFormatting sqref="A1762">
    <cfRule type="duplicateValues" dxfId="0" priority="1"/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A0A76-B951-4EE5-ADF4-81CC76F44BAA}">
  <dimension ref="A1:D209"/>
  <sheetViews>
    <sheetView workbookViewId="0">
      <selection activeCell="B11" sqref="B11"/>
    </sheetView>
  </sheetViews>
  <sheetFormatPr baseColWidth="10" defaultRowHeight="14.5" x14ac:dyDescent="0.35"/>
  <cols>
    <col min="2" max="2" width="27.453125" customWidth="1"/>
    <col min="3" max="3" width="6.54296875" style="21" customWidth="1"/>
    <col min="4" max="4" width="12.90625" customWidth="1"/>
  </cols>
  <sheetData>
    <row r="1" spans="1:4" ht="28" customHeight="1" x14ac:dyDescent="0.35">
      <c r="A1" s="10" t="s">
        <v>3</v>
      </c>
      <c r="B1" s="10" t="s">
        <v>2</v>
      </c>
      <c r="C1" s="20" t="s">
        <v>274</v>
      </c>
      <c r="D1" s="11" t="s">
        <v>14</v>
      </c>
    </row>
    <row r="2" spans="1:4" x14ac:dyDescent="0.35">
      <c r="A2" s="2" t="s">
        <v>5</v>
      </c>
      <c r="B2" t="s">
        <v>1</v>
      </c>
      <c r="C2" s="21" t="s">
        <v>275</v>
      </c>
      <c r="D2" s="1">
        <f>AHORROS!J17</f>
        <v>9516.8299999999981</v>
      </c>
    </row>
    <row r="3" spans="1:4" x14ac:dyDescent="0.35">
      <c r="A3" s="2" t="s">
        <v>4</v>
      </c>
      <c r="B3" t="s">
        <v>0</v>
      </c>
      <c r="C3" s="21" t="s">
        <v>275</v>
      </c>
      <c r="D3" s="1">
        <f>AHORROS!J33</f>
        <v>18741.310000000012</v>
      </c>
    </row>
    <row r="4" spans="1:4" x14ac:dyDescent="0.35">
      <c r="A4" s="44" t="s">
        <v>6</v>
      </c>
      <c r="B4" s="47" t="s">
        <v>7</v>
      </c>
      <c r="C4" s="48" t="s">
        <v>275</v>
      </c>
      <c r="D4" s="51">
        <f>AHORROS!J49</f>
        <v>6188.7999999999993</v>
      </c>
    </row>
    <row r="5" spans="1:4" s="32" customFormat="1" x14ac:dyDescent="0.35">
      <c r="A5" s="33" t="s">
        <v>6</v>
      </c>
      <c r="B5" s="32" t="s">
        <v>7</v>
      </c>
      <c r="C5" s="21" t="s">
        <v>419</v>
      </c>
      <c r="D5" s="34">
        <f>AHORROS!J65</f>
        <v>0</v>
      </c>
    </row>
    <row r="6" spans="1:4" x14ac:dyDescent="0.35">
      <c r="A6" s="2" t="s">
        <v>9</v>
      </c>
      <c r="B6" t="s">
        <v>8</v>
      </c>
      <c r="C6" s="21" t="s">
        <v>275</v>
      </c>
      <c r="D6" s="1">
        <f>AHORROS!J81</f>
        <v>14135.8</v>
      </c>
    </row>
    <row r="7" spans="1:4" x14ac:dyDescent="0.35">
      <c r="A7" s="2" t="s">
        <v>12</v>
      </c>
      <c r="B7" t="s">
        <v>13</v>
      </c>
      <c r="C7" s="21" t="s">
        <v>275</v>
      </c>
      <c r="D7" s="1">
        <f>AHORROS!J97</f>
        <v>8608.7599999999984</v>
      </c>
    </row>
    <row r="8" spans="1:4" x14ac:dyDescent="0.35">
      <c r="A8" s="2" t="s">
        <v>10</v>
      </c>
      <c r="B8" t="s">
        <v>11</v>
      </c>
      <c r="C8" s="21" t="s">
        <v>275</v>
      </c>
      <c r="D8" s="1">
        <f>AHORROS!J113</f>
        <v>13031.8</v>
      </c>
    </row>
    <row r="9" spans="1:4" x14ac:dyDescent="0.35">
      <c r="A9" s="44" t="s">
        <v>15</v>
      </c>
      <c r="B9" s="47" t="s">
        <v>16</v>
      </c>
      <c r="C9" s="48" t="s">
        <v>275</v>
      </c>
      <c r="D9" s="51">
        <f>AHORROS!J129</f>
        <v>8069.84</v>
      </c>
    </row>
    <row r="10" spans="1:4" s="41" customFormat="1" x14ac:dyDescent="0.35">
      <c r="A10" s="42" t="s">
        <v>15</v>
      </c>
      <c r="B10" s="41" t="s">
        <v>16</v>
      </c>
      <c r="C10" s="21" t="s">
        <v>419</v>
      </c>
      <c r="D10" s="43">
        <f>AHORROS!J145</f>
        <v>0</v>
      </c>
    </row>
    <row r="11" spans="1:4" x14ac:dyDescent="0.35">
      <c r="A11" s="2" t="s">
        <v>17</v>
      </c>
      <c r="B11" t="s">
        <v>18</v>
      </c>
      <c r="C11" s="21" t="s">
        <v>275</v>
      </c>
      <c r="D11" s="1">
        <f>AHORROS!J161</f>
        <v>1374.8999999999996</v>
      </c>
    </row>
    <row r="12" spans="1:4" x14ac:dyDescent="0.35">
      <c r="A12" s="2" t="s">
        <v>19</v>
      </c>
      <c r="B12" t="s">
        <v>20</v>
      </c>
      <c r="C12" s="21" t="s">
        <v>275</v>
      </c>
      <c r="D12" s="1">
        <f>AHORROS!J177</f>
        <v>5555.7599999999984</v>
      </c>
    </row>
    <row r="13" spans="1:4" x14ac:dyDescent="0.35">
      <c r="A13" s="2" t="s">
        <v>21</v>
      </c>
      <c r="B13" t="s">
        <v>22</v>
      </c>
      <c r="C13" s="21" t="s">
        <v>275</v>
      </c>
      <c r="D13" s="1">
        <f>AHORROS!J193</f>
        <v>2909.5200000000004</v>
      </c>
    </row>
    <row r="14" spans="1:4" x14ac:dyDescent="0.35">
      <c r="A14" s="2" t="s">
        <v>23</v>
      </c>
      <c r="B14" t="s">
        <v>24</v>
      </c>
      <c r="C14" s="21" t="s">
        <v>275</v>
      </c>
      <c r="D14" s="1">
        <f>AHORROS!J209</f>
        <v>8270.82</v>
      </c>
    </row>
    <row r="15" spans="1:4" x14ac:dyDescent="0.35">
      <c r="A15" s="2" t="s">
        <v>25</v>
      </c>
      <c r="B15" t="s">
        <v>26</v>
      </c>
      <c r="C15" s="21" t="s">
        <v>275</v>
      </c>
      <c r="D15" s="1">
        <f>AHORROS!J225</f>
        <v>10354.779999999999</v>
      </c>
    </row>
    <row r="16" spans="1:4" x14ac:dyDescent="0.35">
      <c r="A16" s="2" t="s">
        <v>27</v>
      </c>
      <c r="B16" t="s">
        <v>28</v>
      </c>
      <c r="C16" s="21" t="s">
        <v>275</v>
      </c>
      <c r="D16" s="1">
        <f>AHORROS!J241</f>
        <v>2964.96</v>
      </c>
    </row>
    <row r="17" spans="1:4" x14ac:dyDescent="0.35">
      <c r="A17" s="2" t="s">
        <v>30</v>
      </c>
      <c r="B17" t="s">
        <v>29</v>
      </c>
      <c r="C17" s="21" t="s">
        <v>275</v>
      </c>
      <c r="D17" s="1">
        <f>AHORROS!J257</f>
        <v>3026.9300000000003</v>
      </c>
    </row>
    <row r="18" spans="1:4" x14ac:dyDescent="0.35">
      <c r="A18" s="2" t="s">
        <v>31</v>
      </c>
      <c r="B18" t="s">
        <v>32</v>
      </c>
      <c r="C18" s="21" t="s">
        <v>275</v>
      </c>
      <c r="D18" s="1">
        <f>AHORROS!J273</f>
        <v>3409.95</v>
      </c>
    </row>
    <row r="19" spans="1:4" x14ac:dyDescent="0.35">
      <c r="A19" s="2" t="s">
        <v>33</v>
      </c>
      <c r="B19" t="s">
        <v>34</v>
      </c>
      <c r="C19" s="21" t="s">
        <v>275</v>
      </c>
      <c r="D19" s="1">
        <f>AHORROS!J289</f>
        <v>4761</v>
      </c>
    </row>
    <row r="20" spans="1:4" x14ac:dyDescent="0.35">
      <c r="A20" s="2" t="s">
        <v>36</v>
      </c>
      <c r="B20" t="s">
        <v>35</v>
      </c>
      <c r="C20" s="21" t="s">
        <v>275</v>
      </c>
      <c r="D20" s="1">
        <f>AHORROS!J305</f>
        <v>7632.6799999999912</v>
      </c>
    </row>
    <row r="21" spans="1:4" x14ac:dyDescent="0.35">
      <c r="A21" s="2" t="s">
        <v>37</v>
      </c>
      <c r="B21" t="s">
        <v>38</v>
      </c>
      <c r="C21" s="21" t="s">
        <v>275</v>
      </c>
      <c r="D21" s="1">
        <f>AHORROS!J321</f>
        <v>2537.92</v>
      </c>
    </row>
    <row r="22" spans="1:4" x14ac:dyDescent="0.35">
      <c r="A22" s="2" t="s">
        <v>40</v>
      </c>
      <c r="B22" t="s">
        <v>41</v>
      </c>
      <c r="C22" s="21" t="s">
        <v>275</v>
      </c>
      <c r="D22" s="1">
        <f>AHORROS!J337</f>
        <v>3563.6699999999978</v>
      </c>
    </row>
    <row r="23" spans="1:4" x14ac:dyDescent="0.35">
      <c r="A23" s="2" t="s">
        <v>39</v>
      </c>
      <c r="B23" t="s">
        <v>42</v>
      </c>
      <c r="C23" s="21" t="s">
        <v>275</v>
      </c>
      <c r="D23" s="1">
        <f>AHORROS!J353</f>
        <v>3992</v>
      </c>
    </row>
    <row r="24" spans="1:4" x14ac:dyDescent="0.35">
      <c r="A24" s="2" t="s">
        <v>44</v>
      </c>
      <c r="B24" t="s">
        <v>43</v>
      </c>
      <c r="C24" s="21" t="s">
        <v>275</v>
      </c>
      <c r="D24" s="1">
        <f>AHORROS!J369</f>
        <v>3689</v>
      </c>
    </row>
    <row r="25" spans="1:4" x14ac:dyDescent="0.35">
      <c r="A25" s="2" t="s">
        <v>45</v>
      </c>
      <c r="B25" t="s">
        <v>46</v>
      </c>
      <c r="C25" s="21" t="s">
        <v>275</v>
      </c>
      <c r="D25" s="1">
        <f>AHORROS!J385</f>
        <v>7538</v>
      </c>
    </row>
    <row r="26" spans="1:4" x14ac:dyDescent="0.35">
      <c r="A26" s="2" t="s">
        <v>47</v>
      </c>
      <c r="B26" t="s">
        <v>48</v>
      </c>
      <c r="C26" s="21" t="s">
        <v>275</v>
      </c>
      <c r="D26" s="1">
        <f>AHORROS!J401</f>
        <v>5089.0999999999985</v>
      </c>
    </row>
    <row r="27" spans="1:4" x14ac:dyDescent="0.35">
      <c r="A27" s="2" t="s">
        <v>49</v>
      </c>
      <c r="B27" t="s">
        <v>50</v>
      </c>
      <c r="C27" s="21" t="s">
        <v>275</v>
      </c>
      <c r="D27" s="1">
        <f>AHORROS!J417</f>
        <v>3488</v>
      </c>
    </row>
    <row r="28" spans="1:4" x14ac:dyDescent="0.35">
      <c r="A28" s="2" t="s">
        <v>51</v>
      </c>
      <c r="B28" t="s">
        <v>52</v>
      </c>
      <c r="C28" s="21" t="s">
        <v>275</v>
      </c>
      <c r="D28" s="1">
        <f>AHORROS!J433</f>
        <v>13179</v>
      </c>
    </row>
    <row r="29" spans="1:4" x14ac:dyDescent="0.35">
      <c r="A29" s="2" t="s">
        <v>53</v>
      </c>
      <c r="B29" t="s">
        <v>54</v>
      </c>
      <c r="C29" s="21" t="s">
        <v>275</v>
      </c>
      <c r="D29" s="1">
        <f>AHORROS!J449</f>
        <v>3894</v>
      </c>
    </row>
    <row r="30" spans="1:4" x14ac:dyDescent="0.35">
      <c r="A30" s="2" t="s">
        <v>55</v>
      </c>
      <c r="B30" t="s">
        <v>56</v>
      </c>
      <c r="C30" s="21" t="s">
        <v>275</v>
      </c>
      <c r="D30" s="1">
        <f>AHORROS!J465</f>
        <v>7394</v>
      </c>
    </row>
    <row r="31" spans="1:4" x14ac:dyDescent="0.35">
      <c r="A31" s="2" t="s">
        <v>57</v>
      </c>
      <c r="B31" t="s">
        <v>58</v>
      </c>
      <c r="C31" s="21" t="s">
        <v>275</v>
      </c>
      <c r="D31" s="1">
        <f>AHORROS!J481</f>
        <v>5928</v>
      </c>
    </row>
    <row r="32" spans="1:4" x14ac:dyDescent="0.35">
      <c r="A32" s="2" t="s">
        <v>59</v>
      </c>
      <c r="B32" t="s">
        <v>60</v>
      </c>
      <c r="C32" s="21" t="s">
        <v>275</v>
      </c>
      <c r="D32" s="1">
        <f>AHORROS!J497</f>
        <v>6452.8999999999942</v>
      </c>
    </row>
    <row r="33" spans="1:4" x14ac:dyDescent="0.35">
      <c r="A33" s="2" t="s">
        <v>61</v>
      </c>
      <c r="B33" t="s">
        <v>62</v>
      </c>
      <c r="C33" s="21" t="s">
        <v>275</v>
      </c>
      <c r="D33" s="1">
        <f>AHORROS!J513</f>
        <v>2260.6000000000004</v>
      </c>
    </row>
    <row r="34" spans="1:4" x14ac:dyDescent="0.35">
      <c r="A34" s="2" t="s">
        <v>64</v>
      </c>
      <c r="B34" t="s">
        <v>63</v>
      </c>
      <c r="C34" s="21" t="s">
        <v>275</v>
      </c>
      <c r="D34" s="1">
        <f>AHORROS!J529</f>
        <v>4690</v>
      </c>
    </row>
    <row r="35" spans="1:4" x14ac:dyDescent="0.35">
      <c r="A35" s="2" t="s">
        <v>65</v>
      </c>
      <c r="B35" t="s">
        <v>66</v>
      </c>
      <c r="C35" s="21" t="s">
        <v>275</v>
      </c>
      <c r="D35" s="1">
        <f>AHORROS!J545</f>
        <v>4620</v>
      </c>
    </row>
    <row r="36" spans="1:4" x14ac:dyDescent="0.35">
      <c r="A36" s="2" t="s">
        <v>67</v>
      </c>
      <c r="B36" t="s">
        <v>68</v>
      </c>
      <c r="C36" s="21" t="s">
        <v>275</v>
      </c>
      <c r="D36" s="1">
        <f>AHORROS!J561</f>
        <v>46750.800000000017</v>
      </c>
    </row>
    <row r="37" spans="1:4" x14ac:dyDescent="0.35">
      <c r="A37" s="2" t="s">
        <v>69</v>
      </c>
      <c r="B37" t="s">
        <v>70</v>
      </c>
      <c r="C37" s="21" t="s">
        <v>275</v>
      </c>
      <c r="D37" s="1">
        <f>AHORROS!J577</f>
        <v>2991</v>
      </c>
    </row>
    <row r="38" spans="1:4" x14ac:dyDescent="0.35">
      <c r="A38" s="2" t="s">
        <v>71</v>
      </c>
      <c r="B38" t="s">
        <v>72</v>
      </c>
      <c r="C38" s="21" t="s">
        <v>275</v>
      </c>
      <c r="D38" s="1">
        <f>AHORROS!J593</f>
        <v>2943</v>
      </c>
    </row>
    <row r="39" spans="1:4" x14ac:dyDescent="0.35">
      <c r="A39" s="2" t="s">
        <v>74</v>
      </c>
      <c r="B39" t="s">
        <v>73</v>
      </c>
      <c r="C39" s="21" t="s">
        <v>275</v>
      </c>
      <c r="D39" s="1">
        <f>AHORROS!J609</f>
        <v>3810</v>
      </c>
    </row>
    <row r="40" spans="1:4" x14ac:dyDescent="0.35">
      <c r="A40" s="2" t="s">
        <v>75</v>
      </c>
      <c r="B40" t="s">
        <v>76</v>
      </c>
      <c r="C40" s="21" t="s">
        <v>275</v>
      </c>
      <c r="D40" s="1">
        <f>AHORROS!J625</f>
        <v>5454</v>
      </c>
    </row>
    <row r="41" spans="1:4" x14ac:dyDescent="0.35">
      <c r="A41" s="2" t="s">
        <v>77</v>
      </c>
      <c r="B41" t="s">
        <v>78</v>
      </c>
      <c r="C41" s="21" t="s">
        <v>275</v>
      </c>
      <c r="D41" s="1">
        <f>AHORROS!J641</f>
        <v>10640</v>
      </c>
    </row>
    <row r="42" spans="1:4" x14ac:dyDescent="0.35">
      <c r="A42" s="2" t="s">
        <v>79</v>
      </c>
      <c r="B42" t="s">
        <v>80</v>
      </c>
      <c r="C42" s="21" t="s">
        <v>275</v>
      </c>
      <c r="D42" s="1">
        <f>AHORROS!J657</f>
        <v>3239</v>
      </c>
    </row>
    <row r="43" spans="1:4" x14ac:dyDescent="0.35">
      <c r="A43" s="2" t="s">
        <v>81</v>
      </c>
      <c r="B43" t="s">
        <v>82</v>
      </c>
      <c r="C43" s="21" t="s">
        <v>275</v>
      </c>
      <c r="D43" s="1">
        <f>AHORROS!J673</f>
        <v>1230</v>
      </c>
    </row>
    <row r="44" spans="1:4" x14ac:dyDescent="0.35">
      <c r="A44" s="2" t="s">
        <v>83</v>
      </c>
      <c r="B44" t="s">
        <v>84</v>
      </c>
      <c r="C44" s="21" t="s">
        <v>275</v>
      </c>
      <c r="D44" s="1">
        <f>AHORROS!J689</f>
        <v>61500</v>
      </c>
    </row>
    <row r="45" spans="1:4" x14ac:dyDescent="0.35">
      <c r="A45" s="2" t="s">
        <v>85</v>
      </c>
      <c r="B45" t="s">
        <v>86</v>
      </c>
      <c r="C45" s="21" t="s">
        <v>275</v>
      </c>
      <c r="D45" s="1">
        <f>AHORROS!J705</f>
        <v>3331.5499999999984</v>
      </c>
    </row>
    <row r="46" spans="1:4" x14ac:dyDescent="0.35">
      <c r="A46" s="2" t="s">
        <v>88</v>
      </c>
      <c r="B46" t="s">
        <v>87</v>
      </c>
      <c r="C46" s="21" t="s">
        <v>275</v>
      </c>
      <c r="D46" s="1">
        <f>AHORROS!J721</f>
        <v>1936</v>
      </c>
    </row>
    <row r="47" spans="1:4" x14ac:dyDescent="0.35">
      <c r="A47" s="2" t="s">
        <v>89</v>
      </c>
      <c r="B47" t="s">
        <v>90</v>
      </c>
      <c r="C47" s="21" t="s">
        <v>275</v>
      </c>
      <c r="D47" s="1">
        <f>AHORROS!J737</f>
        <v>8629.4999999999982</v>
      </c>
    </row>
    <row r="48" spans="1:4" x14ac:dyDescent="0.35">
      <c r="A48" s="2" t="s">
        <v>91</v>
      </c>
      <c r="B48" t="s">
        <v>92</v>
      </c>
      <c r="C48" s="21" t="s">
        <v>275</v>
      </c>
      <c r="D48" s="1">
        <f>AHORROS!J753</f>
        <v>7236</v>
      </c>
    </row>
    <row r="49" spans="1:4" x14ac:dyDescent="0.35">
      <c r="A49" s="2" t="s">
        <v>93</v>
      </c>
      <c r="B49" t="s">
        <v>94</v>
      </c>
      <c r="C49" s="21" t="s">
        <v>275</v>
      </c>
      <c r="D49" s="1">
        <f>AHORROS!J769</f>
        <v>4449.4999999999982</v>
      </c>
    </row>
    <row r="50" spans="1:4" x14ac:dyDescent="0.35">
      <c r="A50" s="2" t="s">
        <v>95</v>
      </c>
      <c r="B50" t="s">
        <v>96</v>
      </c>
      <c r="C50" s="21" t="s">
        <v>275</v>
      </c>
      <c r="D50" s="1">
        <f>AHORROS!J785</f>
        <v>4588</v>
      </c>
    </row>
    <row r="51" spans="1:4" x14ac:dyDescent="0.35">
      <c r="A51" s="2" t="s">
        <v>97</v>
      </c>
      <c r="B51" t="s">
        <v>98</v>
      </c>
      <c r="C51" s="21" t="s">
        <v>275</v>
      </c>
      <c r="D51" s="1">
        <f>AHORROS!J801</f>
        <v>3093.5999999999985</v>
      </c>
    </row>
    <row r="52" spans="1:4" x14ac:dyDescent="0.35">
      <c r="A52" s="2" t="s">
        <v>99</v>
      </c>
      <c r="B52" t="s">
        <v>100</v>
      </c>
      <c r="C52" s="21" t="s">
        <v>275</v>
      </c>
      <c r="D52" s="1">
        <f>AHORROS!J817</f>
        <v>7421</v>
      </c>
    </row>
    <row r="53" spans="1:4" x14ac:dyDescent="0.35">
      <c r="A53" s="2" t="s">
        <v>101</v>
      </c>
      <c r="B53" t="s">
        <v>102</v>
      </c>
      <c r="C53" s="21" t="s">
        <v>275</v>
      </c>
      <c r="D53" s="1">
        <f>AHORROS!J833</f>
        <v>3761.3700000000026</v>
      </c>
    </row>
    <row r="54" spans="1:4" x14ac:dyDescent="0.35">
      <c r="A54" s="2" t="s">
        <v>103</v>
      </c>
      <c r="B54" t="s">
        <v>104</v>
      </c>
      <c r="C54" s="21" t="s">
        <v>275</v>
      </c>
      <c r="D54" s="1">
        <f>AHORROS!J849</f>
        <v>6070.2800000000007</v>
      </c>
    </row>
    <row r="55" spans="1:4" x14ac:dyDescent="0.35">
      <c r="A55" s="2" t="s">
        <v>105</v>
      </c>
      <c r="B55" t="s">
        <v>106</v>
      </c>
      <c r="C55" s="21" t="s">
        <v>275</v>
      </c>
      <c r="D55" s="1">
        <f>AHORROS!J865</f>
        <v>5176</v>
      </c>
    </row>
    <row r="56" spans="1:4" x14ac:dyDescent="0.35">
      <c r="A56" s="2" t="s">
        <v>108</v>
      </c>
      <c r="B56" t="s">
        <v>107</v>
      </c>
      <c r="C56" s="21" t="s">
        <v>275</v>
      </c>
      <c r="D56" s="1">
        <f>AHORROS!J881</f>
        <v>3749.98</v>
      </c>
    </row>
    <row r="57" spans="1:4" x14ac:dyDescent="0.35">
      <c r="A57" s="2" t="s">
        <v>109</v>
      </c>
      <c r="B57" t="s">
        <v>110</v>
      </c>
      <c r="C57" s="21" t="s">
        <v>275</v>
      </c>
      <c r="D57" s="1">
        <f>AHORROS!J897</f>
        <v>2500.6000000000004</v>
      </c>
    </row>
    <row r="58" spans="1:4" x14ac:dyDescent="0.35">
      <c r="A58" s="2" t="s">
        <v>111</v>
      </c>
      <c r="B58" t="s">
        <v>112</v>
      </c>
      <c r="C58" s="21" t="s">
        <v>275</v>
      </c>
      <c r="D58" s="1">
        <f>AHORROS!J913</f>
        <v>3625</v>
      </c>
    </row>
    <row r="59" spans="1:4" x14ac:dyDescent="0.35">
      <c r="A59" s="2" t="s">
        <v>113</v>
      </c>
      <c r="B59" t="s">
        <v>114</v>
      </c>
      <c r="C59" s="21" t="s">
        <v>275</v>
      </c>
      <c r="D59" s="1">
        <f>AHORROS!J929</f>
        <v>3385.9300000000003</v>
      </c>
    </row>
    <row r="60" spans="1:4" x14ac:dyDescent="0.35">
      <c r="A60" s="2" t="s">
        <v>115</v>
      </c>
      <c r="B60" t="s">
        <v>116</v>
      </c>
      <c r="C60" s="21" t="s">
        <v>275</v>
      </c>
      <c r="D60" s="1">
        <f>AHORROS!J945</f>
        <v>3219</v>
      </c>
    </row>
    <row r="61" spans="1:4" x14ac:dyDescent="0.35">
      <c r="A61" s="2" t="s">
        <v>117</v>
      </c>
      <c r="B61" t="s">
        <v>118</v>
      </c>
      <c r="C61" s="21" t="s">
        <v>275</v>
      </c>
      <c r="D61" s="1">
        <f>AHORROS!J961</f>
        <v>5160</v>
      </c>
    </row>
    <row r="62" spans="1:4" x14ac:dyDescent="0.35">
      <c r="A62" s="2" t="s">
        <v>119</v>
      </c>
      <c r="B62" t="s">
        <v>120</v>
      </c>
      <c r="C62" s="21" t="s">
        <v>275</v>
      </c>
      <c r="D62" s="1">
        <f>AHORROS!J977</f>
        <v>2595</v>
      </c>
    </row>
    <row r="63" spans="1:4" x14ac:dyDescent="0.35">
      <c r="A63" s="2" t="s">
        <v>121</v>
      </c>
      <c r="B63" t="s">
        <v>122</v>
      </c>
      <c r="C63" s="21" t="s">
        <v>275</v>
      </c>
      <c r="D63" s="1">
        <f>AHORROS!J993</f>
        <v>3309.510000000002</v>
      </c>
    </row>
    <row r="64" spans="1:4" x14ac:dyDescent="0.35">
      <c r="A64" s="2" t="s">
        <v>123</v>
      </c>
      <c r="B64" t="s">
        <v>124</v>
      </c>
      <c r="C64" s="21" t="s">
        <v>275</v>
      </c>
      <c r="D64" s="1">
        <f>AHORROS!J1009</f>
        <v>3740</v>
      </c>
    </row>
    <row r="65" spans="1:4" x14ac:dyDescent="0.35">
      <c r="A65" s="2" t="s">
        <v>125</v>
      </c>
      <c r="B65" t="s">
        <v>126</v>
      </c>
      <c r="C65" s="21" t="s">
        <v>275</v>
      </c>
      <c r="D65" s="1">
        <f>AHORROS!J1025</f>
        <v>2981</v>
      </c>
    </row>
    <row r="66" spans="1:4" x14ac:dyDescent="0.35">
      <c r="A66" s="2" t="s">
        <v>127</v>
      </c>
      <c r="B66" t="s">
        <v>128</v>
      </c>
      <c r="C66" s="21" t="s">
        <v>275</v>
      </c>
      <c r="D66" s="1">
        <f>AHORROS!J1041</f>
        <v>2686</v>
      </c>
    </row>
    <row r="67" spans="1:4" x14ac:dyDescent="0.35">
      <c r="A67" s="2" t="s">
        <v>129</v>
      </c>
      <c r="B67" t="s">
        <v>130</v>
      </c>
      <c r="C67" s="21" t="s">
        <v>275</v>
      </c>
      <c r="D67" s="1">
        <f>AHORROS!J1057</f>
        <v>542</v>
      </c>
    </row>
    <row r="68" spans="1:4" x14ac:dyDescent="0.35">
      <c r="A68" s="2" t="s">
        <v>131</v>
      </c>
      <c r="B68" t="s">
        <v>145</v>
      </c>
      <c r="C68" s="21" t="s">
        <v>275</v>
      </c>
      <c r="D68" s="1">
        <f>AHORROS!J1073</f>
        <v>4843</v>
      </c>
    </row>
    <row r="69" spans="1:4" x14ac:dyDescent="0.35">
      <c r="A69" s="2" t="s">
        <v>132</v>
      </c>
      <c r="B69" t="s">
        <v>149</v>
      </c>
      <c r="C69" s="21" t="s">
        <v>275</v>
      </c>
      <c r="D69" s="1">
        <f>AHORROS!J1089</f>
        <v>4504</v>
      </c>
    </row>
    <row r="70" spans="1:4" x14ac:dyDescent="0.35">
      <c r="A70" s="2" t="s">
        <v>133</v>
      </c>
      <c r="B70" t="s">
        <v>148</v>
      </c>
      <c r="C70" s="21" t="s">
        <v>275</v>
      </c>
      <c r="D70" s="1">
        <f>AHORROS!J1105</f>
        <v>2691</v>
      </c>
    </row>
    <row r="71" spans="1:4" x14ac:dyDescent="0.35">
      <c r="A71" s="2" t="s">
        <v>134</v>
      </c>
      <c r="B71" t="s">
        <v>150</v>
      </c>
      <c r="C71" s="21" t="s">
        <v>275</v>
      </c>
      <c r="D71" s="1">
        <f>AHORROS!J1121</f>
        <v>7586</v>
      </c>
    </row>
    <row r="72" spans="1:4" x14ac:dyDescent="0.35">
      <c r="A72" s="2" t="s">
        <v>135</v>
      </c>
      <c r="B72" t="s">
        <v>146</v>
      </c>
      <c r="C72" s="21" t="s">
        <v>275</v>
      </c>
      <c r="D72" s="1">
        <f>AHORROS!J1137</f>
        <v>2341</v>
      </c>
    </row>
    <row r="73" spans="1:4" x14ac:dyDescent="0.35">
      <c r="A73" s="2" t="s">
        <v>136</v>
      </c>
      <c r="B73" t="s">
        <v>151</v>
      </c>
      <c r="C73" s="21" t="s">
        <v>275</v>
      </c>
      <c r="D73" s="1">
        <f>AHORROS!J1153</f>
        <v>3915.7599999999948</v>
      </c>
    </row>
    <row r="74" spans="1:4" x14ac:dyDescent="0.35">
      <c r="A74" s="2" t="s">
        <v>152</v>
      </c>
      <c r="B74" t="s">
        <v>153</v>
      </c>
      <c r="C74" s="21" t="s">
        <v>275</v>
      </c>
      <c r="D74" s="1">
        <f>AHORROS!J1169</f>
        <v>5077</v>
      </c>
    </row>
    <row r="75" spans="1:4" x14ac:dyDescent="0.35">
      <c r="A75" s="2" t="s">
        <v>137</v>
      </c>
      <c r="B75" t="s">
        <v>147</v>
      </c>
      <c r="C75" s="21" t="s">
        <v>275</v>
      </c>
      <c r="D75" s="1">
        <f>AHORROS!J1185</f>
        <v>4672</v>
      </c>
    </row>
    <row r="76" spans="1:4" x14ac:dyDescent="0.35">
      <c r="A76" s="2" t="s">
        <v>138</v>
      </c>
      <c r="B76" t="s">
        <v>106</v>
      </c>
      <c r="C76" s="21" t="s">
        <v>275</v>
      </c>
      <c r="D76" s="1">
        <f>AHORROS!J1201</f>
        <v>8031</v>
      </c>
    </row>
    <row r="77" spans="1:4" x14ac:dyDescent="0.35">
      <c r="A77" s="2" t="s">
        <v>139</v>
      </c>
      <c r="B77" t="s">
        <v>154</v>
      </c>
      <c r="C77" s="21" t="s">
        <v>275</v>
      </c>
      <c r="D77" s="1">
        <f>AHORROS!J1217</f>
        <v>1579.7599999999984</v>
      </c>
    </row>
    <row r="78" spans="1:4" x14ac:dyDescent="0.35">
      <c r="A78" s="2" t="s">
        <v>140</v>
      </c>
      <c r="B78" t="s">
        <v>155</v>
      </c>
      <c r="C78" s="21" t="s">
        <v>275</v>
      </c>
      <c r="D78" s="1">
        <f>AHORROS!J1233</f>
        <v>2015</v>
      </c>
    </row>
    <row r="79" spans="1:4" x14ac:dyDescent="0.35">
      <c r="A79" s="2" t="s">
        <v>141</v>
      </c>
      <c r="B79" t="s">
        <v>156</v>
      </c>
      <c r="C79" s="21" t="s">
        <v>275</v>
      </c>
      <c r="D79" s="1">
        <f>AHORROS!J1249</f>
        <v>7290.76</v>
      </c>
    </row>
    <row r="80" spans="1:4" x14ac:dyDescent="0.35">
      <c r="A80" s="2" t="s">
        <v>142</v>
      </c>
      <c r="B80" t="s">
        <v>157</v>
      </c>
      <c r="C80" s="21" t="s">
        <v>275</v>
      </c>
      <c r="D80" s="1">
        <f>AHORROS!J1265</f>
        <v>688</v>
      </c>
    </row>
    <row r="81" spans="1:4" x14ac:dyDescent="0.35">
      <c r="A81" s="2" t="s">
        <v>143</v>
      </c>
      <c r="B81" t="s">
        <v>158</v>
      </c>
      <c r="C81" s="21" t="s">
        <v>275</v>
      </c>
      <c r="D81" s="1">
        <f>AHORROS!J1281</f>
        <v>4130.2999999999975</v>
      </c>
    </row>
    <row r="82" spans="1:4" x14ac:dyDescent="0.35">
      <c r="A82" s="2" t="s">
        <v>144</v>
      </c>
      <c r="B82" t="s">
        <v>94</v>
      </c>
      <c r="C82" s="21" t="s">
        <v>275</v>
      </c>
      <c r="D82" s="1">
        <f>AHORROS!J1297</f>
        <v>1566</v>
      </c>
    </row>
    <row r="83" spans="1:4" x14ac:dyDescent="0.35">
      <c r="A83" s="2" t="s">
        <v>159</v>
      </c>
      <c r="B83" t="s">
        <v>160</v>
      </c>
      <c r="C83" s="21" t="s">
        <v>275</v>
      </c>
      <c r="D83" s="1">
        <f>AHORROS!J1313</f>
        <v>1303</v>
      </c>
    </row>
    <row r="84" spans="1:4" x14ac:dyDescent="0.35">
      <c r="A84" s="2" t="s">
        <v>197</v>
      </c>
      <c r="B84" t="s">
        <v>198</v>
      </c>
      <c r="C84" s="21" t="s">
        <v>275</v>
      </c>
      <c r="D84" s="1">
        <f>AHORROS!J1329</f>
        <v>2122.92</v>
      </c>
    </row>
    <row r="85" spans="1:4" x14ac:dyDescent="0.35">
      <c r="A85" s="2" t="s">
        <v>161</v>
      </c>
      <c r="B85" t="s">
        <v>162</v>
      </c>
      <c r="C85" s="21" t="s">
        <v>275</v>
      </c>
      <c r="D85" s="1">
        <f>AHORROS!J1345</f>
        <v>4904</v>
      </c>
    </row>
    <row r="86" spans="1:4" x14ac:dyDescent="0.35">
      <c r="A86" s="2" t="s">
        <v>163</v>
      </c>
      <c r="B86" t="s">
        <v>166</v>
      </c>
      <c r="C86" s="21" t="s">
        <v>275</v>
      </c>
      <c r="D86" s="1">
        <f>AHORROS!J1361</f>
        <v>3488.7899999999986</v>
      </c>
    </row>
    <row r="87" spans="1:4" x14ac:dyDescent="0.35">
      <c r="A87" s="2" t="s">
        <v>164</v>
      </c>
      <c r="B87" t="s">
        <v>167</v>
      </c>
      <c r="C87" s="21" t="s">
        <v>275</v>
      </c>
      <c r="D87" s="1">
        <f>AHORROS!J1377</f>
        <v>5946.5599999999977</v>
      </c>
    </row>
    <row r="88" spans="1:4" x14ac:dyDescent="0.35">
      <c r="A88" s="2" t="s">
        <v>165</v>
      </c>
      <c r="B88" t="s">
        <v>168</v>
      </c>
      <c r="C88" s="21" t="s">
        <v>275</v>
      </c>
      <c r="D88" s="1">
        <f>AHORROS!J1393</f>
        <v>2141.7200000000003</v>
      </c>
    </row>
    <row r="89" spans="1:4" x14ac:dyDescent="0.35">
      <c r="A89" s="2" t="s">
        <v>169</v>
      </c>
      <c r="B89" t="s">
        <v>170</v>
      </c>
      <c r="C89" s="21" t="s">
        <v>275</v>
      </c>
      <c r="D89" s="1">
        <f>AHORROS!J1409</f>
        <v>4392</v>
      </c>
    </row>
    <row r="90" spans="1:4" x14ac:dyDescent="0.35">
      <c r="A90" s="2" t="s">
        <v>207</v>
      </c>
      <c r="B90" t="s">
        <v>208</v>
      </c>
      <c r="C90" s="21" t="s">
        <v>275</v>
      </c>
      <c r="D90" s="1">
        <f>AHORROS!J1425</f>
        <v>2731</v>
      </c>
    </row>
    <row r="91" spans="1:4" x14ac:dyDescent="0.35">
      <c r="A91" s="2" t="s">
        <v>171</v>
      </c>
      <c r="B91" t="s">
        <v>177</v>
      </c>
      <c r="C91" s="21" t="s">
        <v>275</v>
      </c>
      <c r="D91" s="1">
        <f>AHORROS!J1441</f>
        <v>2096</v>
      </c>
    </row>
    <row r="92" spans="1:4" x14ac:dyDescent="0.35">
      <c r="A92" s="2" t="s">
        <v>172</v>
      </c>
      <c r="B92" t="s">
        <v>178</v>
      </c>
      <c r="C92" s="21" t="s">
        <v>275</v>
      </c>
      <c r="D92" s="1">
        <f>AHORROS!J1457</f>
        <v>2176.42</v>
      </c>
    </row>
    <row r="93" spans="1:4" x14ac:dyDescent="0.35">
      <c r="A93" s="2" t="s">
        <v>173</v>
      </c>
      <c r="B93" t="s">
        <v>179</v>
      </c>
      <c r="C93" s="21" t="s">
        <v>275</v>
      </c>
      <c r="D93" s="1">
        <f>AHORROS!J1473</f>
        <v>3179.9299999999985</v>
      </c>
    </row>
    <row r="94" spans="1:4" x14ac:dyDescent="0.35">
      <c r="A94" s="2" t="s">
        <v>174</v>
      </c>
      <c r="B94" t="s">
        <v>180</v>
      </c>
      <c r="C94" s="21" t="s">
        <v>275</v>
      </c>
      <c r="D94" s="1">
        <f>AHORROS!J1489</f>
        <v>5112.8399999999983</v>
      </c>
    </row>
    <row r="95" spans="1:4" x14ac:dyDescent="0.35">
      <c r="A95" s="2" t="s">
        <v>175</v>
      </c>
      <c r="B95" t="s">
        <v>181</v>
      </c>
      <c r="C95" s="21" t="s">
        <v>275</v>
      </c>
      <c r="D95" s="1">
        <f>AHORROS!J1505</f>
        <v>1455</v>
      </c>
    </row>
    <row r="96" spans="1:4" x14ac:dyDescent="0.35">
      <c r="A96" s="2" t="s">
        <v>176</v>
      </c>
      <c r="B96" t="s">
        <v>182</v>
      </c>
      <c r="C96" s="21" t="s">
        <v>275</v>
      </c>
      <c r="D96" s="1">
        <f>AHORROS!J1521</f>
        <v>3156</v>
      </c>
    </row>
    <row r="97" spans="1:4" x14ac:dyDescent="0.35">
      <c r="A97" s="2" t="s">
        <v>184</v>
      </c>
      <c r="B97" t="s">
        <v>183</v>
      </c>
      <c r="C97" s="21" t="s">
        <v>275</v>
      </c>
      <c r="D97" s="1">
        <f>AHORROS!J1537</f>
        <v>2663.6999999999989</v>
      </c>
    </row>
    <row r="98" spans="1:4" x14ac:dyDescent="0.35">
      <c r="A98" s="2" t="s">
        <v>185</v>
      </c>
      <c r="B98" t="s">
        <v>191</v>
      </c>
      <c r="C98" s="21" t="s">
        <v>275</v>
      </c>
      <c r="D98" s="1">
        <f>AHORROS!J1553</f>
        <v>4277.4599999999991</v>
      </c>
    </row>
    <row r="99" spans="1:4" x14ac:dyDescent="0.35">
      <c r="A99" s="2" t="s">
        <v>186</v>
      </c>
      <c r="B99" t="s">
        <v>192</v>
      </c>
      <c r="C99" s="21" t="s">
        <v>275</v>
      </c>
      <c r="D99" s="1">
        <f>AHORROS!J1569</f>
        <v>3469</v>
      </c>
    </row>
    <row r="100" spans="1:4" x14ac:dyDescent="0.35">
      <c r="A100" s="2" t="s">
        <v>187</v>
      </c>
      <c r="B100" t="s">
        <v>193</v>
      </c>
      <c r="C100" s="21" t="s">
        <v>275</v>
      </c>
      <c r="D100" s="1">
        <f>AHORROS!J1585</f>
        <v>5142.2099999999991</v>
      </c>
    </row>
    <row r="101" spans="1:4" x14ac:dyDescent="0.35">
      <c r="A101" s="2" t="s">
        <v>188</v>
      </c>
      <c r="B101" t="s">
        <v>194</v>
      </c>
      <c r="C101" s="21" t="s">
        <v>275</v>
      </c>
      <c r="D101" s="1">
        <f>AHORROS!J1601</f>
        <v>2986</v>
      </c>
    </row>
    <row r="102" spans="1:4" x14ac:dyDescent="0.35">
      <c r="A102" s="2" t="s">
        <v>189</v>
      </c>
      <c r="B102" t="s">
        <v>195</v>
      </c>
      <c r="C102" s="21" t="s">
        <v>275</v>
      </c>
      <c r="D102" s="1">
        <f>AHORROS!J1617</f>
        <v>3132</v>
      </c>
    </row>
    <row r="103" spans="1:4" x14ac:dyDescent="0.35">
      <c r="A103" s="2" t="s">
        <v>190</v>
      </c>
      <c r="B103" t="s">
        <v>196</v>
      </c>
      <c r="C103" s="21" t="s">
        <v>275</v>
      </c>
      <c r="D103" s="1">
        <f>AHORROS!J1633</f>
        <v>1089</v>
      </c>
    </row>
    <row r="104" spans="1:4" x14ac:dyDescent="0.35">
      <c r="A104" s="2" t="s">
        <v>226</v>
      </c>
      <c r="B104" t="s">
        <v>227</v>
      </c>
      <c r="C104" s="21" t="s">
        <v>275</v>
      </c>
      <c r="D104" s="1">
        <f>AHORROS!J1649</f>
        <v>866</v>
      </c>
    </row>
    <row r="105" spans="1:4" x14ac:dyDescent="0.35">
      <c r="A105" s="2" t="s">
        <v>199</v>
      </c>
      <c r="B105" t="s">
        <v>200</v>
      </c>
      <c r="C105" s="21" t="s">
        <v>275</v>
      </c>
      <c r="D105" s="1">
        <f>AHORROS!J1665</f>
        <v>2737.96</v>
      </c>
    </row>
    <row r="106" spans="1:4" x14ac:dyDescent="0.35">
      <c r="A106" s="2" t="s">
        <v>204</v>
      </c>
      <c r="B106" t="s">
        <v>205</v>
      </c>
      <c r="C106" s="21" t="s">
        <v>275</v>
      </c>
      <c r="D106" s="1">
        <f>AHORROS!J1681</f>
        <v>1829.7600000000002</v>
      </c>
    </row>
    <row r="107" spans="1:4" x14ac:dyDescent="0.35">
      <c r="A107" s="2" t="s">
        <v>201</v>
      </c>
      <c r="B107" t="s">
        <v>202</v>
      </c>
      <c r="C107" s="21" t="s">
        <v>275</v>
      </c>
      <c r="D107" s="1">
        <f>AHORROS!J1697</f>
        <v>3938</v>
      </c>
    </row>
    <row r="108" spans="1:4" x14ac:dyDescent="0.35">
      <c r="A108" s="2" t="s">
        <v>228</v>
      </c>
      <c r="B108" t="s">
        <v>229</v>
      </c>
      <c r="C108" s="21" t="s">
        <v>275</v>
      </c>
      <c r="D108" s="1">
        <f>AHORROS!J1713</f>
        <v>4350</v>
      </c>
    </row>
    <row r="109" spans="1:4" x14ac:dyDescent="0.35">
      <c r="A109" s="2" t="s">
        <v>258</v>
      </c>
      <c r="B109" t="s">
        <v>259</v>
      </c>
      <c r="C109" s="21" t="s">
        <v>275</v>
      </c>
      <c r="D109" s="1">
        <f>AHORROS!J1729</f>
        <v>820</v>
      </c>
    </row>
    <row r="110" spans="1:4" x14ac:dyDescent="0.35">
      <c r="A110" s="2" t="s">
        <v>222</v>
      </c>
      <c r="B110" t="s">
        <v>223</v>
      </c>
      <c r="C110" s="21" t="s">
        <v>275</v>
      </c>
      <c r="D110" s="1">
        <f>AHORROS!J1745</f>
        <v>1457</v>
      </c>
    </row>
    <row r="111" spans="1:4" x14ac:dyDescent="0.35">
      <c r="A111" s="2" t="s">
        <v>203</v>
      </c>
      <c r="B111" t="s">
        <v>206</v>
      </c>
      <c r="C111" s="21" t="s">
        <v>275</v>
      </c>
      <c r="D111" s="1">
        <f>AHORROS!J1761</f>
        <v>3838</v>
      </c>
    </row>
    <row r="112" spans="1:4" x14ac:dyDescent="0.35">
      <c r="A112" s="2" t="s">
        <v>224</v>
      </c>
      <c r="B112" t="s">
        <v>18</v>
      </c>
      <c r="C112" s="21" t="s">
        <v>275</v>
      </c>
      <c r="D112" s="1">
        <f>AHORROS!J1777</f>
        <v>1628.96</v>
      </c>
    </row>
    <row r="113" spans="1:4" x14ac:dyDescent="0.35">
      <c r="A113" s="2" t="s">
        <v>225</v>
      </c>
      <c r="B113" t="s">
        <v>230</v>
      </c>
      <c r="C113" s="21" t="s">
        <v>275</v>
      </c>
      <c r="D113" s="1">
        <f>AHORROS!J1793</f>
        <v>1204.92</v>
      </c>
    </row>
    <row r="114" spans="1:4" x14ac:dyDescent="0.35">
      <c r="A114" s="2" t="s">
        <v>220</v>
      </c>
      <c r="B114" t="s">
        <v>221</v>
      </c>
      <c r="C114" s="21" t="s">
        <v>275</v>
      </c>
      <c r="D114" s="1">
        <f>AHORROS!J1809</f>
        <v>-3806</v>
      </c>
    </row>
    <row r="115" spans="1:4" x14ac:dyDescent="0.35">
      <c r="A115" s="2" t="s">
        <v>209</v>
      </c>
      <c r="B115" t="s">
        <v>210</v>
      </c>
      <c r="C115" s="21" t="s">
        <v>275</v>
      </c>
      <c r="D115" s="1">
        <f>AHORROS!J1825</f>
        <v>1020</v>
      </c>
    </row>
    <row r="116" spans="1:4" x14ac:dyDescent="0.35">
      <c r="A116" s="2" t="s">
        <v>211</v>
      </c>
      <c r="B116" t="s">
        <v>231</v>
      </c>
      <c r="C116" s="21" t="s">
        <v>275</v>
      </c>
      <c r="D116" s="1">
        <f>AHORROS!J1841</f>
        <v>8169.1399999999994</v>
      </c>
    </row>
    <row r="117" spans="1:4" x14ac:dyDescent="0.35">
      <c r="A117" s="2" t="s">
        <v>212</v>
      </c>
      <c r="B117" t="s">
        <v>232</v>
      </c>
      <c r="C117" s="21" t="s">
        <v>275</v>
      </c>
      <c r="D117" s="1">
        <f>AHORROS!J1857</f>
        <v>767</v>
      </c>
    </row>
    <row r="118" spans="1:4" x14ac:dyDescent="0.35">
      <c r="A118" s="2" t="s">
        <v>213</v>
      </c>
      <c r="B118" t="s">
        <v>160</v>
      </c>
      <c r="C118" s="21" t="s">
        <v>275</v>
      </c>
      <c r="D118" s="1">
        <f>AHORROS!J1873</f>
        <v>1303</v>
      </c>
    </row>
    <row r="119" spans="1:4" x14ac:dyDescent="0.35">
      <c r="A119" s="2" t="s">
        <v>214</v>
      </c>
      <c r="B119" t="s">
        <v>96</v>
      </c>
      <c r="C119" s="21" t="s">
        <v>275</v>
      </c>
      <c r="D119" s="1">
        <f>AHORROS!J1889</f>
        <v>1399</v>
      </c>
    </row>
    <row r="120" spans="1:4" x14ac:dyDescent="0.35">
      <c r="A120" s="2" t="s">
        <v>215</v>
      </c>
      <c r="B120" t="s">
        <v>233</v>
      </c>
      <c r="C120" s="21" t="s">
        <v>275</v>
      </c>
      <c r="D120" s="1">
        <f>AHORROS!J1905</f>
        <v>11540</v>
      </c>
    </row>
    <row r="121" spans="1:4" x14ac:dyDescent="0.35">
      <c r="A121" s="2" t="s">
        <v>216</v>
      </c>
      <c r="B121" t="s">
        <v>234</v>
      </c>
      <c r="C121" s="21" t="s">
        <v>275</v>
      </c>
      <c r="D121" s="1">
        <f>AHORROS!J1921</f>
        <v>1138</v>
      </c>
    </row>
    <row r="122" spans="1:4" x14ac:dyDescent="0.35">
      <c r="A122" s="2" t="s">
        <v>217</v>
      </c>
      <c r="B122" t="s">
        <v>235</v>
      </c>
      <c r="C122" s="21" t="s">
        <v>275</v>
      </c>
      <c r="D122" s="1">
        <f>AHORROS!J1937</f>
        <v>1318</v>
      </c>
    </row>
    <row r="123" spans="1:4" x14ac:dyDescent="0.35">
      <c r="A123" s="2" t="s">
        <v>218</v>
      </c>
      <c r="B123" t="s">
        <v>236</v>
      </c>
      <c r="C123" s="21" t="s">
        <v>275</v>
      </c>
      <c r="D123" s="1">
        <f>AHORROS!J1953</f>
        <v>5089</v>
      </c>
    </row>
    <row r="124" spans="1:4" x14ac:dyDescent="0.35">
      <c r="A124" s="2" t="s">
        <v>219</v>
      </c>
      <c r="B124" t="s">
        <v>237</v>
      </c>
      <c r="C124" s="21" t="s">
        <v>275</v>
      </c>
      <c r="D124" s="1">
        <f>AHORROS!J1969</f>
        <v>2294.699999999998</v>
      </c>
    </row>
    <row r="125" spans="1:4" x14ac:dyDescent="0.35">
      <c r="A125" s="2" t="s">
        <v>241</v>
      </c>
      <c r="B125" t="s">
        <v>242</v>
      </c>
      <c r="C125" s="21" t="s">
        <v>275</v>
      </c>
      <c r="D125" s="1">
        <f>AHORROS!J1985</f>
        <v>1761</v>
      </c>
    </row>
    <row r="126" spans="1:4" x14ac:dyDescent="0.35">
      <c r="A126" s="2" t="s">
        <v>240</v>
      </c>
      <c r="B126" t="s">
        <v>70</v>
      </c>
      <c r="C126" s="21" t="s">
        <v>275</v>
      </c>
      <c r="D126" s="1">
        <f>AHORROS!J2001</f>
        <v>3528</v>
      </c>
    </row>
    <row r="127" spans="1:4" x14ac:dyDescent="0.35">
      <c r="A127" s="2" t="s">
        <v>238</v>
      </c>
      <c r="B127" t="s">
        <v>239</v>
      </c>
      <c r="C127" s="21" t="s">
        <v>275</v>
      </c>
      <c r="D127" s="1">
        <f>AHORROS!J2017</f>
        <v>2934</v>
      </c>
    </row>
    <row r="128" spans="1:4" x14ac:dyDescent="0.35">
      <c r="A128" s="2" t="s">
        <v>243</v>
      </c>
      <c r="B128" t="s">
        <v>244</v>
      </c>
      <c r="C128" s="21" t="s">
        <v>275</v>
      </c>
      <c r="D128" s="1">
        <f>AHORROS!J2033</f>
        <v>1663</v>
      </c>
    </row>
    <row r="129" spans="1:4" x14ac:dyDescent="0.35">
      <c r="A129" s="2" t="s">
        <v>245</v>
      </c>
      <c r="B129" t="s">
        <v>246</v>
      </c>
      <c r="C129" s="21" t="s">
        <v>275</v>
      </c>
      <c r="D129" s="1">
        <f>AHORROS!J2049</f>
        <v>1200</v>
      </c>
    </row>
    <row r="130" spans="1:4" x14ac:dyDescent="0.35">
      <c r="A130" s="2" t="s">
        <v>247</v>
      </c>
      <c r="B130" t="s">
        <v>252</v>
      </c>
      <c r="C130" s="21" t="s">
        <v>275</v>
      </c>
      <c r="D130" s="1">
        <f>AHORROS!J2065</f>
        <v>1710</v>
      </c>
    </row>
    <row r="131" spans="1:4" x14ac:dyDescent="0.35">
      <c r="A131" s="2" t="s">
        <v>248</v>
      </c>
      <c r="B131" t="s">
        <v>253</v>
      </c>
      <c r="C131" s="21" t="s">
        <v>275</v>
      </c>
      <c r="D131" s="1">
        <f>AHORROS!J2081</f>
        <v>915</v>
      </c>
    </row>
    <row r="132" spans="1:4" x14ac:dyDescent="0.35">
      <c r="A132" s="2" t="s">
        <v>249</v>
      </c>
      <c r="B132" t="s">
        <v>254</v>
      </c>
      <c r="C132" s="21" t="s">
        <v>275</v>
      </c>
      <c r="D132" s="1">
        <f>AHORROS!J2097</f>
        <v>504</v>
      </c>
    </row>
    <row r="133" spans="1:4" x14ac:dyDescent="0.35">
      <c r="A133" s="2" t="s">
        <v>250</v>
      </c>
      <c r="B133" t="s">
        <v>255</v>
      </c>
      <c r="C133" s="21" t="s">
        <v>275</v>
      </c>
      <c r="D133" s="1">
        <f>AHORROS!J2113</f>
        <v>1622</v>
      </c>
    </row>
    <row r="134" spans="1:4" x14ac:dyDescent="0.35">
      <c r="A134" s="2" t="s">
        <v>251</v>
      </c>
      <c r="B134" t="s">
        <v>257</v>
      </c>
      <c r="C134" s="21" t="s">
        <v>275</v>
      </c>
      <c r="D134" s="1">
        <f>AHORROS!J2129</f>
        <v>6189</v>
      </c>
    </row>
    <row r="135" spans="1:4" x14ac:dyDescent="0.35">
      <c r="A135" s="2" t="s">
        <v>260</v>
      </c>
      <c r="B135" t="s">
        <v>261</v>
      </c>
      <c r="C135" s="21" t="s">
        <v>275</v>
      </c>
      <c r="D135" s="1">
        <f>AHORROS!J2145</f>
        <v>1408</v>
      </c>
    </row>
    <row r="136" spans="1:4" x14ac:dyDescent="0.35">
      <c r="A136" s="2" t="s">
        <v>262</v>
      </c>
      <c r="B136" t="s">
        <v>266</v>
      </c>
      <c r="C136" s="21" t="s">
        <v>275</v>
      </c>
      <c r="D136" s="1">
        <f>AHORROS!J2161</f>
        <v>720</v>
      </c>
    </row>
    <row r="137" spans="1:4" x14ac:dyDescent="0.35">
      <c r="A137" s="2" t="s">
        <v>263</v>
      </c>
      <c r="B137" t="s">
        <v>256</v>
      </c>
      <c r="C137" s="21" t="s">
        <v>275</v>
      </c>
      <c r="D137" s="1">
        <f>AHORROS!J2177</f>
        <v>970.04</v>
      </c>
    </row>
    <row r="138" spans="1:4" x14ac:dyDescent="0.35">
      <c r="A138" s="2" t="s">
        <v>264</v>
      </c>
      <c r="B138" t="s">
        <v>267</v>
      </c>
      <c r="C138" s="21" t="s">
        <v>275</v>
      </c>
      <c r="D138" s="1">
        <f>AHORROS!J2193</f>
        <v>2526</v>
      </c>
    </row>
    <row r="139" spans="1:4" x14ac:dyDescent="0.35">
      <c r="A139" s="2" t="s">
        <v>265</v>
      </c>
      <c r="B139" t="s">
        <v>268</v>
      </c>
      <c r="C139" s="21" t="s">
        <v>275</v>
      </c>
      <c r="D139" s="1">
        <f>AHORROS!J2209</f>
        <v>2465.6999999999989</v>
      </c>
    </row>
    <row r="140" spans="1:4" x14ac:dyDescent="0.35">
      <c r="A140" s="2" t="s">
        <v>284</v>
      </c>
      <c r="B140" t="s">
        <v>285</v>
      </c>
      <c r="C140" s="21" t="s">
        <v>275</v>
      </c>
      <c r="D140" s="1">
        <f>AHORROS!J2225</f>
        <v>881</v>
      </c>
    </row>
    <row r="141" spans="1:4" x14ac:dyDescent="0.35">
      <c r="A141" s="2" t="s">
        <v>288</v>
      </c>
      <c r="B141" t="s">
        <v>289</v>
      </c>
      <c r="C141" s="21" t="s">
        <v>275</v>
      </c>
      <c r="D141" s="1">
        <f>AHORROS!J2241</f>
        <v>881.89999999999964</v>
      </c>
    </row>
    <row r="142" spans="1:4" x14ac:dyDescent="0.35">
      <c r="A142" s="2" t="s">
        <v>290</v>
      </c>
      <c r="B142" t="s">
        <v>287</v>
      </c>
      <c r="C142" s="21" t="s">
        <v>275</v>
      </c>
      <c r="D142" s="1">
        <f>AHORROS!J2257</f>
        <v>960</v>
      </c>
    </row>
    <row r="143" spans="1:4" x14ac:dyDescent="0.35">
      <c r="A143" s="2" t="s">
        <v>280</v>
      </c>
      <c r="B143" t="s">
        <v>281</v>
      </c>
      <c r="C143" s="21" t="s">
        <v>275</v>
      </c>
      <c r="D143" s="1">
        <f>AHORROS!J2273</f>
        <v>1500</v>
      </c>
    </row>
    <row r="144" spans="1:4" x14ac:dyDescent="0.35">
      <c r="A144" s="2" t="s">
        <v>292</v>
      </c>
      <c r="B144" t="s">
        <v>291</v>
      </c>
      <c r="C144" s="21" t="s">
        <v>275</v>
      </c>
      <c r="D144" s="1">
        <f>AHORROS!J2289</f>
        <v>660.98999999999978</v>
      </c>
    </row>
    <row r="145" spans="1:4" x14ac:dyDescent="0.35">
      <c r="A145" s="2" t="s">
        <v>293</v>
      </c>
      <c r="B145" t="s">
        <v>294</v>
      </c>
      <c r="C145" s="21" t="s">
        <v>275</v>
      </c>
      <c r="D145" s="1">
        <f>AHORROS!J2305</f>
        <v>952</v>
      </c>
    </row>
    <row r="146" spans="1:4" x14ac:dyDescent="0.35">
      <c r="A146" s="2" t="s">
        <v>286</v>
      </c>
      <c r="B146" t="s">
        <v>287</v>
      </c>
      <c r="C146" s="21" t="s">
        <v>275</v>
      </c>
      <c r="D146" s="1">
        <f>AHORROS!J2321</f>
        <v>1097.8800000000001</v>
      </c>
    </row>
    <row r="147" spans="1:4" x14ac:dyDescent="0.35">
      <c r="A147" s="2" t="s">
        <v>283</v>
      </c>
      <c r="B147" t="s">
        <v>282</v>
      </c>
      <c r="C147" s="21" t="s">
        <v>275</v>
      </c>
      <c r="D147" s="1">
        <f>AHORROS!J2337</f>
        <v>684</v>
      </c>
    </row>
    <row r="148" spans="1:4" x14ac:dyDescent="0.35">
      <c r="A148" s="2" t="s">
        <v>295</v>
      </c>
      <c r="B148" t="s">
        <v>296</v>
      </c>
      <c r="C148" s="21" t="s">
        <v>275</v>
      </c>
      <c r="D148" s="1">
        <f>AHORROS!J2353</f>
        <v>2465.6999999999989</v>
      </c>
    </row>
    <row r="149" spans="1:4" x14ac:dyDescent="0.35">
      <c r="A149" s="2" t="s">
        <v>297</v>
      </c>
      <c r="B149" t="s">
        <v>298</v>
      </c>
      <c r="C149" s="21" t="s">
        <v>275</v>
      </c>
      <c r="D149" s="1">
        <f>AHORROS!J2369</f>
        <v>1444</v>
      </c>
    </row>
    <row r="150" spans="1:4" x14ac:dyDescent="0.35">
      <c r="A150" s="2" t="s">
        <v>303</v>
      </c>
      <c r="B150" t="s">
        <v>304</v>
      </c>
      <c r="C150" s="21" t="s">
        <v>275</v>
      </c>
      <c r="D150" s="1">
        <f>AHORROS!J2385</f>
        <v>1752</v>
      </c>
    </row>
    <row r="151" spans="1:4" x14ac:dyDescent="0.35">
      <c r="A151" s="2" t="s">
        <v>305</v>
      </c>
      <c r="B151" t="s">
        <v>306</v>
      </c>
      <c r="C151" s="21" t="s">
        <v>275</v>
      </c>
      <c r="D151" s="1">
        <f>AHORROS!J2401</f>
        <v>1307</v>
      </c>
    </row>
    <row r="152" spans="1:4" x14ac:dyDescent="0.35">
      <c r="A152" s="2" t="s">
        <v>302</v>
      </c>
      <c r="B152" t="s">
        <v>301</v>
      </c>
      <c r="C152" s="21" t="s">
        <v>275</v>
      </c>
      <c r="D152" s="1">
        <f>AHORROS!J2417</f>
        <v>1882</v>
      </c>
    </row>
    <row r="153" spans="1:4" x14ac:dyDescent="0.35">
      <c r="A153" s="2" t="s">
        <v>307</v>
      </c>
      <c r="B153" t="s">
        <v>308</v>
      </c>
      <c r="C153" s="21" t="s">
        <v>275</v>
      </c>
      <c r="D153" s="1">
        <f>AHORROS!J2433</f>
        <v>286</v>
      </c>
    </row>
    <row r="154" spans="1:4" x14ac:dyDescent="0.35">
      <c r="A154" s="2" t="s">
        <v>299</v>
      </c>
      <c r="B154" t="s">
        <v>300</v>
      </c>
      <c r="C154" s="21" t="s">
        <v>275</v>
      </c>
      <c r="D154" s="1">
        <f>AHORROS!J2449</f>
        <v>987</v>
      </c>
    </row>
    <row r="155" spans="1:4" x14ac:dyDescent="0.35">
      <c r="A155" s="2" t="s">
        <v>310</v>
      </c>
      <c r="B155" t="s">
        <v>309</v>
      </c>
      <c r="C155" s="21" t="s">
        <v>275</v>
      </c>
      <c r="D155" s="1">
        <f>AHORROS!J2465</f>
        <v>928</v>
      </c>
    </row>
    <row r="156" spans="1:4" x14ac:dyDescent="0.35">
      <c r="A156" s="2" t="s">
        <v>311</v>
      </c>
      <c r="B156" t="s">
        <v>259</v>
      </c>
      <c r="C156" s="21" t="s">
        <v>275</v>
      </c>
      <c r="D156" s="1">
        <f>AHORROS!J2481</f>
        <v>563</v>
      </c>
    </row>
    <row r="157" spans="1:4" x14ac:dyDescent="0.35">
      <c r="A157" s="2" t="s">
        <v>312</v>
      </c>
      <c r="B157" s="2" t="s">
        <v>313</v>
      </c>
      <c r="C157" s="21" t="s">
        <v>275</v>
      </c>
      <c r="D157" s="1">
        <f>AHORROS!J2497</f>
        <v>939</v>
      </c>
    </row>
    <row r="158" spans="1:4" x14ac:dyDescent="0.35">
      <c r="A158" s="2" t="s">
        <v>314</v>
      </c>
      <c r="B158" s="2" t="s">
        <v>315</v>
      </c>
      <c r="C158" s="21" t="s">
        <v>275</v>
      </c>
      <c r="D158" s="1">
        <f>AHORROS!J2513</f>
        <v>1684</v>
      </c>
    </row>
    <row r="159" spans="1:4" x14ac:dyDescent="0.35">
      <c r="A159" s="2" t="s">
        <v>317</v>
      </c>
      <c r="B159" s="2" t="s">
        <v>316</v>
      </c>
      <c r="C159" s="21" t="s">
        <v>275</v>
      </c>
      <c r="D159" s="1">
        <f>AHORROS!J2529</f>
        <v>2037</v>
      </c>
    </row>
    <row r="160" spans="1:4" x14ac:dyDescent="0.35">
      <c r="A160" s="2" t="s">
        <v>318</v>
      </c>
      <c r="B160" s="2" t="s">
        <v>319</v>
      </c>
      <c r="C160" s="21" t="s">
        <v>275</v>
      </c>
      <c r="D160" s="1">
        <f>AHORROS!J2545</f>
        <v>564</v>
      </c>
    </row>
    <row r="161" spans="1:4" x14ac:dyDescent="0.35">
      <c r="A161" s="2" t="s">
        <v>320</v>
      </c>
      <c r="B161" s="2" t="s">
        <v>329</v>
      </c>
      <c r="C161" s="21" t="s">
        <v>275</v>
      </c>
      <c r="D161" s="1">
        <f>AHORROS!J2561</f>
        <v>393</v>
      </c>
    </row>
    <row r="162" spans="1:4" x14ac:dyDescent="0.35">
      <c r="A162" s="2" t="s">
        <v>321</v>
      </c>
      <c r="B162" s="2" t="s">
        <v>330</v>
      </c>
      <c r="C162" s="21" t="s">
        <v>275</v>
      </c>
      <c r="D162" s="1">
        <f>AHORROS!J2577</f>
        <v>896</v>
      </c>
    </row>
    <row r="163" spans="1:4" x14ac:dyDescent="0.35">
      <c r="A163" s="2" t="s">
        <v>396</v>
      </c>
      <c r="B163" s="2" t="s">
        <v>387</v>
      </c>
      <c r="C163" s="21" t="s">
        <v>275</v>
      </c>
      <c r="D163" s="1">
        <f>AHORROS!J2593</f>
        <v>1044</v>
      </c>
    </row>
    <row r="164" spans="1:4" x14ac:dyDescent="0.35">
      <c r="A164" s="2" t="s">
        <v>400</v>
      </c>
      <c r="B164" s="2" t="s">
        <v>401</v>
      </c>
      <c r="C164" s="21" t="s">
        <v>275</v>
      </c>
      <c r="D164" s="1">
        <f>AHORROS!J2609</f>
        <v>740</v>
      </c>
    </row>
    <row r="165" spans="1:4" x14ac:dyDescent="0.35">
      <c r="A165" s="2" t="s">
        <v>322</v>
      </c>
      <c r="B165" s="2" t="s">
        <v>331</v>
      </c>
      <c r="C165" s="21" t="s">
        <v>275</v>
      </c>
      <c r="D165" s="1">
        <f>AHORROS!J2625</f>
        <v>390</v>
      </c>
    </row>
    <row r="166" spans="1:4" x14ac:dyDescent="0.35">
      <c r="A166" s="2" t="s">
        <v>323</v>
      </c>
      <c r="B166" s="2" t="s">
        <v>332</v>
      </c>
      <c r="C166" s="21" t="s">
        <v>275</v>
      </c>
      <c r="D166" s="1">
        <f>AHORROS!J2641</f>
        <v>353.96000000000004</v>
      </c>
    </row>
    <row r="167" spans="1:4" x14ac:dyDescent="0.35">
      <c r="A167" s="2" t="s">
        <v>324</v>
      </c>
      <c r="B167" s="2" t="s">
        <v>333</v>
      </c>
      <c r="C167" s="21" t="s">
        <v>275</v>
      </c>
      <c r="D167" s="1">
        <f>AHORROS!J2657</f>
        <v>532</v>
      </c>
    </row>
    <row r="168" spans="1:4" x14ac:dyDescent="0.35">
      <c r="A168" s="2" t="s">
        <v>325</v>
      </c>
      <c r="B168" s="2" t="s">
        <v>334</v>
      </c>
      <c r="C168" s="21" t="s">
        <v>275</v>
      </c>
      <c r="D168" s="1">
        <f>AHORROS!J2673</f>
        <v>1032</v>
      </c>
    </row>
    <row r="169" spans="1:4" x14ac:dyDescent="0.35">
      <c r="A169" s="2" t="s">
        <v>326</v>
      </c>
      <c r="B169" s="2" t="s">
        <v>335</v>
      </c>
      <c r="C169" s="21" t="s">
        <v>275</v>
      </c>
      <c r="D169" s="1">
        <f>AHORROS!J2689</f>
        <v>1089.8600000000006</v>
      </c>
    </row>
    <row r="170" spans="1:4" x14ac:dyDescent="0.35">
      <c r="A170" s="2" t="s">
        <v>327</v>
      </c>
      <c r="B170" s="2" t="s">
        <v>336</v>
      </c>
      <c r="C170" s="21" t="s">
        <v>275</v>
      </c>
      <c r="D170" s="1">
        <f>AHORROS!J2705</f>
        <v>1049</v>
      </c>
    </row>
    <row r="171" spans="1:4" x14ac:dyDescent="0.35">
      <c r="A171" s="2" t="s">
        <v>328</v>
      </c>
      <c r="B171" s="2" t="s">
        <v>337</v>
      </c>
      <c r="C171" s="21" t="s">
        <v>275</v>
      </c>
      <c r="D171" s="1">
        <f>AHORROS!J2721</f>
        <v>1968</v>
      </c>
    </row>
    <row r="172" spans="1:4" x14ac:dyDescent="0.35">
      <c r="A172" s="2" t="s">
        <v>338</v>
      </c>
      <c r="B172" s="2" t="s">
        <v>339</v>
      </c>
      <c r="C172" s="21" t="s">
        <v>275</v>
      </c>
      <c r="D172" s="1">
        <f>AHORROS!J2737</f>
        <v>900</v>
      </c>
    </row>
    <row r="173" spans="1:4" x14ac:dyDescent="0.35">
      <c r="A173" s="2" t="s">
        <v>340</v>
      </c>
      <c r="B173" s="2" t="s">
        <v>341</v>
      </c>
      <c r="C173" s="21" t="s">
        <v>275</v>
      </c>
      <c r="D173" s="1">
        <f>AHORROS!J2753</f>
        <v>767</v>
      </c>
    </row>
    <row r="174" spans="1:4" x14ac:dyDescent="0.35">
      <c r="A174" s="2" t="s">
        <v>342</v>
      </c>
      <c r="B174" s="2" t="s">
        <v>370</v>
      </c>
      <c r="C174" s="21" t="s">
        <v>275</v>
      </c>
      <c r="D174" s="1">
        <f>AHORROS!J2769</f>
        <v>425.71000000000004</v>
      </c>
    </row>
    <row r="175" spans="1:4" x14ac:dyDescent="0.35">
      <c r="A175" s="2" t="s">
        <v>343</v>
      </c>
      <c r="B175" s="2" t="s">
        <v>371</v>
      </c>
      <c r="C175" s="21" t="s">
        <v>275</v>
      </c>
      <c r="D175" s="1">
        <f>AHORROS!J2785</f>
        <v>0</v>
      </c>
    </row>
    <row r="176" spans="1:4" x14ac:dyDescent="0.35">
      <c r="A176" s="2" t="s">
        <v>344</v>
      </c>
      <c r="B176" s="2" t="s">
        <v>372</v>
      </c>
      <c r="C176" s="21" t="s">
        <v>275</v>
      </c>
      <c r="D176" s="1">
        <f>AHORROS!J2801</f>
        <v>423</v>
      </c>
    </row>
    <row r="177" spans="1:4" x14ac:dyDescent="0.35">
      <c r="A177" s="2" t="s">
        <v>345</v>
      </c>
      <c r="B177" s="2" t="s">
        <v>373</v>
      </c>
      <c r="C177" s="21" t="s">
        <v>275</v>
      </c>
      <c r="D177" s="1">
        <f>AHORROS!J2817</f>
        <v>200</v>
      </c>
    </row>
    <row r="178" spans="1:4" x14ac:dyDescent="0.35">
      <c r="A178" s="2" t="s">
        <v>346</v>
      </c>
      <c r="B178" s="2" t="s">
        <v>374</v>
      </c>
      <c r="C178" s="21" t="s">
        <v>275</v>
      </c>
      <c r="D178" s="1">
        <f>AHORROS!J2833</f>
        <v>160.9699999999998</v>
      </c>
    </row>
    <row r="179" spans="1:4" x14ac:dyDescent="0.35">
      <c r="A179" s="2" t="s">
        <v>347</v>
      </c>
      <c r="B179" s="2" t="s">
        <v>375</v>
      </c>
      <c r="C179" s="21" t="s">
        <v>275</v>
      </c>
      <c r="D179" s="1">
        <f>AHORROS!J2849</f>
        <v>561</v>
      </c>
    </row>
    <row r="180" spans="1:4" x14ac:dyDescent="0.35">
      <c r="A180" s="2" t="s">
        <v>348</v>
      </c>
      <c r="B180" s="2" t="s">
        <v>376</v>
      </c>
      <c r="C180" s="21" t="s">
        <v>275</v>
      </c>
      <c r="D180" s="1">
        <f>AHORROS!J2865</f>
        <v>491</v>
      </c>
    </row>
    <row r="181" spans="1:4" x14ac:dyDescent="0.35">
      <c r="A181" s="2" t="s">
        <v>349</v>
      </c>
      <c r="B181" s="2" t="s">
        <v>259</v>
      </c>
      <c r="C181" s="21" t="s">
        <v>275</v>
      </c>
      <c r="D181" s="1">
        <f>AHORROS!J2881</f>
        <v>546</v>
      </c>
    </row>
    <row r="182" spans="1:4" x14ac:dyDescent="0.35">
      <c r="A182" s="2" t="s">
        <v>350</v>
      </c>
      <c r="B182" s="2" t="s">
        <v>377</v>
      </c>
      <c r="C182" s="21" t="s">
        <v>275</v>
      </c>
      <c r="D182" s="1">
        <f>AHORROS!J2897</f>
        <v>473</v>
      </c>
    </row>
    <row r="183" spans="1:4" x14ac:dyDescent="0.35">
      <c r="A183" s="2" t="s">
        <v>351</v>
      </c>
      <c r="B183" s="2" t="s">
        <v>378</v>
      </c>
      <c r="C183" s="21" t="s">
        <v>275</v>
      </c>
      <c r="D183" s="1">
        <f>AHORROS!J2913</f>
        <v>432</v>
      </c>
    </row>
    <row r="184" spans="1:4" x14ac:dyDescent="0.35">
      <c r="A184" s="2" t="s">
        <v>352</v>
      </c>
      <c r="B184" s="2" t="s">
        <v>379</v>
      </c>
      <c r="C184" s="21" t="s">
        <v>275</v>
      </c>
      <c r="D184" s="1">
        <f>AHORROS!J2929</f>
        <v>729</v>
      </c>
    </row>
    <row r="185" spans="1:4" x14ac:dyDescent="0.35">
      <c r="A185" s="2" t="s">
        <v>353</v>
      </c>
      <c r="B185" s="2" t="s">
        <v>380</v>
      </c>
      <c r="C185" s="21" t="s">
        <v>275</v>
      </c>
      <c r="D185" s="1">
        <f>AHORROS!J2945</f>
        <v>292</v>
      </c>
    </row>
    <row r="186" spans="1:4" x14ac:dyDescent="0.35">
      <c r="A186" s="2" t="s">
        <v>354</v>
      </c>
      <c r="B186" s="2" t="s">
        <v>381</v>
      </c>
      <c r="C186" s="21" t="s">
        <v>275</v>
      </c>
      <c r="D186" s="1">
        <f>AHORROS!J2961</f>
        <v>254</v>
      </c>
    </row>
    <row r="187" spans="1:4" x14ac:dyDescent="0.35">
      <c r="A187" s="2" t="s">
        <v>355</v>
      </c>
      <c r="B187" s="2" t="s">
        <v>382</v>
      </c>
      <c r="C187" s="21" t="s">
        <v>275</v>
      </c>
      <c r="D187" s="1">
        <f>AHORROS!J2977</f>
        <v>361.9399999999996</v>
      </c>
    </row>
    <row r="188" spans="1:4" x14ac:dyDescent="0.35">
      <c r="A188" s="2" t="s">
        <v>356</v>
      </c>
      <c r="B188" s="2" t="s">
        <v>160</v>
      </c>
      <c r="C188" s="21" t="s">
        <v>275</v>
      </c>
      <c r="D188" s="1">
        <f>AHORROS!J2993</f>
        <v>597</v>
      </c>
    </row>
    <row r="189" spans="1:4" x14ac:dyDescent="0.35">
      <c r="A189" s="2" t="s">
        <v>357</v>
      </c>
      <c r="B189" s="2" t="s">
        <v>383</v>
      </c>
      <c r="C189" s="21" t="s">
        <v>275</v>
      </c>
      <c r="D189" s="1">
        <f>AHORROS!J3009</f>
        <v>0</v>
      </c>
    </row>
    <row r="190" spans="1:4" x14ac:dyDescent="0.35">
      <c r="A190" s="2" t="s">
        <v>358</v>
      </c>
      <c r="B190" s="2" t="s">
        <v>384</v>
      </c>
      <c r="C190" s="21" t="s">
        <v>275</v>
      </c>
      <c r="D190" s="1">
        <f>AHORROS!J3025</f>
        <v>766.8700000000008</v>
      </c>
    </row>
    <row r="191" spans="1:4" x14ac:dyDescent="0.35">
      <c r="A191" s="2" t="s">
        <v>359</v>
      </c>
      <c r="B191" s="2" t="s">
        <v>385</v>
      </c>
      <c r="C191" s="21" t="s">
        <v>275</v>
      </c>
      <c r="D191" s="1">
        <f>AHORROS!J3041</f>
        <v>1025</v>
      </c>
    </row>
    <row r="192" spans="1:4" x14ac:dyDescent="0.35">
      <c r="A192" s="2" t="s">
        <v>360</v>
      </c>
      <c r="B192" s="2" t="s">
        <v>386</v>
      </c>
      <c r="C192" s="21" t="s">
        <v>275</v>
      </c>
      <c r="D192" s="1">
        <f>AHORROS!J3057</f>
        <v>195</v>
      </c>
    </row>
    <row r="193" spans="1:4" x14ac:dyDescent="0.35">
      <c r="A193" s="2" t="s">
        <v>361</v>
      </c>
      <c r="B193" s="2" t="s">
        <v>387</v>
      </c>
      <c r="C193" s="21" t="s">
        <v>275</v>
      </c>
      <c r="D193" s="1">
        <f>AHORROS!J3073</f>
        <v>0</v>
      </c>
    </row>
    <row r="194" spans="1:4" x14ac:dyDescent="0.35">
      <c r="A194" s="2" t="s">
        <v>362</v>
      </c>
      <c r="B194" s="2" t="s">
        <v>388</v>
      </c>
      <c r="C194" s="21" t="s">
        <v>275</v>
      </c>
      <c r="D194" s="1">
        <f>AHORROS!J3089</f>
        <v>0</v>
      </c>
    </row>
    <row r="195" spans="1:4" x14ac:dyDescent="0.35">
      <c r="A195" s="2" t="s">
        <v>363</v>
      </c>
      <c r="B195" s="2" t="s">
        <v>389</v>
      </c>
      <c r="C195" s="21" t="s">
        <v>275</v>
      </c>
      <c r="D195" s="1">
        <f>AHORROS!J3105</f>
        <v>1919</v>
      </c>
    </row>
    <row r="196" spans="1:4" x14ac:dyDescent="0.35">
      <c r="A196" s="2" t="s">
        <v>364</v>
      </c>
      <c r="B196" s="2" t="s">
        <v>390</v>
      </c>
      <c r="C196" s="21" t="s">
        <v>275</v>
      </c>
      <c r="D196" s="1">
        <f>AHORROS!J3121</f>
        <v>428</v>
      </c>
    </row>
    <row r="197" spans="1:4" x14ac:dyDescent="0.35">
      <c r="A197" s="2" t="s">
        <v>365</v>
      </c>
      <c r="B197" s="2" t="s">
        <v>391</v>
      </c>
      <c r="C197" s="21" t="s">
        <v>275</v>
      </c>
      <c r="D197" s="1">
        <f>AHORROS!J3137</f>
        <v>510</v>
      </c>
    </row>
    <row r="198" spans="1:4" x14ac:dyDescent="0.35">
      <c r="A198" s="2" t="s">
        <v>366</v>
      </c>
      <c r="B198" s="2" t="s">
        <v>392</v>
      </c>
      <c r="C198" s="21" t="s">
        <v>275</v>
      </c>
      <c r="D198" s="1">
        <f>AHORROS!J3153</f>
        <v>563</v>
      </c>
    </row>
    <row r="199" spans="1:4" x14ac:dyDescent="0.35">
      <c r="A199" s="2" t="s">
        <v>367</v>
      </c>
      <c r="B199" s="2" t="s">
        <v>393</v>
      </c>
      <c r="C199" s="21" t="s">
        <v>275</v>
      </c>
      <c r="D199" s="1">
        <f>AHORROS!J3169</f>
        <v>630</v>
      </c>
    </row>
    <row r="200" spans="1:4" x14ac:dyDescent="0.35">
      <c r="A200" s="2" t="s">
        <v>368</v>
      </c>
      <c r="B200" s="2" t="s">
        <v>394</v>
      </c>
      <c r="C200" s="21" t="s">
        <v>275</v>
      </c>
      <c r="D200" s="1">
        <f>AHORROS!J3185</f>
        <v>325</v>
      </c>
    </row>
    <row r="201" spans="1:4" x14ac:dyDescent="0.35">
      <c r="A201" s="2" t="s">
        <v>369</v>
      </c>
      <c r="B201" s="2" t="s">
        <v>395</v>
      </c>
      <c r="C201" s="21" t="s">
        <v>275</v>
      </c>
      <c r="D201" s="1">
        <f>AHORROS!J3201</f>
        <v>225</v>
      </c>
    </row>
    <row r="202" spans="1:4" x14ac:dyDescent="0.35">
      <c r="A202" s="33" t="s">
        <v>406</v>
      </c>
      <c r="B202" s="33" t="s">
        <v>414</v>
      </c>
      <c r="C202" s="21" t="s">
        <v>275</v>
      </c>
      <c r="D202" s="34">
        <f>AHORROS!J3217</f>
        <v>0</v>
      </c>
    </row>
    <row r="203" spans="1:4" x14ac:dyDescent="0.35">
      <c r="A203" s="33" t="s">
        <v>407</v>
      </c>
      <c r="B203" s="33" t="s">
        <v>11</v>
      </c>
      <c r="C203" s="21" t="s">
        <v>275</v>
      </c>
      <c r="D203" s="34">
        <f>AHORROS!J3233</f>
        <v>0</v>
      </c>
    </row>
    <row r="204" spans="1:4" x14ac:dyDescent="0.35">
      <c r="A204" s="33" t="s">
        <v>408</v>
      </c>
      <c r="B204" s="33" t="s">
        <v>70</v>
      </c>
      <c r="C204" s="21" t="s">
        <v>275</v>
      </c>
      <c r="D204" s="34">
        <f>AHORROS!J3249</f>
        <v>0</v>
      </c>
    </row>
    <row r="205" spans="1:4" x14ac:dyDescent="0.35">
      <c r="A205" s="33" t="s">
        <v>409</v>
      </c>
      <c r="B205" s="33" t="s">
        <v>415</v>
      </c>
      <c r="C205" s="21" t="s">
        <v>275</v>
      </c>
      <c r="D205" s="34">
        <f>AHORROS!J3265</f>
        <v>0</v>
      </c>
    </row>
    <row r="206" spans="1:4" x14ac:dyDescent="0.35">
      <c r="A206" s="33" t="s">
        <v>410</v>
      </c>
      <c r="B206" s="33" t="s">
        <v>416</v>
      </c>
      <c r="C206" s="21" t="s">
        <v>275</v>
      </c>
      <c r="D206" s="34">
        <f>AHORROS!J3281</f>
        <v>0</v>
      </c>
    </row>
    <row r="207" spans="1:4" x14ac:dyDescent="0.35">
      <c r="A207" s="33" t="s">
        <v>411</v>
      </c>
      <c r="B207" s="33" t="s">
        <v>417</v>
      </c>
      <c r="C207" s="21" t="s">
        <v>275</v>
      </c>
      <c r="D207" s="34">
        <f>AHORROS!J3297</f>
        <v>0</v>
      </c>
    </row>
    <row r="208" spans="1:4" x14ac:dyDescent="0.35">
      <c r="A208" s="33" t="s">
        <v>412</v>
      </c>
      <c r="B208" s="33" t="s">
        <v>202</v>
      </c>
      <c r="C208" s="21" t="s">
        <v>275</v>
      </c>
      <c r="D208" s="34">
        <f>AHORROS!J3313</f>
        <v>0</v>
      </c>
    </row>
    <row r="209" spans="1:4" x14ac:dyDescent="0.35">
      <c r="A209" s="33" t="s">
        <v>413</v>
      </c>
      <c r="B209" s="33" t="s">
        <v>418</v>
      </c>
      <c r="C209" s="21" t="s">
        <v>275</v>
      </c>
      <c r="D209" s="34">
        <f>AHORROS!J3329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AHORROS</vt:lpstr>
      <vt:lpstr>ACUMULADO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Nohemi</dc:creator>
  <cp:lastModifiedBy>Nohemi</cp:lastModifiedBy>
  <dcterms:created xsi:type="dcterms:W3CDTF">2025-09-10T19:18:54Z</dcterms:created>
  <dcterms:modified xsi:type="dcterms:W3CDTF">2025-11-09T23:57:57Z</dcterms:modified>
</cp:coreProperties>
</file>